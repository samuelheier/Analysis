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U:\Models\"/>
    </mc:Choice>
  </mc:AlternateContent>
  <xr:revisionPtr revIDLastSave="0" documentId="13_ncr:1_{98878294-788E-4D7C-9B7B-10B893843777}" xr6:coauthVersionLast="47" xr6:coauthVersionMax="47" xr10:uidLastSave="{00000000-0000-0000-0000-000000000000}"/>
  <bookViews>
    <workbookView xWindow="-28920" yWindow="-120" windowWidth="29040" windowHeight="15720" tabRatio="500" activeTab="5" xr2:uid="{00000000-000D-0000-FFFF-FFFF00000000}"/>
  </bookViews>
  <sheets>
    <sheet name="Main" sheetId="1" r:id="rId1"/>
    <sheet name="10QIS" sheetId="2" r:id="rId2"/>
    <sheet name="IS" sheetId="3" r:id="rId3"/>
    <sheet name="BS" sheetId="4" r:id="rId4"/>
    <sheet name="CFS" sheetId="5" r:id="rId5"/>
    <sheet name="DCF" sheetId="6" r:id="rId6"/>
    <sheet name="Subscription and Support" sheetId="7" r:id="rId7"/>
    <sheet name="Professional Services &amp; Other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5" i="6" l="1"/>
  <c r="J48" i="6"/>
  <c r="K48" i="6"/>
  <c r="L48" i="6"/>
  <c r="M48" i="6"/>
  <c r="I48" i="6"/>
  <c r="F5" i="6"/>
  <c r="H16" i="5"/>
  <c r="I37" i="5"/>
  <c r="I26" i="5"/>
  <c r="I16" i="5"/>
  <c r="I40" i="5" s="1"/>
  <c r="I22" i="4"/>
  <c r="I8" i="4"/>
  <c r="I16" i="4"/>
  <c r="I26" i="4"/>
  <c r="I33" i="4"/>
  <c r="I34" i="4"/>
  <c r="I35" i="4"/>
  <c r="K10" i="3"/>
  <c r="L10" i="3"/>
  <c r="M10" i="3"/>
  <c r="J10" i="3"/>
  <c r="K3" i="3"/>
  <c r="J7" i="3"/>
  <c r="K7" i="3"/>
  <c r="L7" i="3"/>
  <c r="M7" i="3"/>
  <c r="I7" i="3"/>
  <c r="J6" i="3"/>
  <c r="K6" i="3"/>
  <c r="L6" i="3"/>
  <c r="M6" i="3"/>
  <c r="I6" i="3"/>
  <c r="K11" i="3"/>
  <c r="L11" i="3"/>
  <c r="M11" i="3"/>
  <c r="J9" i="3"/>
  <c r="K9" i="3"/>
  <c r="L9" i="3"/>
  <c r="M9" i="3"/>
  <c r="I9" i="3"/>
  <c r="K8" i="3"/>
  <c r="L8" i="3"/>
  <c r="M8" i="3"/>
  <c r="J8" i="3"/>
  <c r="I8" i="3"/>
  <c r="J11" i="3"/>
  <c r="J3" i="3"/>
  <c r="D2" i="3"/>
  <c r="E2" i="3"/>
  <c r="F2" i="3"/>
  <c r="G2" i="3"/>
  <c r="H2" i="3"/>
  <c r="I2" i="3"/>
  <c r="J2" i="3"/>
  <c r="K2" i="3"/>
  <c r="L2" i="3"/>
  <c r="M2" i="3"/>
  <c r="C2" i="3"/>
  <c r="K91" i="6" l="1"/>
  <c r="K77" i="6"/>
  <c r="E76" i="6"/>
  <c r="E74" i="6"/>
  <c r="E71" i="6"/>
  <c r="H29" i="6"/>
  <c r="G29" i="6"/>
  <c r="F29" i="6"/>
  <c r="E29" i="6"/>
  <c r="D29" i="6"/>
  <c r="C29" i="6"/>
  <c r="H27" i="6"/>
  <c r="G27" i="6"/>
  <c r="F27" i="6"/>
  <c r="E27" i="6"/>
  <c r="D27" i="6"/>
  <c r="C27" i="6"/>
  <c r="H25" i="6"/>
  <c r="G25" i="6"/>
  <c r="F25" i="6"/>
  <c r="E25" i="6"/>
  <c r="D25" i="6"/>
  <c r="C25" i="6"/>
  <c r="H24" i="6"/>
  <c r="G24" i="6"/>
  <c r="F24" i="6"/>
  <c r="E24" i="6"/>
  <c r="D24" i="6"/>
  <c r="C24" i="6"/>
  <c r="H22" i="6"/>
  <c r="G22" i="6"/>
  <c r="F22" i="6"/>
  <c r="E22" i="6"/>
  <c r="D22" i="6"/>
  <c r="C22" i="6"/>
  <c r="H21" i="6"/>
  <c r="G21" i="6"/>
  <c r="F21" i="6"/>
  <c r="E21" i="6"/>
  <c r="D21" i="6"/>
  <c r="C21" i="6"/>
  <c r="H15" i="6"/>
  <c r="G15" i="6"/>
  <c r="F15" i="6"/>
  <c r="E15" i="6"/>
  <c r="D15" i="6"/>
  <c r="C15" i="6"/>
  <c r="F6" i="6"/>
  <c r="F4" i="6"/>
  <c r="F7" i="6" s="1"/>
  <c r="H37" i="5"/>
  <c r="G37" i="5"/>
  <c r="F37" i="5"/>
  <c r="E37" i="5"/>
  <c r="D37" i="5"/>
  <c r="C37" i="5"/>
  <c r="H26" i="5"/>
  <c r="G26" i="5"/>
  <c r="F26" i="5"/>
  <c r="E26" i="5"/>
  <c r="D26" i="5"/>
  <c r="C26" i="5"/>
  <c r="H40" i="5"/>
  <c r="G16" i="5"/>
  <c r="G40" i="5" s="1"/>
  <c r="F16" i="5"/>
  <c r="F40" i="5" s="1"/>
  <c r="E16" i="5"/>
  <c r="E40" i="5" s="1"/>
  <c r="D16" i="5"/>
  <c r="D40" i="5" s="1"/>
  <c r="C16" i="5"/>
  <c r="C40" i="5" s="1"/>
  <c r="C42" i="5" s="1"/>
  <c r="H33" i="4"/>
  <c r="G33" i="4"/>
  <c r="F33" i="4"/>
  <c r="E33" i="4"/>
  <c r="D33" i="4"/>
  <c r="C33" i="4"/>
  <c r="H22" i="4"/>
  <c r="H26" i="4" s="1"/>
  <c r="H34" i="4" s="1"/>
  <c r="G22" i="4"/>
  <c r="G26" i="4" s="1"/>
  <c r="G34" i="4" s="1"/>
  <c r="F22" i="4"/>
  <c r="F26" i="4" s="1"/>
  <c r="F34" i="4" s="1"/>
  <c r="E22" i="4"/>
  <c r="E26" i="4" s="1"/>
  <c r="E34" i="4" s="1"/>
  <c r="D22" i="4"/>
  <c r="D26" i="4" s="1"/>
  <c r="D34" i="4" s="1"/>
  <c r="C22" i="4"/>
  <c r="C26" i="4" s="1"/>
  <c r="C34" i="4" s="1"/>
  <c r="H8" i="4"/>
  <c r="H16" i="4" s="1"/>
  <c r="H35" i="4" s="1"/>
  <c r="G8" i="4"/>
  <c r="G16" i="4" s="1"/>
  <c r="G35" i="4" s="1"/>
  <c r="F8" i="4"/>
  <c r="F16" i="4" s="1"/>
  <c r="F35" i="4" s="1"/>
  <c r="E8" i="4"/>
  <c r="E16" i="4" s="1"/>
  <c r="E35" i="4" s="1"/>
  <c r="D8" i="4"/>
  <c r="D16" i="4" s="1"/>
  <c r="D35" i="4" s="1"/>
  <c r="C8" i="4"/>
  <c r="C16" i="4" s="1"/>
  <c r="C35" i="4" s="1"/>
  <c r="M30" i="3"/>
  <c r="L30" i="3"/>
  <c r="K30" i="3"/>
  <c r="J30" i="3"/>
  <c r="I30" i="3"/>
  <c r="D22" i="3"/>
  <c r="C22" i="3"/>
  <c r="AA29" i="2"/>
  <c r="Y29" i="2"/>
  <c r="X29" i="2"/>
  <c r="W29" i="2"/>
  <c r="U29" i="2"/>
  <c r="T29" i="2"/>
  <c r="S29" i="2"/>
  <c r="Q29" i="2"/>
  <c r="P29" i="2"/>
  <c r="O29" i="2"/>
  <c r="M29" i="2"/>
  <c r="L29" i="2"/>
  <c r="K29" i="2"/>
  <c r="I29" i="2"/>
  <c r="H29" i="2"/>
  <c r="G29" i="2"/>
  <c r="AA28" i="2"/>
  <c r="Y28" i="2"/>
  <c r="X28" i="2"/>
  <c r="W28" i="2"/>
  <c r="U28" i="2"/>
  <c r="T28" i="2"/>
  <c r="S28" i="2"/>
  <c r="Q28" i="2"/>
  <c r="P28" i="2"/>
  <c r="O28" i="2"/>
  <c r="M28" i="2"/>
  <c r="L28" i="2"/>
  <c r="K28" i="2"/>
  <c r="I28" i="2"/>
  <c r="H28" i="2"/>
  <c r="G28" i="2"/>
  <c r="H30" i="3"/>
  <c r="G30" i="3"/>
  <c r="F30" i="3"/>
  <c r="E30" i="3"/>
  <c r="D30" i="3"/>
  <c r="C30" i="3"/>
  <c r="AA21" i="2"/>
  <c r="AA35" i="2" s="1"/>
  <c r="Y21" i="2"/>
  <c r="X21" i="2"/>
  <c r="W21" i="2"/>
  <c r="U21" i="2"/>
  <c r="T21" i="2"/>
  <c r="S21" i="2"/>
  <c r="Q21" i="2"/>
  <c r="P21" i="2"/>
  <c r="O21" i="2"/>
  <c r="M21" i="2"/>
  <c r="L21" i="2"/>
  <c r="K21" i="2"/>
  <c r="I21" i="2"/>
  <c r="H21" i="2"/>
  <c r="G21" i="2"/>
  <c r="E21" i="2"/>
  <c r="D21" i="2"/>
  <c r="C21" i="2"/>
  <c r="H25" i="3"/>
  <c r="G25" i="3"/>
  <c r="F25" i="3"/>
  <c r="E25" i="3"/>
  <c r="D25" i="3"/>
  <c r="C25" i="3"/>
  <c r="Z17" i="2"/>
  <c r="Z21" i="2" s="1"/>
  <c r="Z23" i="2" s="1"/>
  <c r="Z24" i="2" s="1"/>
  <c r="V17" i="2"/>
  <c r="V21" i="2" s="1"/>
  <c r="V23" i="2" s="1"/>
  <c r="V24" i="2" s="1"/>
  <c r="R17" i="2"/>
  <c r="R21" i="2" s="1"/>
  <c r="R23" i="2" s="1"/>
  <c r="R24" i="2" s="1"/>
  <c r="N17" i="2"/>
  <c r="N21" i="2" s="1"/>
  <c r="N23" i="2" s="1"/>
  <c r="N24" i="2" s="1"/>
  <c r="J17" i="2"/>
  <c r="J21" i="2" s="1"/>
  <c r="J23" i="2" s="1"/>
  <c r="J24" i="2" s="1"/>
  <c r="F17" i="2"/>
  <c r="F21" i="2" s="1"/>
  <c r="F23" i="2" s="1"/>
  <c r="F24" i="2" s="1"/>
  <c r="Z16" i="2"/>
  <c r="V16" i="2"/>
  <c r="R16" i="2"/>
  <c r="N16" i="2"/>
  <c r="J16" i="2"/>
  <c r="F16" i="2"/>
  <c r="H22" i="3"/>
  <c r="G22" i="3"/>
  <c r="F22" i="3"/>
  <c r="E22" i="3"/>
  <c r="AA10" i="2"/>
  <c r="Y10" i="2"/>
  <c r="X10" i="2"/>
  <c r="W10" i="2"/>
  <c r="U10" i="2"/>
  <c r="T10" i="2"/>
  <c r="S10" i="2"/>
  <c r="Q10" i="2"/>
  <c r="P10" i="2"/>
  <c r="O10" i="2"/>
  <c r="M10" i="2"/>
  <c r="L10" i="2"/>
  <c r="K10" i="2"/>
  <c r="I10" i="2"/>
  <c r="H10" i="2"/>
  <c r="G10" i="2"/>
  <c r="E10" i="2"/>
  <c r="D10" i="2"/>
  <c r="C10" i="2"/>
  <c r="AA7" i="2"/>
  <c r="Y7" i="2"/>
  <c r="X7" i="2"/>
  <c r="W7" i="2"/>
  <c r="U7" i="2"/>
  <c r="T7" i="2"/>
  <c r="S7" i="2"/>
  <c r="Q7" i="2"/>
  <c r="P7" i="2"/>
  <c r="O7" i="2"/>
  <c r="M7" i="2"/>
  <c r="L7" i="2"/>
  <c r="K7" i="2"/>
  <c r="I7" i="2"/>
  <c r="H7" i="2"/>
  <c r="G7" i="2"/>
  <c r="E7" i="2"/>
  <c r="D7" i="2"/>
  <c r="C7" i="2"/>
  <c r="C15" i="3"/>
  <c r="C7" i="1"/>
  <c r="C5" i="1"/>
  <c r="D42" i="5" l="1"/>
  <c r="E42" i="5"/>
  <c r="F42" i="5"/>
  <c r="G42" i="5"/>
  <c r="H42" i="5"/>
  <c r="I41" i="5" s="1"/>
  <c r="I42" i="5" s="1"/>
  <c r="E79" i="6"/>
  <c r="C8" i="1"/>
  <c r="K90" i="6"/>
  <c r="F89" i="6" s="1"/>
  <c r="E78" i="6"/>
  <c r="C14" i="3"/>
  <c r="F7" i="2"/>
  <c r="D14" i="3"/>
  <c r="J28" i="2"/>
  <c r="J7" i="2"/>
  <c r="E14" i="3"/>
  <c r="N28" i="2"/>
  <c r="N7" i="2"/>
  <c r="F14" i="3"/>
  <c r="R28" i="2"/>
  <c r="R7" i="2"/>
  <c r="G14" i="3"/>
  <c r="V28" i="2"/>
  <c r="V7" i="2"/>
  <c r="H14" i="3"/>
  <c r="Z28" i="2"/>
  <c r="Z7" i="2"/>
  <c r="D15" i="3"/>
  <c r="D4" i="3" s="1"/>
  <c r="J29" i="2"/>
  <c r="E15" i="3"/>
  <c r="E4" i="3" s="1"/>
  <c r="N29" i="2"/>
  <c r="F15" i="3"/>
  <c r="F4" i="3" s="1"/>
  <c r="R29" i="2"/>
  <c r="G15" i="3"/>
  <c r="G4" i="3" s="1"/>
  <c r="V29" i="2"/>
  <c r="H15" i="3"/>
  <c r="Z29" i="2"/>
  <c r="C34" i="2"/>
  <c r="C33" i="2"/>
  <c r="C32" i="2"/>
  <c r="C11" i="2"/>
  <c r="C31" i="2" s="1"/>
  <c r="D34" i="2"/>
  <c r="D33" i="2"/>
  <c r="D32" i="2"/>
  <c r="D11" i="2"/>
  <c r="D31" i="2" s="1"/>
  <c r="E34" i="2"/>
  <c r="E33" i="2"/>
  <c r="E32" i="2"/>
  <c r="E11" i="2"/>
  <c r="E31" i="2" s="1"/>
  <c r="G34" i="2"/>
  <c r="G33" i="2"/>
  <c r="G32" i="2"/>
  <c r="G30" i="2"/>
  <c r="G11" i="2"/>
  <c r="G31" i="2" s="1"/>
  <c r="H34" i="2"/>
  <c r="H33" i="2"/>
  <c r="H32" i="2"/>
  <c r="H30" i="2"/>
  <c r="H11" i="2"/>
  <c r="H31" i="2" s="1"/>
  <c r="I34" i="2"/>
  <c r="I33" i="2"/>
  <c r="I32" i="2"/>
  <c r="I30" i="2"/>
  <c r="I11" i="2"/>
  <c r="I31" i="2" s="1"/>
  <c r="K34" i="2"/>
  <c r="K33" i="2"/>
  <c r="K32" i="2"/>
  <c r="K30" i="2"/>
  <c r="K11" i="2"/>
  <c r="K31" i="2" s="1"/>
  <c r="L34" i="2"/>
  <c r="L33" i="2"/>
  <c r="L32" i="2"/>
  <c r="L30" i="2"/>
  <c r="L11" i="2"/>
  <c r="L31" i="2" s="1"/>
  <c r="M34" i="2"/>
  <c r="M33" i="2"/>
  <c r="M32" i="2"/>
  <c r="M30" i="2"/>
  <c r="M11" i="2"/>
  <c r="M31" i="2" s="1"/>
  <c r="O34" i="2"/>
  <c r="O33" i="2"/>
  <c r="O32" i="2"/>
  <c r="O30" i="2"/>
  <c r="O11" i="2"/>
  <c r="O31" i="2" s="1"/>
  <c r="P34" i="2"/>
  <c r="P33" i="2"/>
  <c r="P32" i="2"/>
  <c r="P30" i="2"/>
  <c r="P11" i="2"/>
  <c r="P31" i="2" s="1"/>
  <c r="Q34" i="2"/>
  <c r="Q33" i="2"/>
  <c r="Q32" i="2"/>
  <c r="Q30" i="2"/>
  <c r="Q11" i="2"/>
  <c r="Q31" i="2" s="1"/>
  <c r="S34" i="2"/>
  <c r="S33" i="2"/>
  <c r="S32" i="2"/>
  <c r="S30" i="2"/>
  <c r="S11" i="2"/>
  <c r="S31" i="2" s="1"/>
  <c r="T34" i="2"/>
  <c r="T33" i="2"/>
  <c r="T32" i="2"/>
  <c r="T30" i="2"/>
  <c r="T11" i="2"/>
  <c r="T31" i="2" s="1"/>
  <c r="U34" i="2"/>
  <c r="U33" i="2"/>
  <c r="U32" i="2"/>
  <c r="U30" i="2"/>
  <c r="U11" i="2"/>
  <c r="U31" i="2" s="1"/>
  <c r="W34" i="2"/>
  <c r="W33" i="2"/>
  <c r="W32" i="2"/>
  <c r="W30" i="2"/>
  <c r="W11" i="2"/>
  <c r="W31" i="2" s="1"/>
  <c r="X34" i="2"/>
  <c r="X33" i="2"/>
  <c r="X32" i="2"/>
  <c r="X30" i="2"/>
  <c r="X11" i="2"/>
  <c r="X31" i="2" s="1"/>
  <c r="Y34" i="2"/>
  <c r="Y33" i="2"/>
  <c r="Y32" i="2"/>
  <c r="Y30" i="2"/>
  <c r="Y11" i="2"/>
  <c r="Y31" i="2" s="1"/>
  <c r="AA34" i="2"/>
  <c r="AA33" i="2"/>
  <c r="AA32" i="2"/>
  <c r="AA30" i="2"/>
  <c r="AA11" i="2"/>
  <c r="AA31" i="2" s="1"/>
  <c r="C17" i="3"/>
  <c r="F10" i="2"/>
  <c r="D17" i="3"/>
  <c r="J10" i="2"/>
  <c r="E17" i="3"/>
  <c r="N10" i="2"/>
  <c r="F17" i="3"/>
  <c r="R10" i="2"/>
  <c r="G17" i="3"/>
  <c r="V10" i="2"/>
  <c r="H17" i="3"/>
  <c r="Z10" i="2"/>
  <c r="C19" i="3"/>
  <c r="F32" i="2"/>
  <c r="D19" i="3"/>
  <c r="J32" i="2"/>
  <c r="E19" i="3"/>
  <c r="N32" i="2"/>
  <c r="F19" i="3"/>
  <c r="R32" i="2"/>
  <c r="G19" i="3"/>
  <c r="V32" i="2"/>
  <c r="H19" i="3"/>
  <c r="Z32" i="2"/>
  <c r="C20" i="3"/>
  <c r="F33" i="2"/>
  <c r="D20" i="3"/>
  <c r="J33" i="2"/>
  <c r="E20" i="3"/>
  <c r="N33" i="2"/>
  <c r="F20" i="3"/>
  <c r="R33" i="2"/>
  <c r="G20" i="3"/>
  <c r="V33" i="2"/>
  <c r="H20" i="3"/>
  <c r="Z33" i="2"/>
  <c r="C21" i="3"/>
  <c r="F34" i="2"/>
  <c r="D21" i="3"/>
  <c r="J34" i="2"/>
  <c r="E21" i="3"/>
  <c r="N34" i="2"/>
  <c r="F21" i="3"/>
  <c r="R34" i="2"/>
  <c r="G21" i="3"/>
  <c r="V34" i="2"/>
  <c r="H21" i="3"/>
  <c r="Z34" i="2"/>
  <c r="C35" i="2"/>
  <c r="C23" i="2"/>
  <c r="C24" i="2" s="1"/>
  <c r="D35" i="2"/>
  <c r="D23" i="2"/>
  <c r="D24" i="2" s="1"/>
  <c r="E35" i="2"/>
  <c r="E23" i="2"/>
  <c r="E24" i="2" s="1"/>
  <c r="G35" i="2"/>
  <c r="G23" i="2"/>
  <c r="G24" i="2" s="1"/>
  <c r="H35" i="2"/>
  <c r="H23" i="2"/>
  <c r="H24" i="2" s="1"/>
  <c r="I35" i="2"/>
  <c r="I23" i="2"/>
  <c r="I24" i="2" s="1"/>
  <c r="K35" i="2"/>
  <c r="K23" i="2"/>
  <c r="K24" i="2" s="1"/>
  <c r="L35" i="2"/>
  <c r="L23" i="2"/>
  <c r="L24" i="2" s="1"/>
  <c r="M35" i="2"/>
  <c r="M23" i="2"/>
  <c r="M24" i="2" s="1"/>
  <c r="O35" i="2"/>
  <c r="O23" i="2"/>
  <c r="O24" i="2" s="1"/>
  <c r="P35" i="2"/>
  <c r="P23" i="2"/>
  <c r="P24" i="2" s="1"/>
  <c r="Q35" i="2"/>
  <c r="Q23" i="2"/>
  <c r="Q24" i="2" s="1"/>
  <c r="S35" i="2"/>
  <c r="S23" i="2"/>
  <c r="S24" i="2" s="1"/>
  <c r="T35" i="2"/>
  <c r="T23" i="2"/>
  <c r="T24" i="2" s="1"/>
  <c r="U35" i="2"/>
  <c r="U23" i="2"/>
  <c r="U24" i="2" s="1"/>
  <c r="W35" i="2"/>
  <c r="W23" i="2"/>
  <c r="W24" i="2" s="1"/>
  <c r="X35" i="2"/>
  <c r="X23" i="2"/>
  <c r="X24" i="2" s="1"/>
  <c r="Y35" i="2"/>
  <c r="Y23" i="2"/>
  <c r="Y24" i="2" s="1"/>
  <c r="AA23" i="2"/>
  <c r="AA24" i="2" s="1"/>
  <c r="C27" i="3"/>
  <c r="F35" i="2"/>
  <c r="D27" i="3"/>
  <c r="J35" i="2"/>
  <c r="E27" i="3"/>
  <c r="N35" i="2"/>
  <c r="F27" i="3"/>
  <c r="R35" i="2"/>
  <c r="G27" i="3"/>
  <c r="V35" i="2"/>
  <c r="H27" i="3"/>
  <c r="Z35" i="2"/>
  <c r="C69" i="6"/>
  <c r="I45" i="6"/>
  <c r="J45" i="6" s="1"/>
  <c r="K45" i="6" s="1"/>
  <c r="L45" i="6" s="1"/>
  <c r="M45" i="6" s="1"/>
  <c r="F91" i="6"/>
  <c r="E72" i="6"/>
  <c r="C50" i="6"/>
  <c r="D50" i="6"/>
  <c r="E50" i="6"/>
  <c r="F50" i="6"/>
  <c r="G50" i="6"/>
  <c r="H50" i="6"/>
  <c r="D51" i="6"/>
  <c r="D36" i="6"/>
  <c r="E51" i="6"/>
  <c r="E36" i="6"/>
  <c r="F51" i="6"/>
  <c r="F36" i="6"/>
  <c r="G51" i="6"/>
  <c r="G36" i="6"/>
  <c r="H51" i="6"/>
  <c r="H36" i="6"/>
  <c r="D52" i="6"/>
  <c r="D37" i="6"/>
  <c r="E52" i="6"/>
  <c r="E37" i="6"/>
  <c r="F52" i="6"/>
  <c r="F37" i="6"/>
  <c r="G52" i="6"/>
  <c r="G37" i="6"/>
  <c r="H52" i="6"/>
  <c r="H37" i="6"/>
  <c r="D53" i="6"/>
  <c r="D38" i="6"/>
  <c r="E53" i="6"/>
  <c r="E38" i="6"/>
  <c r="F53" i="6"/>
  <c r="F38" i="6"/>
  <c r="G53" i="6"/>
  <c r="G38" i="6"/>
  <c r="H53" i="6"/>
  <c r="H38" i="6"/>
  <c r="D54" i="6"/>
  <c r="D39" i="6"/>
  <c r="E54" i="6"/>
  <c r="E39" i="6"/>
  <c r="F54" i="6"/>
  <c r="F39" i="6"/>
  <c r="G54" i="6"/>
  <c r="G39" i="6"/>
  <c r="H54" i="6"/>
  <c r="H39" i="6"/>
  <c r="C56" i="6"/>
  <c r="D56" i="6"/>
  <c r="D40" i="6"/>
  <c r="E56" i="6"/>
  <c r="E40" i="6"/>
  <c r="F56" i="6"/>
  <c r="F40" i="6"/>
  <c r="G56" i="6"/>
  <c r="G40" i="6"/>
  <c r="H56" i="6"/>
  <c r="H40" i="6"/>
  <c r="H23" i="3" l="1"/>
  <c r="G23" i="3"/>
  <c r="F23" i="3"/>
  <c r="E23" i="3"/>
  <c r="D23" i="3"/>
  <c r="C23" i="3"/>
  <c r="I15" i="3"/>
  <c r="J15" i="3" s="1"/>
  <c r="K15" i="3" s="1"/>
  <c r="L15" i="3" s="1"/>
  <c r="M15" i="3" s="1"/>
  <c r="H4" i="3"/>
  <c r="Z30" i="2"/>
  <c r="Z11" i="2"/>
  <c r="Z31" i="2" s="1"/>
  <c r="H16" i="3"/>
  <c r="I14" i="3"/>
  <c r="H3" i="3"/>
  <c r="V30" i="2"/>
  <c r="V11" i="2"/>
  <c r="V31" i="2" s="1"/>
  <c r="G16" i="3"/>
  <c r="G3" i="3"/>
  <c r="R30" i="2"/>
  <c r="R11" i="2"/>
  <c r="R31" i="2" s="1"/>
  <c r="F16" i="3"/>
  <c r="F3" i="3"/>
  <c r="N30" i="2"/>
  <c r="N11" i="2"/>
  <c r="N31" i="2" s="1"/>
  <c r="E16" i="3"/>
  <c r="E3" i="3"/>
  <c r="J30" i="2"/>
  <c r="J11" i="2"/>
  <c r="J31" i="2" s="1"/>
  <c r="D16" i="3"/>
  <c r="D3" i="3"/>
  <c r="F11" i="2"/>
  <c r="F31" i="2" s="1"/>
  <c r="C16" i="3"/>
  <c r="E80" i="6"/>
  <c r="E82" i="6" s="1"/>
  <c r="E83" i="6"/>
  <c r="E85" i="6" l="1"/>
  <c r="C11" i="6"/>
  <c r="C18" i="3"/>
  <c r="C10" i="3"/>
  <c r="C9" i="3"/>
  <c r="C8" i="3"/>
  <c r="C7" i="3"/>
  <c r="D11" i="6"/>
  <c r="D18" i="3"/>
  <c r="D10" i="3"/>
  <c r="D5" i="3"/>
  <c r="D9" i="3"/>
  <c r="D8" i="3"/>
  <c r="D7" i="3"/>
  <c r="E11" i="6"/>
  <c r="E18" i="3"/>
  <c r="E5" i="3"/>
  <c r="E10" i="3"/>
  <c r="E9" i="3"/>
  <c r="E8" i="3"/>
  <c r="E7" i="3"/>
  <c r="F11" i="6"/>
  <c r="F18" i="3"/>
  <c r="F5" i="3"/>
  <c r="F10" i="3"/>
  <c r="F9" i="3"/>
  <c r="F8" i="3"/>
  <c r="F7" i="3"/>
  <c r="G11" i="6"/>
  <c r="G18" i="3"/>
  <c r="G5" i="3"/>
  <c r="G10" i="3"/>
  <c r="G9" i="3"/>
  <c r="G8" i="3"/>
  <c r="G7" i="3"/>
  <c r="I16" i="3"/>
  <c r="J14" i="3"/>
  <c r="H11" i="6"/>
  <c r="H18" i="3"/>
  <c r="H5" i="3"/>
  <c r="H10" i="3"/>
  <c r="H9" i="3"/>
  <c r="H8" i="3"/>
  <c r="H7" i="3"/>
  <c r="H24" i="3" l="1"/>
  <c r="H6" i="3"/>
  <c r="H46" i="6"/>
  <c r="H16" i="6"/>
  <c r="H31" i="6"/>
  <c r="H32" i="6"/>
  <c r="H33" i="6"/>
  <c r="H34" i="6"/>
  <c r="H35" i="6"/>
  <c r="J16" i="3"/>
  <c r="K14" i="3"/>
  <c r="I11" i="6"/>
  <c r="I22" i="3"/>
  <c r="I21" i="3"/>
  <c r="I20" i="3"/>
  <c r="I19" i="3"/>
  <c r="I23" i="3" s="1"/>
  <c r="I18" i="3"/>
  <c r="I24" i="3" s="1"/>
  <c r="I17" i="3"/>
  <c r="G24" i="3"/>
  <c r="G6" i="3"/>
  <c r="G46" i="6"/>
  <c r="G16" i="6"/>
  <c r="G31" i="6"/>
  <c r="G32" i="6"/>
  <c r="G33" i="6"/>
  <c r="G34" i="6"/>
  <c r="G35" i="6"/>
  <c r="F24" i="3"/>
  <c r="F6" i="3"/>
  <c r="F46" i="6"/>
  <c r="F16" i="6"/>
  <c r="F31" i="6"/>
  <c r="F32" i="6"/>
  <c r="F33" i="6"/>
  <c r="F34" i="6"/>
  <c r="F35" i="6"/>
  <c r="E24" i="3"/>
  <c r="E6" i="3"/>
  <c r="E46" i="6"/>
  <c r="E16" i="6"/>
  <c r="E31" i="6"/>
  <c r="E32" i="6"/>
  <c r="E33" i="6"/>
  <c r="E34" i="6"/>
  <c r="E35" i="6"/>
  <c r="D24" i="3"/>
  <c r="D6" i="3"/>
  <c r="D46" i="6"/>
  <c r="D16" i="6"/>
  <c r="D31" i="6"/>
  <c r="D32" i="6"/>
  <c r="D33" i="6"/>
  <c r="D34" i="6"/>
  <c r="D35" i="6"/>
  <c r="C24" i="3"/>
  <c r="C6" i="3"/>
  <c r="C46" i="6"/>
  <c r="C16" i="6"/>
  <c r="C31" i="6"/>
  <c r="C32" i="6"/>
  <c r="C33" i="6"/>
  <c r="C34" i="6"/>
  <c r="C35" i="6"/>
  <c r="C65" i="6"/>
  <c r="M58" i="6"/>
  <c r="L58" i="6"/>
  <c r="K58" i="6"/>
  <c r="J58" i="6"/>
  <c r="I58" i="6"/>
  <c r="P35" i="6" l="1"/>
  <c r="O35" i="6"/>
  <c r="P34" i="6"/>
  <c r="O34" i="6"/>
  <c r="P33" i="6"/>
  <c r="O33" i="6"/>
  <c r="P32" i="6"/>
  <c r="O32" i="6"/>
  <c r="P31" i="6"/>
  <c r="O31" i="6"/>
  <c r="P16" i="6"/>
  <c r="O16" i="6"/>
  <c r="C13" i="6"/>
  <c r="C47" i="6" s="1"/>
  <c r="C26" i="3"/>
  <c r="D13" i="6"/>
  <c r="D47" i="6" s="1"/>
  <c r="D26" i="3"/>
  <c r="E13" i="6"/>
  <c r="E47" i="6" s="1"/>
  <c r="E26" i="3"/>
  <c r="F13" i="6"/>
  <c r="F47" i="6" s="1"/>
  <c r="F26" i="3"/>
  <c r="G13" i="6"/>
  <c r="G47" i="6" s="1"/>
  <c r="G26" i="3"/>
  <c r="I13" i="6"/>
  <c r="I47" i="6" s="1"/>
  <c r="I49" i="6" s="1"/>
  <c r="I26" i="3"/>
  <c r="I46" i="6"/>
  <c r="K16" i="3"/>
  <c r="L14" i="3"/>
  <c r="J11" i="6"/>
  <c r="J22" i="3"/>
  <c r="J21" i="3"/>
  <c r="J20" i="3"/>
  <c r="J19" i="3"/>
  <c r="J23" i="3" s="1"/>
  <c r="J18" i="3"/>
  <c r="J24" i="3" s="1"/>
  <c r="J17" i="3"/>
  <c r="H13" i="6"/>
  <c r="H47" i="6" s="1"/>
  <c r="H26" i="3"/>
  <c r="H28" i="3" l="1"/>
  <c r="H29" i="3" s="1"/>
  <c r="H11" i="3"/>
  <c r="H48" i="6" s="1"/>
  <c r="H49" i="6"/>
  <c r="H57" i="6" s="1"/>
  <c r="J13" i="6"/>
  <c r="J47" i="6" s="1"/>
  <c r="J49" i="6" s="1"/>
  <c r="J26" i="3"/>
  <c r="J46" i="6"/>
  <c r="L16" i="3"/>
  <c r="M14" i="3"/>
  <c r="K11" i="6"/>
  <c r="K22" i="3"/>
  <c r="K21" i="3"/>
  <c r="K20" i="3"/>
  <c r="K19" i="3"/>
  <c r="K23" i="3" s="1"/>
  <c r="K18" i="3"/>
  <c r="K24" i="3" s="1"/>
  <c r="K17" i="3"/>
  <c r="I27" i="3"/>
  <c r="I28" i="3" s="1"/>
  <c r="I29" i="3" s="1"/>
  <c r="G28" i="3"/>
  <c r="G29" i="3" s="1"/>
  <c r="G11" i="3"/>
  <c r="G48" i="6" s="1"/>
  <c r="G49" i="6"/>
  <c r="G57" i="6" s="1"/>
  <c r="F28" i="3"/>
  <c r="F29" i="3" s="1"/>
  <c r="F11" i="3"/>
  <c r="F48" i="6" s="1"/>
  <c r="F49" i="6"/>
  <c r="F57" i="6" s="1"/>
  <c r="E28" i="3"/>
  <c r="E29" i="3" s="1"/>
  <c r="E11" i="3"/>
  <c r="E48" i="6" s="1"/>
  <c r="E49" i="6"/>
  <c r="E57" i="6" s="1"/>
  <c r="D28" i="3"/>
  <c r="D29" i="3" s="1"/>
  <c r="D11" i="3"/>
  <c r="D48" i="6" s="1"/>
  <c r="D49" i="6"/>
  <c r="D57" i="6" s="1"/>
  <c r="C28" i="3"/>
  <c r="C29" i="3" s="1"/>
  <c r="C11" i="3"/>
  <c r="C48" i="6" s="1"/>
  <c r="C49" i="6"/>
  <c r="C57" i="6" s="1"/>
  <c r="M16" i="6"/>
  <c r="L16" i="6"/>
  <c r="K16" i="6"/>
  <c r="J16" i="6"/>
  <c r="J15" i="6" s="1"/>
  <c r="J50" i="6" s="1"/>
  <c r="I16" i="6"/>
  <c r="I15" i="6" s="1"/>
  <c r="I50" i="6" s="1"/>
  <c r="M31" i="6"/>
  <c r="L31" i="6"/>
  <c r="K31" i="6"/>
  <c r="K21" i="6" s="1"/>
  <c r="J31" i="6"/>
  <c r="J21" i="6" s="1"/>
  <c r="I31" i="6"/>
  <c r="I21" i="6" s="1"/>
  <c r="I51" i="6" s="1"/>
  <c r="M32" i="6"/>
  <c r="L32" i="6"/>
  <c r="K32" i="6"/>
  <c r="K22" i="6" s="1"/>
  <c r="J32" i="6"/>
  <c r="J22" i="6" s="1"/>
  <c r="I32" i="6"/>
  <c r="I22" i="6" s="1"/>
  <c r="I52" i="6" s="1"/>
  <c r="M33" i="6"/>
  <c r="L33" i="6"/>
  <c r="K33" i="6"/>
  <c r="K24" i="6" s="1"/>
  <c r="J33" i="6"/>
  <c r="J24" i="6" s="1"/>
  <c r="I33" i="6"/>
  <c r="I24" i="6" s="1"/>
  <c r="I53" i="6" s="1"/>
  <c r="M34" i="6"/>
  <c r="L34" i="6"/>
  <c r="K34" i="6"/>
  <c r="K25" i="6" s="1"/>
  <c r="J34" i="6"/>
  <c r="J25" i="6" s="1"/>
  <c r="I34" i="6"/>
  <c r="I25" i="6" s="1"/>
  <c r="I54" i="6" s="1"/>
  <c r="M35" i="6"/>
  <c r="L35" i="6"/>
  <c r="K35" i="6"/>
  <c r="K29" i="6" s="1"/>
  <c r="K56" i="6" s="1"/>
  <c r="J35" i="6"/>
  <c r="J29" i="6" s="1"/>
  <c r="J56" i="6" s="1"/>
  <c r="I35" i="6"/>
  <c r="I29" i="6" s="1"/>
  <c r="I56" i="6" s="1"/>
  <c r="J54" i="6" l="1"/>
  <c r="K54" i="6"/>
  <c r="J53" i="6"/>
  <c r="K53" i="6"/>
  <c r="J52" i="6"/>
  <c r="K52" i="6"/>
  <c r="J51" i="6"/>
  <c r="K51" i="6"/>
  <c r="I57" i="6"/>
  <c r="I59" i="6" s="1"/>
  <c r="K13" i="6"/>
  <c r="K47" i="6" s="1"/>
  <c r="K49" i="6" s="1"/>
  <c r="K26" i="3"/>
  <c r="K46" i="6"/>
  <c r="K15" i="6"/>
  <c r="K50" i="6" s="1"/>
  <c r="M16" i="3"/>
  <c r="L11" i="6"/>
  <c r="L22" i="3"/>
  <c r="L21" i="3"/>
  <c r="L20" i="3"/>
  <c r="L19" i="3"/>
  <c r="L23" i="3" s="1"/>
  <c r="L18" i="3"/>
  <c r="L24" i="3" s="1"/>
  <c r="L17" i="3"/>
  <c r="J27" i="3"/>
  <c r="J28" i="3" s="1"/>
  <c r="J29" i="3" s="1"/>
  <c r="J57" i="6"/>
  <c r="J59" i="6" s="1"/>
  <c r="L13" i="6" l="1"/>
  <c r="L47" i="6" s="1"/>
  <c r="L49" i="6" s="1"/>
  <c r="L26" i="3"/>
  <c r="L46" i="6"/>
  <c r="L15" i="6"/>
  <c r="L50" i="6" s="1"/>
  <c r="L29" i="6"/>
  <c r="L56" i="6" s="1"/>
  <c r="L25" i="6"/>
  <c r="L54" i="6" s="1"/>
  <c r="L24" i="6"/>
  <c r="L53" i="6" s="1"/>
  <c r="L22" i="6"/>
  <c r="L52" i="6" s="1"/>
  <c r="L21" i="6"/>
  <c r="L51" i="6" s="1"/>
  <c r="M11" i="6"/>
  <c r="M22" i="3"/>
  <c r="M21" i="3"/>
  <c r="M20" i="3"/>
  <c r="M19" i="3"/>
  <c r="M23" i="3" s="1"/>
  <c r="M18" i="3"/>
  <c r="M24" i="3" s="1"/>
  <c r="M17" i="3"/>
  <c r="K27" i="3"/>
  <c r="K28" i="3" s="1"/>
  <c r="K29" i="3" s="1"/>
  <c r="K57" i="6"/>
  <c r="K59" i="6" s="1"/>
  <c r="M13" i="6" l="1"/>
  <c r="M47" i="6" s="1"/>
  <c r="M49" i="6" s="1"/>
  <c r="M26" i="3"/>
  <c r="M46" i="6"/>
  <c r="M15" i="6"/>
  <c r="M50" i="6" s="1"/>
  <c r="M29" i="6"/>
  <c r="M56" i="6" s="1"/>
  <c r="M25" i="6"/>
  <c r="M54" i="6" s="1"/>
  <c r="M24" i="6"/>
  <c r="M53" i="6" s="1"/>
  <c r="M22" i="6"/>
  <c r="M52" i="6" s="1"/>
  <c r="M21" i="6"/>
  <c r="M51" i="6" s="1"/>
  <c r="L27" i="3"/>
  <c r="L28" i="3" s="1"/>
  <c r="L29" i="3" s="1"/>
  <c r="L57" i="6"/>
  <c r="L59" i="6" s="1"/>
  <c r="M27" i="3" l="1"/>
  <c r="M28" i="3" s="1"/>
  <c r="M29" i="3" s="1"/>
  <c r="M57" i="6"/>
  <c r="C66" i="6" l="1"/>
  <c r="C67" i="6" s="1"/>
  <c r="C68" i="6" s="1"/>
  <c r="M59" i="6"/>
  <c r="C60" i="6" s="1"/>
  <c r="F88" i="6" l="1"/>
  <c r="F90" i="6" s="1"/>
  <c r="F92" i="6" s="1"/>
  <c r="F93" i="6" s="1"/>
</calcChain>
</file>

<file path=xl/sharedStrings.xml><?xml version="1.0" encoding="utf-8"?>
<sst xmlns="http://schemas.openxmlformats.org/spreadsheetml/2006/main" count="328" uniqueCount="244">
  <si>
    <t>CRM</t>
  </si>
  <si>
    <t>Statements as of 1/31/26 (FY26 fiscal year-end)</t>
  </si>
  <si>
    <t>Segment</t>
  </si>
  <si>
    <t>Description</t>
  </si>
  <si>
    <t>Price</t>
  </si>
  <si>
    <t>Subscription and Support</t>
  </si>
  <si>
    <t>Shares Outstanding (mm)</t>
  </si>
  <si>
    <t>Market Cap</t>
  </si>
  <si>
    <t>Cash</t>
  </si>
  <si>
    <t>Debt</t>
  </si>
  <si>
    <t>EV</t>
  </si>
  <si>
    <t>Founder/Exec Chairman:</t>
  </si>
  <si>
    <t>CEO:</t>
  </si>
  <si>
    <t>CFO:</t>
  </si>
  <si>
    <t>Salesforce, Inc. (CRM)</t>
  </si>
  <si>
    <t>Historic Quarterly Income Statement</t>
  </si>
  <si>
    <t>Q1'21</t>
  </si>
  <si>
    <t>Q2'21</t>
  </si>
  <si>
    <t>Q3'21</t>
  </si>
  <si>
    <t>Q4'21</t>
  </si>
  <si>
    <t>Q1'22</t>
  </si>
  <si>
    <t>Q2'22</t>
  </si>
  <si>
    <t>Q3'22</t>
  </si>
  <si>
    <t>Q4'22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</si>
  <si>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</si>
  <si>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</si>
  <si>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</si>
  <si>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</si>
  <si>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</si>
  <si>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</si>
  <si>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</si>
  <si>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</si>
  <si>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Q1'25</t>
  </si>
  <si>
    <t>Q2'25</t>
  </si>
  <si>
    <t>Q3'25</t>
  </si>
  <si>
    <t>Q4'25</t>
  </si>
  <si>
    <t>Q1'26</t>
  </si>
  <si>
    <t>Q2'26</t>
  </si>
  <si>
    <t>Q3'26</t>
  </si>
  <si>
    <t>Q4'26</t>
  </si>
  <si>
    <t>Q1'27</t>
  </si>
  <si>
    <t>Subscription and Support Revenue</t>
  </si>
  <si>
    <t>Professional Services and Other Revenue</t>
  </si>
  <si>
    <t>Total Revenue</t>
  </si>
  <si>
    <t>Subscription and Support Cost of Revenue</t>
  </si>
  <si>
    <t>Professional Services and Other Cost of Revenue</t>
  </si>
  <si>
    <t>Total Cost of Revenue</t>
  </si>
  <si>
    <t>Gross Profit</t>
  </si>
  <si>
    <t>Research and Development</t>
  </si>
  <si>
    <t>Sales and Marketing</t>
  </si>
  <si>
    <t>General and Administrative</t>
  </si>
  <si>
    <t>Restructuring</t>
  </si>
  <si>
    <t>Total Operating Expenses</t>
  </si>
  <si>
    <t>Income from Operations</t>
  </si>
  <si>
    <t>Interest Expense</t>
  </si>
  <si>
    <t>Gains (Losses) on Strategic Investments, net</t>
  </si>
  <si>
    <t>Other Income</t>
  </si>
  <si>
    <t>Income Before Income Taxes</t>
  </si>
  <si>
    <t>Provision for Income Taxes</t>
  </si>
  <si>
    <t>Net Income</t>
  </si>
  <si>
    <t>Diluted EPS</t>
  </si>
  <si>
    <t>Diluted Shares</t>
  </si>
  <si>
    <t>Historic Drivers</t>
  </si>
  <si>
    <t>Historic Subscription and Support Revenue Growth Rate (YoY)</t>
  </si>
  <si>
    <t>Historic Professional Services Revenue Growth Rate (YoY)</t>
  </si>
  <si>
    <t>Historic Total Revenue Growth Rate (YoY)</t>
  </si>
  <si>
    <t>Historic Gross Margin %</t>
  </si>
  <si>
    <t>Historic R&amp;D % of Revenue</t>
  </si>
  <si>
    <t>Historic Sales and Marketing % of Revenue</t>
  </si>
  <si>
    <t>Historic G&amp;A % of Revenue</t>
  </si>
  <si>
    <t>Historic Effective Tax Rate</t>
  </si>
  <si>
    <t>IS Assumptions</t>
  </si>
  <si>
    <t>Subscription and Support Revenue Growth Rate</t>
  </si>
  <si>
    <t>Professional Services Revenue Growth Rate</t>
  </si>
  <si>
    <t>Total Revenue Growth Rate</t>
  </si>
  <si>
    <t>Gross Margin %</t>
  </si>
  <si>
    <t>R&amp;D %</t>
  </si>
  <si>
    <t>Sales and Marketing %</t>
  </si>
  <si>
    <t>G&amp;A %</t>
  </si>
  <si>
    <t>Restructuring %</t>
  </si>
  <si>
    <t>Tax Rate</t>
  </si>
  <si>
    <t>Annual Income Statement</t>
  </si>
  <si>
    <t>FY'21</t>
  </si>
  <si>
    <t>FY'22</t>
  </si>
  <si>
    <t>FY'23</t>
  </si>
  <si>
    <t>FY'24</t>
  </si>
  <si>
    <t>FY'25</t>
  </si>
  <si>
    <t>FY'26</t>
  </si>
  <si>
    <t>FY'27</t>
  </si>
  <si>
    <t>FY'28</t>
  </si>
  <si>
    <t>FY'29</t>
  </si>
  <si>
    <t>FY'30</t>
  </si>
  <si>
    <t>FY'31</t>
  </si>
  <si>
    <t>Other Income (Expense), net</t>
  </si>
  <si>
    <t>Balance Sheet</t>
  </si>
  <si>
    <t>Cash and Cash Equivalents</t>
  </si>
  <si>
    <t>Marketable Securities</t>
  </si>
  <si>
    <t>Accounts Receivable, net</t>
  </si>
  <si>
    <t>Costs Capitalized to Obtain Revenue Contracts, net (current)</t>
  </si>
  <si>
    <t>Prepaid Expenses and Other Current Assets</t>
  </si>
  <si>
    <t>Total Current Assets</t>
  </si>
  <si>
    <t>Property and Equipment, net</t>
  </si>
  <si>
    <t>Operating Lease Right-of-Use Assets, net</t>
  </si>
  <si>
    <t>Noncurrent Costs Capitalized to Obtain Revenue Contracts, net</t>
  </si>
  <si>
    <t>Strategic Investments</t>
  </si>
  <si>
    <t>Goodwill</t>
  </si>
  <si>
    <t>Intangible Assets Acquired through Business Combinations, net</t>
  </si>
  <si>
    <t>Deferred Tax Assets and Other Assets, net</t>
  </si>
  <si>
    <t>Total Assets</t>
  </si>
  <si>
    <t>Accounts Payable, Accrued Expenses and Other Liabilities</t>
  </si>
  <si>
    <t>Operating Lease Liabilities, current</t>
  </si>
  <si>
    <t>Unearned Revenue</t>
  </si>
  <si>
    <t>Debt, current</t>
  </si>
  <si>
    <t>Total Current Liabilities</t>
  </si>
  <si>
    <t>Noncurrent Debt</t>
  </si>
  <si>
    <t>Noncurrent Operating Lease Liabilities</t>
  </si>
  <si>
    <t>Other Noncurrent Liabilities</t>
  </si>
  <si>
    <t>Total Liabilities</t>
  </si>
  <si>
    <t>Common Stock, par value</t>
  </si>
  <si>
    <t>Treasury Stock, at cost</t>
  </si>
  <si>
    <t>Additional Paid-in Capital</t>
  </si>
  <si>
    <t>Accumulated Other Comprehensive Income (Loss)</t>
  </si>
  <si>
    <t>Retained Earnings</t>
  </si>
  <si>
    <t>Total Stockholders' Equity</t>
  </si>
  <si>
    <t>Total Liabilities and Stockholders' Equity</t>
  </si>
  <si>
    <t>Check (Assets less Liab. &amp; Equity)</t>
  </si>
  <si>
    <t>Cash Flow Statement</t>
  </si>
  <si>
    <t>Operating Activities:</t>
  </si>
  <si>
    <t>Depreciation and Amortization</t>
  </si>
  <si>
    <t>Amortization of Costs Capitalized to Obtain Revenue Contracts, net</t>
  </si>
  <si>
    <t>Stock-Based Compensation Expense</t>
  </si>
  <si>
    <t>(Gains) Losses on Strategic Investments, net</t>
  </si>
  <si>
    <t>Tax Benefit from Intra-Entity Transfer of Intangible Property</t>
  </si>
  <si>
    <t>Change in Accounts Receivable, net</t>
  </si>
  <si>
    <t>Change in Costs Capitalized to Obtain Revenue Contracts, net</t>
  </si>
  <si>
    <t>Change in Prepaid Expenses and Other Assets</t>
  </si>
  <si>
    <t>Change in Accounts Payable and Accrued Expenses and Other Liabilities</t>
  </si>
  <si>
    <t>Change in Operating Lease Liabilities</t>
  </si>
  <si>
    <t>Change in Unearned Revenue</t>
  </si>
  <si>
    <t>Net Cash Provided by Operating Activities</t>
  </si>
  <si>
    <t>Investing Activities:</t>
  </si>
  <si>
    <t>Business Combinations, net of Cash Acquired</t>
  </si>
  <si>
    <t>Purchases of Strategic Investments</t>
  </si>
  <si>
    <t>Sales of Strategic Investments</t>
  </si>
  <si>
    <t>Purchases of Marketable Securities</t>
  </si>
  <si>
    <t>Sales of Marketable Securities</t>
  </si>
  <si>
    <t>Maturities of Marketable Securities</t>
  </si>
  <si>
    <t>Capital Expenditures</t>
  </si>
  <si>
    <t>Net Cash Used in Investing Activities</t>
  </si>
  <si>
    <t>Financing Activities:</t>
  </si>
  <si>
    <t>Proceeds from Issuance of Debt, net</t>
  </si>
  <si>
    <t>Repayments of Slack Convertible Notes, net</t>
  </si>
  <si>
    <t>Repurchases of Common Stock</t>
  </si>
  <si>
    <t>Payments for Taxes Related to Net Share Settlement of Equity Awards</t>
  </si>
  <si>
    <t>Proceeds from Employee Stock Plans</t>
  </si>
  <si>
    <t>Principal Payments on Financing Obligations</t>
  </si>
  <si>
    <t>Repayments of Debt</t>
  </si>
  <si>
    <t>Payments of Dividends</t>
  </si>
  <si>
    <t>Net Cash Provided by (Used in) Financing Activities</t>
  </si>
  <si>
    <t>Effect of Exchange Rate Changes</t>
  </si>
  <si>
    <t>Net Increase (Decrease) in Cash and Cash Equivalents</t>
  </si>
  <si>
    <t>Cash and Cash Equivalents, Beginning of Period</t>
  </si>
  <si>
    <t>Cash and Cash Equivalents, End of Period</t>
  </si>
  <si>
    <t>Valuation Date:</t>
  </si>
  <si>
    <t>Share Price on Valuation Date:</t>
  </si>
  <si>
    <t>Diluted Shares Outstanding</t>
  </si>
  <si>
    <t>Stub Period to Next FY Year-End (yrs)</t>
  </si>
  <si>
    <t>Select Operating Data</t>
  </si>
  <si>
    <t>Projected Annual Forecast</t>
  </si>
  <si>
    <t>Revenue</t>
  </si>
  <si>
    <t>EBIT</t>
  </si>
  <si>
    <t>Depreciation &amp; Amortization</t>
  </si>
  <si>
    <t>Arithmetic Avg</t>
  </si>
  <si>
    <t>Geometric Avg</t>
  </si>
  <si>
    <t>% of Revenue</t>
  </si>
  <si>
    <t>Select Balance Sheet And Other Data</t>
  </si>
  <si>
    <t>Accounts Receivable</t>
  </si>
  <si>
    <t>Prepaid Expenses</t>
  </si>
  <si>
    <t>Arithmetic Mean</t>
  </si>
  <si>
    <t>Geometric Mean</t>
  </si>
  <si>
    <t>Accounts Receivable as a % of Revenue</t>
  </si>
  <si>
    <t>Prepaid Expenses as a % of Revenue</t>
  </si>
  <si>
    <t>Accounts Payable/Accrued Expenses as a % of Revenue</t>
  </si>
  <si>
    <t>Unearned Revenue as a % of Revenue</t>
  </si>
  <si>
    <t>Capital Expenditures as a % of Revenue</t>
  </si>
  <si>
    <t>Accounts Receivable Growth (%)</t>
  </si>
  <si>
    <t>Prepaid Expenses Growth (%)</t>
  </si>
  <si>
    <t>Accounts Payable/Accrued Expenses Growth (%)</t>
  </si>
  <si>
    <t>Unearned Revenue Growth (%)</t>
  </si>
  <si>
    <t>Capital Expenditures Growth (%)</t>
  </si>
  <si>
    <t>Free Cash Flow Buildup</t>
  </si>
  <si>
    <t>$mm</t>
  </si>
  <si>
    <t>Period</t>
  </si>
  <si>
    <t>Total Revenues</t>
  </si>
  <si>
    <t>Effective Tax Rate</t>
  </si>
  <si>
    <t>EBIAT = EBIT(1-T) = NOPAT</t>
  </si>
  <si>
    <t>Chg in Accounts Receivable</t>
  </si>
  <si>
    <t>Chg in Prepaid Expenses</t>
  </si>
  <si>
    <t>Chg in Accounts Payable/Accrued Expenses</t>
  </si>
  <si>
    <t>Chg in Unearned Revenue</t>
  </si>
  <si>
    <t>Unlevered Free Cash Flows</t>
  </si>
  <si>
    <t>Discount Rate (WACC)</t>
  </si>
  <si>
    <t>Present Value of Free Cash Flows</t>
  </si>
  <si>
    <t>Sum of Present Values of FCFs</t>
  </si>
  <si>
    <t>Terminal Value</t>
  </si>
  <si>
    <t>Growth in Perpetuity Method:</t>
  </si>
  <si>
    <t>Long-Term Growth Rate</t>
  </si>
  <si>
    <t>WACC</t>
  </si>
  <si>
    <t>Free Cash Flow (t+1)</t>
  </si>
  <si>
    <t>Present Value of Terminal Value</t>
  </si>
  <si>
    <t>Terminal Value Discount Period (yrs, year-end)</t>
  </si>
  <si>
    <t>Share Price</t>
  </si>
  <si>
    <t>Cost of Debt</t>
  </si>
  <si>
    <t>ERP</t>
  </si>
  <si>
    <t>RFR</t>
  </si>
  <si>
    <t>After-tax Cost of Debt</t>
  </si>
  <si>
    <t>Beta</t>
  </si>
  <si>
    <t>Cost of Equity</t>
  </si>
  <si>
    <t>CAPM</t>
  </si>
  <si>
    <t>Total Debt ($)</t>
  </si>
  <si>
    <t>CAPM = risk-free + beta * market risk premium</t>
  </si>
  <si>
    <t>Total Equity ($)</t>
  </si>
  <si>
    <t>Total Capital</t>
  </si>
  <si>
    <t>Debt Weighting</t>
  </si>
  <si>
    <t>Equity Weighting</t>
  </si>
  <si>
    <t>WACC =</t>
  </si>
  <si>
    <t>Enterprise Value to Equity Value</t>
  </si>
  <si>
    <t>Enterprise Value</t>
  </si>
  <si>
    <t>Less: Net Debt</t>
  </si>
  <si>
    <t>ST and LT debt minus cash</t>
  </si>
  <si>
    <t>Equity Value</t>
  </si>
  <si>
    <t>Equity Value Per Share</t>
  </si>
  <si>
    <t>Upside</t>
  </si>
  <si>
    <t>Recurring subscription fees for access to Salesforce’s cloud application suite (Sales, Service, Platform, Marketing and Commerce, Data, Slack, and related products) plus associated support. ~95% of total revenue in FY26.</t>
  </si>
  <si>
    <t>Pricing Model</t>
  </si>
  <si>
    <t>Primarily annual/multi-year subscription contracts, recognized ratably over the contract term; some usage-based (consumption) pricing within Data Cloud/AI offerings.</t>
  </si>
  <si>
    <t>Notes</t>
  </si>
  <si>
    <t>Professional Services &amp; Other</t>
  </si>
  <si>
    <t>Consulting, implementation, and training services sold alongside the subscription offerings, plus certain other revenue. ~5% of total revenue in FY26.</t>
  </si>
  <si>
    <t>Primarily time-and-materials or fixed-fee project engagements, recognized as services are delivered.</t>
  </si>
  <si>
    <t>FY'27 (1/4)</t>
  </si>
  <si>
    <t xml:space="preserve">Damadorian </t>
  </si>
  <si>
    <t>10 year treasury yield as of 8/11/26</t>
  </si>
  <si>
    <t>5 year weekly adjusted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</si>
</sst>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_(\$* #,##0.00_);_(\$* \(#,##0.00\);_(\$* \-??_);_(@_)"/>
    <numFmt numFmtId="165" formatCode="_(\$* #,##0_);_(\$* \(#,##0\);_(\$* \-??_);_(@_)"/>
    <numFmt numFmtId="166" formatCode="_(* #,##0.00_);_(* \(#,##0.00\);_(* \-??_);_(@_)"/>
    <numFmt numFmtId="167" formatCode="#,##0.0"/>
    <numFmt numFmtId="168" formatCode="0.0%"/>
    <numFmt numFmtId="169" formatCode="#,##0.00_);\(#,##0.00\);@_)"/>
    <numFmt numFmtId="170" formatCode="yyyy\A"/>
    <numFmt numFmtId="171" formatCode="yyyy\P"/>
    <numFmt numFmtId="172" formatCode="\$#,##0.0_);&quot;($&quot;#,##0.0\);@_)"/>
    <numFmt numFmtId="173" formatCode="\$#,##0.0"/>
    <numFmt numFmtId="174" formatCode="0.0"/>
    <numFmt numFmtId="175" formatCode="\$#,##0.00_);&quot;($&quot;#,##0.00\)"/>
    <numFmt numFmtId="176" formatCode="#,##0.0_);\(#,##0.0\)"/>
    <numFmt numFmtId="177" formatCode="#,##0.0_);\(#,##0.0\);@_)"/>
    <numFmt numFmtId="178" formatCode="0.000%"/>
    <numFmt numFmtId="179" formatCode="_(\$* #,##0.0_);_(\$* \(#,##0.0\);_(\$* \-??_);_(@_)"/>
    <numFmt numFmtId="180" formatCode="_(* #,##0.0_);_(* \(#,##0.0\);_(* \-?_);_(@_)"/>
    <numFmt numFmtId="181" formatCode="\$#,##0.0_);&quot;($&quot;#,##0.0\)"/>
  </numFmts>
  <fonts count="45" x14ac:knownFonts="1">
    <font>
      <sz val="12"/>
      <color theme="1"/>
      <name val="Aptos Narrow"/>
      <family val="2"/>
      <charset val="1"/>
    </font>
    <font>
      <b/>
      <sz val="18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2"/>
      <color rgb="FF0000FF"/>
      <name val="Aptos Narrow"/>
      <family val="2"/>
    </font>
    <font>
      <sz val="12"/>
      <color rgb="FF000000"/>
      <name val="Aptos Narrow"/>
      <family val="2"/>
    </font>
    <font>
      <b/>
      <sz val="12"/>
      <color theme="1"/>
      <name val="Aptos Narrow"/>
      <family val="2"/>
      <charset val="1"/>
    </font>
    <font>
      <b/>
      <sz val="18"/>
      <color theme="1"/>
      <name val="Aptos Narrow"/>
      <family val="2"/>
      <charset val="1"/>
    </font>
    <font>
      <sz val="10"/>
      <color rgb="FF000000"/>
      <name val="Aptos Narrow"/>
      <family val="2"/>
    </font>
    <font>
      <i/>
      <sz val="12"/>
      <color theme="1"/>
      <name val="Aptos Narrow"/>
      <family val="2"/>
      <charset val="1"/>
    </font>
    <font>
      <sz val="12"/>
      <name val="Aptos Narrow"/>
      <family val="2"/>
      <charset val="1"/>
    </font>
    <font>
      <i/>
      <sz val="12"/>
      <name val="Aptos Narrow"/>
      <family val="2"/>
      <charset val="1"/>
    </font>
    <font>
      <b/>
      <sz val="14"/>
      <name val="Aptos Narrow"/>
      <family val="2"/>
    </font>
    <font>
      <sz val="12"/>
      <name val="Aptos Narrow"/>
      <family val="2"/>
    </font>
    <font>
      <b/>
      <sz val="12"/>
      <name val="Aptos Narrow"/>
      <family val="2"/>
    </font>
    <font>
      <b/>
      <sz val="12"/>
      <name val="Aptos Narrow"/>
      <family val="2"/>
      <charset val="1"/>
    </font>
    <font>
      <b/>
      <sz val="14"/>
      <color theme="1"/>
      <name val="Calibri"/>
      <family val="2"/>
    </font>
    <font>
      <sz val="18"/>
      <color theme="1"/>
      <name val="Calibri"/>
      <family val="2"/>
      <charset val="1"/>
    </font>
    <font>
      <sz val="12"/>
      <color theme="1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  <charset val="1"/>
    </font>
    <font>
      <b/>
      <sz val="14"/>
      <color rgb="FF000000"/>
      <name val="Calibri"/>
      <family val="2"/>
    </font>
    <font>
      <sz val="14"/>
      <color rgb="FF000000"/>
      <name val="Aptos Narrow"/>
      <family val="2"/>
      <charset val="1"/>
    </font>
    <font>
      <sz val="11"/>
      <color rgb="FF0000FF"/>
      <name val="Calibri"/>
      <family val="2"/>
      <charset val="1"/>
    </font>
    <font>
      <i/>
      <sz val="11"/>
      <color theme="1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1"/>
      <color rgb="FF0000FF"/>
      <name val="Calibri"/>
      <family val="2"/>
    </font>
    <font>
      <sz val="11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1"/>
      <color rgb="FF008000"/>
      <name val="Calibri"/>
      <family val="2"/>
    </font>
    <font>
      <sz val="10"/>
      <color theme="1"/>
      <name val="Arial"/>
      <family val="2"/>
      <charset val="1"/>
    </font>
    <font>
      <sz val="10"/>
      <color theme="1"/>
      <name val="Aptos Narrow"/>
      <family val="2"/>
      <charset val="1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10"/>
      <color rgb="FF0000FF"/>
      <name val="Aptos Narrow"/>
      <family val="2"/>
    </font>
    <font>
      <b/>
      <sz val="12"/>
      <color rgb="FF000000"/>
      <name val="Aptos Narrow"/>
      <family val="2"/>
    </font>
    <font>
      <sz val="8"/>
      <name val="Aptos Narrow"/>
      <family val="2"/>
      <charset val="1"/>
    </font>
    <font>
      <sz val="10"/>
      <color rgb="FF0000FF"/>
      <name val="Calibri"/>
      <family val="2"/>
      <charset val="1"/>
    </font>
    <font>
      <sz val="14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 tint="-0.34998626667073579"/>
        <bgColor rgb="FFC0C0C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CCFFFF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/>
    <xf numFmtId="0" fontId="3" fillId="0" borderId="0" xfId="0" applyFont="1"/>
    <xf numFmtId="0" fontId="2" fillId="0" borderId="0" xfId="0" applyFont="1"/>
    <xf numFmtId="165" fontId="5" fillId="0" borderId="0" xfId="0" applyNumberFormat="1" applyFont="1"/>
    <xf numFmtId="164" fontId="5" fillId="0" borderId="0" xfId="0" applyNumberFormat="1" applyFont="1"/>
    <xf numFmtId="164" fontId="5" fillId="2" borderId="0" xfId="0" applyNumberFormat="1" applyFont="1" applyFill="1"/>
    <xf numFmtId="0" fontId="0" fillId="0" borderId="0" xfId="0" applyAlignment="1">
      <alignment horizontal="right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3" xfId="0" applyFont="1" applyBorder="1"/>
    <xf numFmtId="0" fontId="7" fillId="0" borderId="0" xfId="0" applyFont="1"/>
    <xf numFmtId="0" fontId="6" fillId="0" borderId="4" xfId="0" applyFont="1" applyBorder="1"/>
    <xf numFmtId="0" fontId="3" fillId="0" borderId="4" xfId="0" applyFont="1" applyBorder="1" applyAlignment="1">
      <alignment horizontal="center"/>
    </xf>
    <xf numFmtId="0" fontId="2" fillId="0" borderId="3" xfId="0" applyFont="1" applyBorder="1"/>
    <xf numFmtId="165" fontId="4" fillId="0" borderId="0" xfId="0" applyNumberFormat="1" applyFont="1"/>
    <xf numFmtId="165" fontId="0" fillId="0" borderId="0" xfId="0" applyNumberFormat="1"/>
    <xf numFmtId="165" fontId="6" fillId="0" borderId="0" xfId="0" applyNumberFormat="1" applyFont="1"/>
    <xf numFmtId="164" fontId="0" fillId="0" borderId="0" xfId="0" applyNumberFormat="1"/>
    <xf numFmtId="166" fontId="0" fillId="0" borderId="0" xfId="0" applyNumberFormat="1"/>
    <xf numFmtId="167" fontId="5" fillId="0" borderId="0" xfId="0" applyNumberFormat="1" applyFont="1"/>
    <xf numFmtId="0" fontId="9" fillId="0" borderId="0" xfId="0" applyFont="1"/>
    <xf numFmtId="9" fontId="9" fillId="0" borderId="0" xfId="0" applyNumberFormat="1" applyFont="1"/>
    <xf numFmtId="168" fontId="5" fillId="0" borderId="0" xfId="0" applyNumberFormat="1" applyFont="1"/>
    <xf numFmtId="0" fontId="6" fillId="0" borderId="0" xfId="0" applyFont="1"/>
    <xf numFmtId="168" fontId="10" fillId="0" borderId="0" xfId="0" applyNumberFormat="1" applyFont="1"/>
    <xf numFmtId="0" fontId="11" fillId="0" borderId="0" xfId="0" applyFont="1"/>
    <xf numFmtId="0" fontId="3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3" borderId="0" xfId="0" applyFont="1" applyFill="1" applyAlignment="1">
      <alignment horizontal="center"/>
    </xf>
    <xf numFmtId="168" fontId="8" fillId="0" borderId="0" xfId="0" applyNumberFormat="1" applyFont="1" applyAlignment="1">
      <alignment horizontal="right"/>
    </xf>
    <xf numFmtId="168" fontId="8" fillId="0" borderId="8" xfId="0" applyNumberFormat="1" applyFont="1" applyBorder="1" applyAlignment="1">
      <alignment horizontal="right"/>
    </xf>
    <xf numFmtId="0" fontId="2" fillId="3" borderId="0" xfId="0" applyFont="1" applyFill="1"/>
    <xf numFmtId="168" fontId="8" fillId="0" borderId="0" xfId="0" applyNumberFormat="1" applyFont="1"/>
    <xf numFmtId="168" fontId="8" fillId="0" borderId="8" xfId="0" applyNumberFormat="1" applyFont="1" applyBorder="1"/>
    <xf numFmtId="0" fontId="0" fillId="0" borderId="8" xfId="0" applyBorder="1"/>
    <xf numFmtId="165" fontId="5" fillId="0" borderId="9" xfId="0" applyNumberFormat="1" applyFont="1" applyBorder="1"/>
    <xf numFmtId="165" fontId="5" fillId="0" borderId="10" xfId="0" applyNumberFormat="1" applyFont="1" applyBorder="1"/>
    <xf numFmtId="165" fontId="5" fillId="0" borderId="3" xfId="0" applyNumberFormat="1" applyFont="1" applyBorder="1"/>
    <xf numFmtId="165" fontId="5" fillId="0" borderId="5" xfId="0" applyNumberFormat="1" applyFont="1" applyBorder="1"/>
    <xf numFmtId="165" fontId="5" fillId="0" borderId="8" xfId="0" applyNumberFormat="1" applyFont="1" applyBorder="1"/>
    <xf numFmtId="0" fontId="12" fillId="0" borderId="4" xfId="0" applyFont="1" applyBorder="1"/>
    <xf numFmtId="0" fontId="13" fillId="0" borderId="0" xfId="0" applyFont="1"/>
    <xf numFmtId="0" fontId="10" fillId="0" borderId="0" xfId="0" applyFont="1"/>
    <xf numFmtId="0" fontId="14" fillId="0" borderId="0" xfId="0" applyFont="1"/>
    <xf numFmtId="165" fontId="10" fillId="0" borderId="0" xfId="0" applyNumberFormat="1" applyFont="1"/>
    <xf numFmtId="165" fontId="15" fillId="0" borderId="0" xfId="0" applyNumberFormat="1" applyFont="1"/>
    <xf numFmtId="0" fontId="16" fillId="0" borderId="3" xfId="0" applyFont="1" applyBorder="1"/>
    <xf numFmtId="0" fontId="0" fillId="0" borderId="3" xfId="0" applyBorder="1"/>
    <xf numFmtId="0" fontId="17" fillId="0" borderId="3" xfId="0" applyFont="1" applyBorder="1"/>
    <xf numFmtId="0" fontId="17" fillId="0" borderId="0" xfId="0" applyFont="1"/>
    <xf numFmtId="0" fontId="18" fillId="0" borderId="0" xfId="0" applyFont="1"/>
    <xf numFmtId="15" fontId="19" fillId="0" borderId="0" xfId="0" applyNumberFormat="1" applyFont="1" applyAlignment="1">
      <alignment horizontal="right" vertical="top" readingOrder="1"/>
    </xf>
    <xf numFmtId="0" fontId="20" fillId="0" borderId="0" xfId="0" applyFont="1" applyAlignment="1">
      <alignment horizontal="left" readingOrder="1"/>
    </xf>
    <xf numFmtId="0" fontId="19" fillId="0" borderId="0" xfId="0" applyFont="1" applyAlignment="1">
      <alignment horizontal="left" vertical="top" readingOrder="1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170" fontId="23" fillId="0" borderId="5" xfId="0" applyNumberFormat="1" applyFont="1" applyBorder="1"/>
    <xf numFmtId="171" fontId="23" fillId="0" borderId="5" xfId="0" applyNumberFormat="1" applyFont="1" applyBorder="1"/>
    <xf numFmtId="10" fontId="20" fillId="0" borderId="0" xfId="0" applyNumberFormat="1" applyFont="1" applyAlignment="1">
      <alignment horizontal="left" readingOrder="1"/>
    </xf>
    <xf numFmtId="0" fontId="24" fillId="0" borderId="0" xfId="0" applyFont="1" applyAlignment="1">
      <alignment horizontal="left" vertical="top" readingOrder="1"/>
    </xf>
    <xf numFmtId="165" fontId="24" fillId="0" borderId="0" xfId="0" applyNumberFormat="1" applyFont="1"/>
    <xf numFmtId="165" fontId="24" fillId="0" borderId="0" xfId="0" applyNumberFormat="1" applyFont="1" applyAlignment="1">
      <alignment horizontal="right" readingOrder="1"/>
    </xf>
    <xf numFmtId="165" fontId="24" fillId="0" borderId="0" xfId="0" applyNumberFormat="1" applyFont="1" applyAlignment="1">
      <alignment horizontal="left" readingOrder="1"/>
    </xf>
    <xf numFmtId="14" fontId="25" fillId="0" borderId="0" xfId="0" applyNumberFormat="1" applyFont="1" applyAlignment="1">
      <alignment horizontal="right" vertical="top" readingOrder="1"/>
    </xf>
    <xf numFmtId="0" fontId="20" fillId="0" borderId="0" xfId="0" applyFont="1" applyAlignment="1">
      <alignment horizontal="right" readingOrder="1"/>
    </xf>
    <xf numFmtId="165" fontId="24" fillId="0" borderId="0" xfId="0" applyNumberFormat="1" applyFont="1" applyAlignment="1">
      <alignment horizontal="center" readingOrder="1"/>
    </xf>
    <xf numFmtId="0" fontId="22" fillId="0" borderId="0" xfId="0" applyFont="1" applyAlignment="1">
      <alignment horizontal="center" readingOrder="1"/>
    </xf>
    <xf numFmtId="168" fontId="24" fillId="0" borderId="0" xfId="0" applyNumberFormat="1" applyFont="1" applyAlignment="1">
      <alignment horizontal="right" vertical="top" readingOrder="1"/>
    </xf>
    <xf numFmtId="168" fontId="24" fillId="0" borderId="0" xfId="0" applyNumberFormat="1" applyFont="1"/>
    <xf numFmtId="168" fontId="24" fillId="0" borderId="0" xfId="0" applyNumberFormat="1" applyFont="1" applyAlignment="1">
      <alignment horizontal="center" readingOrder="1"/>
    </xf>
    <xf numFmtId="0" fontId="26" fillId="0" borderId="0" xfId="0" applyFont="1"/>
    <xf numFmtId="0" fontId="27" fillId="0" borderId="0" xfId="0" applyFont="1"/>
    <xf numFmtId="0" fontId="22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73" fontId="20" fillId="0" borderId="0" xfId="0" applyNumberFormat="1" applyFont="1" applyAlignment="1">
      <alignment horizontal="right" readingOrder="1"/>
    </xf>
    <xf numFmtId="174" fontId="19" fillId="0" borderId="0" xfId="0" applyNumberFormat="1" applyFont="1" applyAlignment="1">
      <alignment horizontal="right" vertical="center"/>
    </xf>
    <xf numFmtId="175" fontId="28" fillId="0" borderId="0" xfId="0" applyNumberFormat="1" applyFont="1" applyAlignment="1">
      <alignment horizontal="right" readingOrder="1"/>
    </xf>
    <xf numFmtId="175" fontId="20" fillId="0" borderId="0" xfId="0" applyNumberFormat="1" applyFont="1" applyAlignment="1">
      <alignment horizontal="right" readingOrder="1"/>
    </xf>
    <xf numFmtId="0" fontId="20" fillId="0" borderId="0" xfId="0" applyFont="1" applyAlignment="1">
      <alignment horizontal="center" readingOrder="1"/>
    </xf>
    <xf numFmtId="0" fontId="22" fillId="0" borderId="0" xfId="0" applyFont="1" applyAlignment="1">
      <alignment horizontal="center"/>
    </xf>
    <xf numFmtId="168" fontId="24" fillId="0" borderId="0" xfId="0" applyNumberFormat="1" applyFont="1" applyAlignment="1">
      <alignment horizontal="right"/>
    </xf>
    <xf numFmtId="168" fontId="24" fillId="0" borderId="0" xfId="0" applyNumberFormat="1" applyFont="1" applyAlignment="1">
      <alignment horizontal="right" readingOrder="1"/>
    </xf>
    <xf numFmtId="0" fontId="24" fillId="0" borderId="0" xfId="0" applyFont="1" applyAlignment="1">
      <alignment vertical="top"/>
    </xf>
    <xf numFmtId="10" fontId="30" fillId="0" borderId="0" xfId="0" applyNumberFormat="1" applyFont="1" applyAlignment="1">
      <alignment horizontal="right" vertical="top" readingOrder="1"/>
    </xf>
    <xf numFmtId="0" fontId="20" fillId="0" borderId="0" xfId="0" applyFont="1"/>
    <xf numFmtId="0" fontId="22" fillId="0" borderId="0" xfId="0" applyFont="1"/>
    <xf numFmtId="0" fontId="21" fillId="0" borderId="0" xfId="0" applyFont="1"/>
    <xf numFmtId="0" fontId="23" fillId="0" borderId="0" xfId="0" applyFont="1"/>
    <xf numFmtId="0" fontId="22" fillId="0" borderId="3" xfId="0" applyFont="1" applyBorder="1"/>
    <xf numFmtId="0" fontId="20" fillId="0" borderId="5" xfId="0" applyFont="1" applyBorder="1"/>
    <xf numFmtId="0" fontId="20" fillId="0" borderId="3" xfId="0" applyFont="1" applyBorder="1"/>
    <xf numFmtId="0" fontId="24" fillId="0" borderId="3" xfId="0" applyFont="1" applyBorder="1"/>
    <xf numFmtId="165" fontId="24" fillId="0" borderId="13" xfId="0" applyNumberFormat="1" applyFont="1" applyBorder="1"/>
    <xf numFmtId="176" fontId="22" fillId="0" borderId="0" xfId="0" applyNumberFormat="1" applyFont="1" applyAlignment="1">
      <alignment horizontal="left"/>
    </xf>
    <xf numFmtId="165" fontId="24" fillId="0" borderId="0" xfId="0" applyNumberFormat="1" applyFont="1" applyAlignment="1">
      <alignment horizontal="right"/>
    </xf>
    <xf numFmtId="165" fontId="31" fillId="0" borderId="0" xfId="0" applyNumberFormat="1" applyFont="1"/>
    <xf numFmtId="177" fontId="19" fillId="0" borderId="0" xfId="0" applyNumberFormat="1" applyFont="1"/>
    <xf numFmtId="165" fontId="24" fillId="0" borderId="3" xfId="0" applyNumberFormat="1" applyFont="1" applyBorder="1"/>
    <xf numFmtId="178" fontId="20" fillId="0" borderId="0" xfId="0" applyNumberFormat="1" applyFont="1"/>
    <xf numFmtId="10" fontId="19" fillId="0" borderId="0" xfId="0" applyNumberFormat="1" applyFont="1"/>
    <xf numFmtId="168" fontId="19" fillId="0" borderId="0" xfId="0" applyNumberFormat="1" applyFont="1"/>
    <xf numFmtId="168" fontId="29" fillId="0" borderId="0" xfId="0" applyNumberFormat="1" applyFont="1"/>
    <xf numFmtId="10" fontId="20" fillId="0" borderId="0" xfId="0" applyNumberFormat="1" applyFont="1"/>
    <xf numFmtId="172" fontId="20" fillId="0" borderId="0" xfId="0" applyNumberFormat="1" applyFont="1"/>
    <xf numFmtId="179" fontId="29" fillId="0" borderId="0" xfId="0" applyNumberFormat="1" applyFont="1"/>
    <xf numFmtId="172" fontId="21" fillId="0" borderId="0" xfId="0" applyNumberFormat="1" applyFont="1"/>
    <xf numFmtId="176" fontId="32" fillId="0" borderId="0" xfId="0" applyNumberFormat="1" applyFont="1" applyAlignment="1">
      <alignment horizontal="right"/>
    </xf>
    <xf numFmtId="176" fontId="33" fillId="0" borderId="0" xfId="0" applyNumberFormat="1" applyFont="1"/>
    <xf numFmtId="0" fontId="33" fillId="0" borderId="0" xfId="0" applyFont="1"/>
    <xf numFmtId="168" fontId="31" fillId="2" borderId="0" xfId="0" applyNumberFormat="1" applyFont="1" applyFill="1" applyAlignment="1">
      <alignment horizontal="right"/>
    </xf>
    <xf numFmtId="3" fontId="33" fillId="0" borderId="0" xfId="0" applyNumberFormat="1" applyFont="1"/>
    <xf numFmtId="0" fontId="34" fillId="0" borderId="0" xfId="0" applyFont="1"/>
    <xf numFmtId="168" fontId="33" fillId="0" borderId="0" xfId="0" applyNumberFormat="1" applyFont="1"/>
    <xf numFmtId="171" fontId="34" fillId="0" borderId="0" xfId="0" applyNumberFormat="1" applyFont="1"/>
    <xf numFmtId="171" fontId="34" fillId="0" borderId="0" xfId="0" applyNumberFormat="1" applyFont="1" applyAlignment="1">
      <alignment horizontal="center"/>
    </xf>
    <xf numFmtId="2" fontId="33" fillId="0" borderId="0" xfId="0" applyNumberFormat="1" applyFont="1"/>
    <xf numFmtId="39" fontId="33" fillId="0" borderId="0" xfId="0" applyNumberFormat="1" applyFont="1"/>
    <xf numFmtId="165" fontId="24" fillId="0" borderId="13" xfId="0" applyNumberFormat="1" applyFont="1" applyBorder="1" applyAlignment="1">
      <alignment horizontal="right"/>
    </xf>
    <xf numFmtId="172" fontId="33" fillId="0" borderId="0" xfId="0" applyNumberFormat="1" applyFont="1"/>
    <xf numFmtId="39" fontId="24" fillId="0" borderId="0" xfId="0" applyNumberFormat="1" applyFont="1" applyAlignment="1">
      <alignment horizontal="right"/>
    </xf>
    <xf numFmtId="0" fontId="32" fillId="0" borderId="0" xfId="0" applyFont="1"/>
    <xf numFmtId="164" fontId="24" fillId="0" borderId="0" xfId="0" applyNumberFormat="1" applyFont="1"/>
    <xf numFmtId="167" fontId="24" fillId="0" borderId="0" xfId="0" applyNumberFormat="1" applyFont="1"/>
    <xf numFmtId="165" fontId="35" fillId="0" borderId="0" xfId="0" applyNumberFormat="1" applyFont="1"/>
    <xf numFmtId="0" fontId="24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180" fontId="20" fillId="0" borderId="0" xfId="0" applyNumberFormat="1" applyFont="1"/>
    <xf numFmtId="172" fontId="20" fillId="0" borderId="0" xfId="0" applyNumberFormat="1" applyFont="1" applyAlignment="1">
      <alignment horizontal="right"/>
    </xf>
    <xf numFmtId="176" fontId="25" fillId="0" borderId="0" xfId="0" applyNumberFormat="1" applyFont="1" applyAlignment="1">
      <alignment horizontal="right"/>
    </xf>
    <xf numFmtId="167" fontId="24" fillId="0" borderId="0" xfId="0" applyNumberFormat="1" applyFont="1" applyAlignment="1">
      <alignment horizontal="right"/>
    </xf>
    <xf numFmtId="172" fontId="21" fillId="0" borderId="0" xfId="0" applyNumberFormat="1" applyFont="1" applyAlignment="1">
      <alignment horizontal="right"/>
    </xf>
    <xf numFmtId="0" fontId="22" fillId="0" borderId="1" xfId="0" applyFont="1" applyBorder="1"/>
    <xf numFmtId="164" fontId="24" fillId="0" borderId="2" xfId="0" applyNumberFormat="1" applyFont="1" applyBorder="1" applyAlignment="1">
      <alignment horizontal="right"/>
    </xf>
    <xf numFmtId="0" fontId="20" fillId="0" borderId="11" xfId="0" applyFont="1" applyBorder="1" applyAlignment="1">
      <alignment horizontal="left"/>
    </xf>
    <xf numFmtId="174" fontId="20" fillId="0" borderId="0" xfId="0" applyNumberFormat="1" applyFont="1" applyAlignment="1">
      <alignment horizontal="right"/>
    </xf>
    <xf numFmtId="168" fontId="24" fillId="0" borderId="13" xfId="0" applyNumberFormat="1" applyFont="1" applyBorder="1"/>
    <xf numFmtId="164" fontId="36" fillId="0" borderId="0" xfId="0" applyNumberFormat="1" applyFont="1"/>
    <xf numFmtId="0" fontId="37" fillId="0" borderId="0" xfId="0" applyFont="1"/>
    <xf numFmtId="0" fontId="36" fillId="0" borderId="0" xfId="0" applyFont="1"/>
    <xf numFmtId="10" fontId="37" fillId="0" borderId="0" xfId="0" applyNumberFormat="1" applyFont="1"/>
    <xf numFmtId="172" fontId="37" fillId="0" borderId="0" xfId="0" applyNumberFormat="1" applyFont="1"/>
    <xf numFmtId="175" fontId="37" fillId="0" borderId="0" xfId="0" applyNumberFormat="1" applyFont="1"/>
    <xf numFmtId="0" fontId="2" fillId="0" borderId="2" xfId="0" applyFont="1" applyBorder="1" applyAlignment="1">
      <alignment horizontal="right" wrapText="1"/>
    </xf>
    <xf numFmtId="9" fontId="9" fillId="0" borderId="0" xfId="0" applyNumberFormat="1" applyFont="1" applyFill="1"/>
    <xf numFmtId="165" fontId="38" fillId="0" borderId="3" xfId="0" applyNumberFormat="1" applyFont="1" applyBorder="1"/>
    <xf numFmtId="164" fontId="2" fillId="0" borderId="0" xfId="0" applyNumberFormat="1" applyFont="1" applyFill="1"/>
    <xf numFmtId="164" fontId="2" fillId="0" borderId="0" xfId="0" applyNumberFormat="1" applyFont="1"/>
    <xf numFmtId="167" fontId="2" fillId="0" borderId="0" xfId="0" applyNumberFormat="1" applyFont="1" applyFill="1"/>
    <xf numFmtId="167" fontId="2" fillId="0" borderId="0" xfId="0" applyNumberFormat="1" applyFont="1"/>
    <xf numFmtId="9" fontId="9" fillId="4" borderId="0" xfId="0" applyNumberFormat="1" applyFont="1" applyFill="1"/>
    <xf numFmtId="165" fontId="2" fillId="0" borderId="13" xfId="0" applyNumberFormat="1" applyFont="1" applyBorder="1" applyAlignment="1">
      <alignment horizontal="center"/>
    </xf>
    <xf numFmtId="165" fontId="39" fillId="0" borderId="0" xfId="0" applyNumberFormat="1" applyFont="1" applyBorder="1"/>
    <xf numFmtId="165" fontId="3" fillId="0" borderId="0" xfId="0" applyNumberFormat="1" applyFont="1"/>
    <xf numFmtId="0" fontId="2" fillId="0" borderId="0" xfId="0" applyFont="1" applyBorder="1"/>
    <xf numFmtId="165" fontId="2" fillId="0" borderId="0" xfId="0" applyNumberFormat="1" applyFont="1" applyBorder="1"/>
    <xf numFmtId="165" fontId="3" fillId="0" borderId="6" xfId="0" applyNumberFormat="1" applyFont="1" applyBorder="1"/>
    <xf numFmtId="0" fontId="3" fillId="0" borderId="3" xfId="0" applyFont="1" applyBorder="1"/>
    <xf numFmtId="0" fontId="3" fillId="0" borderId="6" xfId="0" applyFont="1" applyBorder="1"/>
    <xf numFmtId="165" fontId="2" fillId="4" borderId="0" xfId="0" applyNumberFormat="1" applyFont="1" applyFill="1"/>
    <xf numFmtId="0" fontId="3" fillId="0" borderId="7" xfId="0" applyFont="1" applyBorder="1" applyAlignment="1">
      <alignment horizontal="center"/>
    </xf>
    <xf numFmtId="165" fontId="5" fillId="0" borderId="2" xfId="0" applyNumberFormat="1" applyFont="1" applyBorder="1"/>
    <xf numFmtId="164" fontId="5" fillId="0" borderId="8" xfId="0" applyNumberFormat="1" applyFont="1" applyBorder="1"/>
    <xf numFmtId="167" fontId="5" fillId="0" borderId="8" xfId="0" applyNumberFormat="1" applyFont="1" applyBorder="1"/>
    <xf numFmtId="166" fontId="2" fillId="2" borderId="0" xfId="0" applyNumberFormat="1" applyFont="1" applyFill="1"/>
    <xf numFmtId="164" fontId="2" fillId="2" borderId="0" xfId="0" applyNumberFormat="1" applyFont="1" applyFill="1"/>
    <xf numFmtId="168" fontId="5" fillId="0" borderId="0" xfId="0" applyNumberFormat="1" applyFont="1" applyFill="1"/>
    <xf numFmtId="168" fontId="40" fillId="0" borderId="0" xfId="0" applyNumberFormat="1" applyFont="1" applyAlignment="1">
      <alignment horizontal="right"/>
    </xf>
    <xf numFmtId="165" fontId="41" fillId="0" borderId="0" xfId="0" applyNumberFormat="1" applyFont="1"/>
    <xf numFmtId="165" fontId="41" fillId="0" borderId="8" xfId="0" applyNumberFormat="1" applyFont="1" applyBorder="1"/>
    <xf numFmtId="165" fontId="41" fillId="0" borderId="3" xfId="0" applyNumberFormat="1" applyFont="1" applyBorder="1"/>
    <xf numFmtId="165" fontId="41" fillId="0" borderId="5" xfId="0" applyNumberFormat="1" applyFont="1" applyBorder="1"/>
    <xf numFmtId="165" fontId="41" fillId="0" borderId="2" xfId="0" applyNumberFormat="1" applyFont="1" applyBorder="1"/>
    <xf numFmtId="14" fontId="43" fillId="2" borderId="0" xfId="0" applyNumberFormat="1" applyFont="1" applyFill="1" applyAlignment="1">
      <alignment horizontal="right" vertical="top" readingOrder="1"/>
    </xf>
    <xf numFmtId="164" fontId="43" fillId="2" borderId="0" xfId="0" applyNumberFormat="1" applyFont="1" applyFill="1" applyAlignment="1">
      <alignment horizontal="right" vertical="top" readingOrder="1"/>
    </xf>
    <xf numFmtId="169" fontId="43" fillId="2" borderId="0" xfId="0" applyNumberFormat="1" applyFont="1" applyFill="1" applyAlignment="1">
      <alignment horizontal="right" vertical="top" readingOrder="1"/>
    </xf>
    <xf numFmtId="0" fontId="44" fillId="5" borderId="0" xfId="0" applyFont="1" applyFill="1"/>
    <xf numFmtId="0" fontId="0" fillId="5" borderId="0" xfId="0" applyFill="1"/>
    <xf numFmtId="0" fontId="21" fillId="0" borderId="0" xfId="0" applyFont="1" applyBorder="1" applyAlignment="1">
      <alignment horizontal="center"/>
    </xf>
    <xf numFmtId="170" fontId="23" fillId="0" borderId="2" xfId="0" applyNumberFormat="1" applyFont="1" applyBorder="1"/>
    <xf numFmtId="181" fontId="28" fillId="2" borderId="0" xfId="0" applyNumberFormat="1" applyFont="1" applyFill="1"/>
    <xf numFmtId="172" fontId="28" fillId="2" borderId="0" xfId="0" applyNumberFormat="1" applyFont="1" applyFill="1"/>
    <xf numFmtId="10" fontId="28" fillId="2" borderId="0" xfId="0" applyNumberFormat="1" applyFont="1" applyFill="1"/>
    <xf numFmtId="10" fontId="30" fillId="4" borderId="0" xfId="0" applyNumberFormat="1" applyFont="1" applyFill="1" applyAlignment="1">
      <alignment horizontal="right" vertical="top" readingOrder="1"/>
    </xf>
    <xf numFmtId="165" fontId="24" fillId="0" borderId="0" xfId="0" applyNumberFormat="1" applyFont="1" applyBorder="1"/>
    <xf numFmtId="168" fontId="24" fillId="0" borderId="0" xfId="0" applyNumberFormat="1" applyFont="1" applyBorder="1"/>
    <xf numFmtId="168" fontId="31" fillId="0" borderId="3" xfId="0" applyNumberFormat="1" applyFont="1" applyBorder="1"/>
    <xf numFmtId="10" fontId="20" fillId="2" borderId="0" xfId="0" applyNumberFormat="1" applyFont="1" applyFill="1"/>
    <xf numFmtId="0" fontId="20" fillId="2" borderId="0" xfId="0" applyFont="1" applyFill="1"/>
    <xf numFmtId="0" fontId="21" fillId="5" borderId="12" xfId="0" applyFont="1" applyFill="1" applyBorder="1" applyAlignment="1">
      <alignment horizontal="center"/>
    </xf>
    <xf numFmtId="0" fontId="21" fillId="5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0"/>
  <sheetViews>
    <sheetView zoomScale="130" zoomScaleNormal="130" workbookViewId="0">
      <selection activeCell="E8" sqref="E8"/>
    </sheetView>
  </sheetViews>
  <sheetFormatPr defaultColWidth="11" defaultRowHeight="15.75" x14ac:dyDescent="0.25"/>
  <cols>
    <col min="1" max="1" width="1.875" customWidth="1"/>
    <col min="2" max="2" width="26.875" bestFit="1" customWidth="1"/>
    <col min="3" max="3" width="30.375" customWidth="1"/>
    <col min="4" max="4" width="12.75" bestFit="1" customWidth="1"/>
    <col min="5" max="5" width="9.375" customWidth="1"/>
    <col min="6" max="6" width="9.875" customWidth="1"/>
    <col min="7" max="7" width="26" customWidth="1"/>
    <col min="8" max="10" width="13.375" customWidth="1"/>
  </cols>
  <sheetData>
    <row r="1" spans="2:4" ht="9" customHeight="1" x14ac:dyDescent="0.25"/>
    <row r="2" spans="2:4" ht="33.75" x14ac:dyDescent="0.4">
      <c r="B2" s="1" t="s">
        <v>0</v>
      </c>
      <c r="C2" s="144" t="s">
        <v>1</v>
      </c>
    </row>
    <row r="3" spans="2:4" ht="15.75" customHeight="1" x14ac:dyDescent="0.25">
      <c r="B3" s="3" t="s">
        <v>4</v>
      </c>
      <c r="C3" s="166">
        <v>247.29</v>
      </c>
    </row>
    <row r="4" spans="2:4" ht="15.75" customHeight="1" x14ac:dyDescent="0.25">
      <c r="B4" s="3" t="s">
        <v>6</v>
      </c>
      <c r="C4" s="165">
        <v>929</v>
      </c>
    </row>
    <row r="5" spans="2:4" ht="15.75" customHeight="1" x14ac:dyDescent="0.25">
      <c r="B5" s="3" t="s">
        <v>7</v>
      </c>
      <c r="C5" s="5">
        <f>C3*C4</f>
        <v>229732.41</v>
      </c>
    </row>
    <row r="6" spans="2:4" ht="15.75" customHeight="1" x14ac:dyDescent="0.25">
      <c r="B6" s="3" t="s">
        <v>8</v>
      </c>
      <c r="C6" s="166">
        <v>7327</v>
      </c>
    </row>
    <row r="7" spans="2:4" ht="15.75" customHeight="1" x14ac:dyDescent="0.25">
      <c r="B7" s="3" t="s">
        <v>9</v>
      </c>
      <c r="C7" s="6">
        <f>4000+10439</f>
        <v>14439</v>
      </c>
    </row>
    <row r="8" spans="2:4" ht="15.75" customHeight="1" x14ac:dyDescent="0.25">
      <c r="B8" s="3" t="s">
        <v>10</v>
      </c>
      <c r="C8" s="5">
        <f>C5+C7-C6</f>
        <v>236844.41</v>
      </c>
    </row>
    <row r="9" spans="2:4" ht="15.75" customHeight="1" x14ac:dyDescent="0.25"/>
    <row r="10" spans="2:4" ht="15.75" customHeight="1" x14ac:dyDescent="0.25">
      <c r="B10" s="3" t="s">
        <v>11</v>
      </c>
      <c r="C10" s="7"/>
    </row>
    <row r="11" spans="2:4" ht="15.75" customHeight="1" x14ac:dyDescent="0.25">
      <c r="B11" s="3" t="s">
        <v>12</v>
      </c>
      <c r="C11" s="7"/>
    </row>
    <row r="12" spans="2:4" ht="15.75" customHeight="1" x14ac:dyDescent="0.25">
      <c r="B12" s="3" t="s">
        <v>13</v>
      </c>
      <c r="C12" s="7"/>
    </row>
    <row r="13" spans="2:4" ht="15.75" customHeight="1" x14ac:dyDescent="0.25">
      <c r="C13" s="7"/>
    </row>
    <row r="14" spans="2:4" ht="15.75" customHeight="1" x14ac:dyDescent="0.25">
      <c r="B14" s="2"/>
      <c r="C14" s="2"/>
    </row>
    <row r="15" spans="2:4" ht="15.75" customHeight="1" x14ac:dyDescent="0.25">
      <c r="B15" s="3"/>
      <c r="C15" s="3"/>
      <c r="D15" s="2"/>
    </row>
    <row r="16" spans="2:4" ht="15.75" customHeight="1" x14ac:dyDescent="0.25">
      <c r="B16" s="3"/>
      <c r="C16" s="3"/>
      <c r="D16" s="4"/>
    </row>
    <row r="17" spans="4:7" ht="15.75" customHeight="1" x14ac:dyDescent="0.25">
      <c r="D17" s="4"/>
    </row>
    <row r="18" spans="4:7" ht="15.75" customHeight="1" x14ac:dyDescent="0.25"/>
    <row r="19" spans="4:7" ht="15.75" customHeight="1" x14ac:dyDescent="0.25"/>
    <row r="20" spans="4:7" ht="15.75" customHeight="1" x14ac:dyDescent="0.25"/>
    <row r="21" spans="4:7" ht="15.75" customHeight="1" x14ac:dyDescent="0.25"/>
    <row r="22" spans="4:7" ht="15.75" customHeight="1" x14ac:dyDescent="0.25"/>
    <row r="23" spans="4:7" ht="15.75" customHeight="1" x14ac:dyDescent="0.25"/>
    <row r="24" spans="4:7" ht="15.75" customHeight="1" x14ac:dyDescent="0.25"/>
    <row r="25" spans="4:7" ht="15.75" customHeight="1" x14ac:dyDescent="0.25"/>
    <row r="27" spans="4:7" ht="15.75" customHeight="1" x14ac:dyDescent="0.25">
      <c r="E27" s="8"/>
      <c r="F27" s="9"/>
      <c r="G27" s="9"/>
    </row>
    <row r="29" spans="4:7" ht="15.75" customHeight="1" x14ac:dyDescent="0.25">
      <c r="D29" s="9"/>
    </row>
    <row r="30" spans="4:7" ht="15.75" customHeight="1" x14ac:dyDescent="0.25">
      <c r="D30" s="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P231"/>
  <sheetViews>
    <sheetView zoomScale="90" zoomScaleNormal="90" workbookViewId="0">
      <pane xSplit="2" topLeftCell="G1" activePane="topRight" state="frozen"/>
      <selection pane="topRight" activeCell="H38" sqref="H38:I38"/>
    </sheetView>
  </sheetViews>
  <sheetFormatPr defaultColWidth="11" defaultRowHeight="15.75" x14ac:dyDescent="0.25"/>
  <cols>
    <col min="1" max="1" width="2.375" customWidth="1"/>
    <col min="2" max="2" width="51.375" bestFit="1" customWidth="1"/>
    <col min="37" max="43" width="13.125" customWidth="1"/>
    <col min="44" max="96" width="12.5" customWidth="1"/>
  </cols>
  <sheetData>
    <row r="1" spans="2:41" ht="9.75" customHeight="1" x14ac:dyDescent="0.25"/>
    <row r="2" spans="2:41" ht="34.5" customHeight="1" x14ac:dyDescent="0.4">
      <c r="B2" s="10" t="s">
        <v>14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4" spans="2:41" ht="16.5" customHeight="1" thickBot="1" x14ac:dyDescent="0.3">
      <c r="B4" s="12" t="s">
        <v>15</v>
      </c>
      <c r="C4" s="13" t="s">
        <v>16</v>
      </c>
      <c r="D4" s="13" t="s">
        <v>17</v>
      </c>
      <c r="E4" s="13" t="s">
        <v>18</v>
      </c>
      <c r="F4" s="13" t="s">
        <v>19</v>
      </c>
      <c r="G4" s="13" t="s">
        <v>20</v>
      </c>
      <c r="H4" s="13" t="s">
        <v>21</v>
      </c>
      <c r="I4" s="13" t="s">
        <v>22</v>
      </c>
      <c r="J4" s="13" t="s">
        <v>23</v>
      </c>
      <c r="K4" s="13" t="s">
        <v>24</v>
      </c>
      <c r="L4" s="13" t="s">
        <v>25</v>
      </c>
      <c r="M4" s="13" t="s">
        <v>26</v>
      </c>
      <c r="N4" s="13" t="s">
        <v>27</v>
      </c>
      <c r="O4" s="13" t="s">
        <v>28</v>
      </c>
      <c r="P4" s="13" t="s">
        <v>29</v>
      </c>
      <c r="Q4" s="13" t="s">
        <v>30</v>
      </c>
      <c r="R4" s="13" t="s">
        <v>31</v>
      </c>
      <c r="S4" s="13" t="s">
        <v>32</v>
      </c>
      <c r="T4" s="13" t="s">
        <v>33</v>
      </c>
      <c r="U4" s="13" t="s">
        <v>34</v>
      </c>
      <c r="V4" s="13" t="s">
        <v>35</v>
      </c>
      <c r="W4" s="13" t="s">
        <v>36</v>
      </c>
      <c r="X4" s="13" t="s">
        <v>37</v>
      </c>
      <c r="Y4" s="13" t="s">
        <v>38</v>
      </c>
      <c r="Z4" s="13" t="s">
        <v>39</v>
      </c>
      <c r="AA4" s="13" t="s">
        <v>40</v>
      </c>
    </row>
    <row r="5" spans="2:41" ht="15.75" customHeight="1" x14ac:dyDescent="0.25">
      <c r="B5" s="14" t="s">
        <v>41</v>
      </c>
      <c r="C5" s="146">
        <v>4575</v>
      </c>
      <c r="D5" s="146">
        <v>4840</v>
      </c>
      <c r="E5" s="146">
        <v>5085</v>
      </c>
      <c r="F5" s="146">
        <v>5476</v>
      </c>
      <c r="G5" s="146">
        <v>5536</v>
      </c>
      <c r="H5" s="146">
        <v>5914</v>
      </c>
      <c r="I5" s="146">
        <v>6379</v>
      </c>
      <c r="J5" s="146">
        <v>6828</v>
      </c>
      <c r="K5" s="146">
        <v>6856</v>
      </c>
      <c r="L5" s="146">
        <v>7143</v>
      </c>
      <c r="M5" s="146">
        <v>7233</v>
      </c>
      <c r="N5" s="146">
        <v>7789</v>
      </c>
      <c r="O5" s="146">
        <v>7642</v>
      </c>
      <c r="P5" s="146">
        <v>8006</v>
      </c>
      <c r="Q5" s="146">
        <v>8141</v>
      </c>
      <c r="R5" s="146">
        <v>8748</v>
      </c>
      <c r="S5" s="146">
        <v>8585</v>
      </c>
      <c r="T5" s="146">
        <v>8764</v>
      </c>
      <c r="U5" s="146">
        <v>8879</v>
      </c>
      <c r="V5" s="146">
        <v>9451</v>
      </c>
      <c r="W5" s="146">
        <v>9297</v>
      </c>
      <c r="X5" s="146">
        <v>9690</v>
      </c>
      <c r="Y5" s="146">
        <v>9726</v>
      </c>
      <c r="Z5" s="146">
        <v>10675</v>
      </c>
      <c r="AA5" s="146">
        <v>10593</v>
      </c>
    </row>
    <row r="6" spans="2:41" ht="15.75" customHeight="1" x14ac:dyDescent="0.25">
      <c r="B6" s="14" t="s">
        <v>42</v>
      </c>
      <c r="C6" s="146">
        <v>290</v>
      </c>
      <c r="D6" s="146">
        <v>311</v>
      </c>
      <c r="E6" s="146">
        <v>334</v>
      </c>
      <c r="F6" s="146">
        <v>341</v>
      </c>
      <c r="G6" s="146">
        <v>427</v>
      </c>
      <c r="H6" s="146">
        <v>426</v>
      </c>
      <c r="I6" s="146">
        <v>484</v>
      </c>
      <c r="J6" s="146">
        <v>498</v>
      </c>
      <c r="K6" s="146">
        <v>555</v>
      </c>
      <c r="L6" s="146">
        <v>577</v>
      </c>
      <c r="M6" s="146">
        <v>604</v>
      </c>
      <c r="N6" s="146">
        <v>595</v>
      </c>
      <c r="O6" s="146">
        <v>605</v>
      </c>
      <c r="P6" s="146">
        <v>597</v>
      </c>
      <c r="Q6" s="146">
        <v>579</v>
      </c>
      <c r="R6" s="146">
        <v>539</v>
      </c>
      <c r="S6" s="146">
        <v>548</v>
      </c>
      <c r="T6" s="146">
        <v>561</v>
      </c>
      <c r="U6" s="146">
        <v>565</v>
      </c>
      <c r="V6" s="146">
        <v>542</v>
      </c>
      <c r="W6" s="146">
        <v>532</v>
      </c>
      <c r="X6" s="146">
        <v>546</v>
      </c>
      <c r="Y6" s="146">
        <v>533</v>
      </c>
      <c r="Z6" s="146">
        <v>526</v>
      </c>
      <c r="AA6" s="146">
        <v>540</v>
      </c>
    </row>
    <row r="7" spans="2:41" ht="15.75" customHeight="1" x14ac:dyDescent="0.25">
      <c r="B7" s="158" t="s">
        <v>43</v>
      </c>
      <c r="C7" s="153">
        <f t="shared" ref="C7:AA7" si="0">SUM(C5:C6)</f>
        <v>4865</v>
      </c>
      <c r="D7" s="153">
        <f t="shared" si="0"/>
        <v>5151</v>
      </c>
      <c r="E7" s="153">
        <f t="shared" si="0"/>
        <v>5419</v>
      </c>
      <c r="F7" s="153">
        <f t="shared" si="0"/>
        <v>5817</v>
      </c>
      <c r="G7" s="153">
        <f t="shared" si="0"/>
        <v>5963</v>
      </c>
      <c r="H7" s="153">
        <f t="shared" si="0"/>
        <v>6340</v>
      </c>
      <c r="I7" s="153">
        <f t="shared" si="0"/>
        <v>6863</v>
      </c>
      <c r="J7" s="153">
        <f t="shared" si="0"/>
        <v>7326</v>
      </c>
      <c r="K7" s="153">
        <f t="shared" si="0"/>
        <v>7411</v>
      </c>
      <c r="L7" s="153">
        <f t="shared" si="0"/>
        <v>7720</v>
      </c>
      <c r="M7" s="153">
        <f t="shared" si="0"/>
        <v>7837</v>
      </c>
      <c r="N7" s="153">
        <f t="shared" si="0"/>
        <v>8384</v>
      </c>
      <c r="O7" s="153">
        <f t="shared" si="0"/>
        <v>8247</v>
      </c>
      <c r="P7" s="153">
        <f t="shared" si="0"/>
        <v>8603</v>
      </c>
      <c r="Q7" s="153">
        <f t="shared" si="0"/>
        <v>8720</v>
      </c>
      <c r="R7" s="153">
        <f t="shared" si="0"/>
        <v>9287</v>
      </c>
      <c r="S7" s="153">
        <f t="shared" si="0"/>
        <v>9133</v>
      </c>
      <c r="T7" s="153">
        <f t="shared" si="0"/>
        <v>9325</v>
      </c>
      <c r="U7" s="153">
        <f t="shared" si="0"/>
        <v>9444</v>
      </c>
      <c r="V7" s="153">
        <f t="shared" si="0"/>
        <v>9993</v>
      </c>
      <c r="W7" s="153">
        <f t="shared" si="0"/>
        <v>9829</v>
      </c>
      <c r="X7" s="153">
        <f t="shared" si="0"/>
        <v>10236</v>
      </c>
      <c r="Y7" s="153">
        <f t="shared" si="0"/>
        <v>10259</v>
      </c>
      <c r="Z7" s="153">
        <f t="shared" si="0"/>
        <v>11201</v>
      </c>
      <c r="AA7" s="153">
        <f t="shared" si="0"/>
        <v>11133</v>
      </c>
    </row>
    <row r="8" spans="2:41" ht="15.75" customHeight="1" x14ac:dyDescent="0.25">
      <c r="B8" s="3" t="s">
        <v>44</v>
      </c>
      <c r="C8" s="152">
        <v>966</v>
      </c>
      <c r="D8" s="152">
        <v>1013</v>
      </c>
      <c r="E8" s="152">
        <v>1060</v>
      </c>
      <c r="F8" s="152">
        <v>1115</v>
      </c>
      <c r="G8" s="152">
        <v>1122</v>
      </c>
      <c r="H8" s="152">
        <v>1146</v>
      </c>
      <c r="I8" s="152">
        <v>1335</v>
      </c>
      <c r="J8" s="152">
        <v>1456</v>
      </c>
      <c r="K8" s="152">
        <v>1440</v>
      </c>
      <c r="L8" s="152">
        <v>1490</v>
      </c>
      <c r="M8" s="152">
        <v>1451</v>
      </c>
      <c r="N8" s="152">
        <v>1440</v>
      </c>
      <c r="O8" s="152">
        <v>1510</v>
      </c>
      <c r="P8" s="152">
        <v>1515</v>
      </c>
      <c r="Q8" s="152">
        <v>1571</v>
      </c>
      <c r="R8" s="152">
        <v>1581</v>
      </c>
      <c r="S8" s="152">
        <v>1560</v>
      </c>
      <c r="T8" s="152">
        <v>1556</v>
      </c>
      <c r="U8" s="152">
        <v>1501</v>
      </c>
      <c r="V8" s="152">
        <v>1581</v>
      </c>
      <c r="W8" s="152">
        <v>1611</v>
      </c>
      <c r="X8" s="152">
        <v>1645</v>
      </c>
      <c r="Y8" s="152">
        <v>1665</v>
      </c>
      <c r="Z8" s="152">
        <v>1875</v>
      </c>
      <c r="AA8" s="152">
        <v>1953</v>
      </c>
    </row>
    <row r="9" spans="2:41" ht="15.75" customHeight="1" x14ac:dyDescent="0.25">
      <c r="B9" s="3" t="s">
        <v>45</v>
      </c>
      <c r="C9" s="29">
        <v>288</v>
      </c>
      <c r="D9" s="29">
        <v>298</v>
      </c>
      <c r="E9" s="29">
        <v>334</v>
      </c>
      <c r="F9" s="29">
        <v>364</v>
      </c>
      <c r="G9" s="29">
        <v>433</v>
      </c>
      <c r="H9" s="29">
        <v>467</v>
      </c>
      <c r="I9" s="29">
        <v>509</v>
      </c>
      <c r="J9" s="29">
        <v>558</v>
      </c>
      <c r="K9" s="29">
        <v>605</v>
      </c>
      <c r="L9" s="29">
        <v>637</v>
      </c>
      <c r="M9" s="29">
        <v>637</v>
      </c>
      <c r="N9" s="29">
        <v>660</v>
      </c>
      <c r="O9" s="29">
        <v>615</v>
      </c>
      <c r="P9" s="29">
        <v>598</v>
      </c>
      <c r="Q9" s="29">
        <v>584</v>
      </c>
      <c r="R9" s="29">
        <v>567</v>
      </c>
      <c r="S9" s="29">
        <v>602</v>
      </c>
      <c r="T9" s="29">
        <v>603</v>
      </c>
      <c r="U9" s="29">
        <v>604</v>
      </c>
      <c r="V9" s="29">
        <v>636</v>
      </c>
      <c r="W9" s="29">
        <v>654</v>
      </c>
      <c r="X9" s="29">
        <v>597</v>
      </c>
      <c r="Y9" s="29">
        <v>590</v>
      </c>
      <c r="Z9" s="29">
        <v>633</v>
      </c>
      <c r="AA9" s="29">
        <v>617</v>
      </c>
    </row>
    <row r="10" spans="2:41" ht="15.75" customHeight="1" x14ac:dyDescent="0.25">
      <c r="B10" s="3" t="s">
        <v>46</v>
      </c>
      <c r="C10" s="29">
        <f t="shared" ref="C10:AA10" si="1">SUM(C8:C9)</f>
        <v>1254</v>
      </c>
      <c r="D10" s="29">
        <f t="shared" si="1"/>
        <v>1311</v>
      </c>
      <c r="E10" s="29">
        <f t="shared" si="1"/>
        <v>1394</v>
      </c>
      <c r="F10" s="29">
        <f t="shared" si="1"/>
        <v>1479</v>
      </c>
      <c r="G10" s="29">
        <f t="shared" si="1"/>
        <v>1555</v>
      </c>
      <c r="H10" s="29">
        <f t="shared" si="1"/>
        <v>1613</v>
      </c>
      <c r="I10" s="29">
        <f t="shared" si="1"/>
        <v>1844</v>
      </c>
      <c r="J10" s="29">
        <f t="shared" si="1"/>
        <v>2014</v>
      </c>
      <c r="K10" s="29">
        <f t="shared" si="1"/>
        <v>2045</v>
      </c>
      <c r="L10" s="29">
        <f t="shared" si="1"/>
        <v>2127</v>
      </c>
      <c r="M10" s="29">
        <f t="shared" si="1"/>
        <v>2088</v>
      </c>
      <c r="N10" s="29">
        <f t="shared" si="1"/>
        <v>2100</v>
      </c>
      <c r="O10" s="29">
        <f t="shared" si="1"/>
        <v>2125</v>
      </c>
      <c r="P10" s="29">
        <f t="shared" si="1"/>
        <v>2113</v>
      </c>
      <c r="Q10" s="29">
        <f t="shared" si="1"/>
        <v>2155</v>
      </c>
      <c r="R10" s="29">
        <f t="shared" si="1"/>
        <v>2148</v>
      </c>
      <c r="S10" s="29">
        <f t="shared" si="1"/>
        <v>2162</v>
      </c>
      <c r="T10" s="29">
        <f t="shared" si="1"/>
        <v>2159</v>
      </c>
      <c r="U10" s="29">
        <f t="shared" si="1"/>
        <v>2105</v>
      </c>
      <c r="V10" s="29">
        <f t="shared" si="1"/>
        <v>2217</v>
      </c>
      <c r="W10" s="29">
        <f t="shared" si="1"/>
        <v>2265</v>
      </c>
      <c r="X10" s="29">
        <f t="shared" si="1"/>
        <v>2242</v>
      </c>
      <c r="Y10" s="29">
        <f t="shared" si="1"/>
        <v>2255</v>
      </c>
      <c r="Z10" s="29">
        <f t="shared" si="1"/>
        <v>2508</v>
      </c>
      <c r="AA10" s="29">
        <f t="shared" si="1"/>
        <v>2570</v>
      </c>
    </row>
    <row r="11" spans="2:41" ht="15.75" customHeight="1" x14ac:dyDescent="0.25">
      <c r="B11" s="2" t="s">
        <v>47</v>
      </c>
      <c r="C11" s="154">
        <f t="shared" ref="C11:AA11" si="2">C7-C10</f>
        <v>3611</v>
      </c>
      <c r="D11" s="154">
        <f t="shared" si="2"/>
        <v>3840</v>
      </c>
      <c r="E11" s="154">
        <f t="shared" si="2"/>
        <v>4025</v>
      </c>
      <c r="F11" s="154">
        <f t="shared" si="2"/>
        <v>4338</v>
      </c>
      <c r="G11" s="154">
        <f t="shared" si="2"/>
        <v>4408</v>
      </c>
      <c r="H11" s="154">
        <f t="shared" si="2"/>
        <v>4727</v>
      </c>
      <c r="I11" s="154">
        <f t="shared" si="2"/>
        <v>5019</v>
      </c>
      <c r="J11" s="154">
        <f t="shared" si="2"/>
        <v>5312</v>
      </c>
      <c r="K11" s="154">
        <f t="shared" si="2"/>
        <v>5366</v>
      </c>
      <c r="L11" s="154">
        <f t="shared" si="2"/>
        <v>5593</v>
      </c>
      <c r="M11" s="154">
        <f t="shared" si="2"/>
        <v>5749</v>
      </c>
      <c r="N11" s="154">
        <f t="shared" si="2"/>
        <v>6284</v>
      </c>
      <c r="O11" s="154">
        <f t="shared" si="2"/>
        <v>6122</v>
      </c>
      <c r="P11" s="154">
        <f t="shared" si="2"/>
        <v>6490</v>
      </c>
      <c r="Q11" s="154">
        <f t="shared" si="2"/>
        <v>6565</v>
      </c>
      <c r="R11" s="154">
        <f t="shared" si="2"/>
        <v>7139</v>
      </c>
      <c r="S11" s="154">
        <f t="shared" si="2"/>
        <v>6971</v>
      </c>
      <c r="T11" s="154">
        <f t="shared" si="2"/>
        <v>7166</v>
      </c>
      <c r="U11" s="154">
        <f t="shared" si="2"/>
        <v>7339</v>
      </c>
      <c r="V11" s="154">
        <f t="shared" si="2"/>
        <v>7776</v>
      </c>
      <c r="W11" s="154">
        <f t="shared" si="2"/>
        <v>7564</v>
      </c>
      <c r="X11" s="154">
        <f t="shared" si="2"/>
        <v>7994</v>
      </c>
      <c r="Y11" s="154">
        <f t="shared" si="2"/>
        <v>8004</v>
      </c>
      <c r="Z11" s="154">
        <f t="shared" si="2"/>
        <v>8693</v>
      </c>
      <c r="AA11" s="154">
        <f t="shared" si="2"/>
        <v>8563</v>
      </c>
    </row>
    <row r="12" spans="2:41" ht="15.75" customHeight="1" x14ac:dyDescent="0.25">
      <c r="B12" s="3" t="s">
        <v>48</v>
      </c>
      <c r="C12" s="29">
        <v>859</v>
      </c>
      <c r="D12" s="29">
        <v>898</v>
      </c>
      <c r="E12" s="29">
        <v>902</v>
      </c>
      <c r="F12" s="29">
        <v>939</v>
      </c>
      <c r="G12" s="29">
        <v>951</v>
      </c>
      <c r="H12" s="29">
        <v>1020</v>
      </c>
      <c r="I12" s="29">
        <v>1203</v>
      </c>
      <c r="J12" s="29">
        <v>1291</v>
      </c>
      <c r="K12" s="29">
        <v>1318</v>
      </c>
      <c r="L12" s="29">
        <v>1329</v>
      </c>
      <c r="M12" s="29">
        <v>1280</v>
      </c>
      <c r="N12" s="29">
        <v>1128</v>
      </c>
      <c r="O12" s="29">
        <v>1207</v>
      </c>
      <c r="P12" s="29">
        <v>1220</v>
      </c>
      <c r="Q12" s="29">
        <v>1204</v>
      </c>
      <c r="R12" s="29">
        <v>1275</v>
      </c>
      <c r="S12" s="29">
        <v>1368</v>
      </c>
      <c r="T12" s="29">
        <v>1349</v>
      </c>
      <c r="U12" s="29">
        <v>1356</v>
      </c>
      <c r="V12" s="29">
        <v>1420</v>
      </c>
      <c r="W12" s="29">
        <v>1460</v>
      </c>
      <c r="X12" s="29">
        <v>1481</v>
      </c>
      <c r="Y12" s="29">
        <v>1433</v>
      </c>
      <c r="Z12" s="29">
        <v>1619</v>
      </c>
      <c r="AA12" s="29">
        <v>1627</v>
      </c>
    </row>
    <row r="13" spans="2:41" ht="15.75" customHeight="1" x14ac:dyDescent="0.25">
      <c r="B13" s="3" t="s">
        <v>49</v>
      </c>
      <c r="C13" s="29">
        <v>2390</v>
      </c>
      <c r="D13" s="29">
        <v>2275</v>
      </c>
      <c r="E13" s="29">
        <v>2377</v>
      </c>
      <c r="F13" s="29">
        <v>2632</v>
      </c>
      <c r="G13" s="29">
        <v>2544</v>
      </c>
      <c r="H13" s="29">
        <v>2736</v>
      </c>
      <c r="I13" s="29">
        <v>3111</v>
      </c>
      <c r="J13" s="29">
        <v>3464</v>
      </c>
      <c r="K13" s="29">
        <v>3372</v>
      </c>
      <c r="L13" s="29">
        <v>3424</v>
      </c>
      <c r="M13" s="29">
        <v>3345</v>
      </c>
      <c r="N13" s="29">
        <v>3385</v>
      </c>
      <c r="O13" s="29">
        <v>3154</v>
      </c>
      <c r="P13" s="29">
        <v>3113</v>
      </c>
      <c r="Q13" s="29">
        <v>3173</v>
      </c>
      <c r="R13" s="29">
        <v>3437</v>
      </c>
      <c r="S13" s="29">
        <v>3239</v>
      </c>
      <c r="T13" s="29">
        <v>3224</v>
      </c>
      <c r="U13" s="29">
        <v>3323</v>
      </c>
      <c r="V13" s="29">
        <v>3471</v>
      </c>
      <c r="W13" s="29">
        <v>3429</v>
      </c>
      <c r="X13" s="29">
        <v>3443</v>
      </c>
      <c r="Y13" s="29">
        <v>3456</v>
      </c>
      <c r="Z13" s="29">
        <v>4017</v>
      </c>
      <c r="AA13" s="29">
        <v>3769</v>
      </c>
    </row>
    <row r="14" spans="2:41" ht="15.75" customHeight="1" x14ac:dyDescent="0.25">
      <c r="B14" s="3" t="s">
        <v>50</v>
      </c>
      <c r="C14" s="29">
        <v>502</v>
      </c>
      <c r="D14" s="29">
        <v>489</v>
      </c>
      <c r="E14" s="29">
        <v>522</v>
      </c>
      <c r="F14" s="29">
        <v>574</v>
      </c>
      <c r="G14" s="29">
        <v>559</v>
      </c>
      <c r="H14" s="29">
        <v>639</v>
      </c>
      <c r="I14" s="29">
        <v>667</v>
      </c>
      <c r="J14" s="29">
        <v>733</v>
      </c>
      <c r="K14" s="29">
        <v>656</v>
      </c>
      <c r="L14" s="29">
        <v>647</v>
      </c>
      <c r="M14" s="29">
        <v>664</v>
      </c>
      <c r="N14" s="29">
        <v>586</v>
      </c>
      <c r="O14" s="29">
        <v>638</v>
      </c>
      <c r="P14" s="29">
        <v>632</v>
      </c>
      <c r="Q14" s="29">
        <v>632</v>
      </c>
      <c r="R14" s="29">
        <v>632</v>
      </c>
      <c r="S14" s="29">
        <v>647</v>
      </c>
      <c r="T14" s="29">
        <v>711</v>
      </c>
      <c r="U14" s="29">
        <v>711</v>
      </c>
      <c r="V14" s="29">
        <v>767</v>
      </c>
      <c r="W14" s="29">
        <v>697</v>
      </c>
      <c r="X14" s="29">
        <v>734</v>
      </c>
      <c r="Y14" s="29">
        <v>667</v>
      </c>
      <c r="Z14" s="29">
        <v>902</v>
      </c>
      <c r="AA14" s="29">
        <v>740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</row>
    <row r="15" spans="2:41" ht="15.75" customHeight="1" x14ac:dyDescent="0.25">
      <c r="B15" s="3" t="s">
        <v>51</v>
      </c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29">
        <v>828</v>
      </c>
      <c r="O15" s="29">
        <v>711</v>
      </c>
      <c r="P15" s="29">
        <v>49</v>
      </c>
      <c r="Q15" s="29">
        <v>55</v>
      </c>
      <c r="R15" s="29">
        <v>173</v>
      </c>
      <c r="S15" s="29">
        <v>8</v>
      </c>
      <c r="T15" s="29">
        <v>99</v>
      </c>
      <c r="U15" s="29">
        <v>56</v>
      </c>
      <c r="V15" s="29">
        <v>298</v>
      </c>
      <c r="W15" s="29">
        <v>36</v>
      </c>
      <c r="X15" s="29">
        <v>4</v>
      </c>
      <c r="Y15" s="29">
        <v>260</v>
      </c>
      <c r="Z15" s="29">
        <v>286</v>
      </c>
      <c r="AA15" s="29">
        <v>80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</row>
    <row r="16" spans="2:41" ht="15.75" customHeight="1" x14ac:dyDescent="0.25">
      <c r="B16" s="3" t="s">
        <v>52</v>
      </c>
      <c r="C16" s="29">
        <v>3751</v>
      </c>
      <c r="D16" s="29">
        <v>3662</v>
      </c>
      <c r="E16" s="29">
        <v>3801</v>
      </c>
      <c r="F16" s="29">
        <f>15359-3751-3662-3801</f>
        <v>4145</v>
      </c>
      <c r="G16" s="29">
        <v>4054</v>
      </c>
      <c r="H16" s="29">
        <v>4395</v>
      </c>
      <c r="I16" s="29">
        <v>4981</v>
      </c>
      <c r="J16" s="29">
        <f>18918-4054-4395-4981</f>
        <v>5488</v>
      </c>
      <c r="K16" s="29">
        <v>5346</v>
      </c>
      <c r="L16" s="29">
        <v>5400</v>
      </c>
      <c r="M16" s="29">
        <v>5289</v>
      </c>
      <c r="N16" s="29">
        <f>21962-5346-5400-5289</f>
        <v>5927</v>
      </c>
      <c r="O16" s="29">
        <v>5710</v>
      </c>
      <c r="P16" s="29">
        <v>5014</v>
      </c>
      <c r="Q16" s="29">
        <v>5064</v>
      </c>
      <c r="R16" s="29">
        <f>21305-5710-5014-5064</f>
        <v>5517</v>
      </c>
      <c r="S16" s="29">
        <v>5262</v>
      </c>
      <c r="T16" s="29">
        <v>5383</v>
      </c>
      <c r="U16" s="29">
        <v>5446</v>
      </c>
      <c r="V16" s="29">
        <f>22047-5262-5383-5446</f>
        <v>5956</v>
      </c>
      <c r="W16" s="29">
        <v>5622</v>
      </c>
      <c r="X16" s="29">
        <v>5662</v>
      </c>
      <c r="Y16" s="29">
        <v>5816</v>
      </c>
      <c r="Z16" s="29">
        <f>23924-5622-5662-5816</f>
        <v>6824</v>
      </c>
      <c r="AA16" s="29">
        <v>6216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</row>
    <row r="17" spans="2:41" ht="15.75" customHeight="1" x14ac:dyDescent="0.25">
      <c r="B17" s="3" t="s">
        <v>53</v>
      </c>
      <c r="C17" s="29">
        <v>-140</v>
      </c>
      <c r="D17" s="29">
        <v>178</v>
      </c>
      <c r="E17" s="29">
        <v>224</v>
      </c>
      <c r="F17" s="29">
        <f>455--140-178-224</f>
        <v>193</v>
      </c>
      <c r="G17" s="29">
        <v>354</v>
      </c>
      <c r="H17" s="29">
        <v>332</v>
      </c>
      <c r="I17" s="29">
        <v>38</v>
      </c>
      <c r="J17" s="29">
        <f>548-354-332-38</f>
        <v>-176</v>
      </c>
      <c r="K17" s="29">
        <v>20</v>
      </c>
      <c r="L17" s="29">
        <v>193</v>
      </c>
      <c r="M17" s="29">
        <v>460</v>
      </c>
      <c r="N17" s="29">
        <f>1030-20-193-460</f>
        <v>357</v>
      </c>
      <c r="O17" s="29">
        <v>412</v>
      </c>
      <c r="P17" s="29">
        <v>1476</v>
      </c>
      <c r="Q17" s="29">
        <v>1501</v>
      </c>
      <c r="R17" s="29">
        <f>5011-412-1476-1501</f>
        <v>1622</v>
      </c>
      <c r="S17" s="29">
        <v>1709</v>
      </c>
      <c r="T17" s="29">
        <v>1783</v>
      </c>
      <c r="U17" s="29">
        <v>1893</v>
      </c>
      <c r="V17" s="29">
        <f>7205-1709-1783-1893</f>
        <v>1820</v>
      </c>
      <c r="W17" s="29">
        <v>1942</v>
      </c>
      <c r="X17" s="29">
        <v>2332</v>
      </c>
      <c r="Y17" s="29">
        <v>2188</v>
      </c>
      <c r="Z17" s="29">
        <f>8331-1942-2332-2188</f>
        <v>1869</v>
      </c>
      <c r="AA17" s="29">
        <v>2347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</row>
    <row r="18" spans="2:41" ht="15.75" customHeight="1" x14ac:dyDescent="0.25">
      <c r="B18" s="3" t="s">
        <v>54</v>
      </c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29">
        <v>-317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</row>
    <row r="19" spans="2:41" ht="16.5" customHeight="1" x14ac:dyDescent="0.25">
      <c r="B19" s="155" t="s">
        <v>55</v>
      </c>
      <c r="C19" s="156">
        <v>192</v>
      </c>
      <c r="D19" s="156">
        <v>682</v>
      </c>
      <c r="E19" s="156">
        <v>1036</v>
      </c>
      <c r="F19" s="156">
        <v>260</v>
      </c>
      <c r="G19" s="156">
        <v>288</v>
      </c>
      <c r="H19" s="156">
        <v>526</v>
      </c>
      <c r="I19" s="156">
        <v>363</v>
      </c>
      <c r="J19" s="156">
        <v>34</v>
      </c>
      <c r="K19" s="156">
        <v>7</v>
      </c>
      <c r="L19" s="156">
        <v>45</v>
      </c>
      <c r="M19" s="156">
        <v>23</v>
      </c>
      <c r="N19" s="156">
        <v>-314</v>
      </c>
      <c r="O19" s="156">
        <v>-141</v>
      </c>
      <c r="P19" s="156">
        <v>-29</v>
      </c>
      <c r="Q19" s="156">
        <v>-72</v>
      </c>
      <c r="R19" s="156">
        <v>-35</v>
      </c>
      <c r="S19" s="156">
        <v>37</v>
      </c>
      <c r="T19" s="156">
        <v>-37</v>
      </c>
      <c r="U19" s="156">
        <v>-217</v>
      </c>
      <c r="V19" s="156">
        <v>96</v>
      </c>
      <c r="W19" s="156">
        <v>-63</v>
      </c>
      <c r="X19" s="156">
        <v>6</v>
      </c>
      <c r="Y19" s="156">
        <v>263</v>
      </c>
      <c r="Z19" s="156">
        <v>811</v>
      </c>
      <c r="AA19" s="156">
        <v>558</v>
      </c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</row>
    <row r="20" spans="2:41" ht="16.5" customHeight="1" x14ac:dyDescent="0.25">
      <c r="B20" s="3" t="s">
        <v>56</v>
      </c>
      <c r="C20" s="29">
        <v>-5</v>
      </c>
      <c r="D20" s="29">
        <v>-21</v>
      </c>
      <c r="E20" s="29">
        <v>-10</v>
      </c>
      <c r="F20" s="29">
        <v>-28</v>
      </c>
      <c r="G20" s="29">
        <v>-38</v>
      </c>
      <c r="H20" s="29">
        <v>-32</v>
      </c>
      <c r="I20" s="29">
        <v>-102</v>
      </c>
      <c r="J20" s="29">
        <v>-55</v>
      </c>
      <c r="K20" s="29">
        <v>-56</v>
      </c>
      <c r="L20" s="29">
        <v>-57</v>
      </c>
      <c r="M20" s="29">
        <v>-8</v>
      </c>
      <c r="N20" s="29">
        <v>-10</v>
      </c>
      <c r="O20" s="29">
        <v>55</v>
      </c>
      <c r="P20" s="29">
        <v>45</v>
      </c>
      <c r="Q20" s="29">
        <v>58</v>
      </c>
      <c r="R20" s="29">
        <v>58</v>
      </c>
      <c r="S20" s="29">
        <v>121</v>
      </c>
      <c r="T20" s="29">
        <v>91</v>
      </c>
      <c r="U20" s="29">
        <v>70</v>
      </c>
      <c r="V20" s="29">
        <v>72</v>
      </c>
      <c r="W20" s="29">
        <v>95</v>
      </c>
      <c r="X20" s="29">
        <v>68</v>
      </c>
      <c r="Y20" s="29">
        <v>61</v>
      </c>
      <c r="Z20" s="29">
        <v>-52</v>
      </c>
      <c r="AA20" s="29">
        <v>133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spans="2:41" ht="15.75" customHeight="1" x14ac:dyDescent="0.25">
      <c r="B21" s="3" t="s">
        <v>57</v>
      </c>
      <c r="C21" s="29">
        <f t="shared" ref="C21:AA21" si="3">SUM(C17:C20)</f>
        <v>47</v>
      </c>
      <c r="D21" s="29">
        <f t="shared" si="3"/>
        <v>839</v>
      </c>
      <c r="E21" s="29">
        <f t="shared" si="3"/>
        <v>1250</v>
      </c>
      <c r="F21" s="29">
        <f t="shared" si="3"/>
        <v>425</v>
      </c>
      <c r="G21" s="29">
        <f t="shared" si="3"/>
        <v>604</v>
      </c>
      <c r="H21" s="29">
        <f t="shared" si="3"/>
        <v>826</v>
      </c>
      <c r="I21" s="29">
        <f t="shared" si="3"/>
        <v>299</v>
      </c>
      <c r="J21" s="29">
        <f t="shared" si="3"/>
        <v>-197</v>
      </c>
      <c r="K21" s="29">
        <f t="shared" si="3"/>
        <v>-29</v>
      </c>
      <c r="L21" s="29">
        <f t="shared" si="3"/>
        <v>181</v>
      </c>
      <c r="M21" s="29">
        <f t="shared" si="3"/>
        <v>475</v>
      </c>
      <c r="N21" s="29">
        <f t="shared" si="3"/>
        <v>33</v>
      </c>
      <c r="O21" s="29">
        <f t="shared" si="3"/>
        <v>326</v>
      </c>
      <c r="P21" s="29">
        <f t="shared" si="3"/>
        <v>1492</v>
      </c>
      <c r="Q21" s="29">
        <f t="shared" si="3"/>
        <v>1487</v>
      </c>
      <c r="R21" s="29">
        <f t="shared" si="3"/>
        <v>1645</v>
      </c>
      <c r="S21" s="29">
        <f t="shared" si="3"/>
        <v>1867</v>
      </c>
      <c r="T21" s="29">
        <f t="shared" si="3"/>
        <v>1837</v>
      </c>
      <c r="U21" s="29">
        <f t="shared" si="3"/>
        <v>1746</v>
      </c>
      <c r="V21" s="29">
        <f t="shared" si="3"/>
        <v>1988</v>
      </c>
      <c r="W21" s="29">
        <f t="shared" si="3"/>
        <v>1974</v>
      </c>
      <c r="X21" s="29">
        <f t="shared" si="3"/>
        <v>2406</v>
      </c>
      <c r="Y21" s="29">
        <f t="shared" si="3"/>
        <v>2512</v>
      </c>
      <c r="Z21" s="29">
        <f t="shared" si="3"/>
        <v>2628</v>
      </c>
      <c r="AA21" s="29">
        <f t="shared" si="3"/>
        <v>2721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spans="2:41" ht="15.75" customHeight="1" x14ac:dyDescent="0.25">
      <c r="B22" s="3" t="s">
        <v>58</v>
      </c>
      <c r="C22" s="29">
        <v>52</v>
      </c>
      <c r="D22" s="29">
        <v>1786</v>
      </c>
      <c r="E22" s="29">
        <v>-169</v>
      </c>
      <c r="F22" s="29">
        <v>-158</v>
      </c>
      <c r="G22" s="29">
        <v>-135</v>
      </c>
      <c r="H22" s="29">
        <v>-291</v>
      </c>
      <c r="I22" s="29">
        <v>169</v>
      </c>
      <c r="J22" s="29">
        <v>169</v>
      </c>
      <c r="K22" s="29">
        <v>57</v>
      </c>
      <c r="L22" s="29">
        <v>-113</v>
      </c>
      <c r="M22" s="29">
        <v>-265</v>
      </c>
      <c r="N22" s="29">
        <v>-131</v>
      </c>
      <c r="O22" s="29">
        <v>-127</v>
      </c>
      <c r="P22" s="29">
        <v>-225</v>
      </c>
      <c r="Q22" s="29">
        <v>-263</v>
      </c>
      <c r="R22" s="29">
        <v>-199</v>
      </c>
      <c r="S22" s="29">
        <v>-334</v>
      </c>
      <c r="T22" s="29">
        <v>-408</v>
      </c>
      <c r="U22" s="29">
        <v>-219</v>
      </c>
      <c r="V22" s="29">
        <v>-280</v>
      </c>
      <c r="W22" s="29">
        <v>-433</v>
      </c>
      <c r="X22" s="29">
        <v>-519</v>
      </c>
      <c r="Y22" s="29">
        <v>-426</v>
      </c>
      <c r="Z22" s="29">
        <v>-685</v>
      </c>
      <c r="AA22" s="29">
        <v>-614</v>
      </c>
    </row>
    <row r="23" spans="2:41" ht="16.5" customHeight="1" thickBot="1" x14ac:dyDescent="0.3">
      <c r="B23" s="159" t="s">
        <v>59</v>
      </c>
      <c r="C23" s="157">
        <f t="shared" ref="C23:AA23" si="4">C21+C22</f>
        <v>99</v>
      </c>
      <c r="D23" s="157">
        <f t="shared" si="4"/>
        <v>2625</v>
      </c>
      <c r="E23" s="157">
        <f t="shared" si="4"/>
        <v>1081</v>
      </c>
      <c r="F23" s="157">
        <f t="shared" si="4"/>
        <v>267</v>
      </c>
      <c r="G23" s="157">
        <f t="shared" si="4"/>
        <v>469</v>
      </c>
      <c r="H23" s="157">
        <f t="shared" si="4"/>
        <v>535</v>
      </c>
      <c r="I23" s="157">
        <f t="shared" si="4"/>
        <v>468</v>
      </c>
      <c r="J23" s="157">
        <f t="shared" si="4"/>
        <v>-28</v>
      </c>
      <c r="K23" s="157">
        <f t="shared" si="4"/>
        <v>28</v>
      </c>
      <c r="L23" s="157">
        <f t="shared" si="4"/>
        <v>68</v>
      </c>
      <c r="M23" s="157">
        <f t="shared" si="4"/>
        <v>210</v>
      </c>
      <c r="N23" s="157">
        <f t="shared" si="4"/>
        <v>-98</v>
      </c>
      <c r="O23" s="157">
        <f t="shared" si="4"/>
        <v>199</v>
      </c>
      <c r="P23" s="157">
        <f t="shared" si="4"/>
        <v>1267</v>
      </c>
      <c r="Q23" s="157">
        <f t="shared" si="4"/>
        <v>1224</v>
      </c>
      <c r="R23" s="157">
        <f t="shared" si="4"/>
        <v>1446</v>
      </c>
      <c r="S23" s="157">
        <f t="shared" si="4"/>
        <v>1533</v>
      </c>
      <c r="T23" s="157">
        <f t="shared" si="4"/>
        <v>1429</v>
      </c>
      <c r="U23" s="157">
        <f t="shared" si="4"/>
        <v>1527</v>
      </c>
      <c r="V23" s="157">
        <f t="shared" si="4"/>
        <v>1708</v>
      </c>
      <c r="W23" s="157">
        <f t="shared" si="4"/>
        <v>1541</v>
      </c>
      <c r="X23" s="157">
        <f t="shared" si="4"/>
        <v>1887</v>
      </c>
      <c r="Y23" s="157">
        <f t="shared" si="4"/>
        <v>2086</v>
      </c>
      <c r="Z23" s="157">
        <f t="shared" si="4"/>
        <v>1943</v>
      </c>
      <c r="AA23" s="157">
        <f t="shared" si="4"/>
        <v>2107</v>
      </c>
    </row>
    <row r="24" spans="2:41" ht="16.5" customHeight="1" thickTop="1" x14ac:dyDescent="0.25">
      <c r="B24" s="3" t="s">
        <v>60</v>
      </c>
      <c r="C24" s="147">
        <f t="shared" ref="C24:AA24" si="5">IFERROR(C23/C25,"")</f>
        <v>0.10843373493975904</v>
      </c>
      <c r="D24" s="147">
        <f t="shared" si="5"/>
        <v>2.8470715835140998</v>
      </c>
      <c r="E24" s="147">
        <f t="shared" si="5"/>
        <v>1.1512247071352502</v>
      </c>
      <c r="F24" s="148">
        <f t="shared" si="5"/>
        <v>0.28224101479915431</v>
      </c>
      <c r="G24" s="148">
        <f t="shared" si="5"/>
        <v>0.49893617021276598</v>
      </c>
      <c r="H24" s="148">
        <f t="shared" si="5"/>
        <v>0.56315789473684208</v>
      </c>
      <c r="I24" s="148">
        <f t="shared" si="5"/>
        <v>0.46753246753246752</v>
      </c>
      <c r="J24" s="148">
        <f t="shared" si="5"/>
        <v>-2.7860696517412936E-2</v>
      </c>
      <c r="K24" s="148">
        <f t="shared" si="5"/>
        <v>2.7972027972027972E-2</v>
      </c>
      <c r="L24" s="148">
        <f t="shared" si="5"/>
        <v>6.7932067932067935E-2</v>
      </c>
      <c r="M24" s="148">
        <f t="shared" si="5"/>
        <v>0.21</v>
      </c>
      <c r="N24" s="148">
        <f t="shared" si="5"/>
        <v>-9.9391480730223122E-2</v>
      </c>
      <c r="O24" s="148">
        <f t="shared" si="5"/>
        <v>0.20141700404858301</v>
      </c>
      <c r="P24" s="148">
        <f t="shared" si="5"/>
        <v>1.2849898580121704</v>
      </c>
      <c r="Q24" s="148">
        <f t="shared" si="5"/>
        <v>1.2477064220183487</v>
      </c>
      <c r="R24" s="148">
        <f t="shared" si="5"/>
        <v>1.474006116207951</v>
      </c>
      <c r="S24" s="148">
        <f t="shared" si="5"/>
        <v>1.5563451776649746</v>
      </c>
      <c r="T24" s="148">
        <f t="shared" si="5"/>
        <v>1.4686536485097637</v>
      </c>
      <c r="U24" s="148">
        <f t="shared" si="5"/>
        <v>1.5823834196891191</v>
      </c>
      <c r="V24" s="148">
        <f t="shared" si="5"/>
        <v>1.7553956834532374</v>
      </c>
      <c r="W24" s="148">
        <f t="shared" si="5"/>
        <v>1.5886597938144329</v>
      </c>
      <c r="X24" s="148">
        <f t="shared" si="5"/>
        <v>1.9615384615384615</v>
      </c>
      <c r="Y24" s="148">
        <f t="shared" si="5"/>
        <v>2.1911764705882355</v>
      </c>
      <c r="Z24" s="148">
        <f t="shared" si="5"/>
        <v>2.0670212765957445</v>
      </c>
      <c r="AA24" s="148">
        <f t="shared" si="5"/>
        <v>2.4190585533869116</v>
      </c>
    </row>
    <row r="25" spans="2:41" ht="16.5" customHeight="1" x14ac:dyDescent="0.25">
      <c r="B25" s="3" t="s">
        <v>61</v>
      </c>
      <c r="C25" s="149">
        <v>913</v>
      </c>
      <c r="D25" s="149">
        <v>922</v>
      </c>
      <c r="E25" s="149">
        <v>939</v>
      </c>
      <c r="F25" s="150">
        <v>946</v>
      </c>
      <c r="G25" s="150">
        <v>940</v>
      </c>
      <c r="H25" s="150">
        <v>950</v>
      </c>
      <c r="I25" s="150">
        <v>1001</v>
      </c>
      <c r="J25" s="150">
        <v>1005</v>
      </c>
      <c r="K25" s="150">
        <v>1001</v>
      </c>
      <c r="L25" s="150">
        <v>1001</v>
      </c>
      <c r="M25" s="150">
        <v>1000</v>
      </c>
      <c r="N25" s="150">
        <v>986</v>
      </c>
      <c r="O25" s="150">
        <v>988</v>
      </c>
      <c r="P25" s="150">
        <v>986</v>
      </c>
      <c r="Q25" s="150">
        <v>981</v>
      </c>
      <c r="R25" s="150">
        <v>981</v>
      </c>
      <c r="S25" s="150">
        <v>985</v>
      </c>
      <c r="T25" s="150">
        <v>973</v>
      </c>
      <c r="U25" s="150">
        <v>965</v>
      </c>
      <c r="V25" s="150">
        <v>973</v>
      </c>
      <c r="W25" s="150">
        <v>970</v>
      </c>
      <c r="X25" s="150">
        <v>962</v>
      </c>
      <c r="Y25" s="150">
        <v>952</v>
      </c>
      <c r="Z25" s="150">
        <v>940</v>
      </c>
      <c r="AA25" s="150">
        <v>871</v>
      </c>
    </row>
    <row r="26" spans="2:41" ht="16.5" customHeight="1" x14ac:dyDescent="0.25">
      <c r="B26" s="21"/>
      <c r="C26" s="145"/>
      <c r="D26" s="145"/>
      <c r="E26" s="14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41" ht="15.75" customHeight="1" x14ac:dyDescent="0.25">
      <c r="B27" s="2" t="s">
        <v>62</v>
      </c>
      <c r="C27" s="145"/>
      <c r="D27" s="145"/>
      <c r="E27" s="14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</row>
    <row r="28" spans="2:41" ht="15.75" customHeight="1" x14ac:dyDescent="0.25">
      <c r="B28" s="3" t="s">
        <v>63</v>
      </c>
      <c r="C28" s="151"/>
      <c r="D28" s="151"/>
      <c r="E28" s="151"/>
      <c r="F28" s="151"/>
      <c r="G28" s="23">
        <f t="shared" ref="G28:P30" si="6">IFERROR((G5-C5)/C5,"")</f>
        <v>0.21005464480874317</v>
      </c>
      <c r="H28" s="23">
        <f t="shared" si="6"/>
        <v>0.22190082644628098</v>
      </c>
      <c r="I28" s="23">
        <f t="shared" si="6"/>
        <v>0.2544739429695182</v>
      </c>
      <c r="J28" s="23">
        <f t="shared" si="6"/>
        <v>0.24689554419284149</v>
      </c>
      <c r="K28" s="23">
        <f t="shared" si="6"/>
        <v>0.23843930635838151</v>
      </c>
      <c r="L28" s="23">
        <f t="shared" si="6"/>
        <v>0.20781197159283057</v>
      </c>
      <c r="M28" s="23">
        <f t="shared" si="6"/>
        <v>0.13387678319485813</v>
      </c>
      <c r="N28" s="23">
        <f t="shared" si="6"/>
        <v>0.14074399531341536</v>
      </c>
      <c r="O28" s="23">
        <f t="shared" si="6"/>
        <v>0.11464410735122521</v>
      </c>
      <c r="P28" s="23">
        <f t="shared" si="6"/>
        <v>0.12081758364832704</v>
      </c>
      <c r="Q28" s="23">
        <f t="shared" ref="Q28:Z30" si="7">IFERROR((Q5-M5)/M5,"")</f>
        <v>0.12553573897414627</v>
      </c>
      <c r="R28" s="23">
        <f t="shared" si="7"/>
        <v>0.12312235203492104</v>
      </c>
      <c r="S28" s="23">
        <f t="shared" si="7"/>
        <v>0.12339701648783041</v>
      </c>
      <c r="T28" s="23">
        <f t="shared" si="7"/>
        <v>9.4678990756932299E-2</v>
      </c>
      <c r="U28" s="23">
        <f t="shared" si="7"/>
        <v>9.0652254022847323E-2</v>
      </c>
      <c r="V28" s="23">
        <f t="shared" si="7"/>
        <v>8.0361225422953819E-2</v>
      </c>
      <c r="W28" s="23">
        <f t="shared" si="7"/>
        <v>8.2935352358765285E-2</v>
      </c>
      <c r="X28" s="23">
        <f t="shared" si="7"/>
        <v>0.1056595162026472</v>
      </c>
      <c r="Y28" s="23">
        <f t="shared" si="7"/>
        <v>9.5393625408266694E-2</v>
      </c>
      <c r="Z28" s="23">
        <f t="shared" si="7"/>
        <v>0.12951010475082003</v>
      </c>
      <c r="AA28" s="23">
        <f t="shared" ref="AA28:AA30" si="8">IFERROR((AA5-W5)/W5,"")</f>
        <v>0.1393998063891578</v>
      </c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</row>
    <row r="29" spans="2:41" ht="15.75" customHeight="1" x14ac:dyDescent="0.25">
      <c r="B29" s="3" t="s">
        <v>64</v>
      </c>
      <c r="C29" s="151"/>
      <c r="D29" s="151"/>
      <c r="E29" s="151"/>
      <c r="F29" s="151"/>
      <c r="G29" s="23">
        <f t="shared" si="6"/>
        <v>0.47241379310344828</v>
      </c>
      <c r="H29" s="23">
        <f t="shared" si="6"/>
        <v>0.36977491961414793</v>
      </c>
      <c r="I29" s="23">
        <f t="shared" si="6"/>
        <v>0.44910179640718562</v>
      </c>
      <c r="J29" s="23">
        <f t="shared" si="6"/>
        <v>0.46041055718475071</v>
      </c>
      <c r="K29" s="23">
        <f t="shared" si="6"/>
        <v>0.29976580796252927</v>
      </c>
      <c r="L29" s="23">
        <f t="shared" si="6"/>
        <v>0.35446009389671362</v>
      </c>
      <c r="M29" s="23">
        <f t="shared" si="6"/>
        <v>0.24793388429752067</v>
      </c>
      <c r="N29" s="23">
        <f t="shared" si="6"/>
        <v>0.19477911646586346</v>
      </c>
      <c r="O29" s="23">
        <f t="shared" si="6"/>
        <v>9.0090090090090086E-2</v>
      </c>
      <c r="P29" s="23">
        <f t="shared" si="6"/>
        <v>3.4662045060658578E-2</v>
      </c>
      <c r="Q29" s="23">
        <f t="shared" si="7"/>
        <v>-4.1390728476821195E-2</v>
      </c>
      <c r="R29" s="23">
        <f t="shared" si="7"/>
        <v>-9.4117647058823528E-2</v>
      </c>
      <c r="S29" s="23">
        <f t="shared" si="7"/>
        <v>-9.4214876033057851E-2</v>
      </c>
      <c r="T29" s="23">
        <f t="shared" si="7"/>
        <v>-6.030150753768844E-2</v>
      </c>
      <c r="U29" s="23">
        <f t="shared" si="7"/>
        <v>-2.4179620034542316E-2</v>
      </c>
      <c r="V29" s="23">
        <f t="shared" si="7"/>
        <v>5.5658627087198514E-3</v>
      </c>
      <c r="W29" s="23">
        <f t="shared" si="7"/>
        <v>-2.9197080291970802E-2</v>
      </c>
      <c r="X29" s="23">
        <f t="shared" si="7"/>
        <v>-2.6737967914438502E-2</v>
      </c>
      <c r="Y29" s="23">
        <f t="shared" si="7"/>
        <v>-5.663716814159292E-2</v>
      </c>
      <c r="Z29" s="23">
        <f t="shared" si="7"/>
        <v>-2.9520295202952029E-2</v>
      </c>
      <c r="AA29" s="23">
        <f t="shared" si="8"/>
        <v>1.5037593984962405E-2</v>
      </c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</row>
    <row r="30" spans="2:41" ht="15.75" customHeight="1" x14ac:dyDescent="0.25">
      <c r="B30" s="3" t="s">
        <v>65</v>
      </c>
      <c r="C30" s="151"/>
      <c r="D30" s="151"/>
      <c r="E30" s="151"/>
      <c r="F30" s="151"/>
      <c r="G30" s="23">
        <f t="shared" si="6"/>
        <v>0.22569373072970195</v>
      </c>
      <c r="H30" s="23">
        <f t="shared" si="6"/>
        <v>0.23082896524946611</v>
      </c>
      <c r="I30" s="23">
        <f t="shared" si="6"/>
        <v>0.2664698283816202</v>
      </c>
      <c r="J30" s="23">
        <f t="shared" si="6"/>
        <v>0.259412068076328</v>
      </c>
      <c r="K30" s="23">
        <f t="shared" si="6"/>
        <v>0.24283078987087037</v>
      </c>
      <c r="L30" s="23">
        <f t="shared" si="6"/>
        <v>0.21766561514195584</v>
      </c>
      <c r="M30" s="23">
        <f t="shared" si="6"/>
        <v>0.14192044295497597</v>
      </c>
      <c r="N30" s="23">
        <f t="shared" si="6"/>
        <v>0.14441714441714443</v>
      </c>
      <c r="O30" s="23">
        <f t="shared" si="6"/>
        <v>0.1128052894346242</v>
      </c>
      <c r="P30" s="23">
        <f t="shared" si="6"/>
        <v>0.11437823834196892</v>
      </c>
      <c r="Q30" s="23">
        <f t="shared" si="7"/>
        <v>0.11267066479520224</v>
      </c>
      <c r="R30" s="23">
        <f t="shared" si="7"/>
        <v>0.10770515267175572</v>
      </c>
      <c r="S30" s="23">
        <f t="shared" si="7"/>
        <v>0.1074330059415545</v>
      </c>
      <c r="T30" s="23">
        <f t="shared" si="7"/>
        <v>8.3924212484017199E-2</v>
      </c>
      <c r="U30" s="23">
        <f t="shared" si="7"/>
        <v>8.3027522935779821E-2</v>
      </c>
      <c r="V30" s="23">
        <f t="shared" si="7"/>
        <v>7.6020243350920641E-2</v>
      </c>
      <c r="W30" s="23">
        <f t="shared" si="7"/>
        <v>7.6207160845286323E-2</v>
      </c>
      <c r="X30" s="23">
        <f t="shared" si="7"/>
        <v>9.7694369973190351E-2</v>
      </c>
      <c r="Y30" s="23">
        <f t="shared" si="7"/>
        <v>8.6298178737822959E-2</v>
      </c>
      <c r="Z30" s="23">
        <f t="shared" si="7"/>
        <v>0.12088461923346343</v>
      </c>
      <c r="AA30" s="23">
        <f t="shared" si="8"/>
        <v>0.13266863363516126</v>
      </c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</row>
    <row r="31" spans="2:41" ht="15.75" customHeight="1" x14ac:dyDescent="0.25">
      <c r="B31" s="3" t="s">
        <v>66</v>
      </c>
      <c r="C31" s="23">
        <f t="shared" ref="C31:AA31" si="9">IFERROR(C11/C7,"")</f>
        <v>0.74224049331963005</v>
      </c>
      <c r="D31" s="23">
        <f t="shared" si="9"/>
        <v>0.74548631333721604</v>
      </c>
      <c r="E31" s="23">
        <f t="shared" si="9"/>
        <v>0.7427569662299317</v>
      </c>
      <c r="F31" s="23">
        <f t="shared" si="9"/>
        <v>0.74574522949974209</v>
      </c>
      <c r="G31" s="23">
        <f t="shared" si="9"/>
        <v>0.73922522220358877</v>
      </c>
      <c r="H31" s="23">
        <f t="shared" si="9"/>
        <v>0.74558359621451109</v>
      </c>
      <c r="I31" s="23">
        <f t="shared" si="9"/>
        <v>0.73131283695177041</v>
      </c>
      <c r="J31" s="23">
        <f t="shared" si="9"/>
        <v>0.72508872508872513</v>
      </c>
      <c r="K31" s="23">
        <f t="shared" si="9"/>
        <v>0.72405883146673866</v>
      </c>
      <c r="L31" s="23">
        <f t="shared" si="9"/>
        <v>0.72448186528497405</v>
      </c>
      <c r="M31" s="23">
        <f t="shared" si="9"/>
        <v>0.73357151971417633</v>
      </c>
      <c r="N31" s="23">
        <f t="shared" si="9"/>
        <v>0.74952290076335881</v>
      </c>
      <c r="O31" s="23">
        <f t="shared" si="9"/>
        <v>0.74233054444040258</v>
      </c>
      <c r="P31" s="23">
        <f t="shared" si="9"/>
        <v>0.75438800418458674</v>
      </c>
      <c r="Q31" s="23">
        <f t="shared" si="9"/>
        <v>0.75286697247706424</v>
      </c>
      <c r="R31" s="23">
        <f t="shared" si="9"/>
        <v>0.76870894799181655</v>
      </c>
      <c r="S31" s="23">
        <f t="shared" si="9"/>
        <v>0.7632760319719698</v>
      </c>
      <c r="T31" s="23">
        <f t="shared" si="9"/>
        <v>0.76847184986595174</v>
      </c>
      <c r="U31" s="23">
        <f t="shared" si="9"/>
        <v>0.77710715798390517</v>
      </c>
      <c r="V31" s="23">
        <f t="shared" si="9"/>
        <v>0.77814470129090363</v>
      </c>
      <c r="W31" s="23">
        <f t="shared" si="9"/>
        <v>0.76955946688371146</v>
      </c>
      <c r="X31" s="23">
        <f t="shared" si="9"/>
        <v>0.78096912856584599</v>
      </c>
      <c r="Y31" s="23">
        <f t="shared" si="9"/>
        <v>0.78019300126718005</v>
      </c>
      <c r="Z31" s="23">
        <f t="shared" si="9"/>
        <v>0.77609142040889212</v>
      </c>
      <c r="AA31" s="23">
        <f t="shared" si="9"/>
        <v>0.76915476511272796</v>
      </c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</row>
    <row r="32" spans="2:41" ht="15.75" customHeight="1" x14ac:dyDescent="0.25">
      <c r="B32" s="3" t="s">
        <v>67</v>
      </c>
      <c r="C32" s="23">
        <f t="shared" ref="C32:AA32" si="10">IFERROR(C12/C7,"")</f>
        <v>0.17656731757451183</v>
      </c>
      <c r="D32" s="23">
        <f t="shared" si="10"/>
        <v>0.17433508056688021</v>
      </c>
      <c r="E32" s="23">
        <f t="shared" si="10"/>
        <v>0.16645137479239713</v>
      </c>
      <c r="F32" s="23">
        <f t="shared" si="10"/>
        <v>0.16142341413099537</v>
      </c>
      <c r="G32" s="23">
        <f t="shared" si="10"/>
        <v>0.15948348146905919</v>
      </c>
      <c r="H32" s="23">
        <f t="shared" si="10"/>
        <v>0.16088328075709779</v>
      </c>
      <c r="I32" s="23">
        <f t="shared" si="10"/>
        <v>0.17528777502549905</v>
      </c>
      <c r="J32" s="23">
        <f t="shared" si="10"/>
        <v>0.17622167622167623</v>
      </c>
      <c r="K32" s="23">
        <f t="shared" si="10"/>
        <v>0.17784374578329509</v>
      </c>
      <c r="L32" s="23">
        <f t="shared" si="10"/>
        <v>0.17215025906735751</v>
      </c>
      <c r="M32" s="23">
        <f t="shared" si="10"/>
        <v>0.16332780400663519</v>
      </c>
      <c r="N32" s="23">
        <f t="shared" si="10"/>
        <v>0.13454198473282442</v>
      </c>
      <c r="O32" s="23">
        <f t="shared" si="10"/>
        <v>0.14635625075785133</v>
      </c>
      <c r="P32" s="23">
        <f t="shared" si="10"/>
        <v>0.14181099616412879</v>
      </c>
      <c r="Q32" s="23">
        <f t="shared" si="10"/>
        <v>0.13807339449541284</v>
      </c>
      <c r="R32" s="23">
        <f t="shared" si="10"/>
        <v>0.13728868310541617</v>
      </c>
      <c r="S32" s="23">
        <f t="shared" si="10"/>
        <v>0.14978648855797658</v>
      </c>
      <c r="T32" s="23">
        <f t="shared" si="10"/>
        <v>0.14466487935656835</v>
      </c>
      <c r="U32" s="23">
        <f t="shared" si="10"/>
        <v>0.14358322744599747</v>
      </c>
      <c r="V32" s="23">
        <f t="shared" si="10"/>
        <v>0.14209946962874012</v>
      </c>
      <c r="W32" s="23">
        <f t="shared" si="10"/>
        <v>0.14854003459151491</v>
      </c>
      <c r="X32" s="23">
        <f t="shared" si="10"/>
        <v>0.14468542399374756</v>
      </c>
      <c r="Y32" s="23">
        <f t="shared" si="10"/>
        <v>0.13968223023686518</v>
      </c>
      <c r="Z32" s="23">
        <f t="shared" si="10"/>
        <v>0.14454066601196322</v>
      </c>
      <c r="AA32" s="23">
        <f t="shared" si="10"/>
        <v>0.14614210006287615</v>
      </c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</row>
    <row r="33" spans="2:27" x14ac:dyDescent="0.25">
      <c r="B33" s="3" t="s">
        <v>68</v>
      </c>
      <c r="C33" s="23">
        <f t="shared" ref="C33:AA33" si="11">IFERROR(C13/C7,"")</f>
        <v>0.49126413155190135</v>
      </c>
      <c r="D33" s="23">
        <f t="shared" si="11"/>
        <v>0.44166181324014753</v>
      </c>
      <c r="E33" s="23">
        <f t="shared" si="11"/>
        <v>0.43864181583317957</v>
      </c>
      <c r="F33" s="23">
        <f t="shared" si="11"/>
        <v>0.45246690734055356</v>
      </c>
      <c r="G33" s="23">
        <f t="shared" si="11"/>
        <v>0.42663089049136343</v>
      </c>
      <c r="H33" s="23">
        <f t="shared" si="11"/>
        <v>0.43154574132492113</v>
      </c>
      <c r="I33" s="23">
        <f t="shared" si="11"/>
        <v>0.45330030598863469</v>
      </c>
      <c r="J33" s="23">
        <f t="shared" si="11"/>
        <v>0.47283647283647284</v>
      </c>
      <c r="K33" s="23">
        <f t="shared" si="11"/>
        <v>0.45499932532721632</v>
      </c>
      <c r="L33" s="23">
        <f t="shared" si="11"/>
        <v>0.44352331606217615</v>
      </c>
      <c r="M33" s="23">
        <f t="shared" si="11"/>
        <v>0.42682148781421464</v>
      </c>
      <c r="N33" s="23">
        <f t="shared" si="11"/>
        <v>0.4037452290076336</v>
      </c>
      <c r="O33" s="23">
        <f t="shared" si="11"/>
        <v>0.38244210015763308</v>
      </c>
      <c r="P33" s="23">
        <f t="shared" si="11"/>
        <v>0.36185051726142042</v>
      </c>
      <c r="Q33" s="23">
        <f t="shared" si="11"/>
        <v>0.36387614678899083</v>
      </c>
      <c r="R33" s="23">
        <f t="shared" si="11"/>
        <v>0.37008721869279637</v>
      </c>
      <c r="S33" s="23">
        <f t="shared" si="11"/>
        <v>0.35464797985327934</v>
      </c>
      <c r="T33" s="23">
        <f t="shared" si="11"/>
        <v>0.34573726541554961</v>
      </c>
      <c r="U33" s="23">
        <f t="shared" si="11"/>
        <v>0.35186361711139347</v>
      </c>
      <c r="V33" s="23">
        <f t="shared" si="11"/>
        <v>0.34734314019813872</v>
      </c>
      <c r="W33" s="23">
        <f t="shared" si="11"/>
        <v>0.34886560179061959</v>
      </c>
      <c r="X33" s="23">
        <f t="shared" si="11"/>
        <v>0.33636186010160218</v>
      </c>
      <c r="Y33" s="23">
        <f t="shared" si="11"/>
        <v>0.33687493907788285</v>
      </c>
      <c r="Z33" s="23">
        <f t="shared" si="11"/>
        <v>0.35862869386661905</v>
      </c>
      <c r="AA33" s="23">
        <f t="shared" si="11"/>
        <v>0.33854307015180096</v>
      </c>
    </row>
    <row r="34" spans="2:27" x14ac:dyDescent="0.25">
      <c r="B34" s="3" t="s">
        <v>69</v>
      </c>
      <c r="C34" s="23">
        <f t="shared" ref="C34:AA34" si="12">IFERROR(C14/C7,"")</f>
        <v>0.10318602261048304</v>
      </c>
      <c r="D34" s="23">
        <f t="shared" si="12"/>
        <v>9.4933022714036114E-2</v>
      </c>
      <c r="E34" s="23">
        <f t="shared" si="12"/>
        <v>9.6327735744602322E-2</v>
      </c>
      <c r="F34" s="23">
        <f t="shared" si="12"/>
        <v>9.8676293622142003E-2</v>
      </c>
      <c r="G34" s="23">
        <f t="shared" si="12"/>
        <v>9.3744759349320805E-2</v>
      </c>
      <c r="H34" s="23">
        <f t="shared" si="12"/>
        <v>0.10078864353312303</v>
      </c>
      <c r="I34" s="23">
        <f t="shared" si="12"/>
        <v>9.7187818738161152E-2</v>
      </c>
      <c r="J34" s="23">
        <f t="shared" si="12"/>
        <v>0.10005460005460005</v>
      </c>
      <c r="K34" s="23">
        <f t="shared" si="12"/>
        <v>8.8517069221427602E-2</v>
      </c>
      <c r="L34" s="23">
        <f t="shared" si="12"/>
        <v>8.3808290155440418E-2</v>
      </c>
      <c r="M34" s="23">
        <f t="shared" si="12"/>
        <v>8.4726298328442001E-2</v>
      </c>
      <c r="N34" s="23">
        <f t="shared" si="12"/>
        <v>6.9895038167938933E-2</v>
      </c>
      <c r="O34" s="23">
        <f t="shared" si="12"/>
        <v>7.7361464775069722E-2</v>
      </c>
      <c r="P34" s="23">
        <f t="shared" si="12"/>
        <v>7.3462745553876552E-2</v>
      </c>
      <c r="Q34" s="23">
        <f t="shared" si="12"/>
        <v>7.247706422018349E-2</v>
      </c>
      <c r="R34" s="23">
        <f t="shared" si="12"/>
        <v>6.8052115860880807E-2</v>
      </c>
      <c r="S34" s="23">
        <f t="shared" si="12"/>
        <v>7.0842001532902654E-2</v>
      </c>
      <c r="T34" s="23">
        <f t="shared" si="12"/>
        <v>7.6246648793565686E-2</v>
      </c>
      <c r="U34" s="23">
        <f t="shared" si="12"/>
        <v>7.52858958068615E-2</v>
      </c>
      <c r="V34" s="23">
        <f t="shared" si="12"/>
        <v>7.6753727609326527E-2</v>
      </c>
      <c r="W34" s="23">
        <f t="shared" si="12"/>
        <v>7.0912605554990335E-2</v>
      </c>
      <c r="X34" s="23">
        <f t="shared" si="12"/>
        <v>7.1707698319656121E-2</v>
      </c>
      <c r="Y34" s="23">
        <f t="shared" si="12"/>
        <v>6.5016083438931671E-2</v>
      </c>
      <c r="Z34" s="23">
        <f t="shared" si="12"/>
        <v>8.0528524238907245E-2</v>
      </c>
      <c r="AA34" s="23">
        <f t="shared" si="12"/>
        <v>6.6469055959759271E-2</v>
      </c>
    </row>
    <row r="35" spans="2:27" ht="15.75" customHeight="1" x14ac:dyDescent="0.25">
      <c r="B35" s="3" t="s">
        <v>70</v>
      </c>
      <c r="C35" s="23">
        <f t="shared" ref="C35:Z35" si="13">IFERROR(C22/C21,"")</f>
        <v>1.1063829787234043</v>
      </c>
      <c r="D35" s="23">
        <f t="shared" si="13"/>
        <v>2.1287246722288438</v>
      </c>
      <c r="E35" s="23">
        <f t="shared" si="13"/>
        <v>-0.13519999999999999</v>
      </c>
      <c r="F35" s="23">
        <f t="shared" si="13"/>
        <v>-0.37176470588235294</v>
      </c>
      <c r="G35" s="23">
        <f t="shared" si="13"/>
        <v>-0.22350993377483444</v>
      </c>
      <c r="H35" s="23">
        <f t="shared" si="13"/>
        <v>-0.35230024213075062</v>
      </c>
      <c r="I35" s="23">
        <f t="shared" si="13"/>
        <v>0.56521739130434778</v>
      </c>
      <c r="J35" s="23">
        <f t="shared" si="13"/>
        <v>-0.85786802030456855</v>
      </c>
      <c r="K35" s="23">
        <f t="shared" si="13"/>
        <v>-1.9655172413793103</v>
      </c>
      <c r="L35" s="23">
        <f t="shared" si="13"/>
        <v>-0.62430939226519333</v>
      </c>
      <c r="M35" s="23">
        <f t="shared" si="13"/>
        <v>-0.55789473684210522</v>
      </c>
      <c r="N35" s="23">
        <f t="shared" si="13"/>
        <v>-3.9696969696969697</v>
      </c>
      <c r="O35" s="23">
        <f t="shared" si="13"/>
        <v>-0.38957055214723929</v>
      </c>
      <c r="P35" s="23">
        <f t="shared" si="13"/>
        <v>-0.15080428954423591</v>
      </c>
      <c r="Q35" s="23">
        <f t="shared" si="13"/>
        <v>-0.17686617350369871</v>
      </c>
      <c r="R35" s="23">
        <f t="shared" si="13"/>
        <v>-0.1209726443768997</v>
      </c>
      <c r="S35" s="23">
        <f t="shared" si="13"/>
        <v>-0.17889662560257097</v>
      </c>
      <c r="T35" s="23">
        <f t="shared" si="13"/>
        <v>-0.22210125204137179</v>
      </c>
      <c r="U35" s="23">
        <f t="shared" si="13"/>
        <v>-0.12542955326460481</v>
      </c>
      <c r="V35" s="23">
        <f t="shared" si="13"/>
        <v>-0.14084507042253522</v>
      </c>
      <c r="W35" s="23">
        <f t="shared" si="13"/>
        <v>-0.21935157041540021</v>
      </c>
      <c r="X35" s="23">
        <f t="shared" si="13"/>
        <v>-0.21571072319201995</v>
      </c>
      <c r="Y35" s="23">
        <f t="shared" si="13"/>
        <v>-0.16958598726114649</v>
      </c>
      <c r="Z35" s="23">
        <f t="shared" si="13"/>
        <v>-0.2606544901065449</v>
      </c>
      <c r="AA35" s="23">
        <f>IFERROR(AA22/AA21,"")</f>
        <v>-0.22565233370084528</v>
      </c>
    </row>
    <row r="36" spans="2:27" ht="15.75" customHeight="1" x14ac:dyDescent="0.2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</row>
    <row r="37" spans="2:27" ht="15.75" customHeight="1" x14ac:dyDescent="0.25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</row>
    <row r="38" spans="2:27" ht="16.5" customHeight="1" x14ac:dyDescent="0.25"/>
    <row r="39" spans="2:27" ht="15.75" customHeight="1" x14ac:dyDescent="0.25"/>
    <row r="40" spans="2:27" ht="15.75" customHeight="1" x14ac:dyDescent="0.25"/>
    <row r="41" spans="2:27" ht="15.75" customHeight="1" x14ac:dyDescent="0.25"/>
    <row r="42" spans="2:27" ht="15.75" customHeight="1" x14ac:dyDescent="0.25"/>
    <row r="43" spans="2:27" ht="15.75" customHeight="1" x14ac:dyDescent="0.25"/>
    <row r="44" spans="2:27" ht="15.75" customHeight="1" x14ac:dyDescent="0.25"/>
    <row r="45" spans="2:27" ht="15.75" customHeight="1" x14ac:dyDescent="0.25"/>
    <row r="46" spans="2:27" ht="15.75" customHeight="1" x14ac:dyDescent="0.25"/>
    <row r="47" spans="2:27" ht="15.75" customHeight="1" x14ac:dyDescent="0.25"/>
    <row r="48" spans="2:27" ht="15.75" customHeight="1" x14ac:dyDescent="0.25"/>
    <row r="49" ht="15.75" customHeight="1" x14ac:dyDescent="0.25"/>
    <row r="50" ht="16.5" customHeight="1" x14ac:dyDescent="0.25"/>
    <row r="51" ht="15" customHeight="1" x14ac:dyDescent="0.25"/>
    <row r="52" ht="15" hidden="1" customHeight="1" x14ac:dyDescent="0.25"/>
    <row r="53" ht="15" hidden="1" customHeight="1" x14ac:dyDescent="0.25"/>
    <row r="54" ht="15" hidden="1" customHeight="1" x14ac:dyDescent="0.25"/>
    <row r="55" ht="15" hidden="1" customHeight="1" x14ac:dyDescent="0.25"/>
    <row r="56" ht="15" hidden="1" customHeight="1" x14ac:dyDescent="0.25"/>
    <row r="57" ht="15" hidden="1" customHeight="1" x14ac:dyDescent="0.25"/>
    <row r="58" ht="15" hidden="1" customHeight="1" x14ac:dyDescent="0.25"/>
    <row r="59" ht="15" hidden="1" customHeight="1" x14ac:dyDescent="0.25"/>
    <row r="60" ht="15" hidden="1" customHeight="1" x14ac:dyDescent="0.25"/>
    <row r="61" ht="15.75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customHeight="1" x14ac:dyDescent="0.25"/>
    <row r="75" ht="15.75" hidden="1" customHeight="1" x14ac:dyDescent="0.25"/>
    <row r="76" ht="15.75" hidden="1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spans="25:94" ht="15.75" customHeight="1" x14ac:dyDescent="0.25"/>
    <row r="82" spans="25:94" ht="15.75" customHeight="1" x14ac:dyDescent="0.25"/>
    <row r="83" spans="25:94" ht="15.75" customHeight="1" x14ac:dyDescent="0.25"/>
    <row r="84" spans="25:94" ht="15.75" customHeight="1" x14ac:dyDescent="0.25"/>
    <row r="85" spans="25:94" ht="15.75" customHeight="1" x14ac:dyDescent="0.25"/>
    <row r="86" spans="25:94" ht="15.75" customHeight="1" x14ac:dyDescent="0.25"/>
    <row r="87" spans="25:94" ht="15.75" customHeight="1" x14ac:dyDescent="0.25"/>
    <row r="88" spans="25:94" ht="15.75" customHeight="1" x14ac:dyDescent="0.25"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</row>
    <row r="89" spans="25:94" ht="15.75" customHeight="1" x14ac:dyDescent="0.25"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</row>
    <row r="90" spans="25:94" ht="15.75" customHeight="1" x14ac:dyDescent="0.25"/>
    <row r="91" spans="25:94" ht="15.75" customHeight="1" x14ac:dyDescent="0.25"/>
    <row r="92" spans="25:94" ht="16.5" customHeight="1" x14ac:dyDescent="0.25"/>
    <row r="93" spans="25:94" ht="15.75" customHeight="1" x14ac:dyDescent="0.25"/>
    <row r="94" spans="25:94" ht="15.75" customHeight="1" x14ac:dyDescent="0.25"/>
    <row r="95" spans="25:94" ht="15.75" customHeight="1" x14ac:dyDescent="0.25"/>
    <row r="96" spans="25:9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6.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94" spans="2:23" ht="15.75" customHeight="1" x14ac:dyDescent="0.25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</row>
    <row r="223" spans="2:23" ht="15.75" customHeight="1" x14ac:dyDescent="0.25"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</row>
    <row r="224" spans="2:23" ht="15.75" customHeight="1" x14ac:dyDescent="0.25"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</row>
    <row r="225" spans="2:23" ht="15.75" customHeight="1" x14ac:dyDescent="0.25"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</row>
    <row r="226" spans="2:23" ht="15.75" customHeight="1" x14ac:dyDescent="0.25"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</row>
    <row r="227" spans="2:23" ht="15.75" customHeight="1" x14ac:dyDescent="0.25"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</row>
    <row r="228" spans="2:23" ht="15.75" customHeight="1" x14ac:dyDescent="0.25"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</row>
    <row r="229" spans="2:23" ht="15.75" customHeight="1" x14ac:dyDescent="0.25"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</row>
    <row r="230" spans="2:23" ht="15.75" customHeight="1" x14ac:dyDescent="0.25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</row>
    <row r="231" spans="2:23" ht="15.75" customHeight="1" x14ac:dyDescent="0.25"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30"/>
  <sheetViews>
    <sheetView zoomScaleNormal="100" workbookViewId="0">
      <selection activeCell="O17" sqref="O17"/>
    </sheetView>
  </sheetViews>
  <sheetFormatPr defaultColWidth="8.875" defaultRowHeight="15.75" x14ac:dyDescent="0.25"/>
  <cols>
    <col min="1" max="1" width="1.625" customWidth="1"/>
    <col min="2" max="2" width="42" customWidth="1"/>
    <col min="3" max="18" width="12" customWidth="1"/>
  </cols>
  <sheetData>
    <row r="1" spans="2:13" ht="9" customHeight="1" x14ac:dyDescent="0.25"/>
    <row r="2" spans="2:13" ht="16.5" customHeight="1" thickBot="1" x14ac:dyDescent="0.3">
      <c r="B2" s="27" t="s">
        <v>71</v>
      </c>
      <c r="C2" s="28" t="str">
        <f>C13</f>
        <v>FY'21</v>
      </c>
      <c r="D2" s="28" t="str">
        <f t="shared" ref="D2:M2" si="0">D13</f>
        <v>FY'22</v>
      </c>
      <c r="E2" s="28" t="str">
        <f t="shared" si="0"/>
        <v>FY'23</v>
      </c>
      <c r="F2" s="28" t="str">
        <f t="shared" si="0"/>
        <v>FY'24</v>
      </c>
      <c r="G2" s="28" t="str">
        <f t="shared" si="0"/>
        <v>FY'25</v>
      </c>
      <c r="H2" s="28" t="str">
        <f t="shared" si="0"/>
        <v>FY'26</v>
      </c>
      <c r="I2" s="28" t="str">
        <f t="shared" si="0"/>
        <v>FY'27</v>
      </c>
      <c r="J2" s="28" t="str">
        <f t="shared" si="0"/>
        <v>FY'28</v>
      </c>
      <c r="K2" s="28" t="str">
        <f t="shared" si="0"/>
        <v>FY'29</v>
      </c>
      <c r="L2" s="28" t="str">
        <f t="shared" si="0"/>
        <v>FY'30</v>
      </c>
      <c r="M2" s="28" t="str">
        <f t="shared" si="0"/>
        <v>FY'31</v>
      </c>
    </row>
    <row r="3" spans="2:13" ht="16.5" customHeight="1" x14ac:dyDescent="0.25">
      <c r="B3" s="3" t="s">
        <v>72</v>
      </c>
      <c r="C3" s="30"/>
      <c r="D3" s="31">
        <f t="shared" ref="D3:H5" si="1">(D14-C14)/C14</f>
        <v>0.23433119743692432</v>
      </c>
      <c r="E3" s="31">
        <f t="shared" si="1"/>
        <v>0.17698827919049356</v>
      </c>
      <c r="F3" s="31">
        <f t="shared" si="1"/>
        <v>0.12115364735880914</v>
      </c>
      <c r="G3" s="31">
        <f t="shared" si="1"/>
        <v>9.6566985278298559E-2</v>
      </c>
      <c r="H3" s="32">
        <f t="shared" si="1"/>
        <v>0.10395470725076375</v>
      </c>
      <c r="I3" s="168">
        <v>0.15</v>
      </c>
      <c r="J3" s="168">
        <f>I3</f>
        <v>0.15</v>
      </c>
      <c r="K3" s="168">
        <f>J3</f>
        <v>0.15</v>
      </c>
      <c r="L3" s="168">
        <v>0.1</v>
      </c>
      <c r="M3" s="168">
        <v>0.08</v>
      </c>
    </row>
    <row r="4" spans="2:13" ht="16.5" customHeight="1" x14ac:dyDescent="0.25">
      <c r="B4" s="3" t="s">
        <v>73</v>
      </c>
      <c r="C4" s="30"/>
      <c r="D4" s="31">
        <f t="shared" si="1"/>
        <v>0.43808777429467083</v>
      </c>
      <c r="E4" s="31">
        <f t="shared" si="1"/>
        <v>0.27029972752043596</v>
      </c>
      <c r="F4" s="31">
        <f t="shared" si="1"/>
        <v>-4.7190047190047192E-3</v>
      </c>
      <c r="G4" s="31">
        <f t="shared" si="1"/>
        <v>-4.4827586206896551E-2</v>
      </c>
      <c r="H4" s="32">
        <f t="shared" si="1"/>
        <v>-3.5649819494584838E-2</v>
      </c>
      <c r="I4" s="168">
        <v>0.01</v>
      </c>
      <c r="J4" s="168">
        <v>0.01</v>
      </c>
      <c r="K4" s="168">
        <v>0.01</v>
      </c>
      <c r="L4" s="168">
        <v>0.01</v>
      </c>
      <c r="M4" s="168">
        <v>0.01</v>
      </c>
    </row>
    <row r="5" spans="2:13" ht="15.75" customHeight="1" x14ac:dyDescent="0.25">
      <c r="B5" s="3" t="s">
        <v>74</v>
      </c>
      <c r="C5" s="33"/>
      <c r="D5" s="31">
        <f t="shared" si="1"/>
        <v>0.24656502917372483</v>
      </c>
      <c r="E5" s="31">
        <f t="shared" si="1"/>
        <v>0.18345160803261362</v>
      </c>
      <c r="F5" s="31">
        <f t="shared" si="1"/>
        <v>0.11179510079101812</v>
      </c>
      <c r="G5" s="31">
        <f t="shared" si="1"/>
        <v>8.7156094902028289E-2</v>
      </c>
      <c r="H5" s="32">
        <f t="shared" si="1"/>
        <v>9.579100145137881E-2</v>
      </c>
      <c r="I5" s="168"/>
      <c r="J5" s="168"/>
      <c r="K5" s="168"/>
      <c r="L5" s="168"/>
      <c r="M5" s="168"/>
    </row>
    <row r="6" spans="2:13" ht="15.75" customHeight="1" x14ac:dyDescent="0.25">
      <c r="B6" s="3" t="s">
        <v>75</v>
      </c>
      <c r="C6" s="167">
        <f t="shared" ref="C6:H6" si="2">C18/C16</f>
        <v>0.74411820063993972</v>
      </c>
      <c r="D6" s="31">
        <f t="shared" si="2"/>
        <v>0.7347878604861845</v>
      </c>
      <c r="E6" s="31">
        <f t="shared" si="2"/>
        <v>0.73335034447563152</v>
      </c>
      <c r="F6" s="31">
        <f t="shared" si="2"/>
        <v>0.75497030725535763</v>
      </c>
      <c r="G6" s="31">
        <f t="shared" si="2"/>
        <v>0.77192241720543608</v>
      </c>
      <c r="H6" s="32">
        <f t="shared" si="2"/>
        <v>0.77676098735701382</v>
      </c>
      <c r="I6" s="168">
        <f>H6+0.001</f>
        <v>0.77776098735701382</v>
      </c>
      <c r="J6" s="168">
        <f t="shared" ref="J6:M6" si="3">I6+0.001</f>
        <v>0.77876098735701382</v>
      </c>
      <c r="K6" s="168">
        <f t="shared" si="3"/>
        <v>0.77976098735701382</v>
      </c>
      <c r="L6" s="168">
        <f t="shared" si="3"/>
        <v>0.78076098735701382</v>
      </c>
      <c r="M6" s="168">
        <f t="shared" si="3"/>
        <v>0.78176098735701383</v>
      </c>
    </row>
    <row r="7" spans="2:13" ht="15.75" customHeight="1" x14ac:dyDescent="0.25">
      <c r="B7" s="3" t="s">
        <v>76</v>
      </c>
      <c r="C7" s="34">
        <f t="shared" ref="C7:H7" si="4">C19/C16</f>
        <v>0.16930171277997366</v>
      </c>
      <c r="D7" s="34">
        <f t="shared" si="4"/>
        <v>0.16854144647440736</v>
      </c>
      <c r="E7" s="34">
        <f t="shared" si="4"/>
        <v>0.16123373309517733</v>
      </c>
      <c r="F7" s="34">
        <f t="shared" si="4"/>
        <v>0.14074647846917404</v>
      </c>
      <c r="G7" s="34">
        <f t="shared" si="4"/>
        <v>0.14495316004749967</v>
      </c>
      <c r="H7" s="35">
        <f t="shared" si="4"/>
        <v>0.14432269717037929</v>
      </c>
      <c r="I7" s="168">
        <f>H7-0.001</f>
        <v>0.14332269717037929</v>
      </c>
      <c r="J7" s="168">
        <f t="shared" ref="J7:M7" si="5">I7-0.001</f>
        <v>0.14232269717037929</v>
      </c>
      <c r="K7" s="168">
        <f t="shared" si="5"/>
        <v>0.14132269717037929</v>
      </c>
      <c r="L7" s="168">
        <f t="shared" si="5"/>
        <v>0.14032269717037929</v>
      </c>
      <c r="M7" s="168">
        <f t="shared" si="5"/>
        <v>0.13932269717037929</v>
      </c>
    </row>
    <row r="8" spans="2:13" ht="15.75" customHeight="1" x14ac:dyDescent="0.25">
      <c r="B8" s="3" t="s">
        <v>77</v>
      </c>
      <c r="C8" s="34">
        <f t="shared" ref="C8:H8" si="6">C20/C16</f>
        <v>0.45520421607378131</v>
      </c>
      <c r="D8" s="34">
        <f t="shared" si="6"/>
        <v>0.44749358296844333</v>
      </c>
      <c r="E8" s="34">
        <f t="shared" si="6"/>
        <v>0.43142383261035977</v>
      </c>
      <c r="F8" s="34">
        <f t="shared" si="6"/>
        <v>0.36942364517887366</v>
      </c>
      <c r="G8" s="34">
        <f t="shared" si="6"/>
        <v>0.34983507058978758</v>
      </c>
      <c r="H8" s="35">
        <f t="shared" si="6"/>
        <v>0.34545454545454546</v>
      </c>
      <c r="I8" s="168">
        <f>H8</f>
        <v>0.34545454545454546</v>
      </c>
      <c r="J8" s="168">
        <f>I8-0.005</f>
        <v>0.34045454545454545</v>
      </c>
      <c r="K8" s="168">
        <f t="shared" ref="K8:M8" si="7">J8-0.005</f>
        <v>0.33545454545454545</v>
      </c>
      <c r="L8" s="168">
        <f t="shared" si="7"/>
        <v>0.33045454545454545</v>
      </c>
      <c r="M8" s="168">
        <f t="shared" si="7"/>
        <v>0.32545454545454544</v>
      </c>
    </row>
    <row r="9" spans="2:13" ht="15.75" customHeight="1" x14ac:dyDescent="0.25">
      <c r="B9" s="3" t="s">
        <v>78</v>
      </c>
      <c r="C9" s="34">
        <f t="shared" ref="C9:H9" si="8">C21/C16</f>
        <v>9.8202522115565599E-2</v>
      </c>
      <c r="D9" s="34">
        <f t="shared" si="8"/>
        <v>9.8067341084100867E-2</v>
      </c>
      <c r="E9" s="34">
        <f t="shared" si="8"/>
        <v>8.1430211788721618E-2</v>
      </c>
      <c r="F9" s="34">
        <f t="shared" si="8"/>
        <v>7.269701925007889E-2</v>
      </c>
      <c r="G9" s="34">
        <f t="shared" si="8"/>
        <v>7.4838369177991818E-2</v>
      </c>
      <c r="H9" s="35">
        <f t="shared" si="8"/>
        <v>7.2245635159542451E-2</v>
      </c>
      <c r="I9" s="168">
        <f>H9-0.001</f>
        <v>7.124563515954245E-2</v>
      </c>
      <c r="J9" s="168">
        <f t="shared" ref="J9:M9" si="9">I9-0.001</f>
        <v>7.0245635159542449E-2</v>
      </c>
      <c r="K9" s="168">
        <f t="shared" si="9"/>
        <v>6.9245635159542449E-2</v>
      </c>
      <c r="L9" s="168">
        <f t="shared" si="9"/>
        <v>6.8245635159542448E-2</v>
      </c>
      <c r="M9" s="168">
        <f t="shared" si="9"/>
        <v>6.7245635159542447E-2</v>
      </c>
    </row>
    <row r="10" spans="2:13" ht="15.75" customHeight="1" x14ac:dyDescent="0.25">
      <c r="B10" s="3" t="s">
        <v>79</v>
      </c>
      <c r="C10" s="34">
        <f t="shared" ref="C10:H10" si="10">C22/C16</f>
        <v>0</v>
      </c>
      <c r="D10" s="34">
        <f t="shared" si="10"/>
        <v>0</v>
      </c>
      <c r="E10" s="34">
        <f t="shared" si="10"/>
        <v>2.6409798417963766E-2</v>
      </c>
      <c r="F10" s="34">
        <f t="shared" si="10"/>
        <v>2.8344378460567463E-2</v>
      </c>
      <c r="G10" s="34">
        <f t="shared" si="10"/>
        <v>1.2165193297268768E-2</v>
      </c>
      <c r="H10" s="35">
        <f t="shared" si="10"/>
        <v>1.4111980734497291E-2</v>
      </c>
      <c r="I10" s="168">
        <v>0.01</v>
      </c>
      <c r="J10" s="168">
        <f>I10-0.001</f>
        <v>9.0000000000000011E-3</v>
      </c>
      <c r="K10" s="168">
        <f t="shared" ref="K10:M10" si="11">J10-0.001</f>
        <v>8.0000000000000002E-3</v>
      </c>
      <c r="L10" s="168">
        <f t="shared" si="11"/>
        <v>7.0000000000000001E-3</v>
      </c>
      <c r="M10" s="168">
        <f t="shared" si="11"/>
        <v>6.0000000000000001E-3</v>
      </c>
    </row>
    <row r="11" spans="2:13" ht="15.75" customHeight="1" x14ac:dyDescent="0.25">
      <c r="B11" s="3" t="s">
        <v>80</v>
      </c>
      <c r="C11" s="34">
        <f t="shared" ref="C11:H11" si="12">IFERROR(C27/C26,"")</f>
        <v>0.59000390472471687</v>
      </c>
      <c r="D11" s="34">
        <f t="shared" si="12"/>
        <v>-5.7441253263707574E-2</v>
      </c>
      <c r="E11" s="34">
        <f t="shared" si="12"/>
        <v>-0.68484848484848482</v>
      </c>
      <c r="F11" s="34">
        <f t="shared" si="12"/>
        <v>-0.16444444444444445</v>
      </c>
      <c r="G11" s="34">
        <f t="shared" si="12"/>
        <v>-0.16684592632428072</v>
      </c>
      <c r="H11" s="35">
        <f t="shared" si="12"/>
        <v>-0.21670168067226891</v>
      </c>
      <c r="I11" s="168">
        <v>0.21299999999999999</v>
      </c>
      <c r="J11" s="168">
        <f t="shared" ref="J11:M11" si="13">I11</f>
        <v>0.21299999999999999</v>
      </c>
      <c r="K11" s="168">
        <f t="shared" si="13"/>
        <v>0.21299999999999999</v>
      </c>
      <c r="L11" s="168">
        <f t="shared" si="13"/>
        <v>0.21299999999999999</v>
      </c>
      <c r="M11" s="168">
        <f t="shared" si="13"/>
        <v>0.21299999999999999</v>
      </c>
    </row>
    <row r="12" spans="2:13" ht="15.75" customHeight="1" x14ac:dyDescent="0.25">
      <c r="H12" s="36"/>
    </row>
    <row r="13" spans="2:13" ht="16.5" customHeight="1" thickBot="1" x14ac:dyDescent="0.3">
      <c r="B13" s="27" t="s">
        <v>81</v>
      </c>
      <c r="C13" s="13" t="s">
        <v>82</v>
      </c>
      <c r="D13" s="13" t="s">
        <v>83</v>
      </c>
      <c r="E13" s="13" t="s">
        <v>84</v>
      </c>
      <c r="F13" s="13" t="s">
        <v>85</v>
      </c>
      <c r="G13" s="13" t="s">
        <v>86</v>
      </c>
      <c r="H13" s="161" t="s">
        <v>87</v>
      </c>
      <c r="I13" s="13" t="s">
        <v>88</v>
      </c>
      <c r="J13" s="13" t="s">
        <v>89</v>
      </c>
      <c r="K13" s="13" t="s">
        <v>90</v>
      </c>
      <c r="L13" s="13" t="s">
        <v>91</v>
      </c>
      <c r="M13" s="13" t="s">
        <v>92</v>
      </c>
    </row>
    <row r="14" spans="2:13" ht="15.75" customHeight="1" x14ac:dyDescent="0.25">
      <c r="B14" s="14" t="s">
        <v>41</v>
      </c>
      <c r="C14" s="37">
        <f>SUM('10QIS'!C5:F5)</f>
        <v>19976</v>
      </c>
      <c r="D14" s="37">
        <f>SUM('10QIS'!G5:J5)</f>
        <v>24657</v>
      </c>
      <c r="E14" s="37">
        <f>SUM('10QIS'!K5:N5)</f>
        <v>29021</v>
      </c>
      <c r="F14" s="37">
        <f>SUM('10QIS'!O5:R5)</f>
        <v>32537</v>
      </c>
      <c r="G14" s="37">
        <f>SUM('10QIS'!S5:V5)</f>
        <v>35679</v>
      </c>
      <c r="H14" s="38">
        <f>SUM('10QIS'!W5:Z5)</f>
        <v>39388</v>
      </c>
      <c r="I14" s="37">
        <f t="shared" ref="I14:M15" si="14">H14*(1+I3)</f>
        <v>45296.2</v>
      </c>
      <c r="J14" s="37">
        <f t="shared" si="14"/>
        <v>52090.62999999999</v>
      </c>
      <c r="K14" s="37">
        <f t="shared" si="14"/>
        <v>59904.224499999982</v>
      </c>
      <c r="L14" s="37">
        <f t="shared" si="14"/>
        <v>65894.64694999998</v>
      </c>
      <c r="M14" s="37">
        <f t="shared" si="14"/>
        <v>71166.218705999985</v>
      </c>
    </row>
    <row r="15" spans="2:13" ht="15.75" customHeight="1" x14ac:dyDescent="0.25">
      <c r="B15" s="14" t="s">
        <v>42</v>
      </c>
      <c r="C15" s="39">
        <f>SUM('10QIS'!C6:F6)</f>
        <v>1276</v>
      </c>
      <c r="D15" s="39">
        <f>SUM('10QIS'!G6:J6)</f>
        <v>1835</v>
      </c>
      <c r="E15" s="39">
        <f>SUM('10QIS'!K6:N6)</f>
        <v>2331</v>
      </c>
      <c r="F15" s="39">
        <f>SUM('10QIS'!O6:R6)</f>
        <v>2320</v>
      </c>
      <c r="G15" s="39">
        <f>SUM('10QIS'!S6:V6)</f>
        <v>2216</v>
      </c>
      <c r="H15" s="162">
        <f>SUM('10QIS'!W6:Z6)</f>
        <v>2137</v>
      </c>
      <c r="I15" s="40">
        <f t="shared" si="14"/>
        <v>2158.37</v>
      </c>
      <c r="J15" s="40">
        <f t="shared" si="14"/>
        <v>2179.9537</v>
      </c>
      <c r="K15" s="40">
        <f t="shared" si="14"/>
        <v>2201.7532369999999</v>
      </c>
      <c r="L15" s="40">
        <f t="shared" si="14"/>
        <v>2223.7707693699999</v>
      </c>
      <c r="M15" s="40">
        <f t="shared" si="14"/>
        <v>2246.0084770637</v>
      </c>
    </row>
    <row r="16" spans="2:13" ht="15.75" customHeight="1" x14ac:dyDescent="0.25">
      <c r="B16" s="158" t="s">
        <v>43</v>
      </c>
      <c r="C16" s="171">
        <f t="shared" ref="C16:M16" si="15">C14+C15</f>
        <v>21252</v>
      </c>
      <c r="D16" s="171">
        <f t="shared" si="15"/>
        <v>26492</v>
      </c>
      <c r="E16" s="171">
        <f t="shared" si="15"/>
        <v>31352</v>
      </c>
      <c r="F16" s="172">
        <f t="shared" si="15"/>
        <v>34857</v>
      </c>
      <c r="G16" s="172">
        <f t="shared" si="15"/>
        <v>37895</v>
      </c>
      <c r="H16" s="173">
        <f t="shared" si="15"/>
        <v>41525</v>
      </c>
      <c r="I16" s="172">
        <f t="shared" si="15"/>
        <v>47454.57</v>
      </c>
      <c r="J16" s="172">
        <f t="shared" si="15"/>
        <v>54270.583699999988</v>
      </c>
      <c r="K16" s="172">
        <f t="shared" si="15"/>
        <v>62105.977736999979</v>
      </c>
      <c r="L16" s="172">
        <f t="shared" si="15"/>
        <v>68118.417719369987</v>
      </c>
      <c r="M16" s="172">
        <f t="shared" si="15"/>
        <v>73412.227183063689</v>
      </c>
    </row>
    <row r="17" spans="2:13" ht="15.75" customHeight="1" x14ac:dyDescent="0.25">
      <c r="B17" s="3" t="s">
        <v>46</v>
      </c>
      <c r="C17" s="4">
        <f>SUM('10QIS'!C8:F9)</f>
        <v>5438</v>
      </c>
      <c r="D17" s="4">
        <f>SUM('10QIS'!G8:J9)</f>
        <v>7026</v>
      </c>
      <c r="E17" s="4">
        <f>SUM('10QIS'!K8:N9)</f>
        <v>8360</v>
      </c>
      <c r="F17" s="4">
        <f>SUM('10QIS'!O8:R9)</f>
        <v>8541</v>
      </c>
      <c r="G17" s="4">
        <f>SUM('10QIS'!S8:V9)</f>
        <v>8643</v>
      </c>
      <c r="H17" s="41">
        <f>SUM('10QIS'!W8:Z9)</f>
        <v>9270</v>
      </c>
      <c r="I17" s="4">
        <f>I16-I18</f>
        <v>10546.256782197474</v>
      </c>
      <c r="J17" s="4">
        <f>J16-J18</f>
        <v>12006.770353346539</v>
      </c>
      <c r="K17" s="4">
        <f>K16-K18</f>
        <v>13678.159216024156</v>
      </c>
      <c r="L17" s="4">
        <f>L16-L18</f>
        <v>14934.214643597174</v>
      </c>
      <c r="M17" s="4">
        <f>M16-M18</f>
        <v>16021.411976354408</v>
      </c>
    </row>
    <row r="18" spans="2:13" ht="15.75" customHeight="1" x14ac:dyDescent="0.25">
      <c r="B18" s="2" t="s">
        <v>47</v>
      </c>
      <c r="C18" s="169">
        <f t="shared" ref="C18:H18" si="16">C16-C17</f>
        <v>15814</v>
      </c>
      <c r="D18" s="169">
        <f t="shared" si="16"/>
        <v>19466</v>
      </c>
      <c r="E18" s="169">
        <f t="shared" si="16"/>
        <v>22992</v>
      </c>
      <c r="F18" s="169">
        <f t="shared" si="16"/>
        <v>26316</v>
      </c>
      <c r="G18" s="169">
        <f t="shared" si="16"/>
        <v>29252</v>
      </c>
      <c r="H18" s="170">
        <f t="shared" si="16"/>
        <v>32255</v>
      </c>
      <c r="I18" s="169">
        <f>I16*I6</f>
        <v>36908.313217802526</v>
      </c>
      <c r="J18" s="169">
        <f>J16*J6</f>
        <v>42263.813346653449</v>
      </c>
      <c r="K18" s="169">
        <f>K16*K6</f>
        <v>48427.818520975823</v>
      </c>
      <c r="L18" s="169">
        <f>L16*L6</f>
        <v>53184.203075772813</v>
      </c>
      <c r="M18" s="169">
        <f>M16*M6</f>
        <v>57390.815206709281</v>
      </c>
    </row>
    <row r="19" spans="2:13" ht="15.75" customHeight="1" x14ac:dyDescent="0.25">
      <c r="B19" s="3" t="s">
        <v>48</v>
      </c>
      <c r="C19" s="4">
        <f>SUM('10QIS'!C12:F12)</f>
        <v>3598</v>
      </c>
      <c r="D19" s="4">
        <f>SUM('10QIS'!G12:J12)</f>
        <v>4465</v>
      </c>
      <c r="E19" s="4">
        <f>SUM('10QIS'!K12:N12)</f>
        <v>5055</v>
      </c>
      <c r="F19" s="4">
        <f>SUM('10QIS'!O12:R12)</f>
        <v>4906</v>
      </c>
      <c r="G19" s="4">
        <f>SUM('10QIS'!S12:V12)</f>
        <v>5493</v>
      </c>
      <c r="H19" s="41">
        <f>SUM('10QIS'!W12:Z12)</f>
        <v>5993</v>
      </c>
      <c r="I19" s="4">
        <f>I16*I7</f>
        <v>6801.3169654605663</v>
      </c>
      <c r="J19" s="4">
        <f>J16*J7</f>
        <v>7723.9358491948205</v>
      </c>
      <c r="K19" s="4">
        <f>K16*K7</f>
        <v>8776.9842841963655</v>
      </c>
      <c r="L19" s="4">
        <f>L16*L7</f>
        <v>9558.5601013605537</v>
      </c>
      <c r="M19" s="4">
        <f>M16*M7</f>
        <v>10227.989496429069</v>
      </c>
    </row>
    <row r="20" spans="2:13" ht="15.75" customHeight="1" x14ac:dyDescent="0.25">
      <c r="B20" s="3" t="s">
        <v>49</v>
      </c>
      <c r="C20" s="4">
        <f>SUM('10QIS'!C13:F13)</f>
        <v>9674</v>
      </c>
      <c r="D20" s="4">
        <f>SUM('10QIS'!G13:J13)</f>
        <v>11855</v>
      </c>
      <c r="E20" s="4">
        <f>SUM('10QIS'!K13:N13)</f>
        <v>13526</v>
      </c>
      <c r="F20" s="4">
        <f>SUM('10QIS'!O13:R13)</f>
        <v>12877</v>
      </c>
      <c r="G20" s="4">
        <f>SUM('10QIS'!S13:V13)</f>
        <v>13257</v>
      </c>
      <c r="H20" s="41">
        <f>SUM('10QIS'!W13:Z13)</f>
        <v>14345</v>
      </c>
      <c r="I20" s="4">
        <f>I16*I8</f>
        <v>16393.396909090909</v>
      </c>
      <c r="J20" s="4">
        <f>J16*J8</f>
        <v>18476.666905136361</v>
      </c>
      <c r="K20" s="4">
        <f>K16*K8</f>
        <v>20833.732531775448</v>
      </c>
      <c r="L20" s="4">
        <f>L16*L8</f>
        <v>22510.040764537262</v>
      </c>
      <c r="M20" s="4">
        <f>M16*M8</f>
        <v>23892.343028669817</v>
      </c>
    </row>
    <row r="21" spans="2:13" ht="15.75" customHeight="1" x14ac:dyDescent="0.25">
      <c r="B21" s="3" t="s">
        <v>50</v>
      </c>
      <c r="C21" s="4">
        <f>SUM('10QIS'!C14:F14)</f>
        <v>2087</v>
      </c>
      <c r="D21" s="4">
        <f>SUM('10QIS'!G14:J14)</f>
        <v>2598</v>
      </c>
      <c r="E21" s="4">
        <f>SUM('10QIS'!K14:N14)</f>
        <v>2553</v>
      </c>
      <c r="F21" s="4">
        <f>SUM('10QIS'!O14:R14)</f>
        <v>2534</v>
      </c>
      <c r="G21" s="4">
        <f>SUM('10QIS'!S14:V14)</f>
        <v>2836</v>
      </c>
      <c r="H21" s="41">
        <f>SUM('10QIS'!W14:Z14)</f>
        <v>3000</v>
      </c>
      <c r="I21" s="4">
        <f>I16*I9</f>
        <v>3380.9309808729686</v>
      </c>
      <c r="J21" s="4">
        <f>J16*J9</f>
        <v>3812.2716224856104</v>
      </c>
      <c r="K21" s="4">
        <f>K16*K9</f>
        <v>4300.5678756029665</v>
      </c>
      <c r="L21" s="4">
        <f>L16*L9</f>
        <v>4648.7846833214353</v>
      </c>
      <c r="M21" s="4">
        <f>M16*M9</f>
        <v>4936.651845401745</v>
      </c>
    </row>
    <row r="22" spans="2:13" ht="15.75" customHeight="1" x14ac:dyDescent="0.25">
      <c r="B22" s="3" t="s">
        <v>51</v>
      </c>
      <c r="C22" s="4">
        <f>SUM('10QIS'!C15:F15)</f>
        <v>0</v>
      </c>
      <c r="D22" s="4">
        <f>SUM('10QIS'!G15:J15)</f>
        <v>0</v>
      </c>
      <c r="E22" s="4">
        <f>SUM('10QIS'!K15:N15)</f>
        <v>828</v>
      </c>
      <c r="F22" s="4">
        <f>SUM('10QIS'!O15:R15)</f>
        <v>988</v>
      </c>
      <c r="G22" s="4">
        <f>SUM('10QIS'!S15:V15)</f>
        <v>461</v>
      </c>
      <c r="H22" s="41">
        <f>SUM('10QIS'!W15:Z15)</f>
        <v>586</v>
      </c>
      <c r="I22" s="4">
        <f>I16*I10</f>
        <v>474.54570000000001</v>
      </c>
      <c r="J22" s="4">
        <f>J16*J10</f>
        <v>488.43525329999994</v>
      </c>
      <c r="K22" s="4">
        <f>K16*K10</f>
        <v>496.84782189599986</v>
      </c>
      <c r="L22" s="4">
        <f>L16*L10</f>
        <v>476.82892403558992</v>
      </c>
      <c r="M22" s="4">
        <f>M16*M10</f>
        <v>440.47336309838215</v>
      </c>
    </row>
    <row r="23" spans="2:13" ht="15.75" customHeight="1" x14ac:dyDescent="0.25">
      <c r="B23" s="3" t="s">
        <v>52</v>
      </c>
      <c r="C23" s="4">
        <f t="shared" ref="C23:M23" si="17">SUM(C19:C22)</f>
        <v>15359</v>
      </c>
      <c r="D23" s="4">
        <f t="shared" si="17"/>
        <v>18918</v>
      </c>
      <c r="E23" s="4">
        <f t="shared" si="17"/>
        <v>21962</v>
      </c>
      <c r="F23" s="4">
        <f t="shared" si="17"/>
        <v>21305</v>
      </c>
      <c r="G23" s="4">
        <f t="shared" si="17"/>
        <v>22047</v>
      </c>
      <c r="H23" s="41">
        <f t="shared" si="17"/>
        <v>23924</v>
      </c>
      <c r="I23" s="4">
        <f t="shared" si="17"/>
        <v>27050.19055542444</v>
      </c>
      <c r="J23" s="4">
        <f t="shared" si="17"/>
        <v>30501.30963011679</v>
      </c>
      <c r="K23" s="4">
        <f t="shared" si="17"/>
        <v>34408.13251347078</v>
      </c>
      <c r="L23" s="4">
        <f t="shared" si="17"/>
        <v>37194.21447325484</v>
      </c>
      <c r="M23" s="4">
        <f t="shared" si="17"/>
        <v>39497.457733599011</v>
      </c>
    </row>
    <row r="24" spans="2:13" ht="15.75" customHeight="1" x14ac:dyDescent="0.25">
      <c r="B24" s="3" t="s">
        <v>53</v>
      </c>
      <c r="C24" s="4">
        <f t="shared" ref="C24:M24" si="18">C18-C23</f>
        <v>455</v>
      </c>
      <c r="D24" s="4">
        <f t="shared" si="18"/>
        <v>548</v>
      </c>
      <c r="E24" s="4">
        <f t="shared" si="18"/>
        <v>1030</v>
      </c>
      <c r="F24" s="4">
        <f t="shared" si="18"/>
        <v>5011</v>
      </c>
      <c r="G24" s="4">
        <f t="shared" si="18"/>
        <v>7205</v>
      </c>
      <c r="H24" s="41">
        <f t="shared" si="18"/>
        <v>8331</v>
      </c>
      <c r="I24" s="4">
        <f t="shared" si="18"/>
        <v>9858.1226623780858</v>
      </c>
      <c r="J24" s="4">
        <f t="shared" si="18"/>
        <v>11762.503716536659</v>
      </c>
      <c r="K24" s="4">
        <f t="shared" si="18"/>
        <v>14019.686007505043</v>
      </c>
      <c r="L24" s="4">
        <f t="shared" si="18"/>
        <v>15989.988602517973</v>
      </c>
      <c r="M24" s="4">
        <f t="shared" si="18"/>
        <v>17893.357473110271</v>
      </c>
    </row>
    <row r="25" spans="2:13" ht="15.75" customHeight="1" x14ac:dyDescent="0.25">
      <c r="B25" s="3" t="s">
        <v>93</v>
      </c>
      <c r="C25" s="4">
        <f>SUM('10QIS'!C18:F20)</f>
        <v>2106</v>
      </c>
      <c r="D25" s="4">
        <f>SUM('10QIS'!G18:J20)</f>
        <v>984</v>
      </c>
      <c r="E25" s="4">
        <f>SUM('10QIS'!K18:N20)</f>
        <v>-370</v>
      </c>
      <c r="F25" s="4">
        <f>SUM('10QIS'!O18:R20)</f>
        <v>-61</v>
      </c>
      <c r="G25" s="4">
        <f>SUM('10QIS'!S18:V20)</f>
        <v>233</v>
      </c>
      <c r="H25" s="41">
        <f>SUM('10QIS'!W18:Z20)</f>
        <v>1189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</row>
    <row r="26" spans="2:13" ht="15.75" customHeight="1" x14ac:dyDescent="0.25">
      <c r="B26" s="3" t="s">
        <v>57</v>
      </c>
      <c r="C26" s="4">
        <f t="shared" ref="C26:M26" si="19">C24+C25</f>
        <v>2561</v>
      </c>
      <c r="D26" s="4">
        <f t="shared" si="19"/>
        <v>1532</v>
      </c>
      <c r="E26" s="4">
        <f t="shared" si="19"/>
        <v>660</v>
      </c>
      <c r="F26" s="4">
        <f t="shared" si="19"/>
        <v>4950</v>
      </c>
      <c r="G26" s="4">
        <f t="shared" si="19"/>
        <v>7438</v>
      </c>
      <c r="H26" s="41">
        <f t="shared" si="19"/>
        <v>9520</v>
      </c>
      <c r="I26" s="4">
        <f t="shared" si="19"/>
        <v>9858.1226623780858</v>
      </c>
      <c r="J26" s="4">
        <f t="shared" si="19"/>
        <v>11762.503716536659</v>
      </c>
      <c r="K26" s="4">
        <f t="shared" si="19"/>
        <v>14019.686007505043</v>
      </c>
      <c r="L26" s="4">
        <f t="shared" si="19"/>
        <v>15989.988602517973</v>
      </c>
      <c r="M26" s="4">
        <f t="shared" si="19"/>
        <v>17893.357473110271</v>
      </c>
    </row>
    <row r="27" spans="2:13" ht="15.75" customHeight="1" x14ac:dyDescent="0.25">
      <c r="B27" s="3" t="s">
        <v>58</v>
      </c>
      <c r="C27" s="4">
        <f>SUM('10QIS'!C22:F22)</f>
        <v>1511</v>
      </c>
      <c r="D27" s="4">
        <f>SUM('10QIS'!G22:J22)</f>
        <v>-88</v>
      </c>
      <c r="E27" s="4">
        <f>SUM('10QIS'!K22:N22)</f>
        <v>-452</v>
      </c>
      <c r="F27" s="4">
        <f>SUM('10QIS'!O22:R22)</f>
        <v>-814</v>
      </c>
      <c r="G27" s="4">
        <f>SUM('10QIS'!S22:V22)</f>
        <v>-1241</v>
      </c>
      <c r="H27" s="41">
        <f>SUM('10QIS'!W22:Z22)</f>
        <v>-2063</v>
      </c>
      <c r="I27" s="4">
        <f>I26*I11</f>
        <v>2099.780127086532</v>
      </c>
      <c r="J27" s="4">
        <f>J26*J11</f>
        <v>2505.4132916223084</v>
      </c>
      <c r="K27" s="4">
        <f>K26*K11</f>
        <v>2986.193119598574</v>
      </c>
      <c r="L27" s="4">
        <f>L26*L11</f>
        <v>3405.8675723363281</v>
      </c>
      <c r="M27" s="4">
        <f>M26*M11</f>
        <v>3811.2851417724878</v>
      </c>
    </row>
    <row r="28" spans="2:13" ht="15.75" customHeight="1" x14ac:dyDescent="0.25">
      <c r="B28" s="2" t="s">
        <v>59</v>
      </c>
      <c r="C28" s="169">
        <f t="shared" ref="C28:H28" si="20">C26+C27</f>
        <v>4072</v>
      </c>
      <c r="D28" s="169">
        <f t="shared" si="20"/>
        <v>1444</v>
      </c>
      <c r="E28" s="169">
        <f t="shared" si="20"/>
        <v>208</v>
      </c>
      <c r="F28" s="169">
        <f t="shared" si="20"/>
        <v>4136</v>
      </c>
      <c r="G28" s="169">
        <f t="shared" si="20"/>
        <v>6197</v>
      </c>
      <c r="H28" s="170">
        <f t="shared" si="20"/>
        <v>7457</v>
      </c>
      <c r="I28" s="169">
        <f>I26-I27</f>
        <v>7758.3425352915538</v>
      </c>
      <c r="J28" s="169">
        <f>J26-J27</f>
        <v>9257.0904249143514</v>
      </c>
      <c r="K28" s="169">
        <f>K26-K27</f>
        <v>11033.492887906468</v>
      </c>
      <c r="L28" s="169">
        <f>L26-L27</f>
        <v>12584.121030181645</v>
      </c>
      <c r="M28" s="169">
        <f>M26-M27</f>
        <v>14082.072331337782</v>
      </c>
    </row>
    <row r="29" spans="2:13" x14ac:dyDescent="0.25">
      <c r="B29" s="3" t="s">
        <v>60</v>
      </c>
      <c r="C29" s="5">
        <f t="shared" ref="C29:M29" si="21">IFERROR(C28/C30,"")</f>
        <v>4.3784946236559144</v>
      </c>
      <c r="D29" s="5">
        <f t="shared" si="21"/>
        <v>1.482546201232033</v>
      </c>
      <c r="E29" s="5">
        <f t="shared" si="21"/>
        <v>0.20862587763289869</v>
      </c>
      <c r="F29" s="5">
        <f t="shared" si="21"/>
        <v>4.2032520325203251</v>
      </c>
      <c r="G29" s="5">
        <f t="shared" si="21"/>
        <v>6.362422997946612</v>
      </c>
      <c r="H29" s="163">
        <f t="shared" si="21"/>
        <v>7.8002092050209209</v>
      </c>
      <c r="I29" s="5">
        <f t="shared" si="21"/>
        <v>8.3512836763095297</v>
      </c>
      <c r="J29" s="5">
        <f t="shared" si="21"/>
        <v>9.9645752690143716</v>
      </c>
      <c r="K29" s="5">
        <f t="shared" si="21"/>
        <v>11.876741537036025</v>
      </c>
      <c r="L29" s="5">
        <f t="shared" si="21"/>
        <v>13.545878396320392</v>
      </c>
      <c r="M29" s="5">
        <f t="shared" si="21"/>
        <v>15.158312520277484</v>
      </c>
    </row>
    <row r="30" spans="2:13" x14ac:dyDescent="0.25">
      <c r="B30" s="3" t="s">
        <v>61</v>
      </c>
      <c r="C30" s="20">
        <f>AVERAGE('10QIS'!C25:F25)</f>
        <v>930</v>
      </c>
      <c r="D30" s="20">
        <f>AVERAGE('10QIS'!G25:J25)</f>
        <v>974</v>
      </c>
      <c r="E30" s="20">
        <f>AVERAGE('10QIS'!K25:N25)</f>
        <v>997</v>
      </c>
      <c r="F30" s="20">
        <f>AVERAGE('10QIS'!O25:R25)</f>
        <v>984</v>
      </c>
      <c r="G30" s="20">
        <f>AVERAGE('10QIS'!S25:V25)</f>
        <v>974</v>
      </c>
      <c r="H30" s="164">
        <f>AVERAGE('10QIS'!W25:Z25)</f>
        <v>956</v>
      </c>
      <c r="I30" s="20">
        <f>Main!C4</f>
        <v>929</v>
      </c>
      <c r="J30" s="20">
        <f>Main!C4</f>
        <v>929</v>
      </c>
      <c r="K30" s="20">
        <f>Main!C4</f>
        <v>929</v>
      </c>
      <c r="L30" s="20">
        <f>Main!C4</f>
        <v>929</v>
      </c>
      <c r="M30" s="20">
        <f>Main!C4</f>
        <v>929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40"/>
  <sheetViews>
    <sheetView topLeftCell="A2" zoomScaleNormal="100" workbookViewId="0">
      <selection activeCell="H36" sqref="H36"/>
    </sheetView>
  </sheetViews>
  <sheetFormatPr defaultColWidth="8.875" defaultRowHeight="15.75" x14ac:dyDescent="0.25"/>
  <cols>
    <col min="1" max="1" width="1.375" customWidth="1"/>
    <col min="2" max="2" width="52" customWidth="1"/>
    <col min="3" max="18" width="12" customWidth="1"/>
  </cols>
  <sheetData>
    <row r="1" spans="2:9" ht="12" customHeight="1" x14ac:dyDescent="0.25"/>
    <row r="2" spans="2:9" ht="15.75" customHeight="1" thickBot="1" x14ac:dyDescent="0.35">
      <c r="B2" s="42" t="s">
        <v>94</v>
      </c>
      <c r="C2" s="13" t="s">
        <v>82</v>
      </c>
      <c r="D2" s="13" t="s">
        <v>83</v>
      </c>
      <c r="E2" s="13" t="s">
        <v>84</v>
      </c>
      <c r="F2" s="13" t="s">
        <v>85</v>
      </c>
      <c r="G2" s="13" t="s">
        <v>86</v>
      </c>
      <c r="H2" s="13" t="s">
        <v>87</v>
      </c>
      <c r="I2" s="13" t="s">
        <v>88</v>
      </c>
    </row>
    <row r="3" spans="2:9" ht="15.75" customHeight="1" x14ac:dyDescent="0.25">
      <c r="B3" s="43" t="s">
        <v>95</v>
      </c>
      <c r="C3" s="29">
        <v>6195</v>
      </c>
      <c r="D3" s="29">
        <v>5464</v>
      </c>
      <c r="E3" s="29">
        <v>7016</v>
      </c>
      <c r="F3" s="29">
        <v>8472</v>
      </c>
      <c r="G3" s="29">
        <v>8848</v>
      </c>
      <c r="H3" s="29">
        <v>7327</v>
      </c>
      <c r="I3" s="29"/>
    </row>
    <row r="4" spans="2:9" ht="15.75" customHeight="1" x14ac:dyDescent="0.25">
      <c r="B4" s="43" t="s">
        <v>96</v>
      </c>
      <c r="C4" s="29">
        <v>5771</v>
      </c>
      <c r="D4" s="29">
        <v>5073</v>
      </c>
      <c r="E4" s="29">
        <v>5492</v>
      </c>
      <c r="F4" s="29">
        <v>5722</v>
      </c>
      <c r="G4" s="29">
        <v>5184</v>
      </c>
      <c r="H4" s="29">
        <v>2238</v>
      </c>
      <c r="I4" s="29"/>
    </row>
    <row r="5" spans="2:9" ht="15.75" customHeight="1" x14ac:dyDescent="0.25">
      <c r="B5" s="43" t="s">
        <v>97</v>
      </c>
      <c r="C5" s="29">
        <v>7786</v>
      </c>
      <c r="D5" s="29">
        <v>9739</v>
      </c>
      <c r="E5" s="29">
        <v>10755</v>
      </c>
      <c r="F5" s="29">
        <v>11414</v>
      </c>
      <c r="G5" s="29">
        <v>11945</v>
      </c>
      <c r="H5" s="29">
        <v>14339</v>
      </c>
      <c r="I5" s="29"/>
    </row>
    <row r="6" spans="2:9" ht="15.75" customHeight="1" x14ac:dyDescent="0.25">
      <c r="B6" s="43" t="s">
        <v>98</v>
      </c>
      <c r="C6" s="29">
        <v>1146</v>
      </c>
      <c r="D6" s="29">
        <v>1454</v>
      </c>
      <c r="E6" s="29">
        <v>1776</v>
      </c>
      <c r="F6" s="29">
        <v>1905</v>
      </c>
      <c r="G6" s="29">
        <v>1971</v>
      </c>
      <c r="H6" s="29">
        <v>2075</v>
      </c>
      <c r="I6" s="29"/>
    </row>
    <row r="7" spans="2:9" ht="15.75" customHeight="1" x14ac:dyDescent="0.25">
      <c r="B7" s="43" t="s">
        <v>99</v>
      </c>
      <c r="C7" s="29">
        <v>991</v>
      </c>
      <c r="D7" s="29">
        <v>1120</v>
      </c>
      <c r="E7" s="29">
        <v>1356</v>
      </c>
      <c r="F7" s="29">
        <v>1561</v>
      </c>
      <c r="G7" s="29">
        <v>1779</v>
      </c>
      <c r="H7" s="29">
        <v>2243</v>
      </c>
      <c r="I7" s="29"/>
    </row>
    <row r="8" spans="2:9" ht="15.75" customHeight="1" x14ac:dyDescent="0.25">
      <c r="B8" s="45" t="s">
        <v>100</v>
      </c>
      <c r="C8" s="169">
        <f t="shared" ref="C8:H8" si="0">SUM(C3:C7)</f>
        <v>21889</v>
      </c>
      <c r="D8" s="169">
        <f t="shared" si="0"/>
        <v>22850</v>
      </c>
      <c r="E8" s="169">
        <f t="shared" si="0"/>
        <v>26395</v>
      </c>
      <c r="F8" s="169">
        <f t="shared" si="0"/>
        <v>29074</v>
      </c>
      <c r="G8" s="169">
        <f t="shared" si="0"/>
        <v>29727</v>
      </c>
      <c r="H8" s="169">
        <f t="shared" si="0"/>
        <v>28222</v>
      </c>
      <c r="I8" s="169">
        <f t="shared" ref="I8" si="1">SUM(I3:I7)</f>
        <v>0</v>
      </c>
    </row>
    <row r="9" spans="2:9" ht="15.75" customHeight="1" x14ac:dyDescent="0.25">
      <c r="B9" s="43" t="s">
        <v>101</v>
      </c>
      <c r="C9" s="29">
        <v>2459</v>
      </c>
      <c r="D9" s="29">
        <v>2815</v>
      </c>
      <c r="E9" s="29">
        <v>3702</v>
      </c>
      <c r="F9" s="29">
        <v>3689</v>
      </c>
      <c r="G9" s="29">
        <v>3236</v>
      </c>
      <c r="H9" s="29">
        <v>3120</v>
      </c>
      <c r="I9" s="29"/>
    </row>
    <row r="10" spans="2:9" ht="15.75" customHeight="1" x14ac:dyDescent="0.25">
      <c r="B10" s="43" t="s">
        <v>102</v>
      </c>
      <c r="C10" s="29">
        <v>3204</v>
      </c>
      <c r="D10" s="29">
        <v>2880</v>
      </c>
      <c r="E10" s="29">
        <v>2890</v>
      </c>
      <c r="F10" s="29">
        <v>2366</v>
      </c>
      <c r="G10" s="29">
        <v>2157</v>
      </c>
      <c r="H10" s="29">
        <v>2003</v>
      </c>
      <c r="I10" s="29"/>
    </row>
    <row r="11" spans="2:9" ht="15.75" customHeight="1" x14ac:dyDescent="0.25">
      <c r="B11" s="43" t="s">
        <v>103</v>
      </c>
      <c r="C11" s="29">
        <v>1715</v>
      </c>
      <c r="D11" s="29">
        <v>2342</v>
      </c>
      <c r="E11" s="29">
        <v>2697</v>
      </c>
      <c r="F11" s="29">
        <v>2515</v>
      </c>
      <c r="G11" s="29">
        <v>2475</v>
      </c>
      <c r="H11" s="29">
        <v>2985</v>
      </c>
      <c r="I11" s="29"/>
    </row>
    <row r="12" spans="2:9" ht="15.75" customHeight="1" x14ac:dyDescent="0.25">
      <c r="B12" s="43" t="s">
        <v>104</v>
      </c>
      <c r="C12" s="29">
        <v>3909</v>
      </c>
      <c r="D12" s="29">
        <v>4784</v>
      </c>
      <c r="E12" s="29">
        <v>4672</v>
      </c>
      <c r="F12" s="29">
        <v>4848</v>
      </c>
      <c r="G12" s="29">
        <v>4852</v>
      </c>
      <c r="H12" s="29">
        <v>7591</v>
      </c>
      <c r="I12" s="29"/>
    </row>
    <row r="13" spans="2:9" ht="15.75" customHeight="1" x14ac:dyDescent="0.25">
      <c r="B13" s="43" t="s">
        <v>105</v>
      </c>
      <c r="C13" s="29">
        <v>26318</v>
      </c>
      <c r="D13" s="29">
        <v>47937</v>
      </c>
      <c r="E13" s="29">
        <v>48568</v>
      </c>
      <c r="F13" s="29">
        <v>48620</v>
      </c>
      <c r="G13" s="29">
        <v>51283</v>
      </c>
      <c r="H13" s="29">
        <v>57941</v>
      </c>
      <c r="I13" s="29"/>
    </row>
    <row r="14" spans="2:9" ht="15.75" customHeight="1" x14ac:dyDescent="0.25">
      <c r="B14" s="43" t="s">
        <v>106</v>
      </c>
      <c r="C14" s="29">
        <v>4114</v>
      </c>
      <c r="D14" s="29">
        <v>8978</v>
      </c>
      <c r="E14" s="29">
        <v>7125</v>
      </c>
      <c r="F14" s="29">
        <v>5278</v>
      </c>
      <c r="G14" s="29">
        <v>4428</v>
      </c>
      <c r="H14" s="29">
        <v>6815</v>
      </c>
      <c r="I14" s="29"/>
    </row>
    <row r="15" spans="2:9" ht="15.75" customHeight="1" x14ac:dyDescent="0.25">
      <c r="B15" s="43" t="s">
        <v>107</v>
      </c>
      <c r="C15" s="29">
        <v>2693</v>
      </c>
      <c r="D15" s="29">
        <v>2623</v>
      </c>
      <c r="E15" s="29">
        <v>2800</v>
      </c>
      <c r="F15" s="29">
        <v>3433</v>
      </c>
      <c r="G15" s="29">
        <v>4770</v>
      </c>
      <c r="H15" s="29">
        <v>3628</v>
      </c>
      <c r="I15" s="29"/>
    </row>
    <row r="16" spans="2:9" ht="15.75" customHeight="1" x14ac:dyDescent="0.25">
      <c r="B16" s="45" t="s">
        <v>108</v>
      </c>
      <c r="C16" s="169">
        <f t="shared" ref="C16:H16" si="2">C8+SUM(C9:C15)</f>
        <v>66301</v>
      </c>
      <c r="D16" s="169">
        <f t="shared" si="2"/>
        <v>95209</v>
      </c>
      <c r="E16" s="169">
        <f t="shared" si="2"/>
        <v>98849</v>
      </c>
      <c r="F16" s="169">
        <f t="shared" si="2"/>
        <v>99823</v>
      </c>
      <c r="G16" s="169">
        <f t="shared" si="2"/>
        <v>102928</v>
      </c>
      <c r="H16" s="169">
        <f t="shared" si="2"/>
        <v>112305</v>
      </c>
      <c r="I16" s="169">
        <f t="shared" ref="I16" si="3">I8+SUM(I9:I15)</f>
        <v>0</v>
      </c>
    </row>
    <row r="17" spans="2:9" ht="15.75" customHeight="1" x14ac:dyDescent="0.25">
      <c r="B17" s="44"/>
      <c r="C17" s="16"/>
      <c r="D17" s="16"/>
      <c r="E17" s="16"/>
      <c r="F17" s="16"/>
      <c r="G17" s="16"/>
      <c r="H17" s="16"/>
      <c r="I17" s="16"/>
    </row>
    <row r="18" spans="2:9" ht="15.75" customHeight="1" x14ac:dyDescent="0.25">
      <c r="B18" s="43" t="s">
        <v>109</v>
      </c>
      <c r="C18" s="29">
        <v>4355</v>
      </c>
      <c r="D18" s="29">
        <v>5474</v>
      </c>
      <c r="E18" s="29">
        <v>6743</v>
      </c>
      <c r="F18" s="29">
        <v>6111</v>
      </c>
      <c r="G18" s="29">
        <v>6658</v>
      </c>
      <c r="H18" s="29">
        <v>8253</v>
      </c>
      <c r="I18" s="29"/>
    </row>
    <row r="19" spans="2:9" ht="15.75" customHeight="1" x14ac:dyDescent="0.25">
      <c r="B19" s="43" t="s">
        <v>110</v>
      </c>
      <c r="C19" s="29">
        <v>766</v>
      </c>
      <c r="D19" s="29">
        <v>686</v>
      </c>
      <c r="E19" s="29">
        <v>590</v>
      </c>
      <c r="F19" s="29">
        <v>518</v>
      </c>
      <c r="G19" s="29">
        <v>579</v>
      </c>
      <c r="H19" s="29">
        <v>548</v>
      </c>
      <c r="I19" s="29"/>
    </row>
    <row r="20" spans="2:9" ht="15.75" customHeight="1" x14ac:dyDescent="0.25">
      <c r="B20" s="43" t="s">
        <v>111</v>
      </c>
      <c r="C20" s="29">
        <v>12607</v>
      </c>
      <c r="D20" s="29">
        <v>15628</v>
      </c>
      <c r="E20" s="29">
        <v>17376</v>
      </c>
      <c r="F20" s="29">
        <v>19003</v>
      </c>
      <c r="G20" s="29">
        <v>20743</v>
      </c>
      <c r="H20" s="29">
        <v>24317</v>
      </c>
      <c r="I20" s="29"/>
    </row>
    <row r="21" spans="2:9" ht="15.75" customHeight="1" x14ac:dyDescent="0.25">
      <c r="B21" s="43" t="s">
        <v>112</v>
      </c>
      <c r="C21" s="29">
        <v>0</v>
      </c>
      <c r="D21" s="29">
        <v>0</v>
      </c>
      <c r="E21" s="29">
        <v>1182</v>
      </c>
      <c r="F21" s="29">
        <v>999</v>
      </c>
      <c r="G21" s="29">
        <v>0</v>
      </c>
      <c r="H21" s="29">
        <v>4000</v>
      </c>
      <c r="I21" s="29"/>
    </row>
    <row r="22" spans="2:9" ht="15.75" customHeight="1" x14ac:dyDescent="0.25">
      <c r="B22" s="45" t="s">
        <v>113</v>
      </c>
      <c r="C22" s="169">
        <f t="shared" ref="C22:I22" si="4">SUM(C18:C21)</f>
        <v>17728</v>
      </c>
      <c r="D22" s="169">
        <f t="shared" si="4"/>
        <v>21788</v>
      </c>
      <c r="E22" s="169">
        <f t="shared" si="4"/>
        <v>25891</v>
      </c>
      <c r="F22" s="169">
        <f t="shared" si="4"/>
        <v>26631</v>
      </c>
      <c r="G22" s="169">
        <f t="shared" si="4"/>
        <v>27980</v>
      </c>
      <c r="H22" s="169">
        <f t="shared" si="4"/>
        <v>37118</v>
      </c>
      <c r="I22" s="169">
        <f t="shared" si="4"/>
        <v>0</v>
      </c>
    </row>
    <row r="23" spans="2:9" ht="15.75" customHeight="1" x14ac:dyDescent="0.25">
      <c r="B23" s="43" t="s">
        <v>114</v>
      </c>
      <c r="C23" s="29">
        <v>2673</v>
      </c>
      <c r="D23" s="29">
        <v>10592</v>
      </c>
      <c r="E23" s="29">
        <v>9419</v>
      </c>
      <c r="F23" s="29">
        <v>8427</v>
      </c>
      <c r="G23" s="29">
        <v>8433</v>
      </c>
      <c r="H23" s="29">
        <v>10439</v>
      </c>
      <c r="I23" s="29"/>
    </row>
    <row r="24" spans="2:9" ht="15.75" customHeight="1" x14ac:dyDescent="0.25">
      <c r="B24" s="43" t="s">
        <v>115</v>
      </c>
      <c r="C24" s="29">
        <v>2842</v>
      </c>
      <c r="D24" s="29">
        <v>2703</v>
      </c>
      <c r="E24" s="29">
        <v>2897</v>
      </c>
      <c r="F24" s="29">
        <v>2644</v>
      </c>
      <c r="G24" s="29">
        <v>2380</v>
      </c>
      <c r="H24" s="29">
        <v>2189</v>
      </c>
      <c r="I24" s="29"/>
    </row>
    <row r="25" spans="2:9" ht="15.75" customHeight="1" x14ac:dyDescent="0.25">
      <c r="B25" s="43" t="s">
        <v>116</v>
      </c>
      <c r="C25" s="29">
        <v>1565</v>
      </c>
      <c r="D25" s="29">
        <v>1995</v>
      </c>
      <c r="E25" s="29">
        <v>2283</v>
      </c>
      <c r="F25" s="29">
        <v>2475</v>
      </c>
      <c r="G25" s="29">
        <v>2962</v>
      </c>
      <c r="H25" s="29">
        <v>3417</v>
      </c>
      <c r="I25" s="29"/>
    </row>
    <row r="26" spans="2:9" ht="15.75" customHeight="1" x14ac:dyDescent="0.25">
      <c r="B26" s="45" t="s">
        <v>117</v>
      </c>
      <c r="C26" s="169">
        <f t="shared" ref="C26:H26" si="5">C22+SUM(C23:C25)</f>
        <v>24808</v>
      </c>
      <c r="D26" s="169">
        <f t="shared" si="5"/>
        <v>37078</v>
      </c>
      <c r="E26" s="169">
        <f t="shared" si="5"/>
        <v>40490</v>
      </c>
      <c r="F26" s="169">
        <f t="shared" si="5"/>
        <v>40177</v>
      </c>
      <c r="G26" s="169">
        <f t="shared" si="5"/>
        <v>41755</v>
      </c>
      <c r="H26" s="169">
        <f t="shared" si="5"/>
        <v>53163</v>
      </c>
      <c r="I26" s="169">
        <f t="shared" ref="I26" si="6">I22+SUM(I23:I25)</f>
        <v>0</v>
      </c>
    </row>
    <row r="27" spans="2:9" ht="15.75" customHeight="1" x14ac:dyDescent="0.25">
      <c r="B27" s="44"/>
      <c r="C27" s="16"/>
      <c r="D27" s="16"/>
      <c r="E27" s="16"/>
      <c r="F27" s="16"/>
      <c r="G27" s="16"/>
      <c r="H27" s="16"/>
      <c r="I27" s="16"/>
    </row>
    <row r="28" spans="2:9" ht="15.75" customHeight="1" x14ac:dyDescent="0.25">
      <c r="B28" s="43" t="s">
        <v>118</v>
      </c>
      <c r="C28" s="29">
        <v>1</v>
      </c>
      <c r="D28" s="29">
        <v>1</v>
      </c>
      <c r="E28" s="29">
        <v>1</v>
      </c>
      <c r="F28" s="29">
        <v>1</v>
      </c>
      <c r="G28" s="29">
        <v>1</v>
      </c>
      <c r="H28" s="29">
        <v>1</v>
      </c>
      <c r="I28" s="29"/>
    </row>
    <row r="29" spans="2:9" ht="15.75" customHeight="1" x14ac:dyDescent="0.25">
      <c r="B29" s="43" t="s">
        <v>119</v>
      </c>
      <c r="C29" s="29">
        <v>0</v>
      </c>
      <c r="D29" s="29">
        <v>0</v>
      </c>
      <c r="E29" s="29">
        <v>-4000</v>
      </c>
      <c r="F29" s="29">
        <v>-11692</v>
      </c>
      <c r="G29" s="29">
        <v>-19507</v>
      </c>
      <c r="H29" s="29">
        <v>-32228</v>
      </c>
      <c r="I29" s="29"/>
    </row>
    <row r="30" spans="2:9" ht="15.75" customHeight="1" x14ac:dyDescent="0.25">
      <c r="B30" s="43" t="s">
        <v>120</v>
      </c>
      <c r="C30" s="29">
        <v>35601</v>
      </c>
      <c r="D30" s="29">
        <v>50919</v>
      </c>
      <c r="E30" s="29">
        <v>55047</v>
      </c>
      <c r="F30" s="29">
        <v>59841</v>
      </c>
      <c r="G30" s="29">
        <v>64576</v>
      </c>
      <c r="H30" s="29">
        <v>68835</v>
      </c>
      <c r="I30" s="29"/>
    </row>
    <row r="31" spans="2:9" ht="15.75" customHeight="1" x14ac:dyDescent="0.25">
      <c r="B31" s="43" t="s">
        <v>121</v>
      </c>
      <c r="C31" s="29">
        <v>-42</v>
      </c>
      <c r="D31" s="29">
        <v>-166</v>
      </c>
      <c r="E31" s="29">
        <v>-274</v>
      </c>
      <c r="F31" s="29">
        <v>-225</v>
      </c>
      <c r="G31" s="29">
        <v>-266</v>
      </c>
      <c r="H31" s="29">
        <v>313</v>
      </c>
      <c r="I31" s="29"/>
    </row>
    <row r="32" spans="2:9" ht="15.75" customHeight="1" x14ac:dyDescent="0.25">
      <c r="B32" s="43" t="s">
        <v>122</v>
      </c>
      <c r="C32" s="29">
        <v>5933</v>
      </c>
      <c r="D32" s="29">
        <v>7377</v>
      </c>
      <c r="E32" s="29">
        <v>7585</v>
      </c>
      <c r="F32" s="29">
        <v>11721</v>
      </c>
      <c r="G32" s="29">
        <v>16369</v>
      </c>
      <c r="H32" s="29">
        <v>22221</v>
      </c>
      <c r="I32" s="29"/>
    </row>
    <row r="33" spans="2:9" ht="15.75" customHeight="1" x14ac:dyDescent="0.25">
      <c r="B33" s="45" t="s">
        <v>123</v>
      </c>
      <c r="C33" s="169">
        <f t="shared" ref="C33:H33" si="7">SUM(C28:C32)</f>
        <v>41493</v>
      </c>
      <c r="D33" s="169">
        <f t="shared" si="7"/>
        <v>58131</v>
      </c>
      <c r="E33" s="169">
        <f t="shared" si="7"/>
        <v>58359</v>
      </c>
      <c r="F33" s="169">
        <f t="shared" si="7"/>
        <v>59646</v>
      </c>
      <c r="G33" s="169">
        <f t="shared" si="7"/>
        <v>61173</v>
      </c>
      <c r="H33" s="169">
        <f t="shared" si="7"/>
        <v>59142</v>
      </c>
      <c r="I33" s="169">
        <f t="shared" ref="I33" si="8">SUM(I28:I32)</f>
        <v>0</v>
      </c>
    </row>
    <row r="34" spans="2:9" ht="15.75" customHeight="1" x14ac:dyDescent="0.25">
      <c r="B34" s="45" t="s">
        <v>124</v>
      </c>
      <c r="C34" s="169">
        <f t="shared" ref="C34:H34" si="9">C26+C33</f>
        <v>66301</v>
      </c>
      <c r="D34" s="169">
        <f t="shared" si="9"/>
        <v>95209</v>
      </c>
      <c r="E34" s="169">
        <f t="shared" si="9"/>
        <v>98849</v>
      </c>
      <c r="F34" s="169">
        <f t="shared" si="9"/>
        <v>99823</v>
      </c>
      <c r="G34" s="169">
        <f t="shared" si="9"/>
        <v>102928</v>
      </c>
      <c r="H34" s="169">
        <f t="shared" si="9"/>
        <v>112305</v>
      </c>
      <c r="I34" s="169">
        <f t="shared" ref="I34" si="10">I26+I33</f>
        <v>0</v>
      </c>
    </row>
    <row r="35" spans="2:9" ht="15.75" customHeight="1" x14ac:dyDescent="0.25">
      <c r="B35" s="43" t="s">
        <v>125</v>
      </c>
      <c r="C35" s="4">
        <f t="shared" ref="C35:H35" si="11">C16-C34</f>
        <v>0</v>
      </c>
      <c r="D35" s="4">
        <f t="shared" si="11"/>
        <v>0</v>
      </c>
      <c r="E35" s="4">
        <f t="shared" si="11"/>
        <v>0</v>
      </c>
      <c r="F35" s="4">
        <f t="shared" si="11"/>
        <v>0</v>
      </c>
      <c r="G35" s="4">
        <f t="shared" si="11"/>
        <v>0</v>
      </c>
      <c r="H35" s="4">
        <f t="shared" si="11"/>
        <v>0</v>
      </c>
      <c r="I35" s="4">
        <f t="shared" ref="I35" si="12">I16-I34</f>
        <v>0</v>
      </c>
    </row>
    <row r="36" spans="2:9" ht="15.75" customHeight="1" x14ac:dyDescent="0.25">
      <c r="B36" s="44"/>
      <c r="C36" s="17"/>
      <c r="D36" s="17"/>
      <c r="E36" s="17"/>
      <c r="F36" s="17"/>
      <c r="G36" s="17"/>
      <c r="H36" s="17"/>
    </row>
    <row r="37" spans="2:9" ht="15.75" customHeight="1" x14ac:dyDescent="0.25">
      <c r="B37" s="44"/>
      <c r="C37" s="16"/>
      <c r="D37" s="16"/>
      <c r="E37" s="16"/>
      <c r="F37" s="16"/>
      <c r="G37" s="16"/>
      <c r="H37" s="16"/>
    </row>
    <row r="38" spans="2:9" ht="15.75" customHeight="1" x14ac:dyDescent="0.25">
      <c r="B38" s="44"/>
      <c r="C38" s="17"/>
      <c r="D38" s="17"/>
      <c r="E38" s="17"/>
      <c r="F38" s="17"/>
      <c r="G38" s="17"/>
      <c r="H38" s="17"/>
    </row>
    <row r="39" spans="2:9" ht="15.75" customHeight="1" x14ac:dyDescent="0.25">
      <c r="B39" s="44"/>
      <c r="C39" s="17"/>
      <c r="D39" s="17"/>
      <c r="E39" s="17"/>
      <c r="F39" s="17"/>
      <c r="G39" s="17"/>
      <c r="H39" s="17"/>
    </row>
    <row r="40" spans="2:9" ht="15.75" customHeight="1" x14ac:dyDescent="0.25">
      <c r="B40" s="44"/>
      <c r="C40" s="16"/>
      <c r="D40" s="16"/>
      <c r="E40" s="16"/>
      <c r="F40" s="16"/>
      <c r="G40" s="16"/>
      <c r="H40" s="16"/>
    </row>
  </sheetData>
  <phoneticPr fontId="4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42"/>
  <sheetViews>
    <sheetView zoomScaleNormal="100" workbookViewId="0">
      <selection activeCell="N37" sqref="N37"/>
    </sheetView>
  </sheetViews>
  <sheetFormatPr defaultColWidth="8.875" defaultRowHeight="15.75" x14ac:dyDescent="0.25"/>
  <cols>
    <col min="1" max="1" width="1.625" customWidth="1"/>
    <col min="2" max="2" width="58" customWidth="1"/>
    <col min="3" max="8" width="12" customWidth="1"/>
    <col min="9" max="14" width="12.125" customWidth="1"/>
  </cols>
  <sheetData>
    <row r="1" spans="2:14" ht="7.5" customHeight="1" x14ac:dyDescent="0.25"/>
    <row r="2" spans="2:14" ht="16.5" customHeight="1" thickBot="1" x14ac:dyDescent="0.35">
      <c r="B2" s="42" t="s">
        <v>126</v>
      </c>
      <c r="C2" s="13" t="s">
        <v>82</v>
      </c>
      <c r="D2" s="13" t="s">
        <v>83</v>
      </c>
      <c r="E2" s="13" t="s">
        <v>84</v>
      </c>
      <c r="F2" s="13" t="s">
        <v>85</v>
      </c>
      <c r="G2" s="13" t="s">
        <v>86</v>
      </c>
      <c r="H2" s="13" t="s">
        <v>87</v>
      </c>
      <c r="I2" s="13" t="s">
        <v>240</v>
      </c>
    </row>
    <row r="3" spans="2:14" ht="15.75" customHeight="1" x14ac:dyDescent="0.25">
      <c r="B3" s="45" t="s">
        <v>127</v>
      </c>
      <c r="C3" s="17"/>
      <c r="D3" s="17"/>
      <c r="E3" s="17"/>
      <c r="F3" s="17"/>
      <c r="G3" s="17"/>
      <c r="H3" s="17"/>
      <c r="I3" s="17"/>
    </row>
    <row r="4" spans="2:14" ht="15.75" customHeight="1" x14ac:dyDescent="0.25">
      <c r="B4" s="43" t="s">
        <v>59</v>
      </c>
      <c r="C4" s="29">
        <v>4072</v>
      </c>
      <c r="D4" s="29">
        <v>1444</v>
      </c>
      <c r="E4" s="29">
        <v>208</v>
      </c>
      <c r="F4" s="29">
        <v>4136</v>
      </c>
      <c r="G4" s="29">
        <v>6197</v>
      </c>
      <c r="H4" s="29">
        <v>7457</v>
      </c>
      <c r="I4" s="15"/>
    </row>
    <row r="5" spans="2:14" ht="15.75" customHeight="1" x14ac:dyDescent="0.25">
      <c r="B5" s="43" t="s">
        <v>128</v>
      </c>
      <c r="C5" s="29">
        <v>2846</v>
      </c>
      <c r="D5" s="29">
        <v>3298</v>
      </c>
      <c r="E5" s="29">
        <v>3786</v>
      </c>
      <c r="F5" s="29">
        <v>3959</v>
      </c>
      <c r="G5" s="29">
        <v>3477</v>
      </c>
      <c r="H5" s="29">
        <v>3631</v>
      </c>
      <c r="I5" s="15"/>
      <c r="J5" s="46"/>
      <c r="K5" s="46"/>
      <c r="L5" s="46"/>
      <c r="M5" s="46"/>
      <c r="N5" s="46"/>
    </row>
    <row r="6" spans="2:14" ht="15.75" customHeight="1" x14ac:dyDescent="0.25">
      <c r="B6" s="43" t="s">
        <v>129</v>
      </c>
      <c r="C6" s="29">
        <v>1058</v>
      </c>
      <c r="D6" s="29">
        <v>1348</v>
      </c>
      <c r="E6" s="29">
        <v>1668</v>
      </c>
      <c r="F6" s="29">
        <v>1925</v>
      </c>
      <c r="G6" s="29">
        <v>2095</v>
      </c>
      <c r="H6" s="29">
        <v>2197</v>
      </c>
      <c r="I6" s="15"/>
      <c r="J6" s="46"/>
      <c r="K6" s="46"/>
      <c r="L6" s="46"/>
      <c r="M6" s="46"/>
      <c r="N6" s="46"/>
    </row>
    <row r="7" spans="2:14" ht="15.75" customHeight="1" x14ac:dyDescent="0.25">
      <c r="B7" s="43" t="s">
        <v>130</v>
      </c>
      <c r="C7" s="29">
        <v>2190</v>
      </c>
      <c r="D7" s="29">
        <v>2779</v>
      </c>
      <c r="E7" s="29">
        <v>3279</v>
      </c>
      <c r="F7" s="29">
        <v>2787</v>
      </c>
      <c r="G7" s="29">
        <v>3183</v>
      </c>
      <c r="H7" s="29">
        <v>3509</v>
      </c>
      <c r="I7" s="15"/>
      <c r="J7" s="46"/>
      <c r="K7" s="46"/>
      <c r="L7" s="46"/>
      <c r="M7" s="46"/>
      <c r="N7" s="46"/>
    </row>
    <row r="8" spans="2:14" ht="15.75" customHeight="1" x14ac:dyDescent="0.25">
      <c r="B8" s="43" t="s">
        <v>131</v>
      </c>
      <c r="C8" s="29">
        <v>-2170</v>
      </c>
      <c r="D8" s="29">
        <v>-1211</v>
      </c>
      <c r="E8" s="29">
        <v>239</v>
      </c>
      <c r="F8" s="29">
        <v>277</v>
      </c>
      <c r="G8" s="29">
        <v>121</v>
      </c>
      <c r="H8" s="29">
        <v>-1017</v>
      </c>
      <c r="I8" s="15"/>
      <c r="J8" s="46"/>
      <c r="K8" s="46"/>
      <c r="L8" s="46"/>
      <c r="M8" s="46"/>
      <c r="N8" s="46"/>
    </row>
    <row r="9" spans="2:14" ht="15.75" customHeight="1" x14ac:dyDescent="0.25">
      <c r="B9" s="43" t="s">
        <v>132</v>
      </c>
      <c r="C9" s="29">
        <v>-2003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15"/>
      <c r="J9" s="46"/>
      <c r="K9" s="46"/>
      <c r="L9" s="46"/>
      <c r="M9" s="46"/>
      <c r="N9" s="46"/>
    </row>
    <row r="10" spans="2:14" ht="15.75" customHeight="1" x14ac:dyDescent="0.25">
      <c r="B10" s="43" t="s">
        <v>133</v>
      </c>
      <c r="C10" s="29">
        <v>-1556</v>
      </c>
      <c r="D10" s="29">
        <v>-1824</v>
      </c>
      <c r="E10" s="29">
        <v>-995</v>
      </c>
      <c r="F10" s="29">
        <v>-659</v>
      </c>
      <c r="G10" s="29">
        <v>-490</v>
      </c>
      <c r="H10" s="29">
        <v>-2160</v>
      </c>
      <c r="I10" s="15"/>
      <c r="J10" s="46"/>
      <c r="K10" s="46"/>
      <c r="L10" s="46"/>
      <c r="M10" s="46"/>
      <c r="N10" s="46"/>
    </row>
    <row r="11" spans="2:14" ht="15.75" customHeight="1" x14ac:dyDescent="0.25">
      <c r="B11" s="43" t="s">
        <v>134</v>
      </c>
      <c r="C11" s="29">
        <v>-1645</v>
      </c>
      <c r="D11" s="29">
        <v>-2283</v>
      </c>
      <c r="E11" s="29">
        <v>-2345</v>
      </c>
      <c r="F11" s="29">
        <v>-1872</v>
      </c>
      <c r="G11" s="29">
        <v>-2121</v>
      </c>
      <c r="H11" s="29">
        <v>-2811</v>
      </c>
      <c r="I11" s="15"/>
      <c r="J11" s="46"/>
      <c r="K11" s="46"/>
      <c r="L11" s="46"/>
      <c r="M11" s="46"/>
      <c r="N11" s="46"/>
    </row>
    <row r="12" spans="2:14" ht="15.75" customHeight="1" x14ac:dyDescent="0.25">
      <c r="B12" s="43" t="s">
        <v>135</v>
      </c>
      <c r="C12" s="29">
        <v>-133</v>
      </c>
      <c r="D12" s="29">
        <v>114</v>
      </c>
      <c r="E12" s="29">
        <v>-302</v>
      </c>
      <c r="F12" s="29">
        <v>-843</v>
      </c>
      <c r="G12" s="29">
        <v>-1495</v>
      </c>
      <c r="H12" s="29">
        <v>819</v>
      </c>
      <c r="I12" s="15"/>
      <c r="J12" s="46"/>
      <c r="K12" s="46"/>
      <c r="L12" s="46"/>
      <c r="M12" s="46"/>
      <c r="N12" s="46"/>
    </row>
    <row r="13" spans="2:14" ht="15.75" customHeight="1" x14ac:dyDescent="0.25">
      <c r="B13" s="43" t="s">
        <v>136</v>
      </c>
      <c r="C13" s="29">
        <v>1100</v>
      </c>
      <c r="D13" s="29">
        <v>507</v>
      </c>
      <c r="E13" s="29">
        <v>528</v>
      </c>
      <c r="F13" s="29">
        <v>-478</v>
      </c>
      <c r="G13" s="29">
        <v>1089</v>
      </c>
      <c r="H13" s="29">
        <v>1014</v>
      </c>
      <c r="I13" s="15"/>
      <c r="J13" s="47"/>
      <c r="K13" s="47"/>
      <c r="L13" s="47"/>
      <c r="M13" s="47"/>
      <c r="N13" s="47"/>
    </row>
    <row r="14" spans="2:14" ht="15.75" customHeight="1" x14ac:dyDescent="0.25">
      <c r="B14" s="43" t="s">
        <v>137</v>
      </c>
      <c r="C14" s="29">
        <v>-830</v>
      </c>
      <c r="D14" s="29">
        <v>-801</v>
      </c>
      <c r="E14" s="29">
        <v>-699</v>
      </c>
      <c r="F14" s="29">
        <v>-621</v>
      </c>
      <c r="G14" s="29">
        <v>-548</v>
      </c>
      <c r="H14" s="29">
        <v>-567</v>
      </c>
      <c r="I14" s="15"/>
    </row>
    <row r="15" spans="2:14" ht="15.75" customHeight="1" x14ac:dyDescent="0.25">
      <c r="B15" s="43" t="s">
        <v>138</v>
      </c>
      <c r="C15" s="29">
        <v>1872</v>
      </c>
      <c r="D15" s="29">
        <v>2629</v>
      </c>
      <c r="E15" s="29">
        <v>1744</v>
      </c>
      <c r="F15" s="29">
        <v>1623</v>
      </c>
      <c r="G15" s="29">
        <v>1584</v>
      </c>
      <c r="H15" s="29">
        <v>2924</v>
      </c>
      <c r="I15" s="15"/>
      <c r="J15" s="46"/>
      <c r="K15" s="46"/>
      <c r="L15" s="46"/>
      <c r="M15" s="46"/>
      <c r="N15" s="46"/>
    </row>
    <row r="16" spans="2:14" ht="15.75" customHeight="1" x14ac:dyDescent="0.25">
      <c r="B16" s="45" t="s">
        <v>139</v>
      </c>
      <c r="C16" s="169">
        <f t="shared" ref="C16:G16" si="0">SUM(C4:C15)</f>
        <v>4801</v>
      </c>
      <c r="D16" s="169">
        <f t="shared" si="0"/>
        <v>6000</v>
      </c>
      <c r="E16" s="169">
        <f t="shared" si="0"/>
        <v>7111</v>
      </c>
      <c r="F16" s="169">
        <f t="shared" si="0"/>
        <v>10234</v>
      </c>
      <c r="G16" s="169">
        <f t="shared" si="0"/>
        <v>13092</v>
      </c>
      <c r="H16" s="169">
        <f>SUM(H4:H15)</f>
        <v>14996</v>
      </c>
      <c r="I16" s="169">
        <f t="shared" ref="I16" si="1">SUM(I4:I15)</f>
        <v>0</v>
      </c>
      <c r="J16" s="46"/>
      <c r="K16" s="46"/>
      <c r="L16" s="46"/>
      <c r="M16" s="46"/>
      <c r="N16" s="46"/>
    </row>
    <row r="17" spans="2:14" ht="15.75" customHeight="1" x14ac:dyDescent="0.25">
      <c r="B17" s="44"/>
      <c r="C17" s="16"/>
      <c r="D17" s="16"/>
      <c r="E17" s="16"/>
      <c r="F17" s="16"/>
      <c r="G17" s="16"/>
      <c r="H17" s="16"/>
      <c r="I17" s="16"/>
      <c r="J17" s="46"/>
      <c r="K17" s="46"/>
      <c r="L17" s="46"/>
      <c r="M17" s="46"/>
      <c r="N17" s="46"/>
    </row>
    <row r="18" spans="2:14" ht="15.75" customHeight="1" x14ac:dyDescent="0.25">
      <c r="B18" s="45" t="s">
        <v>140</v>
      </c>
      <c r="C18" s="17"/>
      <c r="D18" s="17"/>
      <c r="E18" s="17"/>
      <c r="F18" s="17"/>
      <c r="G18" s="17"/>
      <c r="H18" s="17"/>
      <c r="I18" s="17"/>
      <c r="J18" s="46"/>
      <c r="K18" s="46"/>
      <c r="L18" s="46"/>
      <c r="M18" s="46"/>
      <c r="N18" s="46"/>
    </row>
    <row r="19" spans="2:14" ht="15.75" customHeight="1" x14ac:dyDescent="0.25">
      <c r="B19" s="43" t="s">
        <v>141</v>
      </c>
      <c r="C19" s="29">
        <v>-1281</v>
      </c>
      <c r="D19" s="29">
        <v>-14876</v>
      </c>
      <c r="E19" s="29">
        <v>-439</v>
      </c>
      <c r="F19" s="29">
        <v>-82</v>
      </c>
      <c r="G19" s="29">
        <v>-2734</v>
      </c>
      <c r="H19" s="29">
        <v>-9268</v>
      </c>
      <c r="I19" s="15"/>
      <c r="J19" s="46"/>
      <c r="K19" s="46"/>
      <c r="L19" s="46"/>
      <c r="M19" s="46"/>
      <c r="N19" s="46"/>
    </row>
    <row r="20" spans="2:14" ht="15.75" customHeight="1" x14ac:dyDescent="0.25">
      <c r="B20" s="43" t="s">
        <v>142</v>
      </c>
      <c r="C20" s="29">
        <v>-1069</v>
      </c>
      <c r="D20" s="29">
        <v>-1718</v>
      </c>
      <c r="E20" s="29">
        <v>-550</v>
      </c>
      <c r="F20" s="29">
        <v>-496</v>
      </c>
      <c r="G20" s="29">
        <v>-539</v>
      </c>
      <c r="H20" s="29">
        <v>-1958</v>
      </c>
      <c r="I20" s="15"/>
      <c r="J20" s="46"/>
      <c r="K20" s="46"/>
      <c r="L20" s="46"/>
      <c r="M20" s="46"/>
      <c r="N20" s="46"/>
    </row>
    <row r="21" spans="2:14" ht="15.75" customHeight="1" x14ac:dyDescent="0.25">
      <c r="B21" s="43" t="s">
        <v>143</v>
      </c>
      <c r="C21" s="29">
        <v>1051</v>
      </c>
      <c r="D21" s="29">
        <v>2201</v>
      </c>
      <c r="E21" s="29">
        <v>355</v>
      </c>
      <c r="F21" s="29">
        <v>108</v>
      </c>
      <c r="G21" s="29">
        <v>126</v>
      </c>
      <c r="H21" s="29">
        <v>184</v>
      </c>
      <c r="I21" s="15"/>
      <c r="J21" s="47"/>
      <c r="K21" s="47"/>
      <c r="L21" s="47"/>
      <c r="M21" s="47"/>
      <c r="N21" s="47"/>
    </row>
    <row r="22" spans="2:14" ht="15.75" customHeight="1" x14ac:dyDescent="0.25">
      <c r="B22" s="43" t="s">
        <v>144</v>
      </c>
      <c r="C22" s="29">
        <v>-4833</v>
      </c>
      <c r="D22" s="29">
        <v>-5674</v>
      </c>
      <c r="E22" s="29">
        <v>-4777</v>
      </c>
      <c r="F22" s="29">
        <v>-3761</v>
      </c>
      <c r="G22" s="29">
        <v>-6879</v>
      </c>
      <c r="H22" s="29">
        <v>-3763</v>
      </c>
      <c r="I22" s="15"/>
    </row>
    <row r="23" spans="2:14" ht="15.75" customHeight="1" x14ac:dyDescent="0.25">
      <c r="B23" s="43" t="s">
        <v>145</v>
      </c>
      <c r="C23" s="29">
        <v>1836</v>
      </c>
      <c r="D23" s="29">
        <v>4179</v>
      </c>
      <c r="E23" s="29">
        <v>1771</v>
      </c>
      <c r="F23" s="29">
        <v>1511</v>
      </c>
      <c r="G23" s="29">
        <v>4143</v>
      </c>
      <c r="H23" s="29">
        <v>4414</v>
      </c>
      <c r="I23" s="15"/>
      <c r="J23" s="47"/>
      <c r="K23" s="47"/>
      <c r="L23" s="47"/>
      <c r="M23" s="47"/>
      <c r="N23" s="47"/>
    </row>
    <row r="24" spans="2:14" ht="15.75" customHeight="1" x14ac:dyDescent="0.25">
      <c r="B24" s="43" t="s">
        <v>146</v>
      </c>
      <c r="C24" s="29">
        <v>1035</v>
      </c>
      <c r="D24" s="29">
        <v>2069</v>
      </c>
      <c r="E24" s="29">
        <v>2449</v>
      </c>
      <c r="F24" s="29">
        <v>2129</v>
      </c>
      <c r="G24" s="29">
        <v>3378</v>
      </c>
      <c r="H24" s="29">
        <v>2395</v>
      </c>
      <c r="I24" s="15"/>
      <c r="J24" s="46"/>
      <c r="K24" s="46"/>
      <c r="L24" s="46"/>
      <c r="M24" s="46"/>
      <c r="N24" s="46"/>
    </row>
    <row r="25" spans="2:14" ht="15.75" customHeight="1" x14ac:dyDescent="0.25">
      <c r="B25" s="43" t="s">
        <v>147</v>
      </c>
      <c r="C25" s="29">
        <v>-710</v>
      </c>
      <c r="D25" s="29">
        <v>-717</v>
      </c>
      <c r="E25" s="29">
        <v>-798</v>
      </c>
      <c r="F25" s="29">
        <v>-736</v>
      </c>
      <c r="G25" s="29">
        <v>-658</v>
      </c>
      <c r="H25" s="29">
        <v>-594</v>
      </c>
      <c r="I25" s="15"/>
    </row>
    <row r="26" spans="2:14" ht="15.75" customHeight="1" x14ac:dyDescent="0.25">
      <c r="B26" s="45" t="s">
        <v>148</v>
      </c>
      <c r="C26" s="169">
        <f t="shared" ref="C26:H26" si="2">SUM(C19:C25)</f>
        <v>-3971</v>
      </c>
      <c r="D26" s="169">
        <f t="shared" si="2"/>
        <v>-14536</v>
      </c>
      <c r="E26" s="169">
        <f t="shared" si="2"/>
        <v>-1989</v>
      </c>
      <c r="F26" s="169">
        <f t="shared" si="2"/>
        <v>-1327</v>
      </c>
      <c r="G26" s="169">
        <f t="shared" si="2"/>
        <v>-3163</v>
      </c>
      <c r="H26" s="169">
        <f t="shared" si="2"/>
        <v>-8590</v>
      </c>
      <c r="I26" s="169">
        <f t="shared" ref="I26" si="3">SUM(I19:I25)</f>
        <v>0</v>
      </c>
    </row>
    <row r="27" spans="2:14" ht="15.75" customHeight="1" x14ac:dyDescent="0.25">
      <c r="B27" s="44"/>
      <c r="C27" s="16"/>
      <c r="D27" s="16"/>
      <c r="E27" s="16"/>
      <c r="F27" s="16"/>
      <c r="G27" s="16"/>
      <c r="H27" s="16"/>
      <c r="I27" s="16"/>
    </row>
    <row r="28" spans="2:14" ht="15.75" customHeight="1" x14ac:dyDescent="0.25">
      <c r="B28" s="45" t="s">
        <v>149</v>
      </c>
      <c r="C28" s="17"/>
      <c r="D28" s="17"/>
      <c r="E28" s="17"/>
      <c r="F28" s="17"/>
      <c r="G28" s="17"/>
      <c r="H28" s="17"/>
      <c r="I28" s="17"/>
    </row>
    <row r="29" spans="2:14" ht="15.75" customHeight="1" x14ac:dyDescent="0.25">
      <c r="B29" s="3" t="s">
        <v>150</v>
      </c>
      <c r="C29" s="29">
        <v>-20</v>
      </c>
      <c r="D29" s="29">
        <v>7906</v>
      </c>
      <c r="E29" s="29">
        <v>0</v>
      </c>
      <c r="F29" s="29">
        <v>0</v>
      </c>
      <c r="G29" s="29">
        <v>0</v>
      </c>
      <c r="H29" s="29">
        <v>6000</v>
      </c>
      <c r="I29" s="15"/>
    </row>
    <row r="30" spans="2:14" ht="15.75" customHeight="1" x14ac:dyDescent="0.25">
      <c r="B30" s="43" t="s">
        <v>151</v>
      </c>
      <c r="C30" s="29">
        <v>0</v>
      </c>
      <c r="D30" s="29">
        <v>-1197</v>
      </c>
      <c r="E30" s="29">
        <v>0</v>
      </c>
      <c r="F30" s="29">
        <v>0</v>
      </c>
      <c r="G30" s="29">
        <v>0</v>
      </c>
      <c r="H30" s="29">
        <v>0</v>
      </c>
      <c r="I30" s="15"/>
    </row>
    <row r="31" spans="2:14" ht="15.75" customHeight="1" x14ac:dyDescent="0.25">
      <c r="B31" s="43" t="s">
        <v>152</v>
      </c>
      <c r="C31" s="29">
        <v>0</v>
      </c>
      <c r="D31" s="29">
        <v>0</v>
      </c>
      <c r="E31" s="29">
        <v>-4000</v>
      </c>
      <c r="F31" s="29">
        <v>-7620</v>
      </c>
      <c r="G31" s="29">
        <v>-7829</v>
      </c>
      <c r="H31" s="29">
        <v>-12596</v>
      </c>
      <c r="I31" s="15"/>
    </row>
    <row r="32" spans="2:14" ht="15.75" customHeight="1" x14ac:dyDescent="0.25">
      <c r="B32" s="43" t="s">
        <v>153</v>
      </c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29">
        <v>-351</v>
      </c>
      <c r="I32" s="15"/>
    </row>
    <row r="33" spans="2:9" ht="15.75" customHeight="1" x14ac:dyDescent="0.25">
      <c r="B33" s="43" t="s">
        <v>154</v>
      </c>
      <c r="C33" s="29">
        <v>1321</v>
      </c>
      <c r="D33" s="29">
        <v>1289</v>
      </c>
      <c r="E33" s="29">
        <v>861</v>
      </c>
      <c r="F33" s="29">
        <v>1954</v>
      </c>
      <c r="G33" s="29">
        <v>1540</v>
      </c>
      <c r="H33" s="29">
        <v>1039</v>
      </c>
      <c r="I33" s="15"/>
    </row>
    <row r="34" spans="2:9" ht="15.75" customHeight="1" x14ac:dyDescent="0.25">
      <c r="B34" s="43" t="s">
        <v>155</v>
      </c>
      <c r="C34" s="29">
        <v>-103</v>
      </c>
      <c r="D34" s="29">
        <v>-156</v>
      </c>
      <c r="E34" s="29">
        <v>-419</v>
      </c>
      <c r="F34" s="29">
        <v>-629</v>
      </c>
      <c r="G34" s="29">
        <v>-603</v>
      </c>
      <c r="H34" s="29">
        <v>-584</v>
      </c>
      <c r="I34" s="15"/>
    </row>
    <row r="35" spans="2:9" ht="15.75" customHeight="1" x14ac:dyDescent="0.25">
      <c r="B35" s="43" t="s">
        <v>156</v>
      </c>
      <c r="C35" s="29">
        <v>-4</v>
      </c>
      <c r="D35" s="29">
        <v>-4</v>
      </c>
      <c r="E35" s="29">
        <v>-4</v>
      </c>
      <c r="F35" s="29">
        <v>-1182</v>
      </c>
      <c r="G35" s="29">
        <v>-1000</v>
      </c>
      <c r="H35" s="29">
        <v>0</v>
      </c>
      <c r="I35" s="15"/>
    </row>
    <row r="36" spans="2:9" ht="15.75" customHeight="1" x14ac:dyDescent="0.25">
      <c r="B36" s="43" t="s">
        <v>157</v>
      </c>
      <c r="C36" s="29">
        <v>0</v>
      </c>
      <c r="D36" s="29">
        <v>0</v>
      </c>
      <c r="E36" s="29">
        <v>0</v>
      </c>
      <c r="F36" s="29">
        <v>0</v>
      </c>
      <c r="G36" s="29">
        <v>-1537</v>
      </c>
      <c r="H36" s="29">
        <v>-1587</v>
      </c>
      <c r="I36" s="15"/>
    </row>
    <row r="37" spans="2:9" ht="15.75" customHeight="1" x14ac:dyDescent="0.25">
      <c r="B37" s="45" t="s">
        <v>158</v>
      </c>
      <c r="C37" s="169">
        <f t="shared" ref="C37:H37" si="4">SUM(C29:C36)</f>
        <v>1194</v>
      </c>
      <c r="D37" s="169">
        <f t="shared" si="4"/>
        <v>7838</v>
      </c>
      <c r="E37" s="169">
        <f t="shared" si="4"/>
        <v>-3562</v>
      </c>
      <c r="F37" s="169">
        <f t="shared" si="4"/>
        <v>-7477</v>
      </c>
      <c r="G37" s="169">
        <f t="shared" si="4"/>
        <v>-9429</v>
      </c>
      <c r="H37" s="169">
        <f t="shared" si="4"/>
        <v>-8079</v>
      </c>
      <c r="I37" s="169">
        <f t="shared" ref="I37" si="5">SUM(I29:I36)</f>
        <v>0</v>
      </c>
    </row>
    <row r="38" spans="2:9" ht="15.75" customHeight="1" x14ac:dyDescent="0.25">
      <c r="C38" s="16"/>
      <c r="D38" s="16"/>
      <c r="E38" s="16"/>
      <c r="F38" s="16"/>
      <c r="G38" s="16"/>
    </row>
    <row r="39" spans="2:9" ht="15.75" customHeight="1" x14ac:dyDescent="0.25">
      <c r="B39" s="43" t="s">
        <v>159</v>
      </c>
      <c r="C39" s="29">
        <v>26</v>
      </c>
      <c r="D39" s="29">
        <v>-33</v>
      </c>
      <c r="E39" s="29">
        <v>-8</v>
      </c>
      <c r="F39" s="29">
        <v>26</v>
      </c>
      <c r="G39" s="29">
        <v>-124</v>
      </c>
      <c r="H39" s="29">
        <v>152</v>
      </c>
      <c r="I39" s="15"/>
    </row>
    <row r="40" spans="2:9" ht="15.75" customHeight="1" x14ac:dyDescent="0.25">
      <c r="B40" s="45" t="s">
        <v>160</v>
      </c>
      <c r="C40" s="169">
        <f t="shared" ref="C40:H40" si="6">C16+C26+C37+C39</f>
        <v>2050</v>
      </c>
      <c r="D40" s="169">
        <f t="shared" si="6"/>
        <v>-731</v>
      </c>
      <c r="E40" s="169">
        <f t="shared" si="6"/>
        <v>1552</v>
      </c>
      <c r="F40" s="169">
        <f t="shared" si="6"/>
        <v>1456</v>
      </c>
      <c r="G40" s="169">
        <f t="shared" si="6"/>
        <v>376</v>
      </c>
      <c r="H40" s="169">
        <f t="shared" si="6"/>
        <v>-1521</v>
      </c>
      <c r="I40" s="4">
        <f t="shared" ref="I40" si="7">I16+I26+I37+I39</f>
        <v>0</v>
      </c>
    </row>
    <row r="41" spans="2:9" ht="15.75" customHeight="1" x14ac:dyDescent="0.25">
      <c r="B41" s="43" t="s">
        <v>161</v>
      </c>
      <c r="C41" s="29">
        <v>4145</v>
      </c>
      <c r="D41" s="29">
        <v>6195</v>
      </c>
      <c r="E41" s="29">
        <v>5464</v>
      </c>
      <c r="F41" s="29">
        <v>7016</v>
      </c>
      <c r="G41" s="29">
        <v>8472</v>
      </c>
      <c r="H41" s="29">
        <v>8848</v>
      </c>
      <c r="I41" s="29">
        <f>H42</f>
        <v>7327</v>
      </c>
    </row>
    <row r="42" spans="2:9" ht="15.75" customHeight="1" x14ac:dyDescent="0.25">
      <c r="B42" s="45" t="s">
        <v>162</v>
      </c>
      <c r="C42" s="169">
        <f t="shared" ref="C42:H42" si="8">C41+C40</f>
        <v>6195</v>
      </c>
      <c r="D42" s="169">
        <f t="shared" si="8"/>
        <v>5464</v>
      </c>
      <c r="E42" s="169">
        <f t="shared" si="8"/>
        <v>7016</v>
      </c>
      <c r="F42" s="169">
        <f t="shared" si="8"/>
        <v>8472</v>
      </c>
      <c r="G42" s="169">
        <f t="shared" si="8"/>
        <v>8848</v>
      </c>
      <c r="H42" s="169">
        <f t="shared" si="8"/>
        <v>7327</v>
      </c>
      <c r="I42" s="169">
        <f>I41+I40</f>
        <v>7327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27"/>
  <sheetViews>
    <sheetView tabSelected="1" zoomScale="110" zoomScaleNormal="110" workbookViewId="0">
      <selection activeCell="G79" sqref="G79"/>
    </sheetView>
  </sheetViews>
  <sheetFormatPr defaultColWidth="8.875" defaultRowHeight="15.75" x14ac:dyDescent="0.25"/>
  <cols>
    <col min="1" max="1" width="2" customWidth="1"/>
    <col min="2" max="2" width="46" customWidth="1"/>
    <col min="3" max="13" width="12" customWidth="1"/>
    <col min="14" max="14" width="7" customWidth="1"/>
    <col min="15" max="15" width="17.875" customWidth="1"/>
    <col min="16" max="16" width="13.875" bestFit="1" customWidth="1"/>
  </cols>
  <sheetData>
    <row r="1" spans="2:16" ht="10.5" customHeight="1" x14ac:dyDescent="0.25"/>
    <row r="2" spans="2:16" ht="24" customHeight="1" x14ac:dyDescent="0.35">
      <c r="B2" s="48" t="s">
        <v>14</v>
      </c>
      <c r="C2" s="49"/>
      <c r="D2" s="49"/>
      <c r="E2" s="49"/>
      <c r="F2" s="50"/>
      <c r="G2" s="50"/>
      <c r="H2" s="50"/>
      <c r="I2" s="50"/>
      <c r="J2" s="50"/>
      <c r="K2" s="50"/>
      <c r="L2" s="50"/>
      <c r="M2" s="50"/>
      <c r="N2" s="51"/>
      <c r="O2" s="51"/>
    </row>
    <row r="4" spans="2:16" ht="15.75" customHeight="1" x14ac:dyDescent="0.25">
      <c r="B4" s="52" t="s">
        <v>163</v>
      </c>
      <c r="C4" s="53"/>
      <c r="D4" s="53"/>
      <c r="E4" s="53"/>
      <c r="F4" s="174">
        <f ca="1">TODAY()</f>
        <v>46261</v>
      </c>
      <c r="G4" s="54"/>
      <c r="H4" s="54"/>
      <c r="I4" s="54"/>
      <c r="K4" s="54"/>
      <c r="L4" s="54"/>
      <c r="M4" s="54"/>
      <c r="N4" s="54"/>
      <c r="O4" s="54"/>
    </row>
    <row r="5" spans="2:16" ht="15.75" customHeight="1" x14ac:dyDescent="0.25">
      <c r="B5" s="52" t="s">
        <v>164</v>
      </c>
      <c r="C5" s="53"/>
      <c r="D5" s="53"/>
      <c r="E5" s="53"/>
      <c r="F5" s="175">
        <f>Main!C3</f>
        <v>247.29</v>
      </c>
      <c r="G5" s="54"/>
      <c r="H5" s="54"/>
      <c r="I5" s="54"/>
      <c r="O5" s="54"/>
    </row>
    <row r="6" spans="2:16" ht="15.75" customHeight="1" x14ac:dyDescent="0.25">
      <c r="B6" s="52" t="s">
        <v>165</v>
      </c>
      <c r="C6" s="53"/>
      <c r="D6" s="53"/>
      <c r="E6" s="53"/>
      <c r="F6" s="176">
        <f>Main!C4</f>
        <v>929</v>
      </c>
      <c r="G6" s="54"/>
      <c r="H6" s="54"/>
      <c r="I6" s="54"/>
      <c r="J6" s="54"/>
      <c r="K6" s="54"/>
      <c r="L6" s="54"/>
      <c r="M6" s="54"/>
      <c r="N6" s="54"/>
      <c r="O6" s="54"/>
    </row>
    <row r="7" spans="2:16" ht="15.75" customHeight="1" x14ac:dyDescent="0.25">
      <c r="B7" s="52" t="s">
        <v>166</v>
      </c>
      <c r="C7" s="53"/>
      <c r="D7" s="53"/>
      <c r="E7" s="53"/>
      <c r="F7" s="176">
        <f ca="1">(DATE(YEAR(F4)+IF(MONTH(F4)=1,0,1),1,31)-F4)/365</f>
        <v>0.43013698630136987</v>
      </c>
      <c r="G7" s="54"/>
      <c r="H7" s="54"/>
      <c r="I7" s="54"/>
      <c r="J7" s="54"/>
      <c r="K7" s="54"/>
      <c r="L7" s="54"/>
      <c r="M7" s="54"/>
      <c r="N7" s="54"/>
      <c r="O7" s="54"/>
    </row>
    <row r="8" spans="2:16" ht="18.75" customHeight="1" x14ac:dyDescent="0.3">
      <c r="B8" s="177" t="s">
        <v>167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54"/>
      <c r="O8" s="54"/>
    </row>
    <row r="9" spans="2:16" ht="15.75" customHeight="1" x14ac:dyDescent="0.25">
      <c r="B9" s="55"/>
      <c r="C9" s="56"/>
      <c r="D9" s="57"/>
      <c r="E9" s="57"/>
      <c r="F9" s="57"/>
      <c r="G9" s="179"/>
      <c r="I9" s="190" t="s">
        <v>168</v>
      </c>
      <c r="J9" s="190"/>
      <c r="K9" s="190"/>
      <c r="L9" s="191"/>
      <c r="M9" s="190"/>
      <c r="N9" s="54"/>
      <c r="O9" s="54"/>
    </row>
    <row r="10" spans="2:16" ht="15.75" customHeight="1" x14ac:dyDescent="0.25">
      <c r="B10" s="55"/>
      <c r="C10" s="58" t="s">
        <v>82</v>
      </c>
      <c r="D10" s="58" t="s">
        <v>83</v>
      </c>
      <c r="E10" s="58" t="s">
        <v>84</v>
      </c>
      <c r="F10" s="58" t="s">
        <v>85</v>
      </c>
      <c r="G10" s="58" t="s">
        <v>86</v>
      </c>
      <c r="H10" s="59" t="s">
        <v>87</v>
      </c>
      <c r="I10" s="59" t="s">
        <v>88</v>
      </c>
      <c r="J10" s="59" t="s">
        <v>89</v>
      </c>
      <c r="K10" s="59" t="s">
        <v>90</v>
      </c>
      <c r="L10" s="59" t="s">
        <v>91</v>
      </c>
      <c r="M10" s="180" t="s">
        <v>92</v>
      </c>
      <c r="N10" s="60"/>
      <c r="O10" s="60"/>
    </row>
    <row r="11" spans="2:16" ht="15.75" customHeight="1" x14ac:dyDescent="0.25">
      <c r="B11" s="61" t="s">
        <v>169</v>
      </c>
      <c r="C11" s="181">
        <f>IS!C16</f>
        <v>21252</v>
      </c>
      <c r="D11" s="181">
        <f>IS!D16</f>
        <v>26492</v>
      </c>
      <c r="E11" s="181">
        <f>IS!E16</f>
        <v>31352</v>
      </c>
      <c r="F11" s="181">
        <f>IS!F16</f>
        <v>34857</v>
      </c>
      <c r="G11" s="181">
        <f>IS!G16</f>
        <v>37895</v>
      </c>
      <c r="H11" s="181">
        <f>IS!H16</f>
        <v>41525</v>
      </c>
      <c r="I11" s="63">
        <f>IS!I16</f>
        <v>47454.57</v>
      </c>
      <c r="J11" s="63">
        <f>IS!J16</f>
        <v>54270.583699999988</v>
      </c>
      <c r="K11" s="63">
        <f>IS!K16</f>
        <v>62105.977736999979</v>
      </c>
      <c r="L11" s="63">
        <f>IS!L16</f>
        <v>68118.417719369987</v>
      </c>
      <c r="M11" s="64">
        <f>IS!M16</f>
        <v>73412.227183063689</v>
      </c>
      <c r="N11" s="54"/>
      <c r="O11" s="54"/>
    </row>
    <row r="12" spans="2:16" ht="15.75" customHeight="1" x14ac:dyDescent="0.25">
      <c r="B12" s="55"/>
      <c r="C12" s="53"/>
      <c r="D12" s="53"/>
      <c r="E12" s="53"/>
      <c r="F12" s="65"/>
      <c r="G12" s="54"/>
      <c r="H12" s="54"/>
      <c r="I12" s="66"/>
      <c r="J12" s="66"/>
      <c r="K12" s="66"/>
      <c r="L12" s="66"/>
      <c r="M12" s="54"/>
      <c r="N12" s="54"/>
      <c r="O12" s="54"/>
    </row>
    <row r="13" spans="2:16" ht="15.75" customHeight="1" x14ac:dyDescent="0.25">
      <c r="B13" s="61" t="s">
        <v>170</v>
      </c>
      <c r="C13" s="182">
        <f>IS!C24</f>
        <v>455</v>
      </c>
      <c r="D13" s="182">
        <f>IS!D24</f>
        <v>548</v>
      </c>
      <c r="E13" s="182">
        <f>IS!E24</f>
        <v>1030</v>
      </c>
      <c r="F13" s="182">
        <f>IS!F24</f>
        <v>5011</v>
      </c>
      <c r="G13" s="182">
        <f>IS!G24</f>
        <v>7205</v>
      </c>
      <c r="H13" s="182">
        <f>IS!H24</f>
        <v>8331</v>
      </c>
      <c r="I13" s="63">
        <f>IS!I24</f>
        <v>9858.1226623780858</v>
      </c>
      <c r="J13" s="63">
        <f>IS!J24</f>
        <v>11762.503716536659</v>
      </c>
      <c r="K13" s="63">
        <f>IS!K24</f>
        <v>14019.686007505043</v>
      </c>
      <c r="L13" s="63">
        <f>IS!L24</f>
        <v>15989.988602517973</v>
      </c>
      <c r="M13" s="64">
        <f>IS!M24</f>
        <v>17893.357473110271</v>
      </c>
      <c r="N13" s="54"/>
      <c r="O13" s="54"/>
    </row>
    <row r="14" spans="2:16" ht="15.75" customHeight="1" x14ac:dyDescent="0.25">
      <c r="B14" s="55"/>
      <c r="C14" s="53"/>
      <c r="D14" s="53"/>
      <c r="E14" s="53"/>
      <c r="F14" s="65"/>
      <c r="G14" s="54"/>
      <c r="H14" s="54"/>
      <c r="I14" s="66"/>
      <c r="J14" s="66"/>
      <c r="K14" s="66"/>
      <c r="L14" s="66"/>
      <c r="M14" s="54"/>
      <c r="N14" s="54"/>
      <c r="O14" s="54"/>
    </row>
    <row r="15" spans="2:16" ht="15.75" customHeight="1" x14ac:dyDescent="0.25">
      <c r="B15" s="61" t="s">
        <v>171</v>
      </c>
      <c r="C15" s="182">
        <f>CFS!C5</f>
        <v>2846</v>
      </c>
      <c r="D15" s="182">
        <f>CFS!D5</f>
        <v>3298</v>
      </c>
      <c r="E15" s="182">
        <f>CFS!E5</f>
        <v>3786</v>
      </c>
      <c r="F15" s="182">
        <f>CFS!F5</f>
        <v>3959</v>
      </c>
      <c r="G15" s="182">
        <f>CFS!G5</f>
        <v>3477</v>
      </c>
      <c r="H15" s="182">
        <f>CFS!H5</f>
        <v>3631</v>
      </c>
      <c r="I15" s="63">
        <f>I11*I16</f>
        <v>5250.4708094037824</v>
      </c>
      <c r="J15" s="63">
        <f>J11*J16</f>
        <v>6004.6085240295006</v>
      </c>
      <c r="K15" s="63">
        <f>K11*K16</f>
        <v>6871.5325667812294</v>
      </c>
      <c r="L15" s="63">
        <f>L11*L16</f>
        <v>7536.7612396092827</v>
      </c>
      <c r="M15" s="67">
        <f>M11*M16</f>
        <v>8122.4791601313582</v>
      </c>
      <c r="O15" s="68" t="s">
        <v>172</v>
      </c>
      <c r="P15" s="68" t="s">
        <v>173</v>
      </c>
    </row>
    <row r="16" spans="2:16" ht="15.75" customHeight="1" x14ac:dyDescent="0.25">
      <c r="B16" s="61" t="s">
        <v>174</v>
      </c>
      <c r="C16" s="69">
        <f t="shared" ref="C16:H16" si="0">C15/C11</f>
        <v>0.1339168078298513</v>
      </c>
      <c r="D16" s="69">
        <f t="shared" si="0"/>
        <v>0.1244904121999094</v>
      </c>
      <c r="E16" s="69">
        <f t="shared" si="0"/>
        <v>0.12075784638938505</v>
      </c>
      <c r="F16" s="69">
        <f t="shared" si="0"/>
        <v>0.1135783343374358</v>
      </c>
      <c r="G16" s="69">
        <f t="shared" si="0"/>
        <v>9.1753529489378552E-2</v>
      </c>
      <c r="H16" s="70">
        <f t="shared" si="0"/>
        <v>8.7441300421432874E-2</v>
      </c>
      <c r="I16" s="183">
        <f>$P$16</f>
        <v>0.11064204795036141</v>
      </c>
      <c r="J16" s="183">
        <f>$P$16</f>
        <v>0.11064204795036141</v>
      </c>
      <c r="K16" s="183">
        <f>$P$16</f>
        <v>0.11064204795036141</v>
      </c>
      <c r="L16" s="183">
        <f>$P$16</f>
        <v>0.11064204795036141</v>
      </c>
      <c r="M16" s="183">
        <f>$P$16</f>
        <v>0.11064204795036141</v>
      </c>
      <c r="O16" s="71">
        <f>AVERAGE(C16:H16)</f>
        <v>0.11198970511123214</v>
      </c>
      <c r="P16" s="71">
        <f>GEOMEAN(C16:H16)</f>
        <v>0.11064204795036141</v>
      </c>
    </row>
    <row r="17" spans="2:16" ht="15.75" customHeight="1" x14ac:dyDescent="0.25">
      <c r="B17" s="55"/>
      <c r="C17" s="53"/>
      <c r="D17" s="53"/>
      <c r="E17" s="53"/>
      <c r="F17" s="65"/>
      <c r="G17" s="54"/>
      <c r="H17" s="54"/>
      <c r="I17" s="54"/>
      <c r="J17" s="54"/>
      <c r="K17" s="54"/>
      <c r="L17" s="54"/>
      <c r="M17" s="54"/>
      <c r="O17" s="54"/>
      <c r="P17" s="54"/>
    </row>
    <row r="18" spans="2:16" ht="18.75" customHeight="1" x14ac:dyDescent="0.3">
      <c r="B18" s="177" t="s">
        <v>175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O18" s="54"/>
      <c r="P18" s="54"/>
    </row>
    <row r="19" spans="2:16" ht="15.75" customHeight="1" x14ac:dyDescent="0.25">
      <c r="B19" s="55"/>
      <c r="C19" s="56"/>
      <c r="D19" s="57"/>
      <c r="E19" s="57"/>
      <c r="F19" s="57"/>
      <c r="G19" s="179"/>
      <c r="H19" s="179"/>
      <c r="I19" s="190" t="s">
        <v>168</v>
      </c>
      <c r="J19" s="190"/>
      <c r="K19" s="190"/>
      <c r="L19" s="190"/>
      <c r="M19" s="190"/>
      <c r="O19" s="54"/>
      <c r="P19" s="54"/>
    </row>
    <row r="20" spans="2:16" ht="15.75" customHeight="1" x14ac:dyDescent="0.25">
      <c r="B20" s="55"/>
      <c r="C20" s="58" t="s">
        <v>82</v>
      </c>
      <c r="D20" s="58" t="s">
        <v>83</v>
      </c>
      <c r="E20" s="58" t="s">
        <v>84</v>
      </c>
      <c r="F20" s="58" t="s">
        <v>85</v>
      </c>
      <c r="G20" s="58" t="s">
        <v>86</v>
      </c>
      <c r="H20" s="58" t="s">
        <v>87</v>
      </c>
      <c r="I20" s="59" t="s">
        <v>88</v>
      </c>
      <c r="J20" s="59" t="s">
        <v>89</v>
      </c>
      <c r="K20" s="59" t="s">
        <v>90</v>
      </c>
      <c r="L20" s="59" t="s">
        <v>91</v>
      </c>
      <c r="M20" s="180" t="s">
        <v>92</v>
      </c>
      <c r="O20" s="54"/>
      <c r="P20" s="54"/>
    </row>
    <row r="21" spans="2:16" ht="15.75" customHeight="1" x14ac:dyDescent="0.25">
      <c r="B21" s="74" t="s">
        <v>176</v>
      </c>
      <c r="C21" s="182">
        <f>BS!C5</f>
        <v>7786</v>
      </c>
      <c r="D21" s="182">
        <f>BS!D5</f>
        <v>9739</v>
      </c>
      <c r="E21" s="182">
        <f>BS!E5</f>
        <v>10755</v>
      </c>
      <c r="F21" s="182">
        <f>BS!F5</f>
        <v>11414</v>
      </c>
      <c r="G21" s="182">
        <f>BS!G5</f>
        <v>11945</v>
      </c>
      <c r="H21" s="182">
        <f>BS!H5</f>
        <v>14339</v>
      </c>
      <c r="I21" s="63">
        <f>I31*I11</f>
        <v>16307.278683166607</v>
      </c>
      <c r="J21" s="63">
        <f>J31*J11</f>
        <v>18649.532230384113</v>
      </c>
      <c r="K21" s="63">
        <f>K31*K11</f>
        <v>21342.085427131668</v>
      </c>
      <c r="L21" s="63">
        <f>L31*L11</f>
        <v>23408.199067152451</v>
      </c>
      <c r="M21" s="64">
        <f>M31*M11</f>
        <v>25227.362663409629</v>
      </c>
      <c r="O21" s="54"/>
      <c r="P21" s="54"/>
    </row>
    <row r="22" spans="2:16" ht="15.75" customHeight="1" x14ac:dyDescent="0.25">
      <c r="B22" s="74" t="s">
        <v>177</v>
      </c>
      <c r="C22" s="182">
        <f>BS!C7</f>
        <v>991</v>
      </c>
      <c r="D22" s="182">
        <f>BS!D7</f>
        <v>1120</v>
      </c>
      <c r="E22" s="182">
        <f>BS!E7</f>
        <v>1356</v>
      </c>
      <c r="F22" s="182">
        <f>BS!F7</f>
        <v>1561</v>
      </c>
      <c r="G22" s="182">
        <f>BS!G7</f>
        <v>1779</v>
      </c>
      <c r="H22" s="182">
        <f>BS!H7</f>
        <v>2243</v>
      </c>
      <c r="I22" s="63">
        <f>I32*I11</f>
        <v>2190.842029285684</v>
      </c>
      <c r="J22" s="63">
        <f>J32*J11</f>
        <v>2505.5179242763452</v>
      </c>
      <c r="K22" s="63">
        <f>K32*K11</f>
        <v>2867.2556994215843</v>
      </c>
      <c r="L22" s="63">
        <f>L32*L11</f>
        <v>3144.8328898151312</v>
      </c>
      <c r="M22" s="64">
        <f>M32*M11</f>
        <v>3389.2329606215985</v>
      </c>
      <c r="O22" s="54"/>
      <c r="P22" s="54"/>
    </row>
    <row r="23" spans="2:16" ht="15.75" customHeight="1" x14ac:dyDescent="0.25">
      <c r="B23" s="55"/>
      <c r="C23" s="77"/>
      <c r="D23" s="77"/>
      <c r="E23" s="77"/>
      <c r="F23" s="77"/>
      <c r="G23" s="77"/>
      <c r="H23" s="76"/>
      <c r="I23" s="76"/>
      <c r="J23" s="76"/>
      <c r="K23" s="76"/>
      <c r="L23" s="76"/>
      <c r="M23" s="54"/>
      <c r="O23" s="54"/>
      <c r="P23" s="54"/>
    </row>
    <row r="24" spans="2:16" ht="15.75" customHeight="1" x14ac:dyDescent="0.25">
      <c r="B24" s="74" t="s">
        <v>109</v>
      </c>
      <c r="C24" s="182">
        <f>BS!C18</f>
        <v>4355</v>
      </c>
      <c r="D24" s="182">
        <f>BS!D18</f>
        <v>5474</v>
      </c>
      <c r="E24" s="182">
        <f>BS!E18</f>
        <v>6743</v>
      </c>
      <c r="F24" s="182">
        <f>BS!F18</f>
        <v>6111</v>
      </c>
      <c r="G24" s="182">
        <f>BS!G18</f>
        <v>6658</v>
      </c>
      <c r="H24" s="182">
        <f>BS!H18</f>
        <v>8253</v>
      </c>
      <c r="I24" s="63">
        <f>I33*I11</f>
        <v>9275.1331723377243</v>
      </c>
      <c r="J24" s="63">
        <f>J33*J11</f>
        <v>10607.342794550681</v>
      </c>
      <c r="K24" s="63">
        <f>K33*K11</f>
        <v>12138.793256559204</v>
      </c>
      <c r="L24" s="63">
        <f>L33*L11</f>
        <v>13313.942067878528</v>
      </c>
      <c r="M24" s="64">
        <f>M33*M11</f>
        <v>14348.632462602174</v>
      </c>
      <c r="O24" s="54"/>
      <c r="P24" s="54"/>
    </row>
    <row r="25" spans="2:16" ht="15.75" customHeight="1" x14ac:dyDescent="0.25">
      <c r="B25" s="74" t="s">
        <v>111</v>
      </c>
      <c r="C25" s="182">
        <f>BS!C20</f>
        <v>12607</v>
      </c>
      <c r="D25" s="182">
        <f>BS!D20</f>
        <v>15628</v>
      </c>
      <c r="E25" s="182">
        <f>BS!E20</f>
        <v>17376</v>
      </c>
      <c r="F25" s="182">
        <f>BS!F20</f>
        <v>19003</v>
      </c>
      <c r="G25" s="182">
        <f>BS!G20</f>
        <v>20743</v>
      </c>
      <c r="H25" s="182">
        <f>BS!H20</f>
        <v>24317</v>
      </c>
      <c r="I25" s="63">
        <f>I34*I11</f>
        <v>26995.783151666641</v>
      </c>
      <c r="J25" s="63">
        <f>J34*J11</f>
        <v>30873.252230071284</v>
      </c>
      <c r="K25" s="63">
        <f>K34*K11</f>
        <v>35330.622686293173</v>
      </c>
      <c r="L25" s="63">
        <f>L34*L11</f>
        <v>38750.957671447846</v>
      </c>
      <c r="M25" s="64">
        <f>M34*M11</f>
        <v>41762.480741367472</v>
      </c>
      <c r="O25" s="54"/>
      <c r="P25" s="54"/>
    </row>
    <row r="26" spans="2:16" ht="15.75" customHeight="1" x14ac:dyDescent="0.25">
      <c r="B26" s="55"/>
      <c r="C26" s="77"/>
      <c r="D26" s="77"/>
      <c r="E26" s="77"/>
      <c r="F26" s="77"/>
      <c r="G26" s="77"/>
      <c r="H26" s="76"/>
      <c r="I26" s="76"/>
      <c r="J26" s="76"/>
      <c r="K26" s="76"/>
      <c r="L26" s="76"/>
      <c r="M26" s="54"/>
      <c r="O26" s="54"/>
      <c r="P26" s="54"/>
    </row>
    <row r="27" spans="2:16" ht="15.75" customHeight="1" x14ac:dyDescent="0.25">
      <c r="B27" s="61" t="s">
        <v>9</v>
      </c>
      <c r="C27" s="182">
        <f>BS!C21+BS!C23</f>
        <v>2673</v>
      </c>
      <c r="D27" s="182">
        <f>BS!D21+BS!D23</f>
        <v>10592</v>
      </c>
      <c r="E27" s="182">
        <f>BS!E21+BS!E23</f>
        <v>10601</v>
      </c>
      <c r="F27" s="182">
        <f>BS!F21+BS!F23</f>
        <v>9426</v>
      </c>
      <c r="G27" s="182">
        <f>BS!G21+BS!G23</f>
        <v>8433</v>
      </c>
      <c r="H27" s="182">
        <f>BS!H21+BS!H23</f>
        <v>14439</v>
      </c>
      <c r="I27" s="76"/>
      <c r="J27" s="76"/>
      <c r="K27" s="76"/>
      <c r="L27" s="76"/>
      <c r="M27" s="54"/>
      <c r="O27" s="54"/>
      <c r="P27" s="54"/>
    </row>
    <row r="28" spans="2:16" ht="15.75" customHeight="1" x14ac:dyDescent="0.25">
      <c r="B28" s="55"/>
      <c r="C28" s="77"/>
      <c r="D28" s="77"/>
      <c r="E28" s="77"/>
      <c r="F28" s="77"/>
      <c r="G28" s="77"/>
      <c r="H28" s="76"/>
      <c r="I28" s="76"/>
      <c r="J28" s="76"/>
      <c r="K28" s="76"/>
      <c r="L28" s="76"/>
      <c r="M28" s="54"/>
      <c r="O28" s="54"/>
      <c r="P28" s="54"/>
    </row>
    <row r="29" spans="2:16" ht="15.75" customHeight="1" x14ac:dyDescent="0.25">
      <c r="B29" s="61" t="s">
        <v>147</v>
      </c>
      <c r="C29" s="182">
        <f>CFS!C25</f>
        <v>-710</v>
      </c>
      <c r="D29" s="182">
        <f>CFS!D25</f>
        <v>-717</v>
      </c>
      <c r="E29" s="182">
        <f>CFS!E25</f>
        <v>-798</v>
      </c>
      <c r="F29" s="182">
        <f>CFS!F25</f>
        <v>-736</v>
      </c>
      <c r="G29" s="182">
        <f>CFS!G25</f>
        <v>-658</v>
      </c>
      <c r="H29" s="182">
        <f>CFS!H25</f>
        <v>-594</v>
      </c>
      <c r="I29" s="63">
        <f>I35*I11</f>
        <v>-1097.0670953862161</v>
      </c>
      <c r="J29" s="63">
        <f>J35*J11</f>
        <v>-1254.641473406534</v>
      </c>
      <c r="K29" s="63">
        <f>K35*K11</f>
        <v>-1435.7821512670239</v>
      </c>
      <c r="L29" s="63">
        <f>L35*L11</f>
        <v>-1574.7793030195867</v>
      </c>
      <c r="M29" s="64">
        <f>M35*M11</f>
        <v>-1697.1629674772462</v>
      </c>
      <c r="O29" s="54"/>
      <c r="P29" s="54"/>
    </row>
    <row r="30" spans="2:16" ht="15.75" customHeight="1" x14ac:dyDescent="0.25">
      <c r="B30" s="55"/>
      <c r="C30" s="78"/>
      <c r="D30" s="78"/>
      <c r="E30" s="78"/>
      <c r="F30" s="78"/>
      <c r="G30" s="78"/>
      <c r="I30" s="79"/>
      <c r="J30" s="79"/>
      <c r="K30" s="79"/>
      <c r="L30" s="79"/>
      <c r="M30" s="80"/>
      <c r="O30" s="81" t="s">
        <v>178</v>
      </c>
      <c r="P30" s="81" t="s">
        <v>179</v>
      </c>
    </row>
    <row r="31" spans="2:16" ht="15.75" customHeight="1" x14ac:dyDescent="0.25">
      <c r="B31" s="74" t="s">
        <v>180</v>
      </c>
      <c r="C31" s="82">
        <f t="shared" ref="C31:H31" si="1">C21/C11</f>
        <v>0.36636551853943156</v>
      </c>
      <c r="D31" s="82">
        <f t="shared" si="1"/>
        <v>0.3676204137097992</v>
      </c>
      <c r="E31" s="82">
        <f t="shared" si="1"/>
        <v>0.34304031640724675</v>
      </c>
      <c r="F31" s="82">
        <f t="shared" si="1"/>
        <v>0.32745216168918723</v>
      </c>
      <c r="G31" s="82">
        <f t="shared" si="1"/>
        <v>0.31521308879799448</v>
      </c>
      <c r="H31" s="83">
        <f t="shared" si="1"/>
        <v>0.34531005418422639</v>
      </c>
      <c r="I31" s="83">
        <f>$P$31</f>
        <v>0.34363979450591603</v>
      </c>
      <c r="J31" s="83">
        <f>$P$31</f>
        <v>0.34363979450591603</v>
      </c>
      <c r="K31" s="83">
        <f>$P$31</f>
        <v>0.34363979450591603</v>
      </c>
      <c r="L31" s="83">
        <f>$P$31</f>
        <v>0.34363979450591603</v>
      </c>
      <c r="M31" s="71">
        <f>$P$31</f>
        <v>0.34363979450591603</v>
      </c>
      <c r="O31" s="71">
        <f>AVERAGE(C31:H31)</f>
        <v>0.34416692555464762</v>
      </c>
      <c r="P31" s="71">
        <f>IFERROR(GEOMEAN(C31:H31),"n/a")</f>
        <v>0.34363979450591603</v>
      </c>
    </row>
    <row r="32" spans="2:16" ht="15.75" customHeight="1" x14ac:dyDescent="0.25">
      <c r="B32" s="74" t="s">
        <v>181</v>
      </c>
      <c r="C32" s="82">
        <f t="shared" ref="C32:H32" si="2">C22/C11</f>
        <v>4.6630905326557504E-2</v>
      </c>
      <c r="D32" s="82">
        <f t="shared" si="2"/>
        <v>4.2276913785293677E-2</v>
      </c>
      <c r="E32" s="82">
        <f t="shared" si="2"/>
        <v>4.3250829293187035E-2</v>
      </c>
      <c r="F32" s="82">
        <f t="shared" si="2"/>
        <v>4.4782970422009925E-2</v>
      </c>
      <c r="G32" s="82">
        <f t="shared" si="2"/>
        <v>4.6945507322865815E-2</v>
      </c>
      <c r="H32" s="83">
        <f t="shared" si="2"/>
        <v>5.4015653220951233E-2</v>
      </c>
      <c r="I32" s="83">
        <f>$P$32</f>
        <v>4.6167145319948824E-2</v>
      </c>
      <c r="J32" s="83">
        <f>$P$32</f>
        <v>4.6167145319948824E-2</v>
      </c>
      <c r="K32" s="83">
        <f>$P$32</f>
        <v>4.6167145319948824E-2</v>
      </c>
      <c r="L32" s="83">
        <f>$P$32</f>
        <v>4.6167145319948824E-2</v>
      </c>
      <c r="M32" s="71">
        <f>$P$32</f>
        <v>4.6167145319948824E-2</v>
      </c>
      <c r="O32" s="71">
        <f>AVERAGE(C32:H32)</f>
        <v>4.63171298951442E-2</v>
      </c>
      <c r="P32" s="71">
        <f>IFERROR(GEOMEAN(C32:H32),"n/a")</f>
        <v>4.6167145319948824E-2</v>
      </c>
    </row>
    <row r="33" spans="2:16" ht="15.75" customHeight="1" x14ac:dyDescent="0.25">
      <c r="B33" s="74" t="s">
        <v>182</v>
      </c>
      <c r="C33" s="82">
        <f t="shared" ref="C33:H33" si="3">C24/C11</f>
        <v>0.2049218897044984</v>
      </c>
      <c r="D33" s="82">
        <f t="shared" si="3"/>
        <v>0.20662841612562283</v>
      </c>
      <c r="E33" s="82">
        <f t="shared" si="3"/>
        <v>0.21507399846899719</v>
      </c>
      <c r="F33" s="82">
        <f t="shared" si="3"/>
        <v>0.1753162922798864</v>
      </c>
      <c r="G33" s="82">
        <f t="shared" si="3"/>
        <v>0.17569600211109646</v>
      </c>
      <c r="H33" s="83">
        <f t="shared" si="3"/>
        <v>0.19874774232390127</v>
      </c>
      <c r="I33" s="83">
        <f>$P$33</f>
        <v>0.1954528967881855</v>
      </c>
      <c r="J33" s="83">
        <f>$P$33</f>
        <v>0.1954528967881855</v>
      </c>
      <c r="K33" s="83">
        <f>$P$33</f>
        <v>0.1954528967881855</v>
      </c>
      <c r="L33" s="83">
        <f>$P$33</f>
        <v>0.1954528967881855</v>
      </c>
      <c r="M33" s="71">
        <f>$P$33</f>
        <v>0.1954528967881855</v>
      </c>
      <c r="O33" s="71">
        <f>AVERAGE(C33:H33)</f>
        <v>0.19606405683566711</v>
      </c>
      <c r="P33" s="71">
        <f>IFERROR(GEOMEAN(C33:H33),"n/a")</f>
        <v>0.1954528967881855</v>
      </c>
    </row>
    <row r="34" spans="2:16" ht="15.75" customHeight="1" x14ac:dyDescent="0.25">
      <c r="B34" s="74" t="s">
        <v>183</v>
      </c>
      <c r="C34" s="82">
        <f t="shared" ref="C34:H34" si="4">C25/C11</f>
        <v>0.5932147562582345</v>
      </c>
      <c r="D34" s="82">
        <f t="shared" si="4"/>
        <v>0.58991393628265132</v>
      </c>
      <c r="E34" s="82">
        <f t="shared" si="4"/>
        <v>0.55422301607552948</v>
      </c>
      <c r="F34" s="82">
        <f t="shared" si="4"/>
        <v>0.5451702670912586</v>
      </c>
      <c r="G34" s="82">
        <f t="shared" si="4"/>
        <v>0.54738092096582658</v>
      </c>
      <c r="H34" s="83">
        <f t="shared" si="4"/>
        <v>0.58559903672486457</v>
      </c>
      <c r="I34" s="83">
        <f>$P$34</f>
        <v>0.56887636220635107</v>
      </c>
      <c r="J34" s="83">
        <f>$P$34</f>
        <v>0.56887636220635107</v>
      </c>
      <c r="K34" s="83">
        <f>$P$34</f>
        <v>0.56887636220635107</v>
      </c>
      <c r="L34" s="83">
        <f>$P$34</f>
        <v>0.56887636220635107</v>
      </c>
      <c r="M34" s="71">
        <f>$P$34</f>
        <v>0.56887636220635107</v>
      </c>
      <c r="O34" s="71">
        <f>AVERAGE(C34:H34)</f>
        <v>0.56925032223306082</v>
      </c>
      <c r="P34" s="71">
        <f>IFERROR(GEOMEAN(C34:H34),"n/a")</f>
        <v>0.56887636220635107</v>
      </c>
    </row>
    <row r="35" spans="2:16" ht="15.75" customHeight="1" x14ac:dyDescent="0.25">
      <c r="B35" s="61" t="s">
        <v>184</v>
      </c>
      <c r="C35" s="69">
        <f t="shared" ref="C35:H35" si="5">C29/C11</f>
        <v>-3.3408620365142104E-2</v>
      </c>
      <c r="D35" s="69">
        <f t="shared" si="5"/>
        <v>-2.7064774271478183E-2</v>
      </c>
      <c r="E35" s="69">
        <f t="shared" si="5"/>
        <v>-2.5452921663689718E-2</v>
      </c>
      <c r="F35" s="69">
        <f t="shared" si="5"/>
        <v>-2.1114840634592763E-2</v>
      </c>
      <c r="G35" s="69">
        <f t="shared" si="5"/>
        <v>-1.7363768307164535E-2</v>
      </c>
      <c r="H35" s="83">
        <f t="shared" si="5"/>
        <v>-1.4304635761589404E-2</v>
      </c>
      <c r="I35" s="83">
        <f>$O$35</f>
        <v>-2.3118260167276115E-2</v>
      </c>
      <c r="J35" s="83">
        <f>$O$35</f>
        <v>-2.3118260167276115E-2</v>
      </c>
      <c r="K35" s="83">
        <f>$O$35</f>
        <v>-2.3118260167276115E-2</v>
      </c>
      <c r="L35" s="83">
        <f>$O$35</f>
        <v>-2.3118260167276115E-2</v>
      </c>
      <c r="M35" s="71">
        <f>$O$35</f>
        <v>-2.3118260167276115E-2</v>
      </c>
      <c r="O35" s="71">
        <f>AVERAGE(C35:H35)</f>
        <v>-2.3118260167276115E-2</v>
      </c>
      <c r="P35" s="71" t="str">
        <f>IFERROR(GEOMEAN(C35:H35),"n/a")</f>
        <v>n/a</v>
      </c>
    </row>
    <row r="36" spans="2:16" ht="15.75" customHeight="1" x14ac:dyDescent="0.25">
      <c r="B36" s="84" t="s">
        <v>185</v>
      </c>
      <c r="C36" s="85"/>
      <c r="D36" s="69">
        <f t="shared" ref="D36:H37" si="6">((D21/C21)-1)</f>
        <v>0.25083483174929366</v>
      </c>
      <c r="E36" s="69">
        <f t="shared" si="6"/>
        <v>0.1043228257521307</v>
      </c>
      <c r="F36" s="69">
        <f t="shared" si="6"/>
        <v>6.1273826127382636E-2</v>
      </c>
      <c r="G36" s="69">
        <f t="shared" si="6"/>
        <v>4.6521815314525927E-2</v>
      </c>
      <c r="H36" s="83">
        <f t="shared" si="6"/>
        <v>0.20041858518208455</v>
      </c>
      <c r="I36" s="79"/>
      <c r="J36" s="79"/>
      <c r="K36" s="79"/>
      <c r="L36" s="79"/>
      <c r="M36" s="54"/>
      <c r="N36" s="60"/>
      <c r="O36" s="60"/>
    </row>
    <row r="37" spans="2:16" ht="15.75" customHeight="1" x14ac:dyDescent="0.25">
      <c r="B37" s="84" t="s">
        <v>186</v>
      </c>
      <c r="C37" s="184"/>
      <c r="D37" s="69">
        <f t="shared" si="6"/>
        <v>0.13017154389505547</v>
      </c>
      <c r="E37" s="69">
        <f t="shared" si="6"/>
        <v>0.21071428571428563</v>
      </c>
      <c r="F37" s="69">
        <f t="shared" si="6"/>
        <v>0.15117994100294996</v>
      </c>
      <c r="G37" s="69">
        <f t="shared" si="6"/>
        <v>0.13965406790518897</v>
      </c>
      <c r="H37" s="83">
        <f t="shared" si="6"/>
        <v>0.26082068577852735</v>
      </c>
      <c r="I37" s="79"/>
      <c r="J37" s="79"/>
      <c r="K37" s="79"/>
      <c r="L37" s="79"/>
      <c r="M37" s="54"/>
      <c r="N37" s="54"/>
      <c r="O37" s="54"/>
    </row>
    <row r="38" spans="2:16" ht="15.75" customHeight="1" x14ac:dyDescent="0.25">
      <c r="B38" s="84" t="s">
        <v>187</v>
      </c>
      <c r="C38" s="184"/>
      <c r="D38" s="69">
        <f t="shared" ref="D38:H39" si="7">((D24/C24)-1)</f>
        <v>0.25694603903559132</v>
      </c>
      <c r="E38" s="69">
        <f t="shared" si="7"/>
        <v>0.231823164048228</v>
      </c>
      <c r="F38" s="69">
        <f t="shared" si="7"/>
        <v>-9.3726827821444481E-2</v>
      </c>
      <c r="G38" s="69">
        <f t="shared" si="7"/>
        <v>8.9510718376697662E-2</v>
      </c>
      <c r="H38" s="83">
        <f t="shared" si="7"/>
        <v>0.23956142985881645</v>
      </c>
      <c r="I38" s="79"/>
      <c r="J38" s="79"/>
      <c r="K38" s="79"/>
      <c r="L38" s="79"/>
      <c r="M38" s="54"/>
      <c r="N38" s="54"/>
      <c r="O38" s="54"/>
    </row>
    <row r="39" spans="2:16" ht="15.75" customHeight="1" x14ac:dyDescent="0.25">
      <c r="B39" s="84" t="s">
        <v>188</v>
      </c>
      <c r="C39" s="184"/>
      <c r="D39" s="69">
        <f t="shared" si="7"/>
        <v>0.2396287776632029</v>
      </c>
      <c r="E39" s="69">
        <f t="shared" si="7"/>
        <v>0.11185052469925783</v>
      </c>
      <c r="F39" s="69">
        <f t="shared" si="7"/>
        <v>9.36348987108655E-2</v>
      </c>
      <c r="G39" s="69">
        <f t="shared" si="7"/>
        <v>9.1564489817397288E-2</v>
      </c>
      <c r="H39" s="83">
        <f t="shared" si="7"/>
        <v>0.17229908884925038</v>
      </c>
      <c r="I39" s="79"/>
      <c r="J39" s="79"/>
      <c r="K39" s="79"/>
      <c r="L39" s="79"/>
      <c r="M39" s="54"/>
      <c r="N39" s="54"/>
      <c r="O39" s="54"/>
    </row>
    <row r="40" spans="2:16" ht="15.75" customHeight="1" x14ac:dyDescent="0.25">
      <c r="B40" s="84" t="s">
        <v>189</v>
      </c>
      <c r="C40" s="184"/>
      <c r="D40" s="69">
        <f>((D29/C29)-1)</f>
        <v>9.8591549295774517E-3</v>
      </c>
      <c r="E40" s="69">
        <f>((E29/D29)-1)</f>
        <v>0.11297071129707104</v>
      </c>
      <c r="F40" s="69">
        <f>((F29/E29)-1)</f>
        <v>-7.7694235588972482E-2</v>
      </c>
      <c r="G40" s="69">
        <f>((G29/F29)-1)</f>
        <v>-0.10597826086956519</v>
      </c>
      <c r="H40" s="83">
        <f>((H29/G29)-1)</f>
        <v>-9.7264437689969618E-2</v>
      </c>
      <c r="I40" s="79"/>
      <c r="J40" s="79"/>
      <c r="K40" s="79"/>
      <c r="L40" s="79"/>
      <c r="M40" s="54"/>
      <c r="N40" s="54"/>
      <c r="O40" s="54"/>
    </row>
    <row r="41" spans="2:16" ht="15.75" customHeight="1" x14ac:dyDescent="0.25">
      <c r="B41" s="55"/>
      <c r="C41" s="53"/>
      <c r="D41" s="53"/>
      <c r="E41" s="53"/>
      <c r="F41" s="65"/>
      <c r="G41" s="54"/>
      <c r="H41" s="54"/>
      <c r="I41" s="54"/>
      <c r="J41" s="54"/>
      <c r="K41" s="54"/>
      <c r="L41" s="54"/>
      <c r="M41" s="86"/>
      <c r="N41" s="86"/>
      <c r="O41" s="86"/>
    </row>
    <row r="42" spans="2:16" ht="18.75" customHeight="1" x14ac:dyDescent="0.3">
      <c r="B42" s="177" t="s">
        <v>190</v>
      </c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86"/>
      <c r="O42" s="86"/>
    </row>
    <row r="43" spans="2:16" ht="15.75" customHeight="1" x14ac:dyDescent="0.25">
      <c r="B43" s="55" t="s">
        <v>191</v>
      </c>
      <c r="C43" s="56"/>
      <c r="D43" s="57"/>
      <c r="E43" s="57"/>
      <c r="F43" s="57"/>
      <c r="G43" s="179"/>
      <c r="H43" s="179"/>
      <c r="I43" s="190" t="s">
        <v>168</v>
      </c>
      <c r="J43" s="190"/>
      <c r="K43" s="190"/>
      <c r="L43" s="190"/>
      <c r="M43" s="190"/>
      <c r="N43" s="86"/>
      <c r="O43" s="86"/>
    </row>
    <row r="44" spans="2:16" ht="15.75" customHeight="1" x14ac:dyDescent="0.25">
      <c r="B44" s="88"/>
      <c r="C44" s="58" t="s">
        <v>82</v>
      </c>
      <c r="D44" s="58" t="s">
        <v>83</v>
      </c>
      <c r="E44" s="58" t="s">
        <v>84</v>
      </c>
      <c r="F44" s="58" t="s">
        <v>85</v>
      </c>
      <c r="G44" s="58" t="s">
        <v>86</v>
      </c>
      <c r="H44" s="59" t="s">
        <v>87</v>
      </c>
      <c r="I44" s="59" t="s">
        <v>88</v>
      </c>
      <c r="J44" s="59" t="s">
        <v>89</v>
      </c>
      <c r="K44" s="59" t="s">
        <v>90</v>
      </c>
      <c r="L44" s="59" t="s">
        <v>91</v>
      </c>
      <c r="M44" s="180" t="s">
        <v>92</v>
      </c>
      <c r="N44" s="86"/>
      <c r="O44" s="86"/>
    </row>
    <row r="45" spans="2:16" ht="15.75" customHeight="1" x14ac:dyDescent="0.25">
      <c r="B45" s="90" t="s">
        <v>192</v>
      </c>
      <c r="C45" s="91"/>
      <c r="D45" s="91"/>
      <c r="E45" s="91"/>
      <c r="F45" s="91"/>
      <c r="G45" s="91"/>
      <c r="H45" s="92"/>
      <c r="I45" s="93">
        <f ca="1">$F$7/2</f>
        <v>0.21506849315068494</v>
      </c>
      <c r="J45" s="93">
        <f ca="1">I45+1</f>
        <v>1.215068493150685</v>
      </c>
      <c r="K45" s="93">
        <f ca="1">J45+1</f>
        <v>2.2150684931506852</v>
      </c>
      <c r="L45" s="93">
        <f ca="1">K45+1</f>
        <v>3.2150684931506852</v>
      </c>
      <c r="M45" s="93">
        <f ca="1">L45+1</f>
        <v>4.2150684931506852</v>
      </c>
      <c r="N45" s="86"/>
      <c r="O45" s="86"/>
    </row>
    <row r="46" spans="2:16" ht="15.75" customHeight="1" x14ac:dyDescent="0.25">
      <c r="B46" s="87" t="s">
        <v>193</v>
      </c>
      <c r="C46" s="62">
        <f t="shared" ref="C46:M46" si="8">C11</f>
        <v>21252</v>
      </c>
      <c r="D46" s="62">
        <f t="shared" si="8"/>
        <v>26492</v>
      </c>
      <c r="E46" s="62">
        <f t="shared" si="8"/>
        <v>31352</v>
      </c>
      <c r="F46" s="62">
        <f t="shared" si="8"/>
        <v>34857</v>
      </c>
      <c r="G46" s="62">
        <f t="shared" si="8"/>
        <v>37895</v>
      </c>
      <c r="H46" s="62">
        <f t="shared" si="8"/>
        <v>41525</v>
      </c>
      <c r="I46" s="62">
        <f t="shared" si="8"/>
        <v>47454.57</v>
      </c>
      <c r="J46" s="62">
        <f t="shared" si="8"/>
        <v>54270.583699999988</v>
      </c>
      <c r="K46" s="62">
        <f t="shared" si="8"/>
        <v>62105.977736999979</v>
      </c>
      <c r="L46" s="62">
        <f t="shared" si="8"/>
        <v>68118.417719369987</v>
      </c>
      <c r="M46" s="62">
        <f t="shared" si="8"/>
        <v>73412.227183063689</v>
      </c>
      <c r="N46" s="86"/>
      <c r="O46" s="86"/>
    </row>
    <row r="47" spans="2:16" ht="15.75" customHeight="1" x14ac:dyDescent="0.25">
      <c r="B47" s="87" t="s">
        <v>170</v>
      </c>
      <c r="C47" s="62">
        <f t="shared" ref="C47:M47" si="9">C13</f>
        <v>455</v>
      </c>
      <c r="D47" s="62">
        <f t="shared" si="9"/>
        <v>548</v>
      </c>
      <c r="E47" s="62">
        <f t="shared" si="9"/>
        <v>1030</v>
      </c>
      <c r="F47" s="62">
        <f t="shared" si="9"/>
        <v>5011</v>
      </c>
      <c r="G47" s="62">
        <f t="shared" si="9"/>
        <v>7205</v>
      </c>
      <c r="H47" s="62">
        <f t="shared" si="9"/>
        <v>8331</v>
      </c>
      <c r="I47" s="62">
        <f t="shared" si="9"/>
        <v>9858.1226623780858</v>
      </c>
      <c r="J47" s="62">
        <f t="shared" si="9"/>
        <v>11762.503716536659</v>
      </c>
      <c r="K47" s="62">
        <f t="shared" si="9"/>
        <v>14019.686007505043</v>
      </c>
      <c r="L47" s="62">
        <f t="shared" si="9"/>
        <v>15989.988602517973</v>
      </c>
      <c r="M47" s="62">
        <f t="shared" si="9"/>
        <v>17893.357473110271</v>
      </c>
      <c r="N47" s="86"/>
      <c r="O47" s="86"/>
    </row>
    <row r="48" spans="2:16" ht="15.75" customHeight="1" x14ac:dyDescent="0.25">
      <c r="B48" s="87" t="s">
        <v>194</v>
      </c>
      <c r="C48" s="70">
        <f>IS!C11</f>
        <v>0.59000390472471687</v>
      </c>
      <c r="D48" s="70">
        <f>IS!D11</f>
        <v>-5.7441253263707574E-2</v>
      </c>
      <c r="E48" s="70">
        <f>IS!E11</f>
        <v>-0.68484848484848482</v>
      </c>
      <c r="F48" s="70">
        <f>IS!F11</f>
        <v>-0.16444444444444445</v>
      </c>
      <c r="G48" s="70">
        <f>IS!G11</f>
        <v>-0.16684592632428072</v>
      </c>
      <c r="H48" s="186">
        <f>IS!H11</f>
        <v>-0.21670168067226891</v>
      </c>
      <c r="I48" s="187">
        <f>-IS!I11</f>
        <v>-0.21299999999999999</v>
      </c>
      <c r="J48" s="187">
        <f>-IS!J11</f>
        <v>-0.21299999999999999</v>
      </c>
      <c r="K48" s="187">
        <f>-IS!K11</f>
        <v>-0.21299999999999999</v>
      </c>
      <c r="L48" s="187">
        <f>-IS!L11</f>
        <v>-0.21299999999999999</v>
      </c>
      <c r="M48" s="187">
        <f>-IS!M11</f>
        <v>-0.21299999999999999</v>
      </c>
      <c r="N48" s="60"/>
      <c r="O48" s="60"/>
    </row>
    <row r="49" spans="2:15" ht="15.75" customHeight="1" x14ac:dyDescent="0.25">
      <c r="B49" s="87" t="s">
        <v>195</v>
      </c>
      <c r="C49" s="62">
        <f t="shared" ref="C49:M49" si="10">C47*(1-C48)</f>
        <v>186.54822335025383</v>
      </c>
      <c r="D49" s="62">
        <f t="shared" si="10"/>
        <v>579.47780678851177</v>
      </c>
      <c r="E49" s="62">
        <f t="shared" si="10"/>
        <v>1735.3939393939393</v>
      </c>
      <c r="F49" s="62">
        <f t="shared" si="10"/>
        <v>5835.0311111111105</v>
      </c>
      <c r="G49" s="62">
        <f t="shared" si="10"/>
        <v>8407.1248991664434</v>
      </c>
      <c r="H49" s="185">
        <f t="shared" si="10"/>
        <v>10136.341701680671</v>
      </c>
      <c r="I49" s="185">
        <f t="shared" si="10"/>
        <v>11957.902789464619</v>
      </c>
      <c r="J49" s="185">
        <f t="shared" si="10"/>
        <v>14267.917008158969</v>
      </c>
      <c r="K49" s="185">
        <f t="shared" si="10"/>
        <v>17005.879127103617</v>
      </c>
      <c r="L49" s="185">
        <f t="shared" si="10"/>
        <v>19395.856174854303</v>
      </c>
      <c r="M49" s="62">
        <f t="shared" si="10"/>
        <v>21704.64261488276</v>
      </c>
      <c r="N49" s="86"/>
      <c r="O49" s="86"/>
    </row>
    <row r="50" spans="2:15" ht="15.75" customHeight="1" x14ac:dyDescent="0.25">
      <c r="B50" s="95" t="s">
        <v>171</v>
      </c>
      <c r="C50" s="96">
        <f t="shared" ref="C50:M50" si="11">C15</f>
        <v>2846</v>
      </c>
      <c r="D50" s="96">
        <f t="shared" si="11"/>
        <v>3298</v>
      </c>
      <c r="E50" s="96">
        <f t="shared" si="11"/>
        <v>3786</v>
      </c>
      <c r="F50" s="96">
        <f t="shared" si="11"/>
        <v>3959</v>
      </c>
      <c r="G50" s="96">
        <f t="shared" si="11"/>
        <v>3477</v>
      </c>
      <c r="H50" s="96">
        <f t="shared" si="11"/>
        <v>3631</v>
      </c>
      <c r="I50" s="96">
        <f t="shared" si="11"/>
        <v>5250.4708094037824</v>
      </c>
      <c r="J50" s="96">
        <f t="shared" si="11"/>
        <v>6004.6085240295006</v>
      </c>
      <c r="K50" s="96">
        <f t="shared" si="11"/>
        <v>6871.5325667812294</v>
      </c>
      <c r="L50" s="96">
        <f t="shared" si="11"/>
        <v>7536.7612396092827</v>
      </c>
      <c r="M50" s="62">
        <f t="shared" si="11"/>
        <v>8122.4791601313582</v>
      </c>
      <c r="N50" s="86"/>
      <c r="O50" s="86"/>
    </row>
    <row r="51" spans="2:15" ht="15.75" customHeight="1" x14ac:dyDescent="0.25">
      <c r="B51" s="74" t="s">
        <v>196</v>
      </c>
      <c r="C51" s="97">
        <v>0</v>
      </c>
      <c r="D51" s="62">
        <f t="shared" ref="D51:M51" si="12">(D21-C21)*-1</f>
        <v>-1953</v>
      </c>
      <c r="E51" s="62">
        <f t="shared" si="12"/>
        <v>-1016</v>
      </c>
      <c r="F51" s="62">
        <f t="shared" si="12"/>
        <v>-659</v>
      </c>
      <c r="G51" s="62">
        <f t="shared" si="12"/>
        <v>-531</v>
      </c>
      <c r="H51" s="62">
        <f t="shared" si="12"/>
        <v>-2394</v>
      </c>
      <c r="I51" s="62">
        <f t="shared" si="12"/>
        <v>-1968.2786831666072</v>
      </c>
      <c r="J51" s="62">
        <f t="shared" si="12"/>
        <v>-2342.2535472175059</v>
      </c>
      <c r="K51" s="62">
        <f t="shared" si="12"/>
        <v>-2692.5531967475545</v>
      </c>
      <c r="L51" s="62">
        <f t="shared" si="12"/>
        <v>-2066.1136400207834</v>
      </c>
      <c r="M51" s="62">
        <f t="shared" si="12"/>
        <v>-1819.1635962571781</v>
      </c>
      <c r="N51" s="86"/>
      <c r="O51" s="86"/>
    </row>
    <row r="52" spans="2:15" ht="15.75" customHeight="1" x14ac:dyDescent="0.25">
      <c r="B52" s="74" t="s">
        <v>197</v>
      </c>
      <c r="C52" s="97">
        <v>0</v>
      </c>
      <c r="D52" s="62">
        <f t="shared" ref="D52:M52" si="13">(D22-C22)*-1</f>
        <v>-129</v>
      </c>
      <c r="E52" s="62">
        <f t="shared" si="13"/>
        <v>-236</v>
      </c>
      <c r="F52" s="62">
        <f t="shared" si="13"/>
        <v>-205</v>
      </c>
      <c r="G52" s="62">
        <f t="shared" si="13"/>
        <v>-218</v>
      </c>
      <c r="H52" s="62">
        <f t="shared" si="13"/>
        <v>-464</v>
      </c>
      <c r="I52" s="62">
        <f t="shared" si="13"/>
        <v>52.157970714315979</v>
      </c>
      <c r="J52" s="62">
        <f t="shared" si="13"/>
        <v>-314.67589499066116</v>
      </c>
      <c r="K52" s="62">
        <f t="shared" si="13"/>
        <v>-361.73777514523908</v>
      </c>
      <c r="L52" s="62">
        <f t="shared" si="13"/>
        <v>-277.57719039354697</v>
      </c>
      <c r="M52" s="62">
        <f t="shared" si="13"/>
        <v>-244.40007080646728</v>
      </c>
      <c r="N52" s="86"/>
      <c r="O52" s="86"/>
    </row>
    <row r="53" spans="2:15" ht="15.75" customHeight="1" x14ac:dyDescent="0.25">
      <c r="B53" s="74" t="s">
        <v>198</v>
      </c>
      <c r="C53" s="97">
        <v>0</v>
      </c>
      <c r="D53" s="62">
        <f t="shared" ref="D53:M53" si="14">(D24-C24)</f>
        <v>1119</v>
      </c>
      <c r="E53" s="62">
        <f t="shared" si="14"/>
        <v>1269</v>
      </c>
      <c r="F53" s="62">
        <f t="shared" si="14"/>
        <v>-632</v>
      </c>
      <c r="G53" s="62">
        <f t="shared" si="14"/>
        <v>547</v>
      </c>
      <c r="H53" s="62">
        <f t="shared" si="14"/>
        <v>1595</v>
      </c>
      <c r="I53" s="62">
        <f t="shared" si="14"/>
        <v>1022.1331723377243</v>
      </c>
      <c r="J53" s="62">
        <f t="shared" si="14"/>
        <v>1332.2096222129567</v>
      </c>
      <c r="K53" s="62">
        <f t="shared" si="14"/>
        <v>1531.4504620085227</v>
      </c>
      <c r="L53" s="62">
        <f t="shared" si="14"/>
        <v>1175.1488113193245</v>
      </c>
      <c r="M53" s="62">
        <f t="shared" si="14"/>
        <v>1034.690394723646</v>
      </c>
      <c r="N53" s="86"/>
      <c r="O53" s="86"/>
    </row>
    <row r="54" spans="2:15" ht="15.75" customHeight="1" x14ac:dyDescent="0.25">
      <c r="B54" s="74" t="s">
        <v>199</v>
      </c>
      <c r="C54" s="97">
        <v>0</v>
      </c>
      <c r="D54" s="62">
        <f t="shared" ref="D54:M54" si="15">(D25-C25)</f>
        <v>3021</v>
      </c>
      <c r="E54" s="62">
        <f t="shared" si="15"/>
        <v>1748</v>
      </c>
      <c r="F54" s="62">
        <f t="shared" si="15"/>
        <v>1627</v>
      </c>
      <c r="G54" s="62">
        <f t="shared" si="15"/>
        <v>1740</v>
      </c>
      <c r="H54" s="62">
        <f t="shared" si="15"/>
        <v>3574</v>
      </c>
      <c r="I54" s="62">
        <f t="shared" si="15"/>
        <v>2678.7831516666411</v>
      </c>
      <c r="J54" s="62">
        <f t="shared" si="15"/>
        <v>3877.4690784046434</v>
      </c>
      <c r="K54" s="62">
        <f t="shared" si="15"/>
        <v>4457.3704562218882</v>
      </c>
      <c r="L54" s="62">
        <f t="shared" si="15"/>
        <v>3420.3349851546736</v>
      </c>
      <c r="M54" s="62">
        <f t="shared" si="15"/>
        <v>3011.5230699196254</v>
      </c>
      <c r="N54" s="86"/>
      <c r="O54" s="86"/>
    </row>
    <row r="55" spans="2:15" ht="15.75" customHeight="1" x14ac:dyDescent="0.25">
      <c r="B55" s="75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86"/>
      <c r="N55" s="86"/>
      <c r="O55" s="86"/>
    </row>
    <row r="56" spans="2:15" ht="15.75" customHeight="1" x14ac:dyDescent="0.25">
      <c r="B56" s="95" t="s">
        <v>147</v>
      </c>
      <c r="C56" s="99">
        <f t="shared" ref="C56:M56" si="16">C29</f>
        <v>-710</v>
      </c>
      <c r="D56" s="99">
        <f t="shared" si="16"/>
        <v>-717</v>
      </c>
      <c r="E56" s="99">
        <f t="shared" si="16"/>
        <v>-798</v>
      </c>
      <c r="F56" s="99">
        <f t="shared" si="16"/>
        <v>-736</v>
      </c>
      <c r="G56" s="99">
        <f t="shared" si="16"/>
        <v>-658</v>
      </c>
      <c r="H56" s="99">
        <f t="shared" si="16"/>
        <v>-594</v>
      </c>
      <c r="I56" s="99">
        <f t="shared" si="16"/>
        <v>-1097.0670953862161</v>
      </c>
      <c r="J56" s="99">
        <f t="shared" si="16"/>
        <v>-1254.641473406534</v>
      </c>
      <c r="K56" s="99">
        <f t="shared" si="16"/>
        <v>-1435.7821512670239</v>
      </c>
      <c r="L56" s="99">
        <f t="shared" si="16"/>
        <v>-1574.7793030195867</v>
      </c>
      <c r="M56" s="62">
        <f t="shared" si="16"/>
        <v>-1697.1629674772462</v>
      </c>
      <c r="N56" s="86"/>
      <c r="O56" s="86"/>
    </row>
    <row r="57" spans="2:15" ht="15.75" customHeight="1" x14ac:dyDescent="0.25">
      <c r="B57" s="89" t="s">
        <v>200</v>
      </c>
      <c r="C57" s="62">
        <f t="shared" ref="C57:M57" si="17">SUM(C49:C56)</f>
        <v>2322.5482233502539</v>
      </c>
      <c r="D57" s="62">
        <f t="shared" si="17"/>
        <v>5218.4778067885118</v>
      </c>
      <c r="E57" s="62">
        <f t="shared" si="17"/>
        <v>6488.393939393939</v>
      </c>
      <c r="F57" s="62">
        <f t="shared" si="17"/>
        <v>9189.0311111111114</v>
      </c>
      <c r="G57" s="62">
        <f t="shared" si="17"/>
        <v>12764.124899166443</v>
      </c>
      <c r="H57" s="62">
        <f t="shared" si="17"/>
        <v>15484.341701680671</v>
      </c>
      <c r="I57" s="62">
        <f t="shared" si="17"/>
        <v>17896.10211503426</v>
      </c>
      <c r="J57" s="62">
        <f t="shared" si="17"/>
        <v>21570.633317191368</v>
      </c>
      <c r="K57" s="62">
        <f t="shared" si="17"/>
        <v>25376.15948895544</v>
      </c>
      <c r="L57" s="62">
        <f t="shared" si="17"/>
        <v>27609.631077503673</v>
      </c>
      <c r="M57" s="62">
        <f t="shared" si="17"/>
        <v>30112.6086051165</v>
      </c>
      <c r="N57" s="100"/>
      <c r="O57" s="86"/>
    </row>
    <row r="58" spans="2:15" ht="15.75" customHeight="1" x14ac:dyDescent="0.25">
      <c r="B58" s="74" t="s">
        <v>201</v>
      </c>
      <c r="C58" s="101"/>
      <c r="D58" s="102"/>
      <c r="E58" s="102"/>
      <c r="F58" s="103"/>
      <c r="G58" s="103"/>
      <c r="H58" s="104"/>
      <c r="I58" s="70">
        <f>$E$85</f>
        <v>9.3283418832081938E-2</v>
      </c>
      <c r="J58" s="70">
        <f>$E$85</f>
        <v>9.3283418832081938E-2</v>
      </c>
      <c r="K58" s="70">
        <f>$E$85</f>
        <v>9.3283418832081938E-2</v>
      </c>
      <c r="L58" s="70">
        <f>$E$85</f>
        <v>9.3283418832081938E-2</v>
      </c>
      <c r="M58" s="70">
        <f>$E$85</f>
        <v>9.3283418832081938E-2</v>
      </c>
      <c r="N58" s="100"/>
      <c r="O58" s="86"/>
    </row>
    <row r="59" spans="2:15" ht="15.75" customHeight="1" x14ac:dyDescent="0.25">
      <c r="B59" s="74" t="s">
        <v>202</v>
      </c>
      <c r="C59" s="105"/>
      <c r="E59" s="105"/>
      <c r="F59" s="105"/>
      <c r="G59" s="105"/>
      <c r="H59" s="106"/>
      <c r="I59" s="62">
        <f ca="1">I57/(1+I58)^I45</f>
        <v>17556.108351635583</v>
      </c>
      <c r="J59" s="62">
        <f ca="1">J57/(1+J58)^J45</f>
        <v>19355.301382217189</v>
      </c>
      <c r="K59" s="62">
        <f ca="1">K57/(1+K58)^K45</f>
        <v>20827.165859228393</v>
      </c>
      <c r="L59" s="62">
        <f ca="1">L57/(1+L58)^L45</f>
        <v>20726.793593451072</v>
      </c>
      <c r="M59" s="62">
        <f ca="1">M57/(1+M58)^M45</f>
        <v>20676.98138718171</v>
      </c>
      <c r="N59" s="86"/>
      <c r="O59" s="86"/>
    </row>
    <row r="60" spans="2:15" ht="15.75" customHeight="1" x14ac:dyDescent="0.25">
      <c r="B60" s="87" t="s">
        <v>203</v>
      </c>
      <c r="C60" s="94">
        <f ca="1">SUM(I59:M59)</f>
        <v>99142.350573713949</v>
      </c>
      <c r="E60" s="107"/>
      <c r="F60" s="86"/>
      <c r="G60" s="86"/>
      <c r="H60" s="104"/>
      <c r="I60" s="104"/>
      <c r="J60" s="104"/>
      <c r="K60" s="104"/>
      <c r="L60" s="104"/>
      <c r="M60" s="86"/>
      <c r="N60" s="86"/>
      <c r="O60" s="86"/>
    </row>
    <row r="61" spans="2:15" ht="15.75" customHeight="1" x14ac:dyDescent="0.25"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</row>
    <row r="62" spans="2:15" ht="18.75" customHeight="1" x14ac:dyDescent="0.3">
      <c r="B62" s="72" t="s">
        <v>204</v>
      </c>
      <c r="M62" s="86"/>
      <c r="N62" s="86"/>
      <c r="O62" s="86"/>
    </row>
    <row r="63" spans="2:15" ht="15.75" customHeight="1" x14ac:dyDescent="0.25">
      <c r="B63" s="87" t="s">
        <v>205</v>
      </c>
      <c r="C63" s="108"/>
      <c r="D63" s="109"/>
      <c r="E63" s="109"/>
      <c r="F63" s="110"/>
      <c r="G63" s="110"/>
      <c r="H63" s="110"/>
      <c r="I63" s="109"/>
      <c r="J63" s="110"/>
      <c r="K63" s="86"/>
      <c r="L63" s="86"/>
      <c r="M63" s="86"/>
      <c r="N63" s="86"/>
      <c r="O63" s="86"/>
    </row>
    <row r="64" spans="2:15" ht="15.75" customHeight="1" x14ac:dyDescent="0.25">
      <c r="B64" s="87" t="s">
        <v>206</v>
      </c>
      <c r="C64" s="111">
        <v>1.4999999999999999E-2</v>
      </c>
      <c r="E64" s="112"/>
      <c r="G64" s="113"/>
      <c r="H64" s="113"/>
      <c r="I64" s="113"/>
      <c r="J64" s="113"/>
      <c r="K64" s="113"/>
      <c r="L64" s="86"/>
      <c r="M64" s="86"/>
      <c r="N64" s="86"/>
      <c r="O64" s="86"/>
    </row>
    <row r="65" spans="2:15" ht="15.75" customHeight="1" x14ac:dyDescent="0.25">
      <c r="B65" s="87" t="s">
        <v>207</v>
      </c>
      <c r="C65" s="82">
        <f>E85</f>
        <v>9.3283418832081938E-2</v>
      </c>
      <c r="E65" s="114"/>
      <c r="F65" s="115"/>
      <c r="G65" s="116"/>
      <c r="H65" s="116"/>
      <c r="I65" s="116"/>
      <c r="J65" s="116"/>
      <c r="K65" s="116"/>
      <c r="L65" s="86"/>
      <c r="M65" s="86"/>
      <c r="N65" s="86"/>
      <c r="O65" s="86"/>
    </row>
    <row r="66" spans="2:15" ht="15.75" customHeight="1" x14ac:dyDescent="0.25">
      <c r="B66" s="87" t="s">
        <v>208</v>
      </c>
      <c r="C66" s="96">
        <f>M57*(1+C64)</f>
        <v>30564.297734193246</v>
      </c>
      <c r="E66" s="109"/>
      <c r="F66" s="110"/>
      <c r="G66" s="117"/>
      <c r="H66" s="117"/>
      <c r="I66" s="117"/>
      <c r="J66" s="118"/>
      <c r="K66" s="117"/>
      <c r="L66" s="86"/>
      <c r="M66" s="86"/>
      <c r="N66" s="86"/>
      <c r="O66" s="86"/>
    </row>
    <row r="67" spans="2:15" ht="15.75" customHeight="1" x14ac:dyDescent="0.25">
      <c r="B67" s="87" t="s">
        <v>204</v>
      </c>
      <c r="C67" s="96">
        <f>C66/(C65-C64)</f>
        <v>390431.30959512276</v>
      </c>
      <c r="E67" s="109"/>
      <c r="F67" s="110"/>
      <c r="G67" s="110"/>
      <c r="H67" s="110"/>
      <c r="I67" s="109"/>
      <c r="J67" s="110"/>
      <c r="K67" s="86"/>
      <c r="L67" s="86"/>
      <c r="M67" s="86"/>
      <c r="N67" s="86"/>
      <c r="O67" s="86"/>
    </row>
    <row r="68" spans="2:15" ht="15.75" customHeight="1" x14ac:dyDescent="0.25">
      <c r="B68" s="87" t="s">
        <v>209</v>
      </c>
      <c r="C68" s="119">
        <f ca="1">C67/(1+C65)^C69</f>
        <v>262998.45565631252</v>
      </c>
      <c r="E68" s="120"/>
      <c r="F68" s="110"/>
      <c r="G68" s="110"/>
      <c r="H68" s="110"/>
      <c r="I68" s="120"/>
      <c r="J68" s="110"/>
      <c r="K68" s="86"/>
      <c r="L68" s="86"/>
      <c r="M68" s="86"/>
      <c r="N68" s="86"/>
      <c r="O68" s="86"/>
    </row>
    <row r="69" spans="2:15" ht="15.75" customHeight="1" x14ac:dyDescent="0.25">
      <c r="B69" s="87" t="s">
        <v>210</v>
      </c>
      <c r="C69" s="121">
        <f ca="1">$F$7+4</f>
        <v>4.4301369863013695</v>
      </c>
      <c r="D69" s="122"/>
      <c r="E69" s="110"/>
      <c r="F69" s="110"/>
      <c r="G69" s="110"/>
      <c r="H69" s="110"/>
      <c r="I69" s="110"/>
      <c r="J69" s="110"/>
      <c r="K69" s="86"/>
      <c r="L69" s="86"/>
      <c r="M69" s="86"/>
      <c r="N69" s="86"/>
      <c r="O69" s="86"/>
    </row>
    <row r="70" spans="2:15" ht="18.75" customHeight="1" x14ac:dyDescent="0.3">
      <c r="B70" s="72" t="s">
        <v>207</v>
      </c>
      <c r="M70" s="86"/>
      <c r="N70" s="86"/>
      <c r="O70" s="86"/>
    </row>
    <row r="71" spans="2:15" ht="15.75" customHeight="1" x14ac:dyDescent="0.25">
      <c r="B71" s="87" t="s">
        <v>211</v>
      </c>
      <c r="C71" s="86"/>
      <c r="D71" s="86"/>
      <c r="E71" s="123">
        <f>F5</f>
        <v>247.29</v>
      </c>
      <c r="G71" s="86"/>
      <c r="H71" s="86"/>
      <c r="I71" s="86"/>
      <c r="J71" s="86"/>
      <c r="K71" s="86"/>
      <c r="L71" s="86"/>
      <c r="M71" s="86"/>
      <c r="N71" s="86"/>
      <c r="O71" s="86"/>
    </row>
    <row r="72" spans="2:15" ht="15.75" customHeight="1" x14ac:dyDescent="0.25">
      <c r="B72" s="87" t="s">
        <v>165</v>
      </c>
      <c r="C72" s="86"/>
      <c r="D72" s="86"/>
      <c r="E72" s="124">
        <f>F6</f>
        <v>929</v>
      </c>
      <c r="G72" s="86"/>
      <c r="H72" s="86"/>
      <c r="I72" s="86"/>
      <c r="J72" s="86"/>
      <c r="K72" s="104"/>
      <c r="L72" s="86"/>
      <c r="M72" s="86"/>
      <c r="N72" s="86"/>
      <c r="O72" s="86"/>
    </row>
    <row r="73" spans="2:15" ht="15.75" customHeight="1" x14ac:dyDescent="0.25">
      <c r="B73" s="87" t="s">
        <v>212</v>
      </c>
      <c r="C73" s="86"/>
      <c r="D73" s="86"/>
      <c r="E73" s="111">
        <v>7.1999999999999995E-2</v>
      </c>
      <c r="G73" s="86"/>
      <c r="H73" s="86"/>
      <c r="I73" s="86"/>
      <c r="J73" s="87" t="s">
        <v>213</v>
      </c>
      <c r="K73" s="188">
        <v>4.2299999999999997E-2</v>
      </c>
      <c r="L73" s="86" t="s">
        <v>241</v>
      </c>
      <c r="M73" s="86"/>
      <c r="N73" s="86"/>
      <c r="O73" s="86"/>
    </row>
    <row r="74" spans="2:15" ht="15.75" customHeight="1" x14ac:dyDescent="0.25">
      <c r="B74" s="87" t="s">
        <v>80</v>
      </c>
      <c r="C74" s="86"/>
      <c r="D74" s="86"/>
      <c r="E74" s="82">
        <f>I48</f>
        <v>-0.21299999999999999</v>
      </c>
      <c r="G74" s="86"/>
      <c r="H74" s="86"/>
      <c r="I74" s="86"/>
      <c r="J74" s="87" t="s">
        <v>214</v>
      </c>
      <c r="K74" s="188">
        <v>4.6940000000000003E-2</v>
      </c>
      <c r="L74" s="86" t="s">
        <v>242</v>
      </c>
      <c r="M74" s="86"/>
      <c r="N74" s="86"/>
      <c r="O74" s="86"/>
    </row>
    <row r="75" spans="2:15" ht="15.75" customHeight="1" x14ac:dyDescent="0.25">
      <c r="B75" s="87" t="s">
        <v>215</v>
      </c>
      <c r="C75" s="86"/>
      <c r="D75" s="86"/>
      <c r="E75" s="70">
        <f>E73*(1+E74)</f>
        <v>5.6663999999999999E-2</v>
      </c>
      <c r="G75" s="86"/>
      <c r="H75" s="86"/>
      <c r="I75" s="86"/>
      <c r="J75" s="87" t="s">
        <v>216</v>
      </c>
      <c r="K75" s="189">
        <v>1.1499999999999999</v>
      </c>
      <c r="L75" s="86" t="s">
        <v>243</v>
      </c>
      <c r="M75" s="86"/>
      <c r="N75" s="86"/>
      <c r="O75" s="86"/>
    </row>
    <row r="76" spans="2:15" ht="15.75" customHeight="1" x14ac:dyDescent="0.25">
      <c r="B76" s="87" t="s">
        <v>217</v>
      </c>
      <c r="C76" s="86"/>
      <c r="D76" s="86"/>
      <c r="E76" s="82">
        <f>K77</f>
        <v>9.5585000000000003E-2</v>
      </c>
      <c r="G76" s="86"/>
      <c r="H76" s="86"/>
      <c r="I76" s="86"/>
      <c r="J76" s="86"/>
      <c r="K76" s="86"/>
      <c r="L76" s="86"/>
      <c r="M76" s="86"/>
      <c r="N76" s="86"/>
      <c r="O76" s="86"/>
    </row>
    <row r="77" spans="2:15" ht="15.75" customHeight="1" x14ac:dyDescent="0.25">
      <c r="B77" s="86"/>
      <c r="C77" s="122"/>
      <c r="D77" s="86"/>
      <c r="E77" s="86"/>
      <c r="G77" s="86"/>
      <c r="H77" s="86"/>
      <c r="I77" s="86"/>
      <c r="J77" s="87" t="s">
        <v>218</v>
      </c>
      <c r="K77" s="70">
        <f>K74+K75*K73</f>
        <v>9.5585000000000003E-2</v>
      </c>
      <c r="L77" s="86"/>
      <c r="M77" s="86"/>
      <c r="N77" s="86"/>
      <c r="O77" s="86"/>
    </row>
    <row r="78" spans="2:15" ht="15.75" customHeight="1" x14ac:dyDescent="0.25">
      <c r="B78" s="87" t="s">
        <v>219</v>
      </c>
      <c r="C78" s="86"/>
      <c r="D78" s="86"/>
      <c r="E78" s="125">
        <f>Main!C7</f>
        <v>14439</v>
      </c>
      <c r="G78" s="86"/>
      <c r="H78" s="86"/>
      <c r="I78" s="86"/>
      <c r="J78" s="126" t="s">
        <v>220</v>
      </c>
      <c r="K78" s="86"/>
      <c r="L78" s="86"/>
      <c r="M78" s="86"/>
      <c r="N78" s="86"/>
      <c r="O78" s="86"/>
    </row>
    <row r="79" spans="2:15" ht="15.75" customHeight="1" x14ac:dyDescent="0.25">
      <c r="B79" s="87" t="s">
        <v>221</v>
      </c>
      <c r="C79" s="86"/>
      <c r="D79" s="86"/>
      <c r="E79" s="125">
        <f>Main!C5</f>
        <v>229732.41</v>
      </c>
      <c r="G79" s="86"/>
      <c r="H79" s="86"/>
      <c r="I79" s="86"/>
      <c r="J79" s="86"/>
      <c r="K79" s="86"/>
      <c r="L79" s="86"/>
      <c r="M79" s="86"/>
      <c r="N79" s="86"/>
      <c r="O79" s="86"/>
    </row>
    <row r="80" spans="2:15" ht="15.75" customHeight="1" x14ac:dyDescent="0.25">
      <c r="B80" s="74" t="s">
        <v>222</v>
      </c>
      <c r="C80" s="86"/>
      <c r="D80" s="86"/>
      <c r="E80" s="94">
        <f>SUM(E78:E79)</f>
        <v>244171.41</v>
      </c>
      <c r="G80" s="86"/>
      <c r="H80" s="86"/>
      <c r="I80" s="86"/>
      <c r="J80" s="86"/>
      <c r="K80" s="86"/>
      <c r="L80" s="86"/>
      <c r="M80" s="86"/>
      <c r="N80" s="86"/>
      <c r="O80" s="86"/>
    </row>
    <row r="81" spans="2:15" ht="15.75" customHeight="1" x14ac:dyDescent="0.25">
      <c r="B81" s="127"/>
      <c r="C81" s="86"/>
      <c r="D81" s="86"/>
      <c r="E81" s="128"/>
      <c r="G81" s="86"/>
      <c r="H81" s="86"/>
      <c r="I81" s="86"/>
      <c r="J81" s="86"/>
      <c r="K81" s="86"/>
      <c r="L81" s="86"/>
      <c r="M81" s="86"/>
      <c r="N81" s="86"/>
      <c r="O81" s="86"/>
    </row>
    <row r="82" spans="2:15" ht="15.75" customHeight="1" x14ac:dyDescent="0.25">
      <c r="B82" s="87" t="s">
        <v>223</v>
      </c>
      <c r="C82" s="86"/>
      <c r="D82" s="86"/>
      <c r="E82" s="70">
        <f>E78/E80</f>
        <v>5.913468739030503E-2</v>
      </c>
      <c r="G82" s="86"/>
      <c r="H82" s="86"/>
      <c r="I82" s="86"/>
      <c r="J82" s="86"/>
      <c r="K82" s="86"/>
      <c r="L82" s="86"/>
      <c r="M82" s="86"/>
      <c r="N82" s="86"/>
      <c r="O82" s="86"/>
    </row>
    <row r="83" spans="2:15" ht="15.75" customHeight="1" x14ac:dyDescent="0.25">
      <c r="B83" s="87" t="s">
        <v>224</v>
      </c>
      <c r="C83" s="86"/>
      <c r="D83" s="86"/>
      <c r="E83" s="70">
        <f>E79/E80</f>
        <v>0.94086531260969497</v>
      </c>
      <c r="G83" s="86"/>
      <c r="H83" s="86"/>
      <c r="I83" s="86"/>
      <c r="J83" s="86"/>
      <c r="K83" s="86"/>
      <c r="L83" s="86"/>
      <c r="M83" s="86"/>
      <c r="N83" s="86"/>
      <c r="O83" s="86"/>
    </row>
    <row r="84" spans="2:15" ht="15.75" customHeight="1" x14ac:dyDescent="0.25">
      <c r="B84" s="127"/>
      <c r="C84" s="86"/>
      <c r="D84" s="86"/>
      <c r="E84" s="128"/>
      <c r="G84" s="86"/>
      <c r="H84" s="86"/>
      <c r="I84" s="86"/>
      <c r="J84" s="86"/>
      <c r="K84" s="86"/>
      <c r="L84" s="86"/>
      <c r="M84" s="86"/>
      <c r="N84" s="86"/>
      <c r="O84" s="86"/>
    </row>
    <row r="85" spans="2:15" ht="15.75" customHeight="1" x14ac:dyDescent="0.25">
      <c r="B85" s="89" t="s">
        <v>225</v>
      </c>
      <c r="C85" s="88"/>
      <c r="D85" s="88"/>
      <c r="E85" s="70">
        <f>E82*E75+E83*E76</f>
        <v>9.3283418832081938E-2</v>
      </c>
      <c r="G85" s="86"/>
      <c r="H85" s="86"/>
      <c r="I85" s="86"/>
      <c r="J85" s="86"/>
      <c r="K85" s="86"/>
      <c r="L85" s="86"/>
      <c r="M85" s="86"/>
      <c r="N85" s="86"/>
      <c r="O85" s="86"/>
    </row>
    <row r="86" spans="2:15" ht="15.75" customHeight="1" x14ac:dyDescent="0.25">
      <c r="B86" s="86"/>
      <c r="C86" s="122"/>
      <c r="D86" s="122"/>
      <c r="E86" s="122"/>
      <c r="F86" s="86"/>
      <c r="G86" s="86"/>
      <c r="H86" s="86"/>
      <c r="I86" s="86"/>
      <c r="J86" s="86"/>
      <c r="K86" s="86"/>
      <c r="L86" s="86"/>
      <c r="M86" s="86"/>
      <c r="N86" s="86"/>
      <c r="O86" s="86"/>
    </row>
    <row r="87" spans="2:15" ht="18.75" customHeight="1" x14ac:dyDescent="0.3">
      <c r="B87" s="72" t="s">
        <v>226</v>
      </c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86"/>
      <c r="N87" s="86"/>
      <c r="O87" s="86"/>
    </row>
    <row r="88" spans="2:15" ht="15.75" customHeight="1" x14ac:dyDescent="0.25">
      <c r="B88" s="87" t="s">
        <v>227</v>
      </c>
      <c r="C88" s="129"/>
      <c r="D88" s="129"/>
      <c r="E88" s="129"/>
      <c r="F88" s="62">
        <f ca="1">C68+C60</f>
        <v>362140.80623002647</v>
      </c>
      <c r="G88" s="86"/>
      <c r="H88" s="86"/>
      <c r="I88" s="86"/>
      <c r="J88" s="86"/>
      <c r="K88" s="86"/>
      <c r="L88" s="86"/>
      <c r="M88" s="86"/>
      <c r="N88" s="86"/>
      <c r="O88" s="86"/>
    </row>
    <row r="89" spans="2:15" ht="15.75" customHeight="1" x14ac:dyDescent="0.25">
      <c r="B89" s="87" t="s">
        <v>228</v>
      </c>
      <c r="C89" s="130"/>
      <c r="D89" s="130"/>
      <c r="E89" s="130"/>
      <c r="F89" s="62">
        <f>K90-K91</f>
        <v>7112</v>
      </c>
      <c r="G89" s="74" t="s">
        <v>229</v>
      </c>
      <c r="H89" s="129"/>
      <c r="I89" s="86"/>
      <c r="M89" s="86"/>
      <c r="N89" s="86"/>
      <c r="O89" s="86"/>
    </row>
    <row r="90" spans="2:15" ht="15.75" customHeight="1" x14ac:dyDescent="0.25">
      <c r="B90" s="87" t="s">
        <v>230</v>
      </c>
      <c r="C90" s="86"/>
      <c r="D90" s="86"/>
      <c r="E90" s="86"/>
      <c r="F90" s="94">
        <f ca="1">F88-F89</f>
        <v>355028.80623002647</v>
      </c>
      <c r="G90" s="75"/>
      <c r="H90" s="130"/>
      <c r="I90" s="86"/>
      <c r="J90" s="87" t="s">
        <v>9</v>
      </c>
      <c r="K90" s="125">
        <f>Main!C7</f>
        <v>14439</v>
      </c>
      <c r="L90" s="86"/>
      <c r="M90" s="86"/>
      <c r="N90" s="86"/>
      <c r="O90" s="86"/>
    </row>
    <row r="91" spans="2:15" ht="15.75" customHeight="1" x14ac:dyDescent="0.25">
      <c r="B91" s="87" t="s">
        <v>165</v>
      </c>
      <c r="C91" s="86"/>
      <c r="D91" s="86"/>
      <c r="E91" s="86"/>
      <c r="F91" s="131">
        <f>F6</f>
        <v>929</v>
      </c>
      <c r="G91" s="127"/>
      <c r="H91" s="132"/>
      <c r="I91" s="86"/>
      <c r="J91" s="87" t="s">
        <v>8</v>
      </c>
      <c r="K91" s="125">
        <f>Main!C6</f>
        <v>7327</v>
      </c>
      <c r="L91" s="86"/>
      <c r="M91" s="86"/>
      <c r="N91" s="86"/>
      <c r="O91" s="86"/>
    </row>
    <row r="92" spans="2:15" ht="15.75" customHeight="1" x14ac:dyDescent="0.25">
      <c r="B92" s="133" t="s">
        <v>231</v>
      </c>
      <c r="C92" s="91"/>
      <c r="D92" s="91"/>
      <c r="E92" s="91"/>
      <c r="F92" s="134">
        <f ca="1">F90/F91</f>
        <v>382.16233178689612</v>
      </c>
      <c r="G92" s="135"/>
      <c r="H92" s="136"/>
      <c r="I92" s="86"/>
      <c r="J92" s="86"/>
      <c r="K92" s="86"/>
      <c r="L92" s="86"/>
      <c r="M92" s="86"/>
      <c r="N92" s="86"/>
      <c r="O92" s="86"/>
    </row>
    <row r="93" spans="2:15" ht="15.75" customHeight="1" x14ac:dyDescent="0.25">
      <c r="B93" s="86"/>
      <c r="C93" s="86"/>
      <c r="D93" s="86"/>
      <c r="E93" s="87" t="s">
        <v>232</v>
      </c>
      <c r="F93" s="137">
        <f ca="1">F92/F5-1</f>
        <v>0.54540147918191639</v>
      </c>
      <c r="G93" s="127"/>
      <c r="O93" s="86"/>
    </row>
    <row r="94" spans="2:15" ht="15.75" customHeight="1" x14ac:dyDescent="0.25">
      <c r="B94" s="86"/>
      <c r="C94" s="122"/>
      <c r="D94" s="122"/>
      <c r="E94" s="122"/>
      <c r="F94" s="122"/>
      <c r="G94" s="122"/>
      <c r="O94" s="122"/>
    </row>
    <row r="95" spans="2:15" ht="15.75" customHeight="1" x14ac:dyDescent="0.25">
      <c r="B95" s="86"/>
      <c r="C95" s="138"/>
    </row>
    <row r="96" spans="2:15" ht="15.75" customHeight="1" x14ac:dyDescent="0.25">
      <c r="B96" s="86"/>
      <c r="C96" s="138"/>
      <c r="E96" s="138"/>
    </row>
    <row r="97" spans="2:15" ht="15.75" customHeight="1" x14ac:dyDescent="0.25">
      <c r="B97" s="139"/>
      <c r="C97" s="138"/>
    </row>
    <row r="98" spans="2:15" ht="15.75" customHeight="1" x14ac:dyDescent="0.25">
      <c r="B98" s="139"/>
      <c r="C98" s="86"/>
    </row>
    <row r="99" spans="2:15" ht="15.75" customHeight="1" x14ac:dyDescent="0.25">
      <c r="B99" s="139"/>
    </row>
    <row r="100" spans="2:15" ht="15.75" customHeight="1" x14ac:dyDescent="0.25">
      <c r="B100" s="139"/>
    </row>
    <row r="101" spans="2:15" ht="15.75" customHeight="1" x14ac:dyDescent="0.25">
      <c r="B101" s="139"/>
      <c r="O101" s="140"/>
    </row>
    <row r="102" spans="2:15" ht="15.75" customHeight="1" x14ac:dyDescent="0.25">
      <c r="B102" s="139"/>
    </row>
    <row r="103" spans="2:15" ht="15.75" customHeight="1" x14ac:dyDescent="0.25">
      <c r="B103" s="139"/>
    </row>
    <row r="104" spans="2:15" ht="15.75" customHeight="1" x14ac:dyDescent="0.25">
      <c r="B104" s="139"/>
    </row>
    <row r="113" spans="2:12" ht="15.75" customHeight="1" x14ac:dyDescent="0.25">
      <c r="C113" s="139"/>
      <c r="D113" s="139"/>
      <c r="E113" s="139"/>
      <c r="F113" s="139"/>
      <c r="G113" s="139"/>
    </row>
    <row r="114" spans="2:12" ht="15.75" customHeight="1" x14ac:dyDescent="0.25">
      <c r="B114" s="139"/>
      <c r="C114" s="139"/>
      <c r="D114" s="139"/>
      <c r="E114" s="139"/>
      <c r="F114" s="139"/>
      <c r="G114" s="139"/>
    </row>
    <row r="115" spans="2:12" ht="15.75" customHeight="1" x14ac:dyDescent="0.25">
      <c r="C115" s="141"/>
      <c r="D115" s="141"/>
      <c r="E115" s="141"/>
      <c r="F115" s="141"/>
      <c r="G115" s="141"/>
    </row>
    <row r="117" spans="2:12" ht="15.75" customHeight="1" x14ac:dyDescent="0.25"/>
    <row r="118" spans="2:12" ht="15.75" customHeight="1" x14ac:dyDescent="0.25"/>
    <row r="126" spans="2:12" ht="15.75" customHeight="1" x14ac:dyDescent="0.25"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</row>
    <row r="127" spans="2:12" ht="15.75" customHeight="1" x14ac:dyDescent="0.25">
      <c r="B127" s="139"/>
      <c r="C127" s="142"/>
      <c r="D127" s="142"/>
      <c r="E127" s="142"/>
      <c r="F127" s="142"/>
      <c r="G127" s="142"/>
      <c r="H127" s="143"/>
      <c r="I127" s="143"/>
      <c r="J127" s="143"/>
      <c r="K127" s="143"/>
      <c r="L127" s="143"/>
    </row>
  </sheetData>
  <mergeCells count="3">
    <mergeCell ref="I9:M9"/>
    <mergeCell ref="I19:M19"/>
    <mergeCell ref="I43:M4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5"/>
  <sheetViews>
    <sheetView zoomScaleNormal="100" workbookViewId="0"/>
  </sheetViews>
  <sheetFormatPr defaultColWidth="8.5" defaultRowHeight="15.75" x14ac:dyDescent="0.25"/>
  <cols>
    <col min="2" max="2" width="18" customWidth="1"/>
    <col min="3" max="3" width="70" customWidth="1"/>
  </cols>
  <sheetData>
    <row r="2" spans="2:3" x14ac:dyDescent="0.25">
      <c r="B2" s="2" t="s">
        <v>2</v>
      </c>
      <c r="C2" s="3" t="s">
        <v>5</v>
      </c>
    </row>
    <row r="3" spans="2:3" x14ac:dyDescent="0.25">
      <c r="B3" s="3" t="s">
        <v>3</v>
      </c>
      <c r="C3" s="3" t="s">
        <v>233</v>
      </c>
    </row>
    <row r="4" spans="2:3" x14ac:dyDescent="0.25">
      <c r="B4" s="3" t="s">
        <v>234</v>
      </c>
      <c r="C4" s="3" t="s">
        <v>235</v>
      </c>
    </row>
    <row r="5" spans="2:3" x14ac:dyDescent="0.25">
      <c r="B5" s="3" t="s">
        <v>236</v>
      </c>
      <c r="C5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5"/>
  <sheetViews>
    <sheetView zoomScaleNormal="100" workbookViewId="0"/>
  </sheetViews>
  <sheetFormatPr defaultColWidth="8.5" defaultRowHeight="15.75" x14ac:dyDescent="0.25"/>
  <cols>
    <col min="2" max="2" width="18" customWidth="1"/>
    <col min="3" max="3" width="70" customWidth="1"/>
  </cols>
  <sheetData>
    <row r="2" spans="2:3" x14ac:dyDescent="0.25">
      <c r="B2" s="2" t="s">
        <v>2</v>
      </c>
      <c r="C2" s="3" t="s">
        <v>237</v>
      </c>
    </row>
    <row r="3" spans="2:3" x14ac:dyDescent="0.25">
      <c r="B3" s="3" t="s">
        <v>3</v>
      </c>
      <c r="C3" s="3" t="s">
        <v>238</v>
      </c>
    </row>
    <row r="4" spans="2:3" x14ac:dyDescent="0.25">
      <c r="B4" s="3" t="s">
        <v>234</v>
      </c>
      <c r="C4" s="3" t="s">
        <v>239</v>
      </c>
    </row>
    <row r="5" spans="2:3" x14ac:dyDescent="0.25">
      <c r="B5" s="3" t="s">
        <v>236</v>
      </c>
      <c r="C5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10QIS</vt:lpstr>
      <vt:lpstr>IS</vt:lpstr>
      <vt:lpstr>BS</vt:lpstr>
      <vt:lpstr>CFS</vt:lpstr>
      <vt:lpstr>DCF</vt:lpstr>
      <vt:lpstr>Subscription and Support</vt:lpstr>
      <vt:lpstr>Professional Services &amp; 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Heier</dc:creator>
  <dc:description/>
  <cp:lastModifiedBy>Sam Heier</cp:lastModifiedBy>
  <cp:revision>0</cp:revision>
  <dcterms:created xsi:type="dcterms:W3CDTF">2026-05-18T21:29:55Z</dcterms:created>
  <dcterms:modified xsi:type="dcterms:W3CDTF">2026-08-27T16:05:10Z</dcterms:modified>
  <dc:language>en-US</dc:language>
</cp:coreProperties>
</file>
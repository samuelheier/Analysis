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Models\"/>
    </mc:Choice>
  </mc:AlternateContent>
  <xr:revisionPtr revIDLastSave="0" documentId="13_ncr:1_{A0221EA5-B423-4C6F-B037-8CF85757DBA4}" xr6:coauthVersionLast="47" xr6:coauthVersionMax="47" xr10:uidLastSave="{00000000-0000-0000-0000-000000000000}"/>
  <bookViews>
    <workbookView xWindow="-28920" yWindow="-120" windowWidth="29040" windowHeight="15720" tabRatio="753" xr2:uid="{00000000-000D-0000-FFFF-FFFF00000000}"/>
  </bookViews>
  <sheets>
    <sheet name="Main" sheetId="1" r:id="rId1"/>
    <sheet name="10QIS" sheetId="2" r:id="rId2"/>
    <sheet name="IS" sheetId="29" r:id="rId3"/>
    <sheet name="BS" sheetId="26" r:id="rId4"/>
    <sheet name="CFS" sheetId="27" r:id="rId5"/>
    <sheet name="DCF" sheetId="2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7" i="27" l="1"/>
  <c r="D46" i="27"/>
  <c r="D14" i="27"/>
  <c r="C14" i="27"/>
  <c r="C45" i="27"/>
  <c r="D45" i="27"/>
  <c r="D47" i="27" s="1"/>
  <c r="D34" i="29"/>
  <c r="E34" i="29"/>
  <c r="C34" i="29"/>
  <c r="D30" i="29"/>
  <c r="D31" i="29"/>
  <c r="D33" i="29"/>
  <c r="E33" i="29"/>
  <c r="C33" i="29"/>
  <c r="C31" i="29"/>
  <c r="D24" i="29"/>
  <c r="D26" i="29" s="1"/>
  <c r="E24" i="29"/>
  <c r="E26" i="29" s="1"/>
  <c r="C24" i="29"/>
  <c r="C26" i="29" s="1"/>
  <c r="C2" i="29"/>
  <c r="D2" i="29"/>
  <c r="C22" i="2"/>
  <c r="C21" i="2"/>
  <c r="C20" i="2"/>
  <c r="D22" i="2"/>
  <c r="D21" i="2"/>
  <c r="D20" i="2"/>
  <c r="D19" i="2"/>
  <c r="C9" i="2"/>
  <c r="C12" i="2" s="1"/>
  <c r="C14" i="2" s="1"/>
  <c r="C15" i="2" s="1"/>
  <c r="E42" i="27"/>
  <c r="E2" i="29"/>
  <c r="E12" i="29"/>
  <c r="E13" i="29"/>
  <c r="E14" i="29"/>
  <c r="E15" i="29"/>
  <c r="E16" i="29"/>
  <c r="E17" i="29"/>
  <c r="E18" i="29"/>
  <c r="E19" i="29"/>
  <c r="E20" i="29"/>
  <c r="E21" i="29"/>
  <c r="E22" i="29"/>
  <c r="G30" i="25"/>
  <c r="H30" i="25"/>
  <c r="I30" i="25"/>
  <c r="F30" i="25"/>
  <c r="E43" i="25"/>
  <c r="D43" i="25"/>
  <c r="E42" i="25"/>
  <c r="D42" i="25"/>
  <c r="E41" i="25"/>
  <c r="D41" i="25"/>
  <c r="E40" i="25"/>
  <c r="D40" i="25"/>
  <c r="E39" i="25"/>
  <c r="D39" i="25"/>
  <c r="E38" i="25"/>
  <c r="D38" i="25"/>
  <c r="E37" i="25"/>
  <c r="D37" i="25"/>
  <c r="C37" i="25"/>
  <c r="E36" i="25"/>
  <c r="D36" i="25"/>
  <c r="C36" i="25"/>
  <c r="E35" i="25"/>
  <c r="D35" i="25"/>
  <c r="C35" i="25"/>
  <c r="E34" i="25"/>
  <c r="D34" i="25"/>
  <c r="C34" i="25"/>
  <c r="E33" i="25"/>
  <c r="D33" i="25"/>
  <c r="C33" i="25"/>
  <c r="E32" i="25"/>
  <c r="D32" i="25"/>
  <c r="C32" i="25"/>
  <c r="L16" i="25"/>
  <c r="M16" i="25" s="1"/>
  <c r="N16" i="25" s="1"/>
  <c r="I2" i="29" l="1"/>
  <c r="H2" i="29"/>
  <c r="G2" i="29"/>
  <c r="F2" i="29"/>
  <c r="J51" i="25"/>
  <c r="K51" i="25"/>
  <c r="L51" i="25"/>
  <c r="M51" i="25"/>
  <c r="N51" i="25"/>
  <c r="G25" i="25"/>
  <c r="H25" i="25"/>
  <c r="I25" i="25"/>
  <c r="G26" i="25"/>
  <c r="H26" i="25"/>
  <c r="I26" i="25"/>
  <c r="G28" i="25"/>
  <c r="H28" i="25"/>
  <c r="I28" i="25"/>
  <c r="F28" i="25"/>
  <c r="F26" i="25"/>
  <c r="F25" i="25"/>
  <c r="G23" i="25"/>
  <c r="H23" i="25"/>
  <c r="I23" i="25"/>
  <c r="I40" i="25" s="1"/>
  <c r="F23" i="25"/>
  <c r="G22" i="25"/>
  <c r="H22" i="25"/>
  <c r="I22" i="25"/>
  <c r="G21" i="25"/>
  <c r="H21" i="25"/>
  <c r="I21" i="25"/>
  <c r="F21" i="25"/>
  <c r="F22" i="25"/>
  <c r="G15" i="25"/>
  <c r="H15" i="25"/>
  <c r="I15" i="25"/>
  <c r="F15" i="25"/>
  <c r="I38" i="25" l="1"/>
  <c r="H38" i="25"/>
  <c r="G38" i="25"/>
  <c r="I39" i="25"/>
  <c r="H39" i="25"/>
  <c r="G39" i="25"/>
  <c r="H40" i="25"/>
  <c r="G40" i="25"/>
  <c r="I42" i="25"/>
  <c r="H42" i="25"/>
  <c r="G42" i="25"/>
  <c r="I41" i="25"/>
  <c r="H41" i="25"/>
  <c r="G41" i="25"/>
  <c r="I43" i="25"/>
  <c r="H43" i="25"/>
  <c r="G43" i="25"/>
  <c r="J15" i="25"/>
  <c r="K15" i="25" s="1"/>
  <c r="L15" i="25" s="1"/>
  <c r="M15" i="25" s="1"/>
  <c r="N15" i="25" s="1"/>
  <c r="M94" i="25"/>
  <c r="M93" i="25"/>
  <c r="M92" i="25"/>
  <c r="H77" i="25"/>
  <c r="H78" i="25" s="1"/>
  <c r="E55" i="25"/>
  <c r="H6" i="25"/>
  <c r="H5" i="25"/>
  <c r="H94" i="25"/>
  <c r="H92" i="25"/>
  <c r="M80" i="25"/>
  <c r="H79" i="25" s="1"/>
  <c r="H75" i="25"/>
  <c r="I59" i="25"/>
  <c r="H59" i="25"/>
  <c r="G59" i="25"/>
  <c r="F59" i="25"/>
  <c r="E59" i="25"/>
  <c r="D59" i="25"/>
  <c r="I58" i="25"/>
  <c r="H58" i="25"/>
  <c r="G58" i="25"/>
  <c r="F58" i="25"/>
  <c r="E58" i="25"/>
  <c r="D58" i="25"/>
  <c r="I57" i="25"/>
  <c r="H57" i="25"/>
  <c r="G57" i="25"/>
  <c r="F57" i="25"/>
  <c r="E57" i="25"/>
  <c r="D57" i="25"/>
  <c r="I56" i="25"/>
  <c r="H56" i="25"/>
  <c r="G56" i="25"/>
  <c r="F56" i="25"/>
  <c r="E56" i="25"/>
  <c r="D56" i="25"/>
  <c r="I55" i="25"/>
  <c r="H55" i="25"/>
  <c r="G55" i="25"/>
  <c r="F55" i="25"/>
  <c r="D55" i="25"/>
  <c r="I54" i="25"/>
  <c r="H54" i="25"/>
  <c r="G54" i="25"/>
  <c r="F54" i="25"/>
  <c r="E54" i="25"/>
  <c r="D54" i="25"/>
  <c r="I53" i="25"/>
  <c r="H53" i="25"/>
  <c r="G53" i="25"/>
  <c r="F53" i="25"/>
  <c r="E53" i="25"/>
  <c r="D53" i="25"/>
  <c r="C53" i="25"/>
  <c r="E50" i="25"/>
  <c r="E52" i="25" s="1"/>
  <c r="E60" i="25" s="1"/>
  <c r="D50" i="25"/>
  <c r="D52" i="25" s="1"/>
  <c r="D60" i="25" s="1"/>
  <c r="C50" i="25"/>
  <c r="C52" i="25" s="1"/>
  <c r="E49" i="25"/>
  <c r="D49" i="25"/>
  <c r="C49" i="25"/>
  <c r="K48" i="25"/>
  <c r="L48" i="25" s="1"/>
  <c r="M48" i="25" s="1"/>
  <c r="N48" i="25" s="1"/>
  <c r="D47" i="25"/>
  <c r="C47" i="25"/>
  <c r="D20" i="25"/>
  <c r="C20" i="25"/>
  <c r="H74" i="25"/>
  <c r="H4" i="25"/>
  <c r="D10" i="25" l="1"/>
  <c r="C10" i="25" s="1"/>
  <c r="F51" i="25" l="1"/>
  <c r="D9" i="2"/>
  <c r="H81" i="25"/>
  <c r="C5" i="1"/>
  <c r="C8" i="1" l="1"/>
  <c r="H82" i="25"/>
  <c r="F13" i="25"/>
  <c r="F50" i="25" l="1"/>
  <c r="F52" i="25" s="1"/>
  <c r="F60" i="25" s="1"/>
  <c r="H83" i="25"/>
  <c r="H85" i="25" s="1"/>
  <c r="H86" i="25"/>
  <c r="D14" i="2"/>
  <c r="D15" i="2" s="1"/>
  <c r="H88" i="25" l="1"/>
  <c r="F11" i="25"/>
  <c r="G11" i="25"/>
  <c r="H11" i="25"/>
  <c r="I11" i="25"/>
  <c r="G51" i="25"/>
  <c r="G13" i="25"/>
  <c r="H51" i="25"/>
  <c r="H13" i="25"/>
  <c r="I51" i="25"/>
  <c r="I13" i="25"/>
  <c r="I16" i="25" l="1"/>
  <c r="I37" i="25"/>
  <c r="I36" i="25"/>
  <c r="I35" i="25"/>
  <c r="I34" i="25"/>
  <c r="I33" i="25"/>
  <c r="I32" i="25"/>
  <c r="H16" i="25"/>
  <c r="H37" i="25"/>
  <c r="H36" i="25"/>
  <c r="H35" i="25"/>
  <c r="H34" i="25"/>
  <c r="H33" i="25"/>
  <c r="H32" i="25"/>
  <c r="G16" i="25"/>
  <c r="G37" i="25"/>
  <c r="G36" i="25"/>
  <c r="G35" i="25"/>
  <c r="G34" i="25"/>
  <c r="G33" i="25"/>
  <c r="G32" i="25"/>
  <c r="F37" i="25"/>
  <c r="F36" i="25"/>
  <c r="F35" i="25"/>
  <c r="F34" i="25"/>
  <c r="F33" i="25"/>
  <c r="F32" i="25"/>
  <c r="F49" i="25"/>
  <c r="F16" i="25"/>
  <c r="I50" i="25"/>
  <c r="I52" i="25" s="1"/>
  <c r="I60" i="25" s="1"/>
  <c r="H50" i="25"/>
  <c r="H52" i="25" s="1"/>
  <c r="H60" i="25" s="1"/>
  <c r="G50" i="25"/>
  <c r="G52" i="25" s="1"/>
  <c r="G60" i="25" s="1"/>
  <c r="I49" i="25"/>
  <c r="H49" i="25"/>
  <c r="G49" i="25"/>
  <c r="N61" i="25"/>
  <c r="M61" i="25"/>
  <c r="L61" i="25"/>
  <c r="K61" i="25"/>
  <c r="F68" i="25"/>
  <c r="J61" i="25"/>
  <c r="J11" i="25" l="1"/>
  <c r="Q32" i="25"/>
  <c r="J32" i="25" s="1"/>
  <c r="J21" i="25" s="1"/>
  <c r="P32" i="25"/>
  <c r="P33" i="25"/>
  <c r="Q33" i="25"/>
  <c r="J33" i="25" s="1"/>
  <c r="J22" i="25" s="1"/>
  <c r="P34" i="25"/>
  <c r="Q34" i="25"/>
  <c r="J34" i="25" s="1"/>
  <c r="J23" i="25" s="1"/>
  <c r="P35" i="25"/>
  <c r="Q35" i="25"/>
  <c r="J35" i="25" s="1"/>
  <c r="J25" i="25" s="1"/>
  <c r="P36" i="25"/>
  <c r="Q36" i="25"/>
  <c r="J36" i="25" s="1"/>
  <c r="J26" i="25" s="1"/>
  <c r="P37" i="25"/>
  <c r="Q37" i="25"/>
  <c r="Q16" i="25"/>
  <c r="P16" i="25"/>
  <c r="K53" i="25"/>
  <c r="K11" i="25"/>
  <c r="J53" i="25"/>
  <c r="J13" i="25"/>
  <c r="J37" i="25" l="1"/>
  <c r="J30" i="25" s="1"/>
  <c r="J59" i="25" s="1"/>
  <c r="K37" i="25"/>
  <c r="L37" i="25"/>
  <c r="M37" i="25"/>
  <c r="N37" i="25"/>
  <c r="K36" i="25"/>
  <c r="L36" i="25"/>
  <c r="M36" i="25"/>
  <c r="N36" i="25"/>
  <c r="K35" i="25"/>
  <c r="L35" i="25"/>
  <c r="M35" i="25"/>
  <c r="N35" i="25"/>
  <c r="K34" i="25"/>
  <c r="L34" i="25"/>
  <c r="M34" i="25"/>
  <c r="N34" i="25"/>
  <c r="K33" i="25"/>
  <c r="L33" i="25"/>
  <c r="M33" i="25"/>
  <c r="N33" i="25"/>
  <c r="K32" i="25"/>
  <c r="L32" i="25"/>
  <c r="M32" i="25"/>
  <c r="N32" i="25"/>
  <c r="K26" i="25"/>
  <c r="K23" i="25"/>
  <c r="K56" i="25" s="1"/>
  <c r="K21" i="25"/>
  <c r="K54" i="25" s="1"/>
  <c r="K25" i="25"/>
  <c r="K22" i="25"/>
  <c r="K30" i="25"/>
  <c r="K59" i="25" s="1"/>
  <c r="J50" i="25"/>
  <c r="J52" i="25" s="1"/>
  <c r="J49" i="25"/>
  <c r="K49" i="25"/>
  <c r="E34" i="27"/>
  <c r="L53" i="25"/>
  <c r="L11" i="25"/>
  <c r="J58" i="25"/>
  <c r="J56" i="25"/>
  <c r="J54" i="25"/>
  <c r="K58" i="25"/>
  <c r="L30" i="25" l="1"/>
  <c r="L59" i="25" s="1"/>
  <c r="L23" i="25"/>
  <c r="L56" i="25" s="1"/>
  <c r="L25" i="25"/>
  <c r="L26" i="25"/>
  <c r="L58" i="25" s="1"/>
  <c r="L21" i="25"/>
  <c r="L54" i="25" s="1"/>
  <c r="L22" i="25"/>
  <c r="L49" i="25"/>
  <c r="M53" i="25"/>
  <c r="M11" i="25"/>
  <c r="J57" i="25"/>
  <c r="J55" i="25"/>
  <c r="J60" i="25" s="1"/>
  <c r="E25" i="27" l="1"/>
  <c r="K13" i="25"/>
  <c r="K50" i="25" s="1"/>
  <c r="K52" i="25" s="1"/>
  <c r="M22" i="25"/>
  <c r="M26" i="25"/>
  <c r="M58" i="25" s="1"/>
  <c r="M23" i="25"/>
  <c r="M56" i="25" s="1"/>
  <c r="M25" i="25"/>
  <c r="M30" i="25"/>
  <c r="M59" i="25" s="1"/>
  <c r="M21" i="25"/>
  <c r="M54" i="25" s="1"/>
  <c r="M49" i="25"/>
  <c r="N53" i="25"/>
  <c r="N11" i="25"/>
  <c r="J63" i="25"/>
  <c r="J62" i="25"/>
  <c r="K55" i="25"/>
  <c r="K57" i="25"/>
  <c r="L57" i="25"/>
  <c r="L55" i="25"/>
  <c r="E45" i="27"/>
  <c r="E47" i="27" s="1"/>
  <c r="N25" i="25" l="1"/>
  <c r="N30" i="25"/>
  <c r="N59" i="25" s="1"/>
  <c r="N21" i="25"/>
  <c r="N54" i="25" s="1"/>
  <c r="N22" i="25"/>
  <c r="N26" i="25"/>
  <c r="N58" i="25" s="1"/>
  <c r="N23" i="25"/>
  <c r="N56" i="25" s="1"/>
  <c r="N49" i="25"/>
  <c r="K60" i="25"/>
  <c r="M57" i="25"/>
  <c r="M55" i="25"/>
  <c r="L13" i="25"/>
  <c r="L50" i="25" l="1"/>
  <c r="L52" i="25" s="1"/>
  <c r="L60" i="25" s="1"/>
  <c r="L63" i="25" s="1"/>
  <c r="K63" i="25"/>
  <c r="K62" i="25"/>
  <c r="N57" i="25"/>
  <c r="N55" i="25"/>
  <c r="L62" i="25" l="1"/>
  <c r="M13" i="25"/>
  <c r="M50" i="25" l="1"/>
  <c r="M52" i="25" s="1"/>
  <c r="M60" i="25" s="1"/>
  <c r="M62" i="25" l="1"/>
  <c r="M63" i="25"/>
  <c r="N13" i="25"/>
  <c r="N50" i="25" s="1"/>
  <c r="N52" i="25" s="1"/>
  <c r="N60" i="25" s="1"/>
  <c r="F69" i="25" l="1"/>
  <c r="F70" i="25" s="1"/>
  <c r="F71" i="25" s="1"/>
  <c r="N63" i="25"/>
  <c r="N62" i="25"/>
  <c r="F63" i="25" s="1"/>
  <c r="H91" i="25" l="1"/>
  <c r="H93" i="25" s="1"/>
  <c r="H95" i="25" s="1"/>
  <c r="H96" i="25" s="1"/>
</calcChain>
</file>

<file path=xl/sharedStrings.xml><?xml version="1.0" encoding="utf-8"?>
<sst xmlns="http://schemas.openxmlformats.org/spreadsheetml/2006/main" count="285" uniqueCount="229">
  <si>
    <t xml:space="preserve">Price </t>
  </si>
  <si>
    <t>Mounjaro</t>
  </si>
  <si>
    <t>Shares</t>
  </si>
  <si>
    <t>Zepbound</t>
  </si>
  <si>
    <t>Market Cap</t>
  </si>
  <si>
    <t>Trulicity</t>
  </si>
  <si>
    <t>Cash</t>
  </si>
  <si>
    <t>Retatrutide</t>
  </si>
  <si>
    <t>Debt</t>
  </si>
  <si>
    <t>Foundayo</t>
  </si>
  <si>
    <t>EV</t>
  </si>
  <si>
    <t>Basaglar</t>
  </si>
  <si>
    <t>Humalog</t>
  </si>
  <si>
    <t>Jardiance</t>
  </si>
  <si>
    <t>Emgality</t>
  </si>
  <si>
    <t>Kisunla</t>
  </si>
  <si>
    <t>Eli Lilly and Company (LLY)</t>
  </si>
  <si>
    <t xml:space="preserve">Humulin </t>
  </si>
  <si>
    <t>Other / Misc</t>
  </si>
  <si>
    <t>Total Revenue</t>
  </si>
  <si>
    <t>COGS</t>
  </si>
  <si>
    <t>Gross Margin</t>
  </si>
  <si>
    <t>R&amp;D</t>
  </si>
  <si>
    <t>SG&amp;A</t>
  </si>
  <si>
    <t>Other expenses</t>
  </si>
  <si>
    <t>Pre Tax Income</t>
  </si>
  <si>
    <t>Taxes</t>
  </si>
  <si>
    <t>EPS</t>
  </si>
  <si>
    <t>Historic Drivers</t>
  </si>
  <si>
    <t>Historic Gross Margin %</t>
  </si>
  <si>
    <t>Historic SG&amp;A %</t>
  </si>
  <si>
    <t>Historic Tax rate</t>
  </si>
  <si>
    <t>Other Revenue Growth Rate</t>
  </si>
  <si>
    <t>Gross Margin %</t>
  </si>
  <si>
    <t>R&amp;D %</t>
  </si>
  <si>
    <t>SG&amp;A %</t>
  </si>
  <si>
    <t>Tax rate</t>
  </si>
  <si>
    <t>Accounts Receivable % of Revenue</t>
  </si>
  <si>
    <t>Other Receivables % of Revenue</t>
  </si>
  <si>
    <t>Inventories % of COGS</t>
  </si>
  <si>
    <t>Prepaid Expenses % of Revenue</t>
  </si>
  <si>
    <t>Other Current Assets % of Revenue</t>
  </si>
  <si>
    <t>Accounts Payable % of COGS</t>
  </si>
  <si>
    <t>Employee Compensation % of Revenue</t>
  </si>
  <si>
    <t>Sales Rebates and Discounts % of Revenue</t>
  </si>
  <si>
    <t>Other Current Liabilities % of Revenue</t>
  </si>
  <si>
    <t>D&amp;A % of Revenue</t>
  </si>
  <si>
    <t>Stock-Based Compensation % of Revenue</t>
  </si>
  <si>
    <t>Capital Expenditures % of Revenue</t>
  </si>
  <si>
    <t>Dividend Payout Ratio (or Dividends per Share)</t>
  </si>
  <si>
    <t>Net Change in Short-Term Borrowings (assumption)</t>
  </si>
  <si>
    <t>Proceeds from Issuance of Long-Term Debt (assumption)</t>
  </si>
  <si>
    <t>Share Buybacks (% of Revenue or $ amount)</t>
  </si>
  <si>
    <t>LT Debt Repayment % of Prior LT Debt</t>
  </si>
  <si>
    <t>Net Interest/Other Exp % of Prior Total Debt</t>
  </si>
  <si>
    <t>Annual Income Statement</t>
  </si>
  <si>
    <t>FY'22</t>
  </si>
  <si>
    <t>FY'23</t>
  </si>
  <si>
    <t>FY'24</t>
  </si>
  <si>
    <t>FY'25</t>
  </si>
  <si>
    <t>FY'26</t>
  </si>
  <si>
    <t>FY'27</t>
  </si>
  <si>
    <t>FY'28</t>
  </si>
  <si>
    <t>FY'29</t>
  </si>
  <si>
    <t>FY'30</t>
  </si>
  <si>
    <t>Other</t>
  </si>
  <si>
    <t>Balance Sheet</t>
  </si>
  <si>
    <t>Cash and cash equivalents</t>
  </si>
  <si>
    <t>Accounts receivable</t>
  </si>
  <si>
    <t>Other receivables</t>
  </si>
  <si>
    <t>Inventories</t>
  </si>
  <si>
    <t>Prepaid expenses</t>
  </si>
  <si>
    <t>Other current assets</t>
  </si>
  <si>
    <t>Total current assets</t>
  </si>
  <si>
    <t>Investments</t>
  </si>
  <si>
    <t>Goodwill</t>
  </si>
  <si>
    <t>Other intangibles, net</t>
  </si>
  <si>
    <t>Deferred tax assets</t>
  </si>
  <si>
    <t>Property and equipment, net</t>
  </si>
  <si>
    <t>Other noncurrent assets</t>
  </si>
  <si>
    <t>Total assets</t>
  </si>
  <si>
    <t>Short-term borrowings and current maturities</t>
  </si>
  <si>
    <t>Accounts payable</t>
  </si>
  <si>
    <t>Employee compensation</t>
  </si>
  <si>
    <t>Sales rebates and discounts</t>
  </si>
  <si>
    <t>Other current liabilities</t>
  </si>
  <si>
    <t>Total current liabilities</t>
  </si>
  <si>
    <t>Long-term debt</t>
  </si>
  <si>
    <t>Long-term income taxes payable</t>
  </si>
  <si>
    <t>Other noncurrent liabilities</t>
  </si>
  <si>
    <t>Total noncurrent liabilities</t>
  </si>
  <si>
    <t>Total equity</t>
  </si>
  <si>
    <t>Total liabilities and equity</t>
  </si>
  <si>
    <t>Check (Assets less Liab. &amp; Equity)</t>
  </si>
  <si>
    <t>Cash Flow Statement</t>
  </si>
  <si>
    <t>Net income</t>
  </si>
  <si>
    <t>Depreciation and amortization</t>
  </si>
  <si>
    <t>Change in deferred income taxes</t>
  </si>
  <si>
    <t>Stock-based compensation expense</t>
  </si>
  <si>
    <t>Gains on sale of product rights</t>
  </si>
  <si>
    <t>Acquired in-process research and development</t>
  </si>
  <si>
    <t>Other operating activities, net</t>
  </si>
  <si>
    <t>Receivables - (increase) decrease</t>
  </si>
  <si>
    <t>Inventories - (increase) decrease</t>
  </si>
  <si>
    <t>Prepaid exp. and other assets - (incr.) decr.</t>
  </si>
  <si>
    <t>Accounts payable and other liab. - incr. (decr.)</t>
  </si>
  <si>
    <t>Net Cash Provided by Operating Activities</t>
  </si>
  <si>
    <t>Purchases of property and equipment</t>
  </si>
  <si>
    <t>Proceeds from sales of noncurrent investments</t>
  </si>
  <si>
    <t>Purchases of noncurrent investments</t>
  </si>
  <si>
    <t>Proceeds from sale of product rights</t>
  </si>
  <si>
    <t>Purchases of in-process research and development</t>
  </si>
  <si>
    <t>Cash paid for acquisitions, net of cash acquired</t>
  </si>
  <si>
    <t>Other investing activities, net</t>
  </si>
  <si>
    <t>Net Cash Used for Investing Activities</t>
  </si>
  <si>
    <t>Dividends paid</t>
  </si>
  <si>
    <t>Net change in short-term borrowings</t>
  </si>
  <si>
    <t>Proceeds from issuance of long-term debt</t>
  </si>
  <si>
    <t>Repayments of long-term debt</t>
  </si>
  <si>
    <t>Purchases of common stock</t>
  </si>
  <si>
    <t>Other financing activities, net</t>
  </si>
  <si>
    <t>Net Cash Provided by (Used for) Financing Activities</t>
  </si>
  <si>
    <t>Effect of exchange rate changes on cash</t>
  </si>
  <si>
    <t>Net Increase (Decrease) in Cash</t>
  </si>
  <si>
    <t>Cash and cash equivalents at beginning of year</t>
  </si>
  <si>
    <t>Cash and Cash Equivalents at End of Year</t>
  </si>
  <si>
    <t>Valuation Date:</t>
  </si>
  <si>
    <t>Share Price on Valuation Date:</t>
  </si>
  <si>
    <t>Diluted Shares Outstanding</t>
  </si>
  <si>
    <t>Select Operating Data</t>
  </si>
  <si>
    <t>Projected Annual Forecast</t>
  </si>
  <si>
    <t>Revenue</t>
  </si>
  <si>
    <t>EBIT</t>
  </si>
  <si>
    <t xml:space="preserve">Depreciation &amp; Amortization </t>
  </si>
  <si>
    <t>Select Balance Sheet And Other Data</t>
  </si>
  <si>
    <t>Accounts Receivable</t>
  </si>
  <si>
    <t>Prepaid Expenses</t>
  </si>
  <si>
    <t>Accounts Payable and Accruals</t>
  </si>
  <si>
    <t>Accrued Expenses</t>
  </si>
  <si>
    <t>Capital Expenditures</t>
  </si>
  <si>
    <t>Free Cash Flow Buildup</t>
  </si>
  <si>
    <t>$mm</t>
  </si>
  <si>
    <t>Period</t>
  </si>
  <si>
    <t>Total Revenues</t>
  </si>
  <si>
    <t>Effective Tax rate</t>
  </si>
  <si>
    <t>EBIAT = EBIT(1-T) = NOPAT</t>
  </si>
  <si>
    <t>Depreciation &amp; Amortization</t>
  </si>
  <si>
    <t>Chg in Accounts receivable</t>
  </si>
  <si>
    <t>Chg in Inventories</t>
  </si>
  <si>
    <t>Chg in Prepaid expenses</t>
  </si>
  <si>
    <t>Chg in Accounts payable</t>
  </si>
  <si>
    <t>Chg in Accrued expenses</t>
  </si>
  <si>
    <t>Capital expenditures</t>
  </si>
  <si>
    <t>Unlevered free cash flows</t>
  </si>
  <si>
    <r>
      <rPr>
        <sz val="11"/>
        <color theme="1"/>
        <rFont val="Calibri"/>
        <family val="2"/>
      </rPr>
      <t xml:space="preserve">Discount Rate </t>
    </r>
    <r>
      <rPr>
        <i/>
        <sz val="11"/>
        <color theme="1"/>
        <rFont val="Calibri"/>
        <family val="2"/>
      </rPr>
      <t>(WACC)</t>
    </r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</si>
  <si>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</si>
  <si>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</si>
  <si>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</si>
  <si>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</si>
  <si>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</si>
  <si>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WACC</t>
  </si>
  <si>
    <t>Free cash flow (t+1)</t>
  </si>
  <si>
    <t>Present Value of Terminal Value</t>
  </si>
  <si>
    <t>Share Price</t>
  </si>
  <si>
    <t>Cost of Debt</t>
  </si>
  <si>
    <t>Tax Rate</t>
  </si>
  <si>
    <t>RFR</t>
  </si>
  <si>
    <t>After-tax Cost of Debt</t>
  </si>
  <si>
    <t>Beta</t>
  </si>
  <si>
    <t>5 year weekly adjusted Bloomberg</t>
  </si>
  <si>
    <t>Cost of Equity</t>
  </si>
  <si>
    <t xml:space="preserve">capm </t>
  </si>
  <si>
    <t>Total Debt ($)</t>
  </si>
  <si>
    <t>capm = risk-free + beta * market risk premium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</si>
  <si>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</si>
  <si>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</si>
  <si>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</si>
  <si>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</si>
  <si>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</si>
  <si>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</si>
  <si>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</si>
  <si>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</si>
  <si>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ST and LT debt minus cash</t>
  </si>
  <si>
    <t>ST Debt</t>
  </si>
  <si>
    <t>Equity Value</t>
  </si>
  <si>
    <t>LT Debt</t>
  </si>
  <si>
    <t>Equity Value Per Share</t>
  </si>
  <si>
    <t>Upside</t>
  </si>
  <si>
    <t>.</t>
  </si>
  <si>
    <t>ERP</t>
  </si>
  <si>
    <t>10 year treasury yield as of 8/11/26</t>
  </si>
  <si>
    <t xml:space="preserve">Damadorian </t>
  </si>
  <si>
    <t xml:space="preserve"> IS Assumptions</t>
  </si>
  <si>
    <t>Historic Quarterly IS by Product</t>
  </si>
  <si>
    <t xml:space="preserve"> BS Assumptions</t>
  </si>
  <si>
    <t xml:space="preserve"> CFS Assumptions</t>
  </si>
  <si>
    <t xml:space="preserve">CEO: </t>
  </si>
  <si>
    <t xml:space="preserve">CFO: </t>
  </si>
  <si>
    <t>Arithmetic Avg</t>
  </si>
  <si>
    <t>Geometric Avg</t>
  </si>
  <si>
    <t>Accounts Receivable as a % of revenue</t>
  </si>
  <si>
    <t>Inventories as a % of revenue</t>
  </si>
  <si>
    <t>Prepaid Expenses as a % of revenue</t>
  </si>
  <si>
    <t>Accounts Payable/Accruals as a % of revenue</t>
  </si>
  <si>
    <t>Accrued Expenses as a % of revenue</t>
  </si>
  <si>
    <t>Capital Expenditures as a % of revenue</t>
  </si>
  <si>
    <t>Accounts Receivable Growth (%)</t>
  </si>
  <si>
    <t>Inventories Growth (%)</t>
  </si>
  <si>
    <t>Prepaid Expenses Growth (%)</t>
  </si>
  <si>
    <t>Accounts Payable/Accruals Growth (%)</t>
  </si>
  <si>
    <t>Accrued Expenses Growth (%)</t>
  </si>
  <si>
    <t>Capital Expenditures Growth (%)</t>
  </si>
  <si>
    <t>Arithmetic Mean</t>
  </si>
  <si>
    <t>Geometric Mean</t>
  </si>
  <si>
    <t>STDN</t>
  </si>
  <si>
    <t>as of 7/15/26</t>
  </si>
  <si>
    <t>Thomas Hendrix</t>
  </si>
  <si>
    <t>Founder/exec chairman:</t>
  </si>
  <si>
    <t>Dr. Kurt Terrani</t>
  </si>
  <si>
    <t>Keeley Marracco</t>
  </si>
  <si>
    <t xml:space="preserve">COO: </t>
  </si>
  <si>
    <t>Tom Dale/Kevin Harrill</t>
  </si>
  <si>
    <t xml:space="preserve">TRISO </t>
  </si>
  <si>
    <t>TRISO  Revenue Growth Rate</t>
  </si>
  <si>
    <t>Q2'26</t>
  </si>
  <si>
    <t>Q1'26</t>
  </si>
  <si>
    <t>Historic Revenue Growth Rate</t>
  </si>
  <si>
    <t>Asset retirement obligation</t>
  </si>
  <si>
    <t>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</si>
</sst>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\$* #,##0.00_);_(\$* \(#,##0.00\);_(\$* \-??_);_(@_)"/>
    <numFmt numFmtId="165" formatCode="_(* #,##0.00_);_(* \(#,##0.00\);_(* \-??_);_(@_)"/>
    <numFmt numFmtId="166" formatCode="_(\$* #,##0_);_(\$* \(#,##0\);_(\$* \-??_);_(@_)"/>
    <numFmt numFmtId="167" formatCode="0.0%"/>
    <numFmt numFmtId="168" formatCode="#,##0.0_);\(#,##0.0\);@_)"/>
    <numFmt numFmtId="169" formatCode="#,##0.00_);\(#,##0.00\);@_)"/>
    <numFmt numFmtId="170" formatCode="yyyy\A"/>
    <numFmt numFmtId="171" formatCode="yyyy\P"/>
    <numFmt numFmtId="172" formatCode="&quot;$&quot;#,##0.0"/>
    <numFmt numFmtId="173" formatCode="&quot;$&quot;#,##0.0_);\(&quot;$&quot;#,##0.0\)"/>
    <numFmt numFmtId="174" formatCode="&quot;$&quot;#,##0.0_);\(&quot;$&quot;#,##0.0\);@_)"/>
    <numFmt numFmtId="175" formatCode="0.0%_);\(0.0%\);@_)"/>
    <numFmt numFmtId="176" formatCode="0.0"/>
    <numFmt numFmtId="177" formatCode="#,##0.0_);\(#,##0.0\)"/>
    <numFmt numFmtId="178" formatCode="0.000%"/>
    <numFmt numFmtId="179" formatCode="_(&quot;$&quot;* #,##0.0_);_(&quot;$&quot;* \(#,##0.0\);_(&quot;$&quot;* &quot;-&quot;??_);_(@_)"/>
    <numFmt numFmtId="180" formatCode="&quot;$&quot;#,##0.00_);\(&quot;$&quot;#,##0.00\);@_)"/>
    <numFmt numFmtId="181" formatCode="_(* #,##0.0_);_(* \(#,##0.0\);_(* &quot;-&quot;?_);_(@_)"/>
    <numFmt numFmtId="182" formatCode="&quot;$&quot;#,##0.00"/>
    <numFmt numFmtId="183" formatCode="_(&quot;$&quot;* #,##0_);_(&quot;$&quot;* \(#,##0\);_(&quot;$&quot;* &quot;-&quot;??_);_(@_)"/>
  </numFmts>
  <fonts count="33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i/>
      <sz val="12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i/>
      <sz val="12"/>
      <color rgb="FF0000FF"/>
      <name val="Aptos Narrow"/>
      <family val="2"/>
    </font>
    <font>
      <i/>
      <sz val="12"/>
      <color rgb="FF0000FF"/>
      <name val="Aptos Narrow"/>
      <family val="2"/>
      <charset val="1"/>
    </font>
    <font>
      <sz val="12"/>
      <color rgb="FF0000FF"/>
      <name val="Aptos Narrow"/>
      <family val="2"/>
      <charset val="1"/>
    </font>
    <font>
      <sz val="12"/>
      <name val="Aptos Narrow"/>
      <family val="2"/>
      <charset val="1"/>
    </font>
    <font>
      <b/>
      <sz val="12"/>
      <name val="Aptos Narrow"/>
      <family val="2"/>
      <charset val="1"/>
    </font>
    <font>
      <i/>
      <sz val="12"/>
      <name val="Aptos Narrow"/>
      <family val="2"/>
      <charset val="1"/>
    </font>
    <font>
      <sz val="12"/>
      <color theme="1"/>
      <name val="Aptos Narrow"/>
      <family val="2"/>
      <charset val="1"/>
    </font>
    <font>
      <sz val="18"/>
      <color theme="1"/>
      <name val="Calibri"/>
      <family val="2"/>
    </font>
    <font>
      <sz val="10"/>
      <color theme="1"/>
      <name val="Arial"/>
      <family val="2"/>
    </font>
    <font>
      <sz val="10"/>
      <color rgb="FF0000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8000"/>
      <name val="Calibri"/>
      <family val="2"/>
    </font>
    <font>
      <sz val="14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1"/>
      <color rgb="FF0000FF"/>
      <name val="Calibri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0000FF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charset val="1"/>
    </font>
    <font>
      <sz val="14"/>
      <name val="Aptos Narrow"/>
      <family val="2"/>
      <scheme val="minor"/>
    </font>
    <font>
      <i/>
      <sz val="12"/>
      <color theme="1"/>
      <name val="Aptos Narrow"/>
      <family val="2"/>
    </font>
    <font>
      <i/>
      <sz val="11"/>
      <color rgb="FF000000"/>
      <name val="Calibri"/>
      <family val="2"/>
    </font>
    <font>
      <b/>
      <sz val="12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rgb="FFC0C0C0"/>
      </patternFill>
    </fill>
    <fill>
      <patternFill patternType="solid">
        <fgColor theme="4" tint="0.79979857783745845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99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</borders>
  <cellStyleXfs count="4">
    <xf numFmtId="0" fontId="0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98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6" xfId="0" applyFont="1" applyBorder="1"/>
    <xf numFmtId="0" fontId="0" fillId="0" borderId="6" xfId="0" applyBorder="1" applyAlignment="1">
      <alignment horizontal="center"/>
    </xf>
    <xf numFmtId="0" fontId="0" fillId="0" borderId="5" xfId="0" applyBorder="1"/>
    <xf numFmtId="166" fontId="0" fillId="0" borderId="7" xfId="0" applyNumberFormat="1" applyBorder="1" applyAlignment="1">
      <alignment horizontal="center"/>
    </xf>
    <xf numFmtId="166" fontId="0" fillId="2" borderId="0" xfId="0" applyNumberFormat="1" applyFill="1"/>
    <xf numFmtId="166" fontId="0" fillId="0" borderId="0" xfId="0" applyNumberFormat="1"/>
    <xf numFmtId="0" fontId="0" fillId="3" borderId="0" xfId="0" applyFill="1"/>
    <xf numFmtId="0" fontId="0" fillId="0" borderId="3" xfId="0" applyBorder="1"/>
    <xf numFmtId="166" fontId="0" fillId="0" borderId="3" xfId="0" applyNumberFormat="1" applyBorder="1"/>
    <xf numFmtId="0" fontId="1" fillId="0" borderId="0" xfId="0" applyFont="1"/>
    <xf numFmtId="166" fontId="1" fillId="0" borderId="0" xfId="0" applyNumberFormat="1" applyFont="1"/>
    <xf numFmtId="0" fontId="1" fillId="0" borderId="8" xfId="0" applyFont="1" applyBorder="1"/>
    <xf numFmtId="166" fontId="1" fillId="0" borderId="8" xfId="0" applyNumberFormat="1" applyFont="1" applyBorder="1"/>
    <xf numFmtId="0" fontId="2" fillId="0" borderId="0" xfId="0" applyFont="1"/>
    <xf numFmtId="9" fontId="2" fillId="0" borderId="0" xfId="0" applyNumberFormat="1" applyFont="1"/>
    <xf numFmtId="9" fontId="0" fillId="0" borderId="4" xfId="0" applyNumberFormat="1" applyBorder="1"/>
    <xf numFmtId="9" fontId="4" fillId="0" borderId="0" xfId="0" applyNumberFormat="1" applyFont="1"/>
    <xf numFmtId="9" fontId="5" fillId="0" borderId="0" xfId="0" applyNumberFormat="1" applyFont="1"/>
    <xf numFmtId="9" fontId="6" fillId="0" borderId="0" xfId="0" applyNumberFormat="1" applyFont="1"/>
    <xf numFmtId="0" fontId="0" fillId="0" borderId="4" xfId="0" applyBorder="1"/>
    <xf numFmtId="167" fontId="4" fillId="0" borderId="0" xfId="0" applyNumberFormat="1" applyFont="1"/>
    <xf numFmtId="10" fontId="0" fillId="0" borderId="0" xfId="0" applyNumberFormat="1"/>
    <xf numFmtId="0" fontId="0" fillId="0" borderId="6" xfId="0" applyBorder="1"/>
    <xf numFmtId="165" fontId="0" fillId="0" borderId="4" xfId="0" applyNumberFormat="1" applyBorder="1"/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/>
    <xf numFmtId="166" fontId="7" fillId="0" borderId="0" xfId="0" applyNumberFormat="1" applyFont="1"/>
    <xf numFmtId="166" fontId="7" fillId="0" borderId="4" xfId="0" applyNumberFormat="1" applyFont="1" applyBorder="1"/>
    <xf numFmtId="0" fontId="8" fillId="0" borderId="0" xfId="0" applyFont="1"/>
    <xf numFmtId="166" fontId="8" fillId="0" borderId="0" xfId="0" applyNumberFormat="1" applyFont="1"/>
    <xf numFmtId="166" fontId="8" fillId="0" borderId="4" xfId="0" applyNumberFormat="1" applyFont="1" applyBorder="1"/>
    <xf numFmtId="0" fontId="9" fillId="0" borderId="0" xfId="0" applyFont="1"/>
    <xf numFmtId="166" fontId="9" fillId="0" borderId="0" xfId="0" applyNumberFormat="1" applyFont="1"/>
    <xf numFmtId="166" fontId="9" fillId="0" borderId="4" xfId="0" applyNumberFormat="1" applyFont="1" applyBorder="1"/>
    <xf numFmtId="167" fontId="7" fillId="0" borderId="0" xfId="0" applyNumberFormat="1" applyFont="1"/>
    <xf numFmtId="0" fontId="11" fillId="0" borderId="5" xfId="0" applyFont="1" applyBorder="1"/>
    <xf numFmtId="0" fontId="11" fillId="0" borderId="10" xfId="0" applyFont="1" applyBorder="1"/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horizontal="left" vertical="top" readingOrder="1"/>
    </xf>
    <xf numFmtId="15" fontId="14" fillId="0" borderId="0" xfId="0" applyNumberFormat="1" applyFont="1" applyAlignment="1">
      <alignment horizontal="right" vertical="top" readingOrder="1"/>
    </xf>
    <xf numFmtId="0" fontId="15" fillId="0" borderId="0" xfId="0" applyFont="1" applyAlignment="1">
      <alignment horizontal="left" readingOrder="1"/>
    </xf>
    <xf numFmtId="14" fontId="16" fillId="0" borderId="0" xfId="0" applyNumberFormat="1" applyFont="1" applyAlignment="1">
      <alignment horizontal="right" vertical="top" readingOrder="1"/>
    </xf>
    <xf numFmtId="0" fontId="17" fillId="3" borderId="0" xfId="0" applyFont="1" applyFill="1"/>
    <xf numFmtId="0" fontId="18" fillId="0" borderId="0" xfId="0" applyFont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70" fontId="18" fillId="0" borderId="14" xfId="0" applyNumberFormat="1" applyFont="1" applyBorder="1"/>
    <xf numFmtId="170" fontId="18" fillId="0" borderId="15" xfId="0" applyNumberFormat="1" applyFont="1" applyBorder="1"/>
    <xf numFmtId="170" fontId="18" fillId="0" borderId="16" xfId="0" applyNumberFormat="1" applyFont="1" applyBorder="1"/>
    <xf numFmtId="171" fontId="18" fillId="0" borderId="16" xfId="0" applyNumberFormat="1" applyFont="1" applyBorder="1"/>
    <xf numFmtId="171" fontId="18" fillId="0" borderId="15" xfId="0" applyNumberFormat="1" applyFont="1" applyBorder="1"/>
    <xf numFmtId="10" fontId="15" fillId="0" borderId="0" xfId="0" applyNumberFormat="1" applyFont="1" applyAlignment="1">
      <alignment horizontal="left" readingOrder="1"/>
    </xf>
    <xf numFmtId="172" fontId="20" fillId="4" borderId="0" xfId="0" applyNumberFormat="1" applyFont="1" applyFill="1" applyAlignment="1">
      <alignment horizontal="right" vertical="top" readingOrder="1"/>
    </xf>
    <xf numFmtId="173" fontId="20" fillId="4" borderId="0" xfId="0" applyNumberFormat="1" applyFont="1" applyFill="1"/>
    <xf numFmtId="174" fontId="20" fillId="4" borderId="0" xfId="0" applyNumberFormat="1" applyFont="1" applyFill="1"/>
    <xf numFmtId="174" fontId="15" fillId="0" borderId="0" xfId="0" applyNumberFormat="1" applyFont="1" applyAlignment="1">
      <alignment horizontal="left" readingOrder="1"/>
    </xf>
    <xf numFmtId="0" fontId="14" fillId="0" borderId="0" xfId="0" applyFont="1" applyAlignment="1">
      <alignment horizontal="right" vertical="top" readingOrder="1"/>
    </xf>
    <xf numFmtId="0" fontId="15" fillId="0" borderId="0" xfId="0" applyFont="1" applyAlignment="1">
      <alignment horizontal="left"/>
    </xf>
    <xf numFmtId="176" fontId="20" fillId="4" borderId="0" xfId="0" applyNumberFormat="1" applyFont="1" applyFill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72" fontId="20" fillId="4" borderId="0" xfId="0" applyNumberFormat="1" applyFont="1" applyFill="1" applyAlignment="1">
      <alignment horizontal="right" vertical="center"/>
    </xf>
    <xf numFmtId="0" fontId="15" fillId="0" borderId="0" xfId="0" applyFont="1"/>
    <xf numFmtId="0" fontId="22" fillId="0" borderId="0" xfId="0" applyFont="1"/>
    <xf numFmtId="0" fontId="18" fillId="0" borderId="17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0" xfId="0" applyFont="1"/>
    <xf numFmtId="0" fontId="18" fillId="0" borderId="10" xfId="0" applyFont="1" applyBorder="1"/>
    <xf numFmtId="0" fontId="15" fillId="0" borderId="10" xfId="0" applyFont="1" applyBorder="1"/>
    <xf numFmtId="0" fontId="15" fillId="0" borderId="16" xfId="0" applyFont="1" applyBorder="1"/>
    <xf numFmtId="172" fontId="15" fillId="0" borderId="0" xfId="0" applyNumberFormat="1" applyFont="1"/>
    <xf numFmtId="173" fontId="15" fillId="0" borderId="0" xfId="0" applyNumberFormat="1" applyFont="1"/>
    <xf numFmtId="174" fontId="15" fillId="0" borderId="0" xfId="0" applyNumberFormat="1" applyFont="1"/>
    <xf numFmtId="167" fontId="23" fillId="4" borderId="0" xfId="0" applyNumberFormat="1" applyFont="1" applyFill="1"/>
    <xf numFmtId="172" fontId="18" fillId="0" borderId="0" xfId="0" applyNumberFormat="1" applyFont="1"/>
    <xf numFmtId="174" fontId="18" fillId="0" borderId="18" xfId="0" applyNumberFormat="1" applyFont="1" applyBorder="1"/>
    <xf numFmtId="177" fontId="15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right"/>
    </xf>
    <xf numFmtId="168" fontId="14" fillId="0" borderId="0" xfId="0" applyNumberFormat="1" applyFont="1"/>
    <xf numFmtId="177" fontId="15" fillId="0" borderId="10" xfId="0" applyNumberFormat="1" applyFont="1" applyBorder="1" applyAlignment="1">
      <alignment horizontal="left"/>
    </xf>
    <xf numFmtId="168" fontId="14" fillId="0" borderId="10" xfId="0" applyNumberFormat="1" applyFont="1" applyBorder="1"/>
    <xf numFmtId="174" fontId="18" fillId="0" borderId="0" xfId="0" applyNumberFormat="1" applyFont="1"/>
    <xf numFmtId="178" fontId="15" fillId="0" borderId="0" xfId="0" applyNumberFormat="1" applyFont="1"/>
    <xf numFmtId="10" fontId="14" fillId="0" borderId="0" xfId="0" applyNumberFormat="1" applyFont="1"/>
    <xf numFmtId="167" fontId="14" fillId="0" borderId="0" xfId="0" applyNumberFormat="1" applyFont="1"/>
    <xf numFmtId="167" fontId="22" fillId="0" borderId="0" xfId="0" applyNumberFormat="1" applyFont="1"/>
    <xf numFmtId="10" fontId="15" fillId="0" borderId="0" xfId="0" applyNumberFormat="1" applyFont="1"/>
    <xf numFmtId="179" fontId="22" fillId="0" borderId="0" xfId="0" applyNumberFormat="1" applyFont="1"/>
    <xf numFmtId="0" fontId="24" fillId="0" borderId="0" xfId="0" applyFont="1"/>
    <xf numFmtId="177" fontId="25" fillId="0" borderId="0" xfId="0" applyNumberFormat="1" applyFont="1" applyAlignment="1">
      <alignment horizontal="right"/>
    </xf>
    <xf numFmtId="177" fontId="21" fillId="0" borderId="0" xfId="0" applyNumberFormat="1" applyFont="1"/>
    <xf numFmtId="0" fontId="21" fillId="0" borderId="0" xfId="0" applyFont="1"/>
    <xf numFmtId="167" fontId="20" fillId="0" borderId="0" xfId="0" applyNumberFormat="1" applyFont="1" applyAlignment="1">
      <alignment horizontal="right"/>
    </xf>
    <xf numFmtId="3" fontId="21" fillId="0" borderId="0" xfId="0" applyNumberFormat="1" applyFont="1"/>
    <xf numFmtId="10" fontId="14" fillId="0" borderId="0" xfId="0" applyNumberFormat="1" applyFont="1" applyAlignment="1">
      <alignment horizontal="right"/>
    </xf>
    <xf numFmtId="167" fontId="21" fillId="0" borderId="0" xfId="0" applyNumberFormat="1" applyFont="1"/>
    <xf numFmtId="171" fontId="26" fillId="0" borderId="0" xfId="0" applyNumberFormat="1" applyFont="1"/>
    <xf numFmtId="2" fontId="21" fillId="0" borderId="0" xfId="0" applyNumberFormat="1" applyFont="1"/>
    <xf numFmtId="39" fontId="21" fillId="0" borderId="0" xfId="0" applyNumberFormat="1" applyFont="1"/>
    <xf numFmtId="174" fontId="18" fillId="0" borderId="0" xfId="0" applyNumberFormat="1" applyFont="1" applyAlignment="1">
      <alignment horizontal="right"/>
    </xf>
    <xf numFmtId="174" fontId="18" fillId="0" borderId="18" xfId="0" applyNumberFormat="1" applyFont="1" applyBorder="1" applyAlignment="1">
      <alignment horizontal="right"/>
    </xf>
    <xf numFmtId="174" fontId="21" fillId="0" borderId="0" xfId="0" applyNumberFormat="1" applyFont="1"/>
    <xf numFmtId="0" fontId="25" fillId="0" borderId="0" xfId="0" applyFont="1"/>
    <xf numFmtId="180" fontId="14" fillId="0" borderId="0" xfId="0" applyNumberFormat="1" applyFont="1"/>
    <xf numFmtId="169" fontId="14" fillId="0" borderId="0" xfId="0" applyNumberFormat="1" applyFont="1"/>
    <xf numFmtId="175" fontId="14" fillId="0" borderId="0" xfId="0" applyNumberFormat="1" applyFont="1"/>
    <xf numFmtId="0" fontId="14" fillId="7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181" fontId="15" fillId="0" borderId="0" xfId="0" applyNumberFormat="1" applyFont="1"/>
    <xf numFmtId="175" fontId="15" fillId="0" borderId="0" xfId="0" applyNumberFormat="1" applyFont="1"/>
    <xf numFmtId="10" fontId="18" fillId="0" borderId="0" xfId="0" applyNumberFormat="1" applyFont="1"/>
    <xf numFmtId="174" fontId="15" fillId="0" borderId="0" xfId="0" applyNumberFormat="1" applyFont="1" applyAlignment="1">
      <alignment horizontal="right"/>
    </xf>
    <xf numFmtId="177" fontId="16" fillId="0" borderId="0" xfId="0" applyNumberFormat="1" applyFont="1" applyAlignment="1">
      <alignment horizontal="right"/>
    </xf>
    <xf numFmtId="168" fontId="15" fillId="0" borderId="0" xfId="0" applyNumberFormat="1" applyFont="1"/>
    <xf numFmtId="168" fontId="15" fillId="0" borderId="0" xfId="0" applyNumberFormat="1" applyFont="1" applyAlignment="1">
      <alignment horizontal="right"/>
    </xf>
    <xf numFmtId="0" fontId="15" fillId="0" borderId="19" xfId="0" applyFont="1" applyBorder="1"/>
    <xf numFmtId="8" fontId="18" fillId="0" borderId="20" xfId="0" applyNumberFormat="1" applyFont="1" applyBorder="1" applyAlignment="1">
      <alignment horizontal="right"/>
    </xf>
    <xf numFmtId="0" fontId="15" fillId="0" borderId="11" xfId="0" applyFont="1" applyBorder="1" applyAlignment="1">
      <alignment horizontal="left"/>
    </xf>
    <xf numFmtId="176" fontId="15" fillId="0" borderId="0" xfId="0" applyNumberFormat="1" applyFont="1" applyAlignment="1">
      <alignment horizontal="right"/>
    </xf>
    <xf numFmtId="10" fontId="15" fillId="0" borderId="18" xfId="0" applyNumberFormat="1" applyFont="1" applyBorder="1"/>
    <xf numFmtId="44" fontId="12" fillId="0" borderId="0" xfId="0" applyNumberFormat="1" applyFont="1"/>
    <xf numFmtId="0" fontId="27" fillId="0" borderId="0" xfId="0" applyFont="1"/>
    <xf numFmtId="182" fontId="27" fillId="0" borderId="0" xfId="0" applyNumberFormat="1" applyFont="1"/>
    <xf numFmtId="176" fontId="27" fillId="0" borderId="0" xfId="0" applyNumberFormat="1" applyFont="1"/>
    <xf numFmtId="10" fontId="27" fillId="0" borderId="0" xfId="0" applyNumberFormat="1" applyFont="1"/>
    <xf numFmtId="172" fontId="27" fillId="0" borderId="0" xfId="0" applyNumberFormat="1" applyFont="1"/>
    <xf numFmtId="174" fontId="27" fillId="0" borderId="0" xfId="0" applyNumberFormat="1" applyFont="1"/>
    <xf numFmtId="7" fontId="27" fillId="0" borderId="0" xfId="0" applyNumberFormat="1" applyFont="1"/>
    <xf numFmtId="0" fontId="3" fillId="0" borderId="5" xfId="0" applyFont="1" applyBorder="1"/>
    <xf numFmtId="171" fontId="18" fillId="0" borderId="10" xfId="0" applyNumberFormat="1" applyFont="1" applyBorder="1"/>
    <xf numFmtId="171" fontId="18" fillId="0" borderId="21" xfId="0" applyNumberFormat="1" applyFont="1" applyBorder="1"/>
    <xf numFmtId="0" fontId="29" fillId="3" borderId="0" xfId="0" applyFont="1" applyFill="1"/>
    <xf numFmtId="165" fontId="0" fillId="8" borderId="0" xfId="0" applyNumberFormat="1" applyFill="1"/>
    <xf numFmtId="164" fontId="0" fillId="8" borderId="0" xfId="0" applyNumberFormat="1" applyFill="1"/>
    <xf numFmtId="44" fontId="13" fillId="9" borderId="0" xfId="1" applyFont="1" applyFill="1" applyBorder="1" applyAlignment="1">
      <alignment horizontal="right" vertical="top" readingOrder="1"/>
    </xf>
    <xf numFmtId="14" fontId="13" fillId="9" borderId="0" xfId="0" applyNumberFormat="1" applyFont="1" applyFill="1" applyAlignment="1">
      <alignment horizontal="right" vertical="top" readingOrder="1"/>
    </xf>
    <xf numFmtId="169" fontId="13" fillId="9" borderId="0" xfId="0" applyNumberFormat="1" applyFont="1" applyFill="1" applyAlignment="1">
      <alignment horizontal="right" vertical="top" readingOrder="1"/>
    </xf>
    <xf numFmtId="173" fontId="20" fillId="9" borderId="0" xfId="0" applyNumberFormat="1" applyFont="1" applyFill="1"/>
    <xf numFmtId="174" fontId="20" fillId="9" borderId="0" xfId="0" applyNumberFormat="1" applyFont="1" applyFill="1"/>
    <xf numFmtId="172" fontId="20" fillId="9" borderId="0" xfId="0" applyNumberFormat="1" applyFont="1" applyFill="1" applyAlignment="1">
      <alignment horizontal="right" vertical="center"/>
    </xf>
    <xf numFmtId="167" fontId="23" fillId="9" borderId="0" xfId="0" applyNumberFormat="1" applyFont="1" applyFill="1"/>
    <xf numFmtId="10" fontId="20" fillId="9" borderId="0" xfId="0" applyNumberFormat="1" applyFont="1" applyFill="1" applyAlignment="1">
      <alignment horizontal="right"/>
    </xf>
    <xf numFmtId="167" fontId="20" fillId="9" borderId="0" xfId="0" applyNumberFormat="1" applyFont="1" applyFill="1" applyAlignment="1">
      <alignment horizontal="right"/>
    </xf>
    <xf numFmtId="180" fontId="15" fillId="8" borderId="0" xfId="0" applyNumberFormat="1" applyFont="1" applyFill="1"/>
    <xf numFmtId="10" fontId="15" fillId="8" borderId="0" xfId="0" applyNumberFormat="1" applyFont="1" applyFill="1"/>
    <xf numFmtId="0" fontId="15" fillId="8" borderId="0" xfId="0" applyFont="1" applyFill="1"/>
    <xf numFmtId="44" fontId="15" fillId="8" borderId="0" xfId="0" applyNumberFormat="1" applyFont="1" applyFill="1"/>
    <xf numFmtId="0" fontId="30" fillId="0" borderId="2" xfId="0" applyFont="1" applyBorder="1" applyAlignment="1">
      <alignment horizontal="right"/>
    </xf>
    <xf numFmtId="0" fontId="1" fillId="0" borderId="7" xfId="0" applyFont="1" applyBorder="1"/>
    <xf numFmtId="166" fontId="0" fillId="0" borderId="7" xfId="0" applyNumberFormat="1" applyBorder="1"/>
    <xf numFmtId="0" fontId="15" fillId="0" borderId="0" xfId="0" applyFont="1" applyAlignment="1">
      <alignment horizontal="center"/>
    </xf>
    <xf numFmtId="167" fontId="6" fillId="0" borderId="0" xfId="0" applyNumberFormat="1" applyFont="1"/>
    <xf numFmtId="167" fontId="0" fillId="0" borderId="4" xfId="0" applyNumberFormat="1" applyBorder="1"/>
    <xf numFmtId="0" fontId="31" fillId="0" borderId="0" xfId="0" applyFont="1" applyAlignment="1">
      <alignment horizontal="left" vertical="top" readingOrder="1"/>
    </xf>
    <xf numFmtId="7" fontId="15" fillId="0" borderId="0" xfId="0" applyNumberFormat="1" applyFont="1" applyAlignment="1">
      <alignment horizontal="right" readingOrder="1"/>
    </xf>
    <xf numFmtId="0" fontId="15" fillId="0" borderId="0" xfId="0" applyFont="1" applyAlignment="1">
      <alignment horizontal="right" readingOrder="1"/>
    </xf>
    <xf numFmtId="7" fontId="20" fillId="8" borderId="0" xfId="0" applyNumberFormat="1" applyFont="1" applyFill="1" applyAlignment="1">
      <alignment horizontal="right" readingOrder="1"/>
    </xf>
    <xf numFmtId="10" fontId="14" fillId="0" borderId="0" xfId="0" applyNumberFormat="1" applyFont="1" applyAlignment="1">
      <alignment horizontal="right" vertical="top" readingOrder="1"/>
    </xf>
    <xf numFmtId="10" fontId="20" fillId="9" borderId="0" xfId="3" applyNumberFormat="1" applyFont="1" applyFill="1"/>
    <xf numFmtId="0" fontId="22" fillId="0" borderId="0" xfId="0" applyFont="1" applyAlignment="1">
      <alignment horizontal="left"/>
    </xf>
    <xf numFmtId="10" fontId="22" fillId="0" borderId="0" xfId="0" applyNumberFormat="1" applyFont="1" applyAlignment="1">
      <alignment horizontal="right"/>
    </xf>
    <xf numFmtId="10" fontId="31" fillId="0" borderId="0" xfId="0" applyNumberFormat="1" applyFont="1" applyAlignment="1">
      <alignment horizontal="right" vertical="top" readingOrder="1"/>
    </xf>
    <xf numFmtId="0" fontId="31" fillId="0" borderId="0" xfId="0" applyFont="1" applyAlignment="1">
      <alignment vertical="top"/>
    </xf>
    <xf numFmtId="10" fontId="31" fillId="10" borderId="0" xfId="0" applyNumberFormat="1" applyFont="1" applyFill="1" applyAlignment="1">
      <alignment horizontal="right" vertical="top" readingOrder="1"/>
    </xf>
    <xf numFmtId="10" fontId="20" fillId="8" borderId="0" xfId="2" applyNumberFormat="1" applyFont="1" applyFill="1" applyAlignment="1">
      <alignment horizontal="right" readingOrder="1"/>
    </xf>
    <xf numFmtId="172" fontId="15" fillId="0" borderId="0" xfId="0" applyNumberFormat="1" applyFont="1" applyAlignment="1">
      <alignment horizontal="right" readingOrder="1"/>
    </xf>
    <xf numFmtId="9" fontId="15" fillId="0" borderId="0" xfId="3" applyFont="1" applyAlignment="1">
      <alignment horizontal="center" readingOrder="1"/>
    </xf>
    <xf numFmtId="10" fontId="15" fillId="0" borderId="0" xfId="0" applyNumberFormat="1" applyFont="1" applyAlignment="1">
      <alignment horizontal="center" readingOrder="1"/>
    </xf>
    <xf numFmtId="0" fontId="15" fillId="0" borderId="0" xfId="0" applyFont="1" applyAlignment="1">
      <alignment horizontal="center" readingOrder="1"/>
    </xf>
    <xf numFmtId="171" fontId="26" fillId="0" borderId="0" xfId="0" applyNumberFormat="1" applyFont="1" applyAlignment="1">
      <alignment horizontal="center"/>
    </xf>
    <xf numFmtId="0" fontId="26" fillId="0" borderId="0" xfId="0" applyFont="1"/>
    <xf numFmtId="0" fontId="0" fillId="0" borderId="0" xfId="0" applyAlignment="1">
      <alignment horizontal="right"/>
    </xf>
    <xf numFmtId="0" fontId="18" fillId="5" borderId="1" xfId="0" applyFont="1" applyFill="1" applyBorder="1" applyAlignment="1">
      <alignment horizontal="center"/>
    </xf>
    <xf numFmtId="0" fontId="19" fillId="6" borderId="3" xfId="0" applyFont="1" applyFill="1" applyBorder="1"/>
    <xf numFmtId="0" fontId="19" fillId="6" borderId="2" xfId="0" applyFont="1" applyFill="1" applyBorder="1"/>
    <xf numFmtId="0" fontId="1" fillId="0" borderId="0" xfId="0" applyFont="1" applyBorder="1"/>
    <xf numFmtId="183" fontId="1" fillId="0" borderId="0" xfId="1" applyNumberFormat="1" applyFont="1"/>
    <xf numFmtId="183" fontId="0" fillId="0" borderId="0" xfId="1" applyNumberFormat="1" applyFont="1"/>
    <xf numFmtId="9" fontId="2" fillId="10" borderId="0" xfId="0" applyNumberFormat="1" applyFont="1" applyFill="1"/>
    <xf numFmtId="183" fontId="1" fillId="0" borderId="7" xfId="1" applyNumberFormat="1" applyFont="1" applyBorder="1"/>
    <xf numFmtId="183" fontId="0" fillId="0" borderId="22" xfId="1" applyNumberFormat="1" applyFont="1" applyBorder="1"/>
    <xf numFmtId="183" fontId="0" fillId="0" borderId="4" xfId="1" applyNumberFormat="1" applyFont="1" applyBorder="1"/>
    <xf numFmtId="183" fontId="0" fillId="3" borderId="0" xfId="1" applyNumberFormat="1" applyFont="1" applyFill="1"/>
    <xf numFmtId="183" fontId="1" fillId="0" borderId="4" xfId="1" applyNumberFormat="1" applyFont="1" applyBorder="1"/>
    <xf numFmtId="0" fontId="0" fillId="0" borderId="9" xfId="0" applyBorder="1" applyAlignment="1">
      <alignment horizontal="center"/>
    </xf>
    <xf numFmtId="183" fontId="32" fillId="0" borderId="0" xfId="1" applyNumberFormat="1" applyFont="1"/>
    <xf numFmtId="166" fontId="8" fillId="0" borderId="0" xfId="0" applyNumberFormat="1" applyFont="1" applyBorder="1"/>
    <xf numFmtId="0" fontId="0" fillId="0" borderId="0" xfId="0" applyBorder="1"/>
    <xf numFmtId="44" fontId="7" fillId="0" borderId="0" xfId="1" applyFo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0000FF"/>
      <color rgb="FF0066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094311-FC78-421C-B262-42879F1917E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5ec0f70-b9c3-4f1b-af14-6a0109a0697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tabSelected="1" zoomScaleNormal="100" workbookViewId="0">
      <selection activeCell="C6" sqref="C6"/>
    </sheetView>
  </sheetViews>
  <sheetFormatPr defaultColWidth="11" defaultRowHeight="15.75" x14ac:dyDescent="0.25"/>
  <cols>
    <col min="1" max="1" width="1.875" customWidth="1"/>
    <col min="2" max="2" width="20.375" bestFit="1" customWidth="1"/>
    <col min="3" max="3" width="21.75" customWidth="1"/>
    <col min="4" max="4" width="2.875" customWidth="1"/>
    <col min="5" max="5" width="20.5" customWidth="1"/>
    <col min="6" max="6" width="69.625" customWidth="1"/>
    <col min="7" max="7" width="38.875" customWidth="1"/>
    <col min="8" max="8" width="13.5" customWidth="1"/>
    <col min="9" max="9" width="16.125" customWidth="1"/>
    <col min="10" max="10" width="14" customWidth="1"/>
  </cols>
  <sheetData>
    <row r="1" spans="2:3" ht="9" customHeight="1" x14ac:dyDescent="0.25"/>
    <row r="2" spans="2:3" ht="15.75" customHeight="1" x14ac:dyDescent="0.25">
      <c r="B2" s="1" t="s">
        <v>214</v>
      </c>
      <c r="C2" s="156" t="s">
        <v>215</v>
      </c>
    </row>
    <row r="3" spans="2:3" ht="15.75" customHeight="1" x14ac:dyDescent="0.25">
      <c r="B3" t="s">
        <v>0</v>
      </c>
      <c r="C3" s="142">
        <v>13.31</v>
      </c>
    </row>
    <row r="4" spans="2:3" ht="15.75" customHeight="1" x14ac:dyDescent="0.25">
      <c r="B4" t="s">
        <v>2</v>
      </c>
      <c r="C4" s="141">
        <v>160.66999999999999</v>
      </c>
    </row>
    <row r="5" spans="2:3" ht="15.75" customHeight="1" x14ac:dyDescent="0.25">
      <c r="B5" t="s">
        <v>4</v>
      </c>
      <c r="C5" s="2">
        <f>C3*C4</f>
        <v>2138.5176999999999</v>
      </c>
    </row>
    <row r="6" spans="2:3" ht="15.75" customHeight="1" x14ac:dyDescent="0.25">
      <c r="B6" t="s">
        <v>6</v>
      </c>
      <c r="C6" s="142"/>
    </row>
    <row r="7" spans="2:3" ht="15.75" customHeight="1" x14ac:dyDescent="0.25">
      <c r="B7" t="s">
        <v>8</v>
      </c>
      <c r="C7" s="142"/>
    </row>
    <row r="8" spans="2:3" ht="15.75" customHeight="1" x14ac:dyDescent="0.25">
      <c r="B8" t="s">
        <v>10</v>
      </c>
      <c r="C8" s="2">
        <f>C5+C7-C6</f>
        <v>2138.5176999999999</v>
      </c>
    </row>
    <row r="9" spans="2:3" ht="15.75" customHeight="1" x14ac:dyDescent="0.25"/>
    <row r="10" spans="2:3" ht="15.75" customHeight="1" x14ac:dyDescent="0.25">
      <c r="B10" t="s">
        <v>217</v>
      </c>
      <c r="C10" s="180" t="s">
        <v>216</v>
      </c>
    </row>
    <row r="11" spans="2:3" ht="15.75" customHeight="1" x14ac:dyDescent="0.25">
      <c r="B11" t="s">
        <v>196</v>
      </c>
      <c r="C11" s="180" t="s">
        <v>218</v>
      </c>
    </row>
    <row r="12" spans="2:3" ht="15.75" customHeight="1" x14ac:dyDescent="0.25">
      <c r="B12" t="s">
        <v>197</v>
      </c>
      <c r="C12" s="180" t="s">
        <v>221</v>
      </c>
    </row>
    <row r="13" spans="2:3" ht="15.75" customHeight="1" x14ac:dyDescent="0.25">
      <c r="B13" t="s">
        <v>220</v>
      </c>
      <c r="C13" s="180" t="s">
        <v>219</v>
      </c>
    </row>
    <row r="14" spans="2:3" ht="15.75" customHeight="1" x14ac:dyDescent="0.25"/>
    <row r="15" spans="2:3" ht="15.75" customHeight="1" x14ac:dyDescent="0.25"/>
    <row r="16" spans="2:3" ht="15.75" customHeight="1" x14ac:dyDescent="0.25"/>
    <row r="17" spans="4:7" ht="15.75" customHeight="1" x14ac:dyDescent="0.25"/>
    <row r="18" spans="4:7" ht="15.75" customHeight="1" x14ac:dyDescent="0.25"/>
    <row r="19" spans="4:7" ht="15.75" customHeight="1" x14ac:dyDescent="0.25"/>
    <row r="20" spans="4:7" ht="15.75" customHeight="1" x14ac:dyDescent="0.25"/>
    <row r="21" spans="4:7" ht="15.75" customHeight="1" x14ac:dyDescent="0.25"/>
    <row r="22" spans="4:7" ht="15.75" customHeight="1" x14ac:dyDescent="0.25"/>
    <row r="23" spans="4:7" ht="15.75" customHeight="1" x14ac:dyDescent="0.25"/>
    <row r="24" spans="4:7" ht="15.75" customHeight="1" x14ac:dyDescent="0.25"/>
    <row r="25" spans="4:7" ht="15.75" customHeight="1" x14ac:dyDescent="0.25"/>
    <row r="27" spans="4:7" ht="15.75" customHeight="1" x14ac:dyDescent="0.25">
      <c r="E27" s="5"/>
      <c r="F27" s="3"/>
      <c r="G27" s="3"/>
    </row>
    <row r="29" spans="4:7" ht="15.75" customHeight="1" x14ac:dyDescent="0.25">
      <c r="D29" s="3"/>
    </row>
    <row r="30" spans="4:7" ht="15.75" customHeight="1" x14ac:dyDescent="0.25">
      <c r="D30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21"/>
  <sheetViews>
    <sheetView zoomScale="90" zoomScaleNormal="90" workbookViewId="0">
      <pane xSplit="2" topLeftCell="C1" activePane="topRight" state="frozen"/>
      <selection activeCell="A135" sqref="A135"/>
      <selection pane="topRight" activeCell="H25" sqref="H25:H29"/>
    </sheetView>
  </sheetViews>
  <sheetFormatPr defaultColWidth="11" defaultRowHeight="15.75" x14ac:dyDescent="0.25"/>
  <cols>
    <col min="1" max="1" width="2.375" customWidth="1"/>
    <col min="2" max="2" width="47.125" customWidth="1"/>
    <col min="3" max="3" width="13.75" bestFit="1" customWidth="1"/>
    <col min="4" max="5" width="13.5" customWidth="1"/>
    <col min="6" max="16" width="13.375" customWidth="1"/>
    <col min="17" max="23" width="13.125" customWidth="1"/>
    <col min="24" max="76" width="12.5" customWidth="1"/>
  </cols>
  <sheetData>
    <row r="1" spans="2:21" ht="9.75" customHeight="1" x14ac:dyDescent="0.25"/>
    <row r="2" spans="2:21" ht="34.5" customHeight="1" x14ac:dyDescent="0.4">
      <c r="B2" s="6" t="s">
        <v>16</v>
      </c>
      <c r="C2" s="6"/>
    </row>
    <row r="4" spans="2:21" ht="16.5" customHeight="1" x14ac:dyDescent="0.25">
      <c r="B4" s="7" t="s">
        <v>193</v>
      </c>
      <c r="C4" s="8" t="s">
        <v>225</v>
      </c>
      <c r="D4" s="8" t="s">
        <v>224</v>
      </c>
    </row>
    <row r="5" spans="2:21" ht="15.75" customHeight="1" x14ac:dyDescent="0.25">
      <c r="B5" s="9" t="s">
        <v>222</v>
      </c>
      <c r="C5" s="9"/>
      <c r="D5" s="10"/>
    </row>
    <row r="6" spans="2:21" ht="15.75" customHeight="1" x14ac:dyDescent="0.25">
      <c r="B6" s="14" t="s">
        <v>18</v>
      </c>
      <c r="C6" s="14"/>
      <c r="D6" s="15"/>
    </row>
    <row r="7" spans="2:21" ht="15.75" customHeight="1" x14ac:dyDescent="0.25">
      <c r="B7" s="16" t="s">
        <v>19</v>
      </c>
      <c r="C7" s="185">
        <v>593802</v>
      </c>
      <c r="D7" s="17"/>
    </row>
    <row r="8" spans="2:21" ht="15.75" customHeight="1" x14ac:dyDescent="0.25">
      <c r="B8" t="s">
        <v>20</v>
      </c>
      <c r="C8" s="186">
        <v>5006006</v>
      </c>
      <c r="D8" s="12"/>
    </row>
    <row r="9" spans="2:21" ht="15.75" customHeight="1" x14ac:dyDescent="0.25">
      <c r="B9" s="16" t="s">
        <v>21</v>
      </c>
      <c r="C9" s="17">
        <f t="shared" ref="C9:D9" si="0">C7-C8</f>
        <v>-4412204</v>
      </c>
      <c r="D9" s="17">
        <f t="shared" si="0"/>
        <v>0</v>
      </c>
    </row>
    <row r="10" spans="2:21" ht="15.75" customHeight="1" x14ac:dyDescent="0.25">
      <c r="B10" t="s">
        <v>23</v>
      </c>
      <c r="C10" s="186">
        <v>3832048</v>
      </c>
      <c r="D10" s="12"/>
    </row>
    <row r="11" spans="2:21" ht="15.75" customHeight="1" x14ac:dyDescent="0.25">
      <c r="B11" t="s">
        <v>24</v>
      </c>
      <c r="C11" s="186">
        <v>-529301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2:21" ht="15.75" customHeight="1" x14ac:dyDescent="0.25">
      <c r="B12" t="s">
        <v>25</v>
      </c>
      <c r="C12" s="186">
        <f>C9-SUM(C10:C11)</f>
        <v>-7714951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2:21" ht="15.75" customHeight="1" x14ac:dyDescent="0.25">
      <c r="B13" t="s">
        <v>26</v>
      </c>
      <c r="C13" s="186"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2:21" ht="16.5" customHeight="1" x14ac:dyDescent="0.25">
      <c r="B14" s="18" t="s">
        <v>228</v>
      </c>
      <c r="C14" s="19">
        <f t="shared" ref="C14:D14" si="1">C12-C13</f>
        <v>-7714951</v>
      </c>
      <c r="D14" s="19">
        <f t="shared" si="1"/>
        <v>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2:21" ht="16.5" customHeight="1" x14ac:dyDescent="0.25">
      <c r="B15" t="s">
        <v>27</v>
      </c>
      <c r="C15" s="2" t="e">
        <f t="shared" ref="C15:D15" si="2">C14/C16</f>
        <v>#DIV/0!</v>
      </c>
      <c r="D15" s="2" t="e">
        <f t="shared" si="2"/>
        <v>#DIV/0!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2:21" ht="15.75" customHeight="1" x14ac:dyDescent="0.25">
      <c r="B16" t="s">
        <v>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2:21" ht="15.75" customHeight="1" x14ac:dyDescent="0.25"/>
    <row r="18" spans="2:21" ht="16.5" customHeight="1" x14ac:dyDescent="0.25">
      <c r="B18" s="7" t="s">
        <v>28</v>
      </c>
      <c r="C18" s="184"/>
    </row>
    <row r="19" spans="2:21" ht="15.75" customHeight="1" x14ac:dyDescent="0.25">
      <c r="B19" s="20" t="s">
        <v>226</v>
      </c>
      <c r="C19" s="187"/>
      <c r="D19" s="21">
        <f>(D7-C7)/C7</f>
        <v>-1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spans="2:21" ht="15.75" customHeight="1" x14ac:dyDescent="0.25">
      <c r="B20" s="20" t="s">
        <v>29</v>
      </c>
      <c r="C20" s="21">
        <f>C9/C7</f>
        <v>-7.4304296718434761</v>
      </c>
      <c r="D20" s="21" t="e">
        <f>D9/D7</f>
        <v>#DIV/0!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spans="2:21" ht="15.75" customHeight="1" x14ac:dyDescent="0.25">
      <c r="B21" s="20" t="s">
        <v>30</v>
      </c>
      <c r="C21" s="21">
        <f>C10/C7</f>
        <v>6.4534103960579454</v>
      </c>
      <c r="D21" s="21" t="e">
        <f>D10/D7</f>
        <v>#DIV/0!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.75" customHeight="1" x14ac:dyDescent="0.25">
      <c r="B22" s="20" t="s">
        <v>31</v>
      </c>
      <c r="C22" s="21">
        <f>C13/C12</f>
        <v>0</v>
      </c>
      <c r="D22" s="21" t="e">
        <f>D13/D12</f>
        <v>#DIV/0!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5" spans="2:21" ht="15.75" customHeight="1" x14ac:dyDescent="0.25"/>
    <row r="26" spans="2:21" ht="15.75" customHeight="1" x14ac:dyDescent="0.25">
      <c r="B26" s="16"/>
      <c r="C26" s="16"/>
    </row>
    <row r="27" spans="2:21" ht="15.75" customHeight="1" x14ac:dyDescent="0.25">
      <c r="B27" s="16"/>
      <c r="C27" s="16"/>
    </row>
    <row r="28" spans="2:21" ht="16.5" customHeight="1" x14ac:dyDescent="0.25"/>
    <row r="29" spans="2:21" ht="15.75" customHeight="1" x14ac:dyDescent="0.25"/>
    <row r="30" spans="2:21" ht="15.75" customHeight="1" x14ac:dyDescent="0.25"/>
    <row r="31" spans="2:21" ht="15.75" customHeight="1" x14ac:dyDescent="0.25"/>
    <row r="32" spans="2:2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6.5" customHeight="1" x14ac:dyDescent="0.25"/>
    <row r="41" ht="15" customHeight="1" x14ac:dyDescent="0.25"/>
    <row r="42" ht="15" hidden="1" customHeight="1" x14ac:dyDescent="0.25"/>
    <row r="43" ht="15" hidden="1" customHeight="1" x14ac:dyDescent="0.25"/>
    <row r="44" ht="15" hidden="1" customHeight="1" x14ac:dyDescent="0.25"/>
    <row r="45" ht="15" hidden="1" customHeight="1" x14ac:dyDescent="0.25"/>
    <row r="46" ht="15" hidden="1" customHeight="1" x14ac:dyDescent="0.25"/>
    <row r="47" ht="15" hidden="1" customHeight="1" x14ac:dyDescent="0.25"/>
    <row r="48" ht="15" hidden="1" customHeight="1" x14ac:dyDescent="0.25"/>
    <row r="49" ht="15" hidden="1" customHeight="1" x14ac:dyDescent="0.25"/>
    <row r="50" ht="15" hidden="1" customHeight="1" x14ac:dyDescent="0.25"/>
    <row r="51" ht="15.75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customHeight="1" x14ac:dyDescent="0.25"/>
    <row r="65" spans="5:74" ht="15.75" hidden="1" customHeight="1" x14ac:dyDescent="0.25"/>
    <row r="66" spans="5:74" ht="15.75" hidden="1" customHeight="1" x14ac:dyDescent="0.25"/>
    <row r="67" spans="5:74" ht="15.75" customHeight="1" x14ac:dyDescent="0.25"/>
    <row r="68" spans="5:74" ht="15.75" customHeight="1" x14ac:dyDescent="0.25"/>
    <row r="69" spans="5:74" ht="15.75" customHeight="1" x14ac:dyDescent="0.25"/>
    <row r="70" spans="5:74" ht="15.75" customHeight="1" x14ac:dyDescent="0.25"/>
    <row r="71" spans="5:74" ht="15.75" customHeight="1" x14ac:dyDescent="0.25"/>
    <row r="72" spans="5:74" ht="15.75" customHeight="1" x14ac:dyDescent="0.25"/>
    <row r="73" spans="5:74" ht="15.75" customHeight="1" x14ac:dyDescent="0.25"/>
    <row r="74" spans="5:74" ht="15.75" customHeight="1" x14ac:dyDescent="0.25"/>
    <row r="75" spans="5:74" ht="15.75" customHeight="1" x14ac:dyDescent="0.25"/>
    <row r="76" spans="5:74" ht="15.75" customHeight="1" x14ac:dyDescent="0.25"/>
    <row r="77" spans="5:74" ht="15.75" customHeight="1" x14ac:dyDescent="0.25"/>
    <row r="78" spans="5:74" ht="15.75" customHeight="1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</row>
    <row r="79" spans="5:74" ht="15.75" customHeight="1" x14ac:dyDescent="0.25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</row>
    <row r="80" spans="5:74" ht="15.75" customHeight="1" x14ac:dyDescent="0.25"/>
    <row r="81" ht="15.75" customHeight="1" x14ac:dyDescent="0.25"/>
    <row r="82" ht="16.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6.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84" spans="2:3" ht="15.75" customHeight="1" x14ac:dyDescent="0.25">
      <c r="B184" s="43"/>
      <c r="C184" s="43"/>
    </row>
    <row r="213" spans="2:3" ht="15.75" customHeight="1" x14ac:dyDescent="0.25">
      <c r="B213" s="40"/>
      <c r="C213" s="40"/>
    </row>
    <row r="214" spans="2:3" ht="15.75" customHeight="1" x14ac:dyDescent="0.25">
      <c r="B214" s="40"/>
      <c r="C214" s="40"/>
    </row>
    <row r="215" spans="2:3" ht="15.75" customHeight="1" x14ac:dyDescent="0.25">
      <c r="B215" s="40"/>
      <c r="C215" s="40"/>
    </row>
    <row r="216" spans="2:3" ht="15.75" customHeight="1" x14ac:dyDescent="0.25">
      <c r="B216" s="40"/>
      <c r="C216" s="40"/>
    </row>
    <row r="217" spans="2:3" ht="15.75" customHeight="1" x14ac:dyDescent="0.25">
      <c r="B217" s="40"/>
      <c r="C217" s="40"/>
    </row>
    <row r="218" spans="2:3" ht="15.75" customHeight="1" x14ac:dyDescent="0.25">
      <c r="B218" s="40"/>
      <c r="C218" s="40"/>
    </row>
    <row r="219" spans="2:3" ht="15.75" customHeight="1" x14ac:dyDescent="0.25">
      <c r="B219" s="40"/>
      <c r="C219" s="40"/>
    </row>
    <row r="220" spans="2:3" ht="15.75" customHeight="1" x14ac:dyDescent="0.25">
      <c r="B220" s="40"/>
      <c r="C220" s="40"/>
    </row>
    <row r="221" spans="2:3" ht="15.75" customHeight="1" x14ac:dyDescent="0.25">
      <c r="B221" s="40"/>
      <c r="C221" s="40"/>
    </row>
  </sheetData>
  <phoneticPr fontId="28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213D-CD15-4127-B6FD-B9BE139F16CC}">
  <dimension ref="B1:I35"/>
  <sheetViews>
    <sheetView workbookViewId="0">
      <selection activeCell="J32" sqref="J32"/>
    </sheetView>
  </sheetViews>
  <sheetFormatPr defaultColWidth="8.875" defaultRowHeight="15.75" x14ac:dyDescent="0.25"/>
  <cols>
    <col min="1" max="1" width="1.625" customWidth="1"/>
    <col min="2" max="2" width="31.125" bestFit="1" customWidth="1"/>
    <col min="3" max="3" width="12.75" bestFit="1" customWidth="1"/>
    <col min="4" max="4" width="12.5" customWidth="1"/>
    <col min="5" max="5" width="11.5" customWidth="1"/>
    <col min="6" max="15" width="12.125" customWidth="1"/>
  </cols>
  <sheetData>
    <row r="1" spans="2:9" ht="9" customHeight="1" x14ac:dyDescent="0.25"/>
    <row r="2" spans="2:9" ht="16.5" thickBot="1" x14ac:dyDescent="0.3">
      <c r="B2" s="7" t="s">
        <v>192</v>
      </c>
      <c r="C2" s="8" t="str">
        <f t="shared" ref="C2:D2" si="0">C10</f>
        <v>FY'24</v>
      </c>
      <c r="D2" s="8" t="str">
        <f t="shared" si="0"/>
        <v>FY'25</v>
      </c>
      <c r="E2" s="8" t="str">
        <f>E10</f>
        <v>FY'26</v>
      </c>
      <c r="F2" s="8" t="str">
        <f>F10</f>
        <v>FY'27</v>
      </c>
      <c r="G2" s="8" t="str">
        <f>G10</f>
        <v>FY'28</v>
      </c>
      <c r="H2" s="8" t="str">
        <f>H10</f>
        <v>FY'29</v>
      </c>
      <c r="I2" s="8" t="str">
        <f>I10</f>
        <v>FY'30</v>
      </c>
    </row>
    <row r="3" spans="2:9" x14ac:dyDescent="0.25">
      <c r="B3" s="20" t="s">
        <v>223</v>
      </c>
      <c r="C3" s="20"/>
      <c r="D3" s="20"/>
      <c r="E3" s="22"/>
      <c r="F3" s="23"/>
      <c r="G3" s="23"/>
      <c r="H3" s="23"/>
      <c r="I3" s="23"/>
    </row>
    <row r="4" spans="2:9" x14ac:dyDescent="0.25">
      <c r="B4" s="20" t="s">
        <v>32</v>
      </c>
      <c r="C4" s="20"/>
      <c r="D4" s="20"/>
      <c r="E4" s="22"/>
      <c r="F4" s="23"/>
      <c r="G4" s="23"/>
      <c r="H4" s="23"/>
      <c r="I4" s="23"/>
    </row>
    <row r="5" spans="2:9" x14ac:dyDescent="0.25">
      <c r="B5" s="20" t="s">
        <v>33</v>
      </c>
      <c r="C5" s="20"/>
      <c r="D5" s="20"/>
      <c r="E5" s="22"/>
      <c r="F5" s="24"/>
      <c r="G5" s="24"/>
      <c r="H5" s="24"/>
      <c r="I5" s="24"/>
    </row>
    <row r="6" spans="2:9" x14ac:dyDescent="0.25">
      <c r="B6" s="20" t="s">
        <v>34</v>
      </c>
      <c r="C6" s="20"/>
      <c r="D6" s="20"/>
      <c r="E6" s="22"/>
      <c r="F6" s="24"/>
      <c r="G6" s="24"/>
      <c r="H6" s="24"/>
      <c r="I6" s="24"/>
    </row>
    <row r="7" spans="2:9" x14ac:dyDescent="0.25">
      <c r="B7" s="20" t="s">
        <v>35</v>
      </c>
      <c r="C7" s="20"/>
      <c r="D7" s="20"/>
      <c r="E7" s="22"/>
      <c r="F7" s="24"/>
      <c r="G7" s="24"/>
      <c r="H7" s="24"/>
      <c r="I7" s="24"/>
    </row>
    <row r="8" spans="2:9" x14ac:dyDescent="0.25">
      <c r="B8" s="20" t="s">
        <v>36</v>
      </c>
      <c r="C8" s="20"/>
      <c r="D8" s="20"/>
      <c r="E8" s="22"/>
      <c r="F8" s="24"/>
      <c r="G8" s="24"/>
      <c r="H8" s="24"/>
      <c r="I8" s="24"/>
    </row>
    <row r="9" spans="2:9" x14ac:dyDescent="0.25">
      <c r="E9" s="26"/>
    </row>
    <row r="10" spans="2:9" ht="16.5" thickBot="1" x14ac:dyDescent="0.3">
      <c r="B10" s="29" t="s">
        <v>55</v>
      </c>
      <c r="C10" s="8" t="s">
        <v>58</v>
      </c>
      <c r="D10" s="8" t="s">
        <v>59</v>
      </c>
      <c r="E10" s="193" t="s">
        <v>60</v>
      </c>
      <c r="F10" s="8" t="s">
        <v>61</v>
      </c>
      <c r="G10" s="8" t="s">
        <v>62</v>
      </c>
      <c r="H10" s="8" t="s">
        <v>63</v>
      </c>
      <c r="I10" s="8" t="s">
        <v>64</v>
      </c>
    </row>
    <row r="11" spans="2:9" x14ac:dyDescent="0.25">
      <c r="B11" s="157" t="s">
        <v>222</v>
      </c>
      <c r="C11" s="188">
        <v>0</v>
      </c>
      <c r="D11" s="188">
        <v>3140065</v>
      </c>
      <c r="E11" s="189"/>
      <c r="F11" s="158"/>
      <c r="G11" s="158"/>
      <c r="H11" s="158"/>
      <c r="I11" s="158"/>
    </row>
    <row r="12" spans="2:9" hidden="1" x14ac:dyDescent="0.25">
      <c r="B12" t="s">
        <v>1</v>
      </c>
      <c r="C12" s="186"/>
      <c r="D12" s="186"/>
      <c r="E12" s="190" t="e">
        <f>SUM('10QIS'!#REF!)</f>
        <v>#REF!</v>
      </c>
      <c r="F12" s="12"/>
      <c r="G12" s="12"/>
      <c r="H12" s="12"/>
      <c r="I12" s="12"/>
    </row>
    <row r="13" spans="2:9" hidden="1" x14ac:dyDescent="0.25">
      <c r="B13" t="s">
        <v>3</v>
      </c>
      <c r="C13" s="186"/>
      <c r="D13" s="186"/>
      <c r="E13" s="190" t="e">
        <f>SUM('10QIS'!#REF!)</f>
        <v>#REF!</v>
      </c>
      <c r="F13" s="12"/>
      <c r="G13" s="12"/>
      <c r="H13" s="12"/>
      <c r="I13" s="12"/>
    </row>
    <row r="14" spans="2:9" hidden="1" x14ac:dyDescent="0.25">
      <c r="B14" t="s">
        <v>5</v>
      </c>
      <c r="C14" s="186"/>
      <c r="D14" s="186"/>
      <c r="E14" s="190" t="e">
        <f>SUM('10QIS'!#REF!)</f>
        <v>#REF!</v>
      </c>
      <c r="F14" s="12"/>
      <c r="G14" s="12"/>
      <c r="H14" s="12"/>
      <c r="I14" s="12"/>
    </row>
    <row r="15" spans="2:9" hidden="1" x14ac:dyDescent="0.25">
      <c r="B15" s="13" t="s">
        <v>7</v>
      </c>
      <c r="C15" s="191"/>
      <c r="D15" s="191"/>
      <c r="E15" s="190" t="e">
        <f>SUM('10QIS'!#REF!)</f>
        <v>#REF!</v>
      </c>
      <c r="F15" s="12"/>
      <c r="G15" s="12"/>
      <c r="H15" s="12"/>
      <c r="I15" s="12"/>
    </row>
    <row r="16" spans="2:9" hidden="1" x14ac:dyDescent="0.25">
      <c r="B16" s="13" t="s">
        <v>9</v>
      </c>
      <c r="C16" s="191"/>
      <c r="D16" s="191"/>
      <c r="E16" s="190" t="e">
        <f>SUM('10QIS'!#REF!)</f>
        <v>#REF!</v>
      </c>
      <c r="F16" s="12"/>
      <c r="G16" s="12"/>
      <c r="H16" s="12"/>
      <c r="I16" s="12"/>
    </row>
    <row r="17" spans="2:9" hidden="1" x14ac:dyDescent="0.25">
      <c r="B17" t="s">
        <v>11</v>
      </c>
      <c r="C17" s="186"/>
      <c r="D17" s="186"/>
      <c r="E17" s="190" t="e">
        <f>SUM('10QIS'!#REF!)</f>
        <v>#REF!</v>
      </c>
      <c r="F17" s="12"/>
      <c r="G17" s="12"/>
      <c r="H17" s="12"/>
      <c r="I17" s="12"/>
    </row>
    <row r="18" spans="2:9" hidden="1" x14ac:dyDescent="0.25">
      <c r="B18" t="s">
        <v>12</v>
      </c>
      <c r="C18" s="186"/>
      <c r="D18" s="186"/>
      <c r="E18" s="190" t="e">
        <f>SUM('10QIS'!#REF!)</f>
        <v>#REF!</v>
      </c>
      <c r="F18" s="12"/>
      <c r="G18" s="12"/>
      <c r="H18" s="12"/>
      <c r="I18" s="12"/>
    </row>
    <row r="19" spans="2:9" hidden="1" x14ac:dyDescent="0.25">
      <c r="B19" t="s">
        <v>17</v>
      </c>
      <c r="C19" s="186"/>
      <c r="D19" s="186"/>
      <c r="E19" s="190" t="e">
        <f>SUM('10QIS'!#REF!)</f>
        <v>#REF!</v>
      </c>
      <c r="F19" s="12"/>
      <c r="G19" s="12"/>
      <c r="H19" s="12"/>
      <c r="I19" s="12"/>
    </row>
    <row r="20" spans="2:9" hidden="1" x14ac:dyDescent="0.25">
      <c r="B20" t="s">
        <v>13</v>
      </c>
      <c r="C20" s="186"/>
      <c r="D20" s="186"/>
      <c r="E20" s="190" t="e">
        <f>SUM('10QIS'!#REF!)</f>
        <v>#REF!</v>
      </c>
      <c r="F20" s="12"/>
      <c r="G20" s="12"/>
      <c r="H20" s="12"/>
      <c r="I20" s="12"/>
    </row>
    <row r="21" spans="2:9" hidden="1" x14ac:dyDescent="0.25">
      <c r="B21" t="s">
        <v>14</v>
      </c>
      <c r="C21" s="186"/>
      <c r="D21" s="186"/>
      <c r="E21" s="190" t="e">
        <f>SUM('10QIS'!#REF!)</f>
        <v>#REF!</v>
      </c>
      <c r="F21" s="12"/>
      <c r="G21" s="12"/>
      <c r="H21" s="12"/>
      <c r="I21" s="12"/>
    </row>
    <row r="22" spans="2:9" hidden="1" x14ac:dyDescent="0.25">
      <c r="B22" t="s">
        <v>15</v>
      </c>
      <c r="C22" s="186"/>
      <c r="D22" s="186"/>
      <c r="E22" s="190" t="e">
        <f>SUM('10QIS'!#REF!)</f>
        <v>#REF!</v>
      </c>
      <c r="F22" s="12"/>
      <c r="G22" s="12"/>
      <c r="H22" s="12"/>
      <c r="I22" s="12"/>
    </row>
    <row r="23" spans="2:9" x14ac:dyDescent="0.25">
      <c r="B23" t="s">
        <v>65</v>
      </c>
      <c r="C23" s="186">
        <v>0</v>
      </c>
      <c r="D23" s="186">
        <v>0</v>
      </c>
      <c r="E23" s="190"/>
      <c r="F23" s="12"/>
      <c r="G23" s="12"/>
      <c r="H23" s="12"/>
      <c r="I23" s="12"/>
    </row>
    <row r="24" spans="2:9" x14ac:dyDescent="0.25">
      <c r="B24" s="16" t="s">
        <v>19</v>
      </c>
      <c r="C24" s="185">
        <f>C11+C23</f>
        <v>0</v>
      </c>
      <c r="D24" s="185">
        <f t="shared" ref="D24:E24" si="1">D11+D23</f>
        <v>3140065</v>
      </c>
      <c r="E24" s="192">
        <f t="shared" si="1"/>
        <v>0</v>
      </c>
      <c r="F24" s="17"/>
      <c r="G24" s="17"/>
      <c r="H24" s="17"/>
      <c r="I24" s="17"/>
    </row>
    <row r="25" spans="2:9" x14ac:dyDescent="0.25">
      <c r="B25" t="s">
        <v>20</v>
      </c>
      <c r="C25" s="186">
        <v>0</v>
      </c>
      <c r="D25" s="186">
        <v>7672905</v>
      </c>
      <c r="E25" s="190"/>
      <c r="F25" s="12"/>
      <c r="G25" s="12"/>
      <c r="H25" s="12"/>
      <c r="I25" s="12"/>
    </row>
    <row r="26" spans="2:9" x14ac:dyDescent="0.25">
      <c r="B26" s="16" t="s">
        <v>21</v>
      </c>
      <c r="C26" s="185">
        <f>C24-C25</f>
        <v>0</v>
      </c>
      <c r="D26" s="185">
        <f t="shared" ref="D26:E26" si="2">D24-D25</f>
        <v>-4532840</v>
      </c>
      <c r="E26" s="192">
        <f t="shared" si="2"/>
        <v>0</v>
      </c>
      <c r="F26" s="17"/>
      <c r="G26" s="17"/>
      <c r="H26" s="17"/>
      <c r="I26" s="17"/>
    </row>
    <row r="27" spans="2:9" x14ac:dyDescent="0.25">
      <c r="B27" t="s">
        <v>22</v>
      </c>
      <c r="C27" s="186">
        <v>30297773</v>
      </c>
      <c r="D27" s="186">
        <v>0</v>
      </c>
      <c r="E27" s="190"/>
      <c r="F27" s="12"/>
      <c r="G27" s="12"/>
      <c r="H27" s="12"/>
      <c r="I27" s="12"/>
    </row>
    <row r="28" spans="2:9" x14ac:dyDescent="0.25">
      <c r="B28" t="s">
        <v>23</v>
      </c>
      <c r="C28" s="186">
        <v>669774</v>
      </c>
      <c r="D28" s="186">
        <v>4420156</v>
      </c>
      <c r="E28" s="190"/>
      <c r="F28" s="12"/>
      <c r="G28" s="12"/>
      <c r="H28" s="12"/>
      <c r="I28" s="12"/>
    </row>
    <row r="29" spans="2:9" x14ac:dyDescent="0.25">
      <c r="B29" t="s">
        <v>227</v>
      </c>
      <c r="C29" s="186">
        <v>895</v>
      </c>
      <c r="D29" s="186">
        <v>79364</v>
      </c>
      <c r="E29" s="190"/>
      <c r="F29" s="12"/>
      <c r="G29" s="12"/>
      <c r="H29" s="12"/>
      <c r="I29" s="12"/>
    </row>
    <row r="30" spans="2:9" x14ac:dyDescent="0.25">
      <c r="B30" t="s">
        <v>24</v>
      </c>
      <c r="C30" s="186">
        <v>25628000</v>
      </c>
      <c r="D30" s="186">
        <f>7725000-(853000+363415)</f>
        <v>6508585</v>
      </c>
      <c r="E30" s="190"/>
      <c r="F30" s="12"/>
      <c r="G30" s="12"/>
      <c r="H30" s="12"/>
      <c r="I30" s="12"/>
    </row>
    <row r="31" spans="2:9" x14ac:dyDescent="0.25">
      <c r="B31" t="s">
        <v>25</v>
      </c>
      <c r="C31" s="186">
        <f>C26-SUM(C27:C30)</f>
        <v>-56596442</v>
      </c>
      <c r="D31" s="186">
        <f>D26-SUM(D27:D30)</f>
        <v>-15540945</v>
      </c>
      <c r="E31" s="190"/>
      <c r="F31" s="12"/>
      <c r="G31" s="12"/>
      <c r="H31" s="12"/>
      <c r="I31" s="12"/>
    </row>
    <row r="32" spans="2:9" x14ac:dyDescent="0.25">
      <c r="B32" t="s">
        <v>26</v>
      </c>
      <c r="C32" s="186">
        <v>0</v>
      </c>
      <c r="D32" s="186">
        <v>0</v>
      </c>
      <c r="E32" s="190"/>
      <c r="F32" s="12"/>
      <c r="G32" s="12"/>
      <c r="H32" s="12"/>
      <c r="I32" s="12"/>
    </row>
    <row r="33" spans="2:9" x14ac:dyDescent="0.25">
      <c r="B33" s="16" t="s">
        <v>228</v>
      </c>
      <c r="C33" s="185">
        <f>C31-C32</f>
        <v>-56596442</v>
      </c>
      <c r="D33" s="185">
        <f t="shared" ref="D33:E33" si="3">D31-D32</f>
        <v>-15540945</v>
      </c>
      <c r="E33" s="192">
        <f t="shared" si="3"/>
        <v>0</v>
      </c>
      <c r="F33" s="17"/>
      <c r="G33" s="17"/>
      <c r="H33" s="17"/>
      <c r="I33" s="17"/>
    </row>
    <row r="34" spans="2:9" x14ac:dyDescent="0.25">
      <c r="B34" t="s">
        <v>27</v>
      </c>
      <c r="C34" s="186">
        <f>(C33/100)/C35</f>
        <v>-3522.527043007407</v>
      </c>
      <c r="D34" s="186">
        <f t="shared" ref="D34:E34" si="4">(D33/100)/D35</f>
        <v>-967.25866683263848</v>
      </c>
      <c r="E34" s="190">
        <f t="shared" si="4"/>
        <v>0</v>
      </c>
      <c r="F34" s="2"/>
      <c r="G34" s="2"/>
      <c r="H34" s="2"/>
      <c r="I34" s="2"/>
    </row>
    <row r="35" spans="2:9" x14ac:dyDescent="0.25">
      <c r="B35" t="s">
        <v>2</v>
      </c>
      <c r="C35">
        <v>160.66999999999999</v>
      </c>
      <c r="D35">
        <v>160.66999999999999</v>
      </c>
      <c r="E35" s="30">
        <v>160.66999999999999</v>
      </c>
      <c r="F35" s="4"/>
      <c r="G35" s="4"/>
      <c r="H35" s="4"/>
      <c r="I35" s="4"/>
    </row>
  </sheetData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506E-6145-48BA-92C4-F0A8B1E51286}">
  <dimension ref="B1:D41"/>
  <sheetViews>
    <sheetView topLeftCell="A10" workbookViewId="0">
      <selection activeCell="F13" sqref="F13"/>
    </sheetView>
  </sheetViews>
  <sheetFormatPr defaultColWidth="8.875" defaultRowHeight="15.75" x14ac:dyDescent="0.25"/>
  <cols>
    <col min="1" max="1" width="1.375" customWidth="1"/>
    <col min="2" max="2" width="38.125" bestFit="1" customWidth="1"/>
    <col min="3" max="14" width="12" customWidth="1"/>
  </cols>
  <sheetData>
    <row r="1" spans="2:4" ht="12" customHeight="1" x14ac:dyDescent="0.25"/>
    <row r="2" spans="2:4" ht="15.75" customHeight="1" thickBot="1" x14ac:dyDescent="0.3">
      <c r="B2" s="7" t="s">
        <v>194</v>
      </c>
      <c r="C2" s="8" t="s">
        <v>60</v>
      </c>
      <c r="D2" s="8" t="s">
        <v>61</v>
      </c>
    </row>
    <row r="3" spans="2:4" ht="15.75" customHeight="1" x14ac:dyDescent="0.25">
      <c r="B3" s="20" t="s">
        <v>37</v>
      </c>
      <c r="C3" s="22"/>
      <c r="D3" s="25"/>
    </row>
    <row r="4" spans="2:4" ht="15.75" customHeight="1" x14ac:dyDescent="0.25">
      <c r="B4" s="20" t="s">
        <v>38</v>
      </c>
      <c r="C4" s="22"/>
      <c r="D4" s="25"/>
    </row>
    <row r="5" spans="2:4" ht="15.75" customHeight="1" x14ac:dyDescent="0.25">
      <c r="B5" s="20" t="s">
        <v>39</v>
      </c>
      <c r="C5" s="22"/>
      <c r="D5" s="25"/>
    </row>
    <row r="6" spans="2:4" ht="15.75" customHeight="1" x14ac:dyDescent="0.25">
      <c r="B6" s="20" t="s">
        <v>40</v>
      </c>
      <c r="C6" s="22"/>
      <c r="D6" s="25"/>
    </row>
    <row r="7" spans="2:4" ht="15.75" customHeight="1" x14ac:dyDescent="0.25">
      <c r="B7" s="20" t="s">
        <v>41</v>
      </c>
      <c r="C7" s="161"/>
      <c r="D7" s="160"/>
    </row>
    <row r="8" spans="2:4" ht="15.75" customHeight="1" x14ac:dyDescent="0.25">
      <c r="B8" s="20" t="s">
        <v>42</v>
      </c>
      <c r="C8" s="22"/>
      <c r="D8" s="25"/>
    </row>
    <row r="9" spans="2:4" ht="15.75" customHeight="1" x14ac:dyDescent="0.25">
      <c r="B9" s="20" t="s">
        <v>43</v>
      </c>
      <c r="C9" s="22"/>
      <c r="D9" s="25"/>
    </row>
    <row r="10" spans="2:4" ht="15.75" customHeight="1" x14ac:dyDescent="0.25">
      <c r="B10" s="20" t="s">
        <v>44</v>
      </c>
      <c r="C10" s="22"/>
      <c r="D10" s="25"/>
    </row>
    <row r="11" spans="2:4" ht="15.75" customHeight="1" x14ac:dyDescent="0.25">
      <c r="B11" s="20" t="s">
        <v>45</v>
      </c>
      <c r="C11" s="22"/>
      <c r="D11" s="25"/>
    </row>
    <row r="12" spans="2:4" ht="15.75" customHeight="1" x14ac:dyDescent="0.25">
      <c r="C12" s="26"/>
    </row>
    <row r="13" spans="2:4" ht="15.75" customHeight="1" thickBot="1" x14ac:dyDescent="0.3">
      <c r="B13" s="31" t="s">
        <v>66</v>
      </c>
      <c r="C13" s="33"/>
      <c r="D13" s="32"/>
    </row>
    <row r="14" spans="2:4" x14ac:dyDescent="0.25">
      <c r="B14" s="34" t="s">
        <v>67</v>
      </c>
      <c r="C14" s="36"/>
      <c r="D14" s="35"/>
    </row>
    <row r="15" spans="2:4" x14ac:dyDescent="0.25">
      <c r="B15" s="34" t="s">
        <v>68</v>
      </c>
      <c r="C15" s="36"/>
      <c r="D15" s="35"/>
    </row>
    <row r="16" spans="2:4" x14ac:dyDescent="0.25">
      <c r="B16" s="34" t="s">
        <v>69</v>
      </c>
      <c r="C16" s="36"/>
      <c r="D16" s="35"/>
    </row>
    <row r="17" spans="2:4" x14ac:dyDescent="0.25">
      <c r="B17" s="34" t="s">
        <v>70</v>
      </c>
      <c r="C17" s="36"/>
      <c r="D17" s="35"/>
    </row>
    <row r="18" spans="2:4" x14ac:dyDescent="0.25">
      <c r="B18" s="34" t="s">
        <v>71</v>
      </c>
      <c r="C18" s="36"/>
      <c r="D18" s="35"/>
    </row>
    <row r="19" spans="2:4" x14ac:dyDescent="0.25">
      <c r="B19" s="34" t="s">
        <v>72</v>
      </c>
      <c r="C19" s="36"/>
      <c r="D19" s="35"/>
    </row>
    <row r="20" spans="2:4" x14ac:dyDescent="0.25">
      <c r="B20" s="37" t="s">
        <v>73</v>
      </c>
      <c r="C20" s="39"/>
      <c r="D20" s="38"/>
    </row>
    <row r="21" spans="2:4" x14ac:dyDescent="0.25">
      <c r="B21" s="34" t="s">
        <v>74</v>
      </c>
      <c r="C21" s="36"/>
      <c r="D21" s="35"/>
    </row>
    <row r="22" spans="2:4" x14ac:dyDescent="0.25">
      <c r="B22" s="34" t="s">
        <v>75</v>
      </c>
      <c r="C22" s="36"/>
      <c r="D22" s="35"/>
    </row>
    <row r="23" spans="2:4" x14ac:dyDescent="0.25">
      <c r="B23" s="34" t="s">
        <v>76</v>
      </c>
      <c r="C23" s="36"/>
      <c r="D23" s="35"/>
    </row>
    <row r="24" spans="2:4" x14ac:dyDescent="0.25">
      <c r="B24" s="34" t="s">
        <v>77</v>
      </c>
      <c r="C24" s="36"/>
      <c r="D24" s="35"/>
    </row>
    <row r="25" spans="2:4" x14ac:dyDescent="0.25">
      <c r="B25" s="34" t="s">
        <v>78</v>
      </c>
      <c r="C25" s="36"/>
      <c r="D25" s="35"/>
    </row>
    <row r="26" spans="2:4" x14ac:dyDescent="0.25">
      <c r="B26" s="34" t="s">
        <v>79</v>
      </c>
      <c r="C26" s="36"/>
      <c r="D26" s="35"/>
    </row>
    <row r="27" spans="2:4" x14ac:dyDescent="0.25">
      <c r="B27" s="37" t="s">
        <v>80</v>
      </c>
      <c r="C27" s="39"/>
      <c r="D27" s="38"/>
    </row>
    <row r="28" spans="2:4" x14ac:dyDescent="0.25">
      <c r="C28" s="26"/>
    </row>
    <row r="29" spans="2:4" x14ac:dyDescent="0.25">
      <c r="B29" s="34" t="s">
        <v>81</v>
      </c>
      <c r="C29" s="36"/>
      <c r="D29" s="35"/>
    </row>
    <row r="30" spans="2:4" x14ac:dyDescent="0.25">
      <c r="B30" s="34" t="s">
        <v>82</v>
      </c>
      <c r="C30" s="36"/>
      <c r="D30" s="35"/>
    </row>
    <row r="31" spans="2:4" x14ac:dyDescent="0.25">
      <c r="B31" s="34" t="s">
        <v>83</v>
      </c>
      <c r="C31" s="36"/>
      <c r="D31" s="35"/>
    </row>
    <row r="32" spans="2:4" x14ac:dyDescent="0.25">
      <c r="B32" s="34" t="s">
        <v>84</v>
      </c>
      <c r="C32" s="36"/>
      <c r="D32" s="35"/>
    </row>
    <row r="33" spans="2:4" x14ac:dyDescent="0.25">
      <c r="B33" s="34" t="s">
        <v>85</v>
      </c>
      <c r="C33" s="36"/>
      <c r="D33" s="35"/>
    </row>
    <row r="34" spans="2:4" x14ac:dyDescent="0.25">
      <c r="B34" s="37" t="s">
        <v>86</v>
      </c>
      <c r="C34" s="39"/>
      <c r="D34" s="38"/>
    </row>
    <row r="35" spans="2:4" x14ac:dyDescent="0.25">
      <c r="B35" s="34" t="s">
        <v>87</v>
      </c>
      <c r="C35" s="36"/>
      <c r="D35" s="35"/>
    </row>
    <row r="36" spans="2:4" x14ac:dyDescent="0.25">
      <c r="B36" s="34" t="s">
        <v>88</v>
      </c>
      <c r="C36" s="36"/>
      <c r="D36" s="35"/>
    </row>
    <row r="37" spans="2:4" x14ac:dyDescent="0.25">
      <c r="B37" s="34" t="s">
        <v>89</v>
      </c>
      <c r="C37" s="36"/>
      <c r="D37" s="35"/>
    </row>
    <row r="38" spans="2:4" x14ac:dyDescent="0.25">
      <c r="B38" s="37" t="s">
        <v>90</v>
      </c>
      <c r="C38" s="39"/>
      <c r="D38" s="38"/>
    </row>
    <row r="39" spans="2:4" x14ac:dyDescent="0.25">
      <c r="B39" s="37" t="s">
        <v>91</v>
      </c>
      <c r="C39" s="39"/>
      <c r="D39" s="38"/>
    </row>
    <row r="40" spans="2:4" x14ac:dyDescent="0.25">
      <c r="B40" s="37" t="s">
        <v>92</v>
      </c>
      <c r="C40" s="39"/>
      <c r="D40" s="38"/>
    </row>
    <row r="41" spans="2:4" x14ac:dyDescent="0.25">
      <c r="B41" s="40" t="s">
        <v>93</v>
      </c>
      <c r="C41" s="42"/>
      <c r="D41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6C5E-DED1-4D3A-86F7-C5D209E8BD3C}">
  <dimension ref="B1:O47"/>
  <sheetViews>
    <sheetView zoomScale="110" zoomScaleNormal="110" workbookViewId="0">
      <selection activeCell="F46" sqref="F46"/>
    </sheetView>
  </sheetViews>
  <sheetFormatPr defaultColWidth="8.875" defaultRowHeight="15.75" x14ac:dyDescent="0.25"/>
  <cols>
    <col min="1" max="1" width="1.625" customWidth="1"/>
    <col min="2" max="2" width="48.125" bestFit="1" customWidth="1"/>
    <col min="3" max="3" width="15.75" bestFit="1" customWidth="1"/>
    <col min="4" max="4" width="13.5" bestFit="1" customWidth="1"/>
    <col min="5" max="15" width="12.125" customWidth="1"/>
  </cols>
  <sheetData>
    <row r="1" spans="2:5" ht="7.5" customHeight="1" x14ac:dyDescent="0.25"/>
    <row r="2" spans="2:5" ht="15.75" customHeight="1" thickBot="1" x14ac:dyDescent="0.3">
      <c r="B2" s="7" t="s">
        <v>195</v>
      </c>
      <c r="C2" s="32" t="s">
        <v>58</v>
      </c>
      <c r="D2" s="33" t="s">
        <v>59</v>
      </c>
      <c r="E2" s="8" t="s">
        <v>60</v>
      </c>
    </row>
    <row r="3" spans="2:5" ht="15.75" customHeight="1" x14ac:dyDescent="0.25">
      <c r="B3" s="20" t="s">
        <v>46</v>
      </c>
      <c r="C3" s="20"/>
      <c r="D3" s="22"/>
      <c r="E3" s="25"/>
    </row>
    <row r="4" spans="2:5" ht="15.75" customHeight="1" x14ac:dyDescent="0.25">
      <c r="B4" t="s">
        <v>47</v>
      </c>
      <c r="D4" s="22"/>
      <c r="E4" s="25"/>
    </row>
    <row r="5" spans="2:5" ht="15.75" customHeight="1" x14ac:dyDescent="0.25">
      <c r="B5" t="s">
        <v>48</v>
      </c>
      <c r="D5" s="22"/>
      <c r="E5" s="25"/>
    </row>
    <row r="6" spans="2:5" ht="15.75" customHeight="1" x14ac:dyDescent="0.25">
      <c r="B6" t="s">
        <v>49</v>
      </c>
      <c r="D6" s="22"/>
      <c r="E6" s="25"/>
    </row>
    <row r="7" spans="2:5" ht="15.75" customHeight="1" x14ac:dyDescent="0.25">
      <c r="B7" t="s">
        <v>50</v>
      </c>
      <c r="D7" s="22"/>
      <c r="E7" s="25"/>
    </row>
    <row r="8" spans="2:5" ht="15.75" customHeight="1" x14ac:dyDescent="0.25">
      <c r="B8" t="s">
        <v>51</v>
      </c>
      <c r="D8" s="22"/>
      <c r="E8" s="23"/>
    </row>
    <row r="9" spans="2:5" ht="15.75" customHeight="1" x14ac:dyDescent="0.25">
      <c r="B9" t="s">
        <v>52</v>
      </c>
      <c r="D9" s="22"/>
      <c r="E9" s="25"/>
    </row>
    <row r="10" spans="2:5" ht="15.75" customHeight="1" x14ac:dyDescent="0.25">
      <c r="B10" s="20" t="s">
        <v>53</v>
      </c>
      <c r="C10" s="20"/>
      <c r="D10" s="26"/>
      <c r="E10" s="27"/>
    </row>
    <row r="11" spans="2:5" ht="15.75" customHeight="1" x14ac:dyDescent="0.25">
      <c r="B11" s="20" t="s">
        <v>54</v>
      </c>
      <c r="C11" s="20"/>
      <c r="D11" s="26"/>
      <c r="E11" s="28"/>
    </row>
    <row r="12" spans="2:5" ht="15.75" customHeight="1" x14ac:dyDescent="0.25">
      <c r="D12" s="26"/>
    </row>
    <row r="13" spans="2:5" ht="16.5" thickBot="1" x14ac:dyDescent="0.3">
      <c r="B13" s="31" t="s">
        <v>94</v>
      </c>
      <c r="C13" s="32" t="s">
        <v>58</v>
      </c>
      <c r="D13" s="33" t="s">
        <v>59</v>
      </c>
      <c r="E13" s="8" t="s">
        <v>60</v>
      </c>
    </row>
    <row r="14" spans="2:5" x14ac:dyDescent="0.25">
      <c r="B14" s="34" t="s">
        <v>95</v>
      </c>
      <c r="C14" s="194">
        <f>IS!C33</f>
        <v>-56596442</v>
      </c>
      <c r="D14" s="39">
        <f>IS!D33</f>
        <v>-15540945</v>
      </c>
      <c r="E14" s="35"/>
    </row>
    <row r="15" spans="2:5" x14ac:dyDescent="0.25">
      <c r="B15" s="34" t="s">
        <v>96</v>
      </c>
      <c r="C15" s="34"/>
      <c r="D15" s="36"/>
      <c r="E15" s="35"/>
    </row>
    <row r="16" spans="2:5" x14ac:dyDescent="0.25">
      <c r="B16" s="34" t="s">
        <v>97</v>
      </c>
      <c r="C16" s="34"/>
      <c r="D16" s="36"/>
      <c r="E16" s="35"/>
    </row>
    <row r="17" spans="2:15" x14ac:dyDescent="0.25">
      <c r="B17" s="34" t="s">
        <v>98</v>
      </c>
      <c r="C17" s="34"/>
      <c r="D17" s="36"/>
      <c r="E17" s="35"/>
      <c r="J17" s="35"/>
      <c r="K17" s="35"/>
      <c r="L17" s="35"/>
      <c r="M17" s="35"/>
      <c r="N17" s="35"/>
      <c r="O17" s="35"/>
    </row>
    <row r="18" spans="2:15" x14ac:dyDescent="0.25">
      <c r="B18" s="34" t="s">
        <v>99</v>
      </c>
      <c r="C18" s="34"/>
      <c r="D18" s="36"/>
      <c r="E18" s="35"/>
      <c r="J18" s="35"/>
      <c r="K18" s="35"/>
      <c r="L18" s="35"/>
      <c r="M18" s="35"/>
      <c r="N18" s="35"/>
      <c r="O18" s="35"/>
    </row>
    <row r="19" spans="2:15" x14ac:dyDescent="0.25">
      <c r="B19" s="34" t="s">
        <v>100</v>
      </c>
      <c r="C19" s="34"/>
      <c r="D19" s="36"/>
      <c r="E19" s="35"/>
      <c r="J19" s="35"/>
      <c r="K19" s="35"/>
      <c r="L19" s="35"/>
      <c r="M19" s="35"/>
      <c r="N19" s="35"/>
      <c r="O19" s="35"/>
    </row>
    <row r="20" spans="2:15" x14ac:dyDescent="0.25">
      <c r="B20" s="34" t="s">
        <v>101</v>
      </c>
      <c r="C20" s="34"/>
      <c r="D20" s="36"/>
      <c r="E20" s="35"/>
      <c r="J20" s="35"/>
      <c r="K20" s="35"/>
      <c r="L20" s="35"/>
      <c r="M20" s="35"/>
      <c r="N20" s="35"/>
      <c r="O20" s="35"/>
    </row>
    <row r="21" spans="2:15" x14ac:dyDescent="0.25">
      <c r="B21" s="34" t="s">
        <v>102</v>
      </c>
      <c r="C21" s="34"/>
      <c r="D21" s="36"/>
      <c r="E21" s="35"/>
      <c r="J21" s="35"/>
      <c r="K21" s="35"/>
      <c r="L21" s="35"/>
      <c r="M21" s="35"/>
      <c r="N21" s="35"/>
      <c r="O21" s="35"/>
    </row>
    <row r="22" spans="2:15" x14ac:dyDescent="0.25">
      <c r="B22" s="34" t="s">
        <v>103</v>
      </c>
      <c r="C22" s="34"/>
      <c r="D22" s="36"/>
      <c r="E22" s="35"/>
      <c r="J22" s="35"/>
      <c r="K22" s="35"/>
      <c r="L22" s="35"/>
      <c r="M22" s="35"/>
      <c r="N22" s="35"/>
      <c r="O22" s="35"/>
    </row>
    <row r="23" spans="2:15" x14ac:dyDescent="0.25">
      <c r="B23" s="34" t="s">
        <v>104</v>
      </c>
      <c r="C23" s="34"/>
      <c r="D23" s="36"/>
      <c r="E23" s="35"/>
      <c r="J23" s="35"/>
      <c r="K23" s="35"/>
      <c r="L23" s="35"/>
      <c r="M23" s="35"/>
      <c r="N23" s="35"/>
      <c r="O23" s="35"/>
    </row>
    <row r="24" spans="2:15" x14ac:dyDescent="0.25">
      <c r="B24" s="34" t="s">
        <v>105</v>
      </c>
      <c r="C24" s="34"/>
      <c r="D24" s="36"/>
      <c r="E24" s="35"/>
      <c r="J24" s="35"/>
      <c r="K24" s="35"/>
      <c r="L24" s="35"/>
      <c r="M24" s="35"/>
      <c r="N24" s="35"/>
      <c r="O24" s="35"/>
    </row>
    <row r="25" spans="2:15" x14ac:dyDescent="0.25">
      <c r="B25" s="37" t="s">
        <v>106</v>
      </c>
      <c r="C25" s="39">
        <v>-38594</v>
      </c>
      <c r="D25" s="39">
        <v>-6728118</v>
      </c>
      <c r="E25" s="38">
        <f t="shared" ref="E25" si="0">SUM(E14:E24)</f>
        <v>0</v>
      </c>
      <c r="J25" s="38"/>
      <c r="K25" s="38"/>
      <c r="L25" s="38"/>
      <c r="M25" s="38"/>
      <c r="N25" s="38"/>
      <c r="O25" s="38"/>
    </row>
    <row r="26" spans="2:15" x14ac:dyDescent="0.25">
      <c r="D26" s="26"/>
    </row>
    <row r="27" spans="2:15" x14ac:dyDescent="0.25">
      <c r="B27" s="34" t="s">
        <v>107</v>
      </c>
      <c r="C27" s="34"/>
      <c r="D27" s="36"/>
      <c r="E27" s="35"/>
      <c r="J27" s="35"/>
      <c r="K27" s="35"/>
      <c r="L27" s="35"/>
      <c r="M27" s="35"/>
      <c r="N27" s="35"/>
      <c r="O27" s="35"/>
    </row>
    <row r="28" spans="2:15" x14ac:dyDescent="0.25">
      <c r="B28" s="34" t="s">
        <v>108</v>
      </c>
      <c r="C28" s="34"/>
      <c r="D28" s="36"/>
      <c r="E28" s="35"/>
      <c r="J28" s="35"/>
      <c r="K28" s="35"/>
      <c r="L28" s="35"/>
      <c r="M28" s="35"/>
      <c r="N28" s="35"/>
      <c r="O28" s="35"/>
    </row>
    <row r="29" spans="2:15" x14ac:dyDescent="0.25">
      <c r="B29" s="34" t="s">
        <v>109</v>
      </c>
      <c r="C29" s="34"/>
      <c r="D29" s="36"/>
      <c r="E29" s="35"/>
      <c r="J29" s="35"/>
      <c r="K29" s="35"/>
      <c r="L29" s="35"/>
      <c r="M29" s="35"/>
      <c r="N29" s="35"/>
      <c r="O29" s="35"/>
    </row>
    <row r="30" spans="2:15" x14ac:dyDescent="0.25">
      <c r="B30" s="34" t="s">
        <v>110</v>
      </c>
      <c r="C30" s="34"/>
      <c r="D30" s="36"/>
      <c r="E30" s="35"/>
      <c r="J30" s="35"/>
      <c r="K30" s="35"/>
      <c r="L30" s="35"/>
      <c r="M30" s="35"/>
      <c r="N30" s="35"/>
      <c r="O30" s="35"/>
    </row>
    <row r="31" spans="2:15" x14ac:dyDescent="0.25">
      <c r="B31" s="34" t="s">
        <v>111</v>
      </c>
      <c r="C31" s="34"/>
      <c r="D31" s="36"/>
      <c r="E31" s="35"/>
      <c r="J31" s="35"/>
      <c r="K31" s="35"/>
      <c r="L31" s="35"/>
      <c r="M31" s="35"/>
      <c r="N31" s="35"/>
      <c r="O31" s="35"/>
    </row>
    <row r="32" spans="2:15" x14ac:dyDescent="0.25">
      <c r="B32" s="34" t="s">
        <v>112</v>
      </c>
      <c r="C32" s="34"/>
      <c r="D32" s="36"/>
      <c r="E32" s="35"/>
      <c r="J32" s="35"/>
      <c r="K32" s="35"/>
      <c r="L32" s="35"/>
      <c r="M32" s="35"/>
      <c r="N32" s="35"/>
      <c r="O32" s="35"/>
    </row>
    <row r="33" spans="2:15" x14ac:dyDescent="0.25">
      <c r="B33" s="34" t="s">
        <v>113</v>
      </c>
      <c r="C33" s="34"/>
      <c r="D33" s="36"/>
      <c r="E33" s="35"/>
      <c r="J33" s="35"/>
      <c r="K33" s="35"/>
      <c r="L33" s="35"/>
      <c r="M33" s="35"/>
      <c r="N33" s="35"/>
      <c r="O33" s="35"/>
    </row>
    <row r="34" spans="2:15" x14ac:dyDescent="0.25">
      <c r="B34" s="37" t="s">
        <v>114</v>
      </c>
      <c r="C34" s="39">
        <v>-32485510</v>
      </c>
      <c r="D34" s="39">
        <v>-9735670</v>
      </c>
      <c r="E34" s="38">
        <f t="shared" ref="E34" si="1">SUM(E27:E33)</f>
        <v>0</v>
      </c>
      <c r="J34" s="38"/>
      <c r="K34" s="38"/>
      <c r="L34" s="38"/>
      <c r="M34" s="38"/>
      <c r="N34" s="38"/>
      <c r="O34" s="38"/>
    </row>
    <row r="35" spans="2:15" x14ac:dyDescent="0.25">
      <c r="D35" s="26"/>
    </row>
    <row r="36" spans="2:15" x14ac:dyDescent="0.25">
      <c r="B36" s="34" t="s">
        <v>115</v>
      </c>
      <c r="C36" s="34"/>
      <c r="D36" s="36"/>
      <c r="E36" s="35"/>
      <c r="J36" s="35"/>
      <c r="K36" s="35"/>
      <c r="L36" s="35"/>
      <c r="M36" s="35"/>
      <c r="N36" s="35"/>
      <c r="O36" s="35"/>
    </row>
    <row r="37" spans="2:15" x14ac:dyDescent="0.25">
      <c r="B37" s="34" t="s">
        <v>116</v>
      </c>
      <c r="C37" s="34"/>
      <c r="D37" s="36"/>
      <c r="E37" s="35"/>
      <c r="J37" s="35"/>
      <c r="K37" s="35"/>
      <c r="L37" s="35"/>
      <c r="M37" s="35"/>
      <c r="N37" s="35"/>
      <c r="O37" s="35"/>
    </row>
    <row r="38" spans="2:15" x14ac:dyDescent="0.25">
      <c r="B38" s="34" t="s">
        <v>117</v>
      </c>
      <c r="C38" s="34"/>
      <c r="D38" s="36"/>
      <c r="E38" s="35"/>
      <c r="J38" s="35"/>
      <c r="K38" s="35"/>
      <c r="L38" s="35"/>
      <c r="M38" s="35"/>
      <c r="N38" s="35"/>
      <c r="O38" s="35"/>
    </row>
    <row r="39" spans="2:15" x14ac:dyDescent="0.25">
      <c r="B39" s="34" t="s">
        <v>118</v>
      </c>
      <c r="C39" s="34"/>
      <c r="D39" s="36"/>
      <c r="E39" s="35"/>
      <c r="J39" s="35"/>
      <c r="K39" s="35"/>
      <c r="L39" s="35"/>
      <c r="M39" s="35"/>
      <c r="N39" s="35"/>
      <c r="O39" s="35"/>
    </row>
    <row r="40" spans="2:15" x14ac:dyDescent="0.25">
      <c r="B40" s="34" t="s">
        <v>119</v>
      </c>
      <c r="D40" s="36"/>
      <c r="E40" s="35"/>
      <c r="J40" s="35"/>
      <c r="K40" s="35"/>
      <c r="L40" s="35"/>
      <c r="M40" s="35"/>
      <c r="N40" s="35"/>
      <c r="O40" s="35"/>
    </row>
    <row r="41" spans="2:15" x14ac:dyDescent="0.25">
      <c r="B41" s="34" t="s">
        <v>120</v>
      </c>
      <c r="D41" s="36"/>
      <c r="E41" s="35"/>
      <c r="J41" s="35"/>
      <c r="K41" s="35"/>
      <c r="L41" s="35"/>
      <c r="M41" s="35"/>
      <c r="N41" s="35"/>
      <c r="O41" s="35"/>
    </row>
    <row r="42" spans="2:15" x14ac:dyDescent="0.25">
      <c r="B42" s="37" t="s">
        <v>121</v>
      </c>
      <c r="C42" s="195">
        <v>77945674</v>
      </c>
      <c r="D42" s="39">
        <v>77945674</v>
      </c>
      <c r="E42" s="38">
        <f>SUM(E36:E41)</f>
        <v>0</v>
      </c>
      <c r="J42" s="38"/>
      <c r="K42" s="38"/>
      <c r="L42" s="38"/>
      <c r="M42" s="38"/>
      <c r="N42" s="38"/>
      <c r="O42" s="38"/>
    </row>
    <row r="43" spans="2:15" x14ac:dyDescent="0.25">
      <c r="C43" s="196"/>
      <c r="D43" s="26"/>
    </row>
    <row r="44" spans="2:15" x14ac:dyDescent="0.25">
      <c r="B44" s="34" t="s">
        <v>122</v>
      </c>
      <c r="C44" s="196"/>
      <c r="D44" s="36"/>
      <c r="E44" s="35"/>
      <c r="J44" s="35"/>
      <c r="K44" s="35"/>
      <c r="L44" s="35"/>
      <c r="M44" s="35"/>
      <c r="N44" s="35"/>
      <c r="O44" s="35"/>
    </row>
    <row r="45" spans="2:15" x14ac:dyDescent="0.25">
      <c r="B45" s="37" t="s">
        <v>123</v>
      </c>
      <c r="C45" s="195">
        <f t="shared" ref="C45:E45" si="2">C25+C34+C42+C44</f>
        <v>45421570</v>
      </c>
      <c r="D45" s="39">
        <f t="shared" si="2"/>
        <v>61481886</v>
      </c>
      <c r="E45" s="38">
        <f t="shared" si="2"/>
        <v>0</v>
      </c>
      <c r="J45" s="38"/>
      <c r="K45" s="38"/>
      <c r="L45" s="38"/>
      <c r="M45" s="38"/>
      <c r="N45" s="38"/>
      <c r="O45" s="38"/>
    </row>
    <row r="46" spans="2:15" x14ac:dyDescent="0.25">
      <c r="B46" s="34" t="s">
        <v>124</v>
      </c>
      <c r="C46" s="197">
        <v>0</v>
      </c>
      <c r="D46" s="36">
        <f>C47</f>
        <v>45421570</v>
      </c>
      <c r="E46" s="35"/>
      <c r="J46" s="35"/>
      <c r="K46" s="35"/>
      <c r="L46" s="35"/>
      <c r="M46" s="35"/>
      <c r="N46" s="35"/>
      <c r="O46" s="35"/>
    </row>
    <row r="47" spans="2:15" x14ac:dyDescent="0.25">
      <c r="B47" s="37" t="s">
        <v>125</v>
      </c>
      <c r="C47" s="39">
        <f t="shared" ref="C47:E47" si="3">C46+C45</f>
        <v>45421570</v>
      </c>
      <c r="D47" s="39">
        <f t="shared" si="3"/>
        <v>106903456</v>
      </c>
      <c r="E47" s="38">
        <f t="shared" si="3"/>
        <v>0</v>
      </c>
      <c r="J47" s="38"/>
      <c r="K47" s="38"/>
      <c r="L47" s="38"/>
      <c r="M47" s="38"/>
      <c r="N47" s="38"/>
      <c r="O47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7B34-934B-47E8-9A7A-E87453E50FAF}">
  <dimension ref="B1:Q130"/>
  <sheetViews>
    <sheetView zoomScale="110" zoomScaleNormal="110" workbookViewId="0">
      <selection activeCell="F69" sqref="F69"/>
    </sheetView>
  </sheetViews>
  <sheetFormatPr defaultColWidth="8.875" defaultRowHeight="15.75" x14ac:dyDescent="0.25"/>
  <cols>
    <col min="1" max="1" width="2" customWidth="1"/>
    <col min="2" max="2" width="37.375" bestFit="1" customWidth="1"/>
    <col min="3" max="4" width="0" hidden="1" customWidth="1"/>
    <col min="5" max="5" width="12.375" hidden="1" customWidth="1"/>
    <col min="6" max="14" width="12.375" customWidth="1"/>
    <col min="16" max="16" width="14.625" customWidth="1"/>
    <col min="17" max="17" width="17.875" bestFit="1" customWidth="1"/>
  </cols>
  <sheetData>
    <row r="1" spans="2:17" ht="10.5" customHeight="1" x14ac:dyDescent="0.25"/>
    <row r="2" spans="2:17" ht="24" x14ac:dyDescent="0.4">
      <c r="B2" s="137" t="s">
        <v>16</v>
      </c>
      <c r="C2" s="9"/>
      <c r="D2" s="9"/>
      <c r="E2" s="9"/>
      <c r="F2" s="9"/>
      <c r="G2" s="9"/>
      <c r="H2" s="44"/>
      <c r="I2" s="45"/>
      <c r="J2" s="45"/>
      <c r="K2" s="45"/>
      <c r="L2" s="45"/>
      <c r="M2" s="45"/>
      <c r="N2" s="45"/>
      <c r="O2" s="46"/>
      <c r="P2" s="46"/>
      <c r="Q2" s="46"/>
    </row>
    <row r="4" spans="2:17" x14ac:dyDescent="0.25">
      <c r="B4" t="s">
        <v>126</v>
      </c>
      <c r="C4" s="48"/>
      <c r="D4" s="49"/>
      <c r="E4" s="49"/>
      <c r="F4" s="49"/>
      <c r="G4" s="49"/>
      <c r="H4" s="144">
        <f ca="1">TODAY()</f>
        <v>46248</v>
      </c>
      <c r="I4" s="50"/>
      <c r="J4" s="50"/>
      <c r="K4" s="50"/>
      <c r="M4" s="50"/>
      <c r="N4" s="50"/>
      <c r="O4" s="50"/>
      <c r="P4" s="50"/>
      <c r="Q4" s="50"/>
    </row>
    <row r="5" spans="2:17" x14ac:dyDescent="0.25">
      <c r="B5" t="s">
        <v>127</v>
      </c>
      <c r="C5" s="48"/>
      <c r="D5" s="49"/>
      <c r="E5" s="49"/>
      <c r="F5" s="49"/>
      <c r="G5" s="49"/>
      <c r="H5" s="143">
        <f>Main!C3</f>
        <v>13.31</v>
      </c>
      <c r="I5" s="50"/>
      <c r="J5" s="50"/>
      <c r="K5" s="50"/>
      <c r="L5" s="50"/>
      <c r="M5" s="50"/>
      <c r="N5" s="50"/>
      <c r="O5" s="50"/>
      <c r="P5" s="50"/>
      <c r="Q5" s="50"/>
    </row>
    <row r="6" spans="2:17" x14ac:dyDescent="0.25">
      <c r="B6" t="s">
        <v>128</v>
      </c>
      <c r="C6" s="48"/>
      <c r="D6" s="49"/>
      <c r="E6" s="49"/>
      <c r="F6" s="49"/>
      <c r="G6" s="49"/>
      <c r="H6" s="145">
        <f>Main!C4</f>
        <v>160.66999999999999</v>
      </c>
      <c r="I6" s="50"/>
      <c r="J6" s="50"/>
      <c r="K6" s="50"/>
      <c r="L6" s="50"/>
      <c r="M6" s="50"/>
      <c r="N6" s="50"/>
      <c r="O6" s="50"/>
      <c r="P6" s="50"/>
      <c r="Q6" s="50"/>
    </row>
    <row r="7" spans="2:17" x14ac:dyDescent="0.25">
      <c r="B7" s="48"/>
      <c r="C7" s="48"/>
      <c r="D7" s="49"/>
      <c r="E7" s="49"/>
      <c r="F7" s="49"/>
      <c r="G7" s="49"/>
      <c r="H7" s="51"/>
      <c r="I7" s="50"/>
      <c r="J7" s="50"/>
      <c r="K7" s="50"/>
      <c r="L7" s="50"/>
      <c r="M7" s="50"/>
      <c r="N7" s="50"/>
      <c r="O7" s="50"/>
      <c r="P7" s="50"/>
      <c r="Q7" s="50"/>
    </row>
    <row r="8" spans="2:17" ht="18.75" x14ac:dyDescent="0.3">
      <c r="B8" s="140" t="s">
        <v>129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50"/>
      <c r="P8" s="50"/>
      <c r="Q8" s="50"/>
    </row>
    <row r="9" spans="2:17" x14ac:dyDescent="0.25">
      <c r="B9" s="48"/>
      <c r="C9" s="48"/>
      <c r="D9" s="53"/>
      <c r="E9" s="54"/>
      <c r="F9" s="53"/>
      <c r="G9" s="53"/>
      <c r="H9" s="53"/>
      <c r="I9" s="55"/>
      <c r="J9" s="181" t="s">
        <v>130</v>
      </c>
      <c r="K9" s="182"/>
      <c r="L9" s="182"/>
      <c r="M9" s="182"/>
      <c r="N9" s="183"/>
      <c r="O9" s="50"/>
      <c r="P9" s="50"/>
      <c r="Q9" s="50"/>
    </row>
    <row r="10" spans="2:17" x14ac:dyDescent="0.25">
      <c r="B10" s="48"/>
      <c r="C10" s="56">
        <f t="shared" ref="C10:D10" si="0">D10-365</f>
        <v>-730</v>
      </c>
      <c r="D10" s="57">
        <f t="shared" si="0"/>
        <v>-365</v>
      </c>
      <c r="E10" s="58"/>
      <c r="F10" s="58" t="s">
        <v>56</v>
      </c>
      <c r="G10" s="58" t="s">
        <v>57</v>
      </c>
      <c r="H10" s="58" t="s">
        <v>58</v>
      </c>
      <c r="I10" s="58" t="s">
        <v>59</v>
      </c>
      <c r="J10" s="59" t="s">
        <v>60</v>
      </c>
      <c r="K10" s="59" t="s">
        <v>61</v>
      </c>
      <c r="L10" s="59" t="s">
        <v>62</v>
      </c>
      <c r="M10" s="59" t="s">
        <v>63</v>
      </c>
      <c r="N10" s="60" t="s">
        <v>64</v>
      </c>
      <c r="O10" s="50"/>
      <c r="P10" s="61"/>
      <c r="Q10" s="61"/>
    </row>
    <row r="11" spans="2:17" x14ac:dyDescent="0.25">
      <c r="B11" s="48" t="s">
        <v>131</v>
      </c>
      <c r="C11" s="62"/>
      <c r="D11" s="63"/>
      <c r="E11" s="63"/>
      <c r="F11" s="146" t="e">
        <f>IS!#REF!</f>
        <v>#REF!</v>
      </c>
      <c r="G11" s="146" t="e">
        <f>IS!#REF!</f>
        <v>#REF!</v>
      </c>
      <c r="H11" s="146" t="e">
        <f>IS!#REF!</f>
        <v>#REF!</v>
      </c>
      <c r="I11" s="146">
        <f>IS!E24</f>
        <v>0</v>
      </c>
      <c r="J11" s="163">
        <f>IS!F24</f>
        <v>0</v>
      </c>
      <c r="K11" s="163">
        <f>IS!G24</f>
        <v>0</v>
      </c>
      <c r="L11" s="163">
        <f>IS!H24</f>
        <v>0</v>
      </c>
      <c r="M11" s="163">
        <f>IS!I24</f>
        <v>0</v>
      </c>
      <c r="N11" s="163" t="e">
        <f>IS!#REF!</f>
        <v>#REF!</v>
      </c>
      <c r="O11" s="65"/>
      <c r="P11" s="50"/>
      <c r="Q11" s="50"/>
    </row>
    <row r="12" spans="2:17" x14ac:dyDescent="0.25">
      <c r="B12" s="48"/>
      <c r="C12" s="66"/>
      <c r="D12" s="49"/>
      <c r="E12" s="49"/>
      <c r="F12" s="49"/>
      <c r="G12" s="49"/>
      <c r="H12" s="51"/>
      <c r="I12" s="50"/>
      <c r="J12" s="164"/>
      <c r="K12" s="164"/>
      <c r="L12" s="164"/>
      <c r="M12" s="164"/>
      <c r="N12" s="164"/>
      <c r="O12" s="50"/>
      <c r="P12" s="50"/>
      <c r="Q12" s="50"/>
    </row>
    <row r="13" spans="2:17" x14ac:dyDescent="0.25">
      <c r="B13" s="48" t="s">
        <v>132</v>
      </c>
      <c r="C13" s="62"/>
      <c r="D13" s="64"/>
      <c r="E13" s="64"/>
      <c r="F13" s="147" t="e">
        <f>IS!#REF!+IS!#REF!</f>
        <v>#REF!</v>
      </c>
      <c r="G13" s="147" t="e">
        <f>IS!#REF!+IS!#REF!</f>
        <v>#REF!</v>
      </c>
      <c r="H13" s="147" t="e">
        <f>IS!#REF!+IS!#REF!</f>
        <v>#REF!</v>
      </c>
      <c r="I13" s="147">
        <f>IS!E31+IS!E30</f>
        <v>0</v>
      </c>
      <c r="J13" s="163">
        <f>IS!F31+IS!F30</f>
        <v>0</v>
      </c>
      <c r="K13" s="163">
        <f>IS!G31+IS!G30</f>
        <v>0</v>
      </c>
      <c r="L13" s="163">
        <f>IS!H31+IS!H30</f>
        <v>0</v>
      </c>
      <c r="M13" s="163">
        <f>IS!I31+IS!I30</f>
        <v>0</v>
      </c>
      <c r="N13" s="163" t="e">
        <f>IS!#REF!+IS!#REF!</f>
        <v>#REF!</v>
      </c>
      <c r="O13" s="50"/>
      <c r="P13" s="50"/>
      <c r="Q13" s="50"/>
    </row>
    <row r="14" spans="2:17" x14ac:dyDescent="0.25">
      <c r="B14" s="48"/>
      <c r="C14" s="66"/>
      <c r="D14" s="49"/>
      <c r="E14" s="49"/>
      <c r="F14" s="49"/>
      <c r="G14" s="49"/>
      <c r="H14" s="51"/>
      <c r="I14" s="50"/>
      <c r="J14" s="164"/>
      <c r="K14" s="164"/>
      <c r="L14" s="164"/>
      <c r="M14" s="164"/>
      <c r="N14" s="164"/>
      <c r="O14" s="50"/>
      <c r="P14" s="50"/>
      <c r="Q14" s="50"/>
    </row>
    <row r="15" spans="2:17" x14ac:dyDescent="0.25">
      <c r="B15" s="48" t="s">
        <v>133</v>
      </c>
      <c r="C15" s="62"/>
      <c r="D15" s="64"/>
      <c r="E15" s="64"/>
      <c r="F15" s="147" t="e">
        <f>CFS!#REF!</f>
        <v>#REF!</v>
      </c>
      <c r="G15" s="147" t="e">
        <f>CFS!#REF!</f>
        <v>#REF!</v>
      </c>
      <c r="H15" s="147" t="e">
        <f>CFS!#REF!</f>
        <v>#REF!</v>
      </c>
      <c r="I15" s="147">
        <f>CFS!D15</f>
        <v>0</v>
      </c>
      <c r="J15" s="163">
        <f>I15*(1+J16)</f>
        <v>0</v>
      </c>
      <c r="K15" s="163">
        <f t="shared" ref="K15:N15" si="1">J15*(1+K16)</f>
        <v>0</v>
      </c>
      <c r="L15" s="163">
        <f t="shared" si="1"/>
        <v>0</v>
      </c>
      <c r="M15" s="163">
        <f t="shared" si="1"/>
        <v>0</v>
      </c>
      <c r="N15" s="163">
        <f t="shared" si="1"/>
        <v>0</v>
      </c>
      <c r="O15" s="177"/>
      <c r="P15" s="177" t="s">
        <v>198</v>
      </c>
      <c r="Q15" s="177" t="s">
        <v>199</v>
      </c>
    </row>
    <row r="16" spans="2:17" x14ac:dyDescent="0.25">
      <c r="B16" s="48"/>
      <c r="C16" s="62"/>
      <c r="D16" s="64"/>
      <c r="E16" s="64"/>
      <c r="F16" s="166" t="e">
        <f>F15/F11</f>
        <v>#REF!</v>
      </c>
      <c r="G16" s="166" t="e">
        <f t="shared" ref="G16:I16" si="2">G15/G11</f>
        <v>#REF!</v>
      </c>
      <c r="H16" s="166" t="e">
        <f t="shared" si="2"/>
        <v>#REF!</v>
      </c>
      <c r="I16" s="166" t="e">
        <f t="shared" si="2"/>
        <v>#DIV/0!</v>
      </c>
      <c r="J16" s="167">
        <v>0.03</v>
      </c>
      <c r="K16" s="167">
        <v>2.5000000000000001E-2</v>
      </c>
      <c r="L16" s="167">
        <f t="shared" ref="L16:N16" si="3">+K16</f>
        <v>2.5000000000000001E-2</v>
      </c>
      <c r="M16" s="167">
        <f t="shared" si="3"/>
        <v>2.5000000000000001E-2</v>
      </c>
      <c r="N16" s="167">
        <f t="shared" si="3"/>
        <v>2.5000000000000001E-2</v>
      </c>
      <c r="O16" s="177"/>
      <c r="P16" s="176" t="e">
        <f>AVERAGE(C16:I16)</f>
        <v>#REF!</v>
      </c>
      <c r="Q16" s="176" t="e">
        <f>GEOMEAN(C16:I16)</f>
        <v>#REF!</v>
      </c>
    </row>
    <row r="17" spans="2:17" x14ac:dyDescent="0.25">
      <c r="B17" s="48"/>
      <c r="C17" s="48"/>
      <c r="D17" s="49"/>
      <c r="E17" s="49"/>
      <c r="F17" s="49"/>
      <c r="G17" s="49"/>
      <c r="H17" s="51"/>
      <c r="I17" s="50"/>
      <c r="J17" s="50"/>
      <c r="K17" s="50"/>
      <c r="L17" s="50"/>
      <c r="M17" s="50"/>
      <c r="N17" s="50"/>
      <c r="O17" s="50"/>
      <c r="P17" s="50"/>
      <c r="Q17" s="50"/>
    </row>
    <row r="18" spans="2:17" ht="18.75" x14ac:dyDescent="0.3">
      <c r="B18" s="52" t="s">
        <v>134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0"/>
      <c r="P18" s="50"/>
      <c r="Q18" s="50"/>
    </row>
    <row r="19" spans="2:17" x14ac:dyDescent="0.25">
      <c r="B19" s="48"/>
      <c r="C19" s="48"/>
      <c r="D19" s="53"/>
      <c r="E19" s="54"/>
      <c r="F19" s="53"/>
      <c r="G19" s="53"/>
      <c r="H19" s="53"/>
      <c r="I19" s="53"/>
      <c r="J19" s="181" t="s">
        <v>130</v>
      </c>
      <c r="K19" s="182"/>
      <c r="L19" s="182"/>
      <c r="M19" s="182"/>
      <c r="N19" s="183"/>
      <c r="O19" s="50"/>
      <c r="P19" s="50"/>
      <c r="Q19" s="50"/>
    </row>
    <row r="20" spans="2:17" x14ac:dyDescent="0.25">
      <c r="B20" s="48"/>
      <c r="C20" s="56">
        <f t="shared" ref="C20:D20" si="4">D20-365</f>
        <v>-730</v>
      </c>
      <c r="D20" s="57">
        <f t="shared" si="4"/>
        <v>-365</v>
      </c>
      <c r="E20" s="58"/>
      <c r="F20" s="58" t="s">
        <v>56</v>
      </c>
      <c r="G20" s="58" t="s">
        <v>57</v>
      </c>
      <c r="H20" s="58" t="s">
        <v>58</v>
      </c>
      <c r="I20" s="58" t="s">
        <v>59</v>
      </c>
      <c r="J20" s="138" t="s">
        <v>60</v>
      </c>
      <c r="K20" s="138" t="s">
        <v>61</v>
      </c>
      <c r="L20" s="138" t="s">
        <v>62</v>
      </c>
      <c r="M20" s="138" t="s">
        <v>63</v>
      </c>
      <c r="N20" s="139" t="s">
        <v>64</v>
      </c>
      <c r="O20" s="50"/>
      <c r="P20" s="50"/>
      <c r="Q20" s="50"/>
    </row>
    <row r="21" spans="2:17" x14ac:dyDescent="0.25">
      <c r="B21" s="67" t="s">
        <v>135</v>
      </c>
      <c r="C21" s="68"/>
      <c r="D21" s="68"/>
      <c r="E21" s="64"/>
      <c r="F21" s="147" t="e">
        <f>BS!#REF!</f>
        <v>#REF!</v>
      </c>
      <c r="G21" s="147" t="e">
        <f>BS!#REF!</f>
        <v>#REF!</v>
      </c>
      <c r="H21" s="147" t="e">
        <f>BS!#REF!</f>
        <v>#REF!</v>
      </c>
      <c r="I21" s="147">
        <f>BS!C15</f>
        <v>0</v>
      </c>
      <c r="J21" s="174" t="e">
        <f>J32*J11</f>
        <v>#REF!</v>
      </c>
      <c r="K21" s="174" t="e">
        <f t="shared" ref="K21:N21" si="5">K32*K11</f>
        <v>#REF!</v>
      </c>
      <c r="L21" s="174" t="e">
        <f t="shared" si="5"/>
        <v>#REF!</v>
      </c>
      <c r="M21" s="174" t="e">
        <f t="shared" si="5"/>
        <v>#REF!</v>
      </c>
      <c r="N21" s="174" t="e">
        <f t="shared" si="5"/>
        <v>#REF!</v>
      </c>
      <c r="O21" s="50"/>
      <c r="P21" s="50"/>
      <c r="Q21" s="50"/>
    </row>
    <row r="22" spans="2:17" x14ac:dyDescent="0.25">
      <c r="B22" s="67" t="s">
        <v>70</v>
      </c>
      <c r="C22" s="68"/>
      <c r="D22" s="68"/>
      <c r="E22" s="64"/>
      <c r="F22" s="147" t="e">
        <f>BS!#REF!</f>
        <v>#REF!</v>
      </c>
      <c r="G22" s="147" t="e">
        <f>BS!#REF!</f>
        <v>#REF!</v>
      </c>
      <c r="H22" s="147" t="e">
        <f>BS!#REF!</f>
        <v>#REF!</v>
      </c>
      <c r="I22" s="147">
        <f>BS!C17</f>
        <v>0</v>
      </c>
      <c r="J22" s="174" t="e">
        <f>J33*J11</f>
        <v>#REF!</v>
      </c>
      <c r="K22" s="174" t="e">
        <f t="shared" ref="K22:N22" si="6">K33*K11</f>
        <v>#REF!</v>
      </c>
      <c r="L22" s="174" t="e">
        <f t="shared" si="6"/>
        <v>#REF!</v>
      </c>
      <c r="M22" s="174" t="e">
        <f t="shared" si="6"/>
        <v>#REF!</v>
      </c>
      <c r="N22" s="174" t="e">
        <f t="shared" si="6"/>
        <v>#REF!</v>
      </c>
      <c r="O22" s="50"/>
      <c r="P22" s="50"/>
      <c r="Q22" s="50"/>
    </row>
    <row r="23" spans="2:17" x14ac:dyDescent="0.25">
      <c r="B23" s="67" t="s">
        <v>136</v>
      </c>
      <c r="C23" s="68"/>
      <c r="D23" s="68"/>
      <c r="E23" s="64"/>
      <c r="F23" s="147" t="e">
        <f>BS!#REF!</f>
        <v>#REF!</v>
      </c>
      <c r="G23" s="147" t="e">
        <f>BS!#REF!</f>
        <v>#REF!</v>
      </c>
      <c r="H23" s="147" t="e">
        <f>BS!#REF!</f>
        <v>#REF!</v>
      </c>
      <c r="I23" s="147">
        <f>BS!C18</f>
        <v>0</v>
      </c>
      <c r="J23" s="174" t="e">
        <f>J34*J11</f>
        <v>#REF!</v>
      </c>
      <c r="K23" s="174" t="e">
        <f t="shared" ref="K23:N23" si="7">K34*K11</f>
        <v>#REF!</v>
      </c>
      <c r="L23" s="174" t="e">
        <f t="shared" si="7"/>
        <v>#REF!</v>
      </c>
      <c r="M23" s="174" t="e">
        <f t="shared" si="7"/>
        <v>#REF!</v>
      </c>
      <c r="N23" s="174" t="e">
        <f t="shared" si="7"/>
        <v>#REF!</v>
      </c>
      <c r="O23" s="50"/>
      <c r="P23" s="50"/>
      <c r="Q23" s="50"/>
    </row>
    <row r="24" spans="2:17" x14ac:dyDescent="0.25">
      <c r="B24" s="48"/>
      <c r="C24" s="69"/>
      <c r="D24" s="69"/>
      <c r="E24" s="69"/>
      <c r="F24" s="69"/>
      <c r="G24" s="69"/>
      <c r="H24" s="69"/>
      <c r="I24" s="69"/>
      <c r="J24" s="174"/>
      <c r="K24" s="174"/>
      <c r="L24" s="174"/>
      <c r="M24" s="174"/>
      <c r="N24" s="174"/>
      <c r="O24" s="50"/>
      <c r="P24" s="50"/>
      <c r="Q24" s="50"/>
    </row>
    <row r="25" spans="2:17" x14ac:dyDescent="0.25">
      <c r="B25" s="67" t="s">
        <v>137</v>
      </c>
      <c r="C25" s="70"/>
      <c r="D25" s="70"/>
      <c r="E25" s="70"/>
      <c r="F25" s="148" t="e">
        <f>BS!#REF!</f>
        <v>#REF!</v>
      </c>
      <c r="G25" s="148" t="e">
        <f>BS!#REF!</f>
        <v>#REF!</v>
      </c>
      <c r="H25" s="148" t="e">
        <f>BS!#REF!</f>
        <v>#REF!</v>
      </c>
      <c r="I25" s="148">
        <f>BS!C30</f>
        <v>0</v>
      </c>
      <c r="J25" s="174" t="e">
        <f>J35*J11</f>
        <v>#REF!</v>
      </c>
      <c r="K25" s="174" t="e">
        <f t="shared" ref="K25:N25" si="8">K35*K11</f>
        <v>#REF!</v>
      </c>
      <c r="L25" s="174" t="e">
        <f t="shared" si="8"/>
        <v>#REF!</v>
      </c>
      <c r="M25" s="174" t="e">
        <f t="shared" si="8"/>
        <v>#REF!</v>
      </c>
      <c r="N25" s="174" t="e">
        <f t="shared" si="8"/>
        <v>#REF!</v>
      </c>
      <c r="O25" s="50"/>
      <c r="P25" s="50"/>
      <c r="Q25" s="50"/>
    </row>
    <row r="26" spans="2:17" x14ac:dyDescent="0.25">
      <c r="B26" s="67" t="s">
        <v>138</v>
      </c>
      <c r="C26" s="68"/>
      <c r="D26" s="68"/>
      <c r="E26" s="70"/>
      <c r="F26" s="148" t="e">
        <f>BS!#REF!</f>
        <v>#REF!</v>
      </c>
      <c r="G26" s="148" t="e">
        <f>BS!#REF!</f>
        <v>#REF!</v>
      </c>
      <c r="H26" s="148" t="e">
        <f>BS!#REF!</f>
        <v>#REF!</v>
      </c>
      <c r="I26" s="148">
        <f>BS!C31</f>
        <v>0</v>
      </c>
      <c r="J26" s="174" t="e">
        <f>J36*J11</f>
        <v>#REF!</v>
      </c>
      <c r="K26" s="174" t="e">
        <f t="shared" ref="K26:N26" si="9">K36*K11</f>
        <v>#REF!</v>
      </c>
      <c r="L26" s="174" t="e">
        <f t="shared" si="9"/>
        <v>#REF!</v>
      </c>
      <c r="M26" s="174" t="e">
        <f t="shared" si="9"/>
        <v>#REF!</v>
      </c>
      <c r="N26" s="174" t="e">
        <f t="shared" si="9"/>
        <v>#REF!</v>
      </c>
      <c r="O26" s="50"/>
      <c r="P26" s="50"/>
      <c r="Q26" s="50"/>
    </row>
    <row r="27" spans="2:17" x14ac:dyDescent="0.25">
      <c r="B27" s="48"/>
      <c r="C27" s="69"/>
      <c r="D27" s="69"/>
      <c r="E27" s="69"/>
      <c r="F27" s="69"/>
      <c r="G27" s="69"/>
      <c r="H27" s="69"/>
      <c r="I27" s="69"/>
      <c r="J27" s="174"/>
      <c r="K27" s="174"/>
      <c r="L27" s="174"/>
      <c r="M27" s="174"/>
      <c r="N27" s="174"/>
      <c r="O27" s="50"/>
      <c r="P27" s="50"/>
      <c r="Q27" s="50"/>
    </row>
    <row r="28" spans="2:17" x14ac:dyDescent="0.25">
      <c r="B28" s="48" t="s">
        <v>8</v>
      </c>
      <c r="C28" s="68"/>
      <c r="D28" s="68"/>
      <c r="E28" s="70"/>
      <c r="F28" s="148" t="e">
        <f>BS!#REF!+BS!#REF!</f>
        <v>#REF!</v>
      </c>
      <c r="G28" s="148" t="e">
        <f>BS!#REF!+BS!#REF!</f>
        <v>#REF!</v>
      </c>
      <c r="H28" s="148" t="e">
        <f>BS!#REF!+BS!#REF!</f>
        <v>#REF!</v>
      </c>
      <c r="I28" s="148">
        <f>BS!C29+BS!C35</f>
        <v>0</v>
      </c>
      <c r="J28" s="174"/>
      <c r="K28" s="174"/>
      <c r="L28" s="174"/>
      <c r="M28" s="174"/>
      <c r="N28" s="174"/>
      <c r="O28" s="50"/>
      <c r="P28" s="50"/>
      <c r="Q28" s="50"/>
    </row>
    <row r="29" spans="2:17" x14ac:dyDescent="0.25">
      <c r="B29" s="48"/>
      <c r="C29" s="69"/>
      <c r="D29" s="69"/>
      <c r="E29" s="69"/>
      <c r="F29" s="69"/>
      <c r="G29" s="69"/>
      <c r="H29" s="69"/>
      <c r="I29" s="69"/>
      <c r="J29" s="174"/>
      <c r="K29" s="174"/>
      <c r="L29" s="174"/>
      <c r="M29" s="174"/>
      <c r="N29" s="174"/>
      <c r="O29" s="50"/>
      <c r="P29" s="50"/>
      <c r="Q29" s="50"/>
    </row>
    <row r="30" spans="2:17" x14ac:dyDescent="0.25">
      <c r="B30" s="48" t="s">
        <v>139</v>
      </c>
      <c r="C30" s="68"/>
      <c r="D30" s="68"/>
      <c r="E30" s="68"/>
      <c r="F30" s="165" t="e">
        <f>CFS!#REF!</f>
        <v>#REF!</v>
      </c>
      <c r="G30" s="165" t="e">
        <f>CFS!#REF!</f>
        <v>#REF!</v>
      </c>
      <c r="H30" s="165" t="e">
        <f>CFS!#REF!</f>
        <v>#REF!</v>
      </c>
      <c r="I30" s="165">
        <f>CFS!D27</f>
        <v>0</v>
      </c>
      <c r="J30" s="174" t="e">
        <f>J37*J11</f>
        <v>#REF!</v>
      </c>
      <c r="K30" s="174" t="e">
        <f t="shared" ref="K30:N30" si="10">K37*K11</f>
        <v>#REF!</v>
      </c>
      <c r="L30" s="174" t="e">
        <f t="shared" si="10"/>
        <v>#REF!</v>
      </c>
      <c r="M30" s="174" t="e">
        <f t="shared" si="10"/>
        <v>#REF!</v>
      </c>
      <c r="N30" s="174" t="e">
        <f t="shared" si="10"/>
        <v>#REF!</v>
      </c>
      <c r="O30" s="50"/>
      <c r="P30" s="50"/>
      <c r="Q30" s="50"/>
    </row>
    <row r="31" spans="2:17" x14ac:dyDescent="0.25">
      <c r="B31" s="48"/>
      <c r="C31" s="68"/>
      <c r="D31" s="68"/>
      <c r="E31" s="68"/>
      <c r="F31" s="165"/>
      <c r="G31" s="165"/>
      <c r="H31" s="165"/>
      <c r="I31" s="165"/>
      <c r="J31" s="163"/>
      <c r="K31" s="163"/>
      <c r="L31" s="163"/>
      <c r="M31" s="163"/>
      <c r="N31" s="163"/>
      <c r="O31" s="177"/>
      <c r="P31" s="159" t="s">
        <v>212</v>
      </c>
      <c r="Q31" s="159" t="s">
        <v>213</v>
      </c>
    </row>
    <row r="32" spans="2:17" x14ac:dyDescent="0.25">
      <c r="B32" s="168" t="s">
        <v>200</v>
      </c>
      <c r="C32" s="169" t="e">
        <f t="shared" ref="C32:E32" si="11">C21/C8</f>
        <v>#DIV/0!</v>
      </c>
      <c r="D32" s="169" t="e">
        <f t="shared" si="11"/>
        <v>#DIV/0!</v>
      </c>
      <c r="E32" s="169" t="e">
        <f t="shared" si="11"/>
        <v>#DIV/0!</v>
      </c>
      <c r="F32" s="169" t="e">
        <f>F21/F11</f>
        <v>#REF!</v>
      </c>
      <c r="G32" s="169" t="e">
        <f t="shared" ref="G32:I32" si="12">G21/G11</f>
        <v>#REF!</v>
      </c>
      <c r="H32" s="169" t="e">
        <f t="shared" si="12"/>
        <v>#REF!</v>
      </c>
      <c r="I32" s="169" t="e">
        <f t="shared" si="12"/>
        <v>#DIV/0!</v>
      </c>
      <c r="J32" s="173" t="e">
        <f>$Q32</f>
        <v>#REF!</v>
      </c>
      <c r="K32" s="173" t="e">
        <f t="shared" ref="K32:N37" si="13">$P32</f>
        <v>#REF!</v>
      </c>
      <c r="L32" s="173" t="e">
        <f t="shared" si="13"/>
        <v>#REF!</v>
      </c>
      <c r="M32" s="173" t="e">
        <f t="shared" si="13"/>
        <v>#REF!</v>
      </c>
      <c r="N32" s="173" t="e">
        <f t="shared" si="13"/>
        <v>#REF!</v>
      </c>
      <c r="O32" s="175"/>
      <c r="P32" s="176" t="e">
        <f>AVERAGE(F32:I32)</f>
        <v>#REF!</v>
      </c>
      <c r="Q32" s="176" t="e">
        <f>GEOMEAN(F32:I32)</f>
        <v>#REF!</v>
      </c>
    </row>
    <row r="33" spans="2:17" x14ac:dyDescent="0.25">
      <c r="B33" s="168" t="s">
        <v>201</v>
      </c>
      <c r="C33" s="169" t="e">
        <f t="shared" ref="C33:E33" si="14">C22/C8</f>
        <v>#DIV/0!</v>
      </c>
      <c r="D33" s="169" t="e">
        <f>D22/D8</f>
        <v>#DIV/0!</v>
      </c>
      <c r="E33" s="169" t="e">
        <f t="shared" si="14"/>
        <v>#DIV/0!</v>
      </c>
      <c r="F33" s="169" t="e">
        <f>F22/F11</f>
        <v>#REF!</v>
      </c>
      <c r="G33" s="169" t="e">
        <f t="shared" ref="G33:I33" si="15">G22/G11</f>
        <v>#REF!</v>
      </c>
      <c r="H33" s="169" t="e">
        <f t="shared" si="15"/>
        <v>#REF!</v>
      </c>
      <c r="I33" s="169" t="e">
        <f t="shared" si="15"/>
        <v>#DIV/0!</v>
      </c>
      <c r="J33" s="173" t="e">
        <f>$Q33</f>
        <v>#REF!</v>
      </c>
      <c r="K33" s="173" t="e">
        <f t="shared" si="13"/>
        <v>#REF!</v>
      </c>
      <c r="L33" s="173" t="e">
        <f t="shared" si="13"/>
        <v>#REF!</v>
      </c>
      <c r="M33" s="173" t="e">
        <f t="shared" si="13"/>
        <v>#REF!</v>
      </c>
      <c r="N33" s="173" t="e">
        <f t="shared" si="13"/>
        <v>#REF!</v>
      </c>
      <c r="O33" s="175"/>
      <c r="P33" s="176" t="e">
        <f t="shared" ref="P33:P37" si="16">AVERAGE(F33:I33)</f>
        <v>#REF!</v>
      </c>
      <c r="Q33" s="176" t="e">
        <f t="shared" ref="Q33:Q36" si="17">GEOMEAN(F33:I33)</f>
        <v>#REF!</v>
      </c>
    </row>
    <row r="34" spans="2:17" x14ac:dyDescent="0.25">
      <c r="B34" s="168" t="s">
        <v>202</v>
      </c>
      <c r="C34" s="169" t="e">
        <f t="shared" ref="C34:E34" si="18">C23/C8</f>
        <v>#DIV/0!</v>
      </c>
      <c r="D34" s="169" t="e">
        <f t="shared" si="18"/>
        <v>#DIV/0!</v>
      </c>
      <c r="E34" s="169" t="e">
        <f t="shared" si="18"/>
        <v>#DIV/0!</v>
      </c>
      <c r="F34" s="169" t="e">
        <f>F23/F11</f>
        <v>#REF!</v>
      </c>
      <c r="G34" s="169" t="e">
        <f t="shared" ref="G34:I34" si="19">G23/G11</f>
        <v>#REF!</v>
      </c>
      <c r="H34" s="169" t="e">
        <f t="shared" si="19"/>
        <v>#REF!</v>
      </c>
      <c r="I34" s="169" t="e">
        <f t="shared" si="19"/>
        <v>#DIV/0!</v>
      </c>
      <c r="J34" s="173" t="e">
        <f>$Q34</f>
        <v>#REF!</v>
      </c>
      <c r="K34" s="173" t="e">
        <f t="shared" si="13"/>
        <v>#REF!</v>
      </c>
      <c r="L34" s="173" t="e">
        <f t="shared" si="13"/>
        <v>#REF!</v>
      </c>
      <c r="M34" s="173" t="e">
        <f t="shared" si="13"/>
        <v>#REF!</v>
      </c>
      <c r="N34" s="173" t="e">
        <f t="shared" si="13"/>
        <v>#REF!</v>
      </c>
      <c r="O34" s="175"/>
      <c r="P34" s="176" t="e">
        <f t="shared" si="16"/>
        <v>#REF!</v>
      </c>
      <c r="Q34" s="176" t="e">
        <f t="shared" si="17"/>
        <v>#REF!</v>
      </c>
    </row>
    <row r="35" spans="2:17" x14ac:dyDescent="0.25">
      <c r="B35" s="168" t="s">
        <v>203</v>
      </c>
      <c r="C35" s="169" t="e">
        <f t="shared" ref="C35:E35" si="20">C25/C8</f>
        <v>#DIV/0!</v>
      </c>
      <c r="D35" s="169" t="e">
        <f t="shared" si="20"/>
        <v>#DIV/0!</v>
      </c>
      <c r="E35" s="169" t="e">
        <f t="shared" si="20"/>
        <v>#DIV/0!</v>
      </c>
      <c r="F35" s="169" t="e">
        <f>F25/F11</f>
        <v>#REF!</v>
      </c>
      <c r="G35" s="169" t="e">
        <f t="shared" ref="G35:I35" si="21">G25/G11</f>
        <v>#REF!</v>
      </c>
      <c r="H35" s="169" t="e">
        <f t="shared" si="21"/>
        <v>#REF!</v>
      </c>
      <c r="I35" s="169" t="e">
        <f t="shared" si="21"/>
        <v>#DIV/0!</v>
      </c>
      <c r="J35" s="173" t="e">
        <f>$Q35</f>
        <v>#REF!</v>
      </c>
      <c r="K35" s="173" t="e">
        <f t="shared" si="13"/>
        <v>#REF!</v>
      </c>
      <c r="L35" s="173" t="e">
        <f t="shared" si="13"/>
        <v>#REF!</v>
      </c>
      <c r="M35" s="173" t="e">
        <f t="shared" si="13"/>
        <v>#REF!</v>
      </c>
      <c r="N35" s="173" t="e">
        <f t="shared" si="13"/>
        <v>#REF!</v>
      </c>
      <c r="O35" s="175"/>
      <c r="P35" s="176" t="e">
        <f t="shared" si="16"/>
        <v>#REF!</v>
      </c>
      <c r="Q35" s="176" t="e">
        <f t="shared" si="17"/>
        <v>#REF!</v>
      </c>
    </row>
    <row r="36" spans="2:17" x14ac:dyDescent="0.25">
      <c r="B36" s="168" t="s">
        <v>204</v>
      </c>
      <c r="C36" s="169" t="e">
        <f t="shared" ref="C36:E36" si="22">C26/C8</f>
        <v>#DIV/0!</v>
      </c>
      <c r="D36" s="169" t="e">
        <f t="shared" si="22"/>
        <v>#DIV/0!</v>
      </c>
      <c r="E36" s="169" t="e">
        <f t="shared" si="22"/>
        <v>#DIV/0!</v>
      </c>
      <c r="F36" s="169" t="e">
        <f>F26/F11</f>
        <v>#REF!</v>
      </c>
      <c r="G36" s="169" t="e">
        <f t="shared" ref="G36:I36" si="23">G26/G11</f>
        <v>#REF!</v>
      </c>
      <c r="H36" s="169" t="e">
        <f t="shared" si="23"/>
        <v>#REF!</v>
      </c>
      <c r="I36" s="169" t="e">
        <f t="shared" si="23"/>
        <v>#DIV/0!</v>
      </c>
      <c r="J36" s="173" t="e">
        <f>$Q36</f>
        <v>#REF!</v>
      </c>
      <c r="K36" s="173" t="e">
        <f t="shared" si="13"/>
        <v>#REF!</v>
      </c>
      <c r="L36" s="173" t="e">
        <f t="shared" si="13"/>
        <v>#REF!</v>
      </c>
      <c r="M36" s="173" t="e">
        <f t="shared" si="13"/>
        <v>#REF!</v>
      </c>
      <c r="N36" s="173" t="e">
        <f t="shared" si="13"/>
        <v>#REF!</v>
      </c>
      <c r="O36" s="175"/>
      <c r="P36" s="176" t="e">
        <f t="shared" si="16"/>
        <v>#REF!</v>
      </c>
      <c r="Q36" s="176" t="e">
        <f t="shared" si="17"/>
        <v>#REF!</v>
      </c>
    </row>
    <row r="37" spans="2:17" x14ac:dyDescent="0.25">
      <c r="B37" s="162" t="s">
        <v>205</v>
      </c>
      <c r="C37" s="170" t="e">
        <f t="shared" ref="C37:E37" si="24">C30/C8</f>
        <v>#DIV/0!</v>
      </c>
      <c r="D37" s="170" t="e">
        <f t="shared" si="24"/>
        <v>#DIV/0!</v>
      </c>
      <c r="E37" s="170" t="e">
        <f t="shared" si="24"/>
        <v>#DIV/0!</v>
      </c>
      <c r="F37" s="170" t="e">
        <f>F30/F11</f>
        <v>#REF!</v>
      </c>
      <c r="G37" s="170" t="e">
        <f t="shared" ref="G37:I37" si="25">G30/G11</f>
        <v>#REF!</v>
      </c>
      <c r="H37" s="170" t="e">
        <f t="shared" si="25"/>
        <v>#REF!</v>
      </c>
      <c r="I37" s="170" t="e">
        <f t="shared" si="25"/>
        <v>#DIV/0!</v>
      </c>
      <c r="J37" s="173" t="e">
        <f t="shared" ref="J37" si="26">$P37</f>
        <v>#REF!</v>
      </c>
      <c r="K37" s="173" t="e">
        <f t="shared" si="13"/>
        <v>#REF!</v>
      </c>
      <c r="L37" s="173" t="e">
        <f t="shared" si="13"/>
        <v>#REF!</v>
      </c>
      <c r="M37" s="173" t="e">
        <f t="shared" si="13"/>
        <v>#REF!</v>
      </c>
      <c r="N37" s="173" t="e">
        <f t="shared" si="13"/>
        <v>#REF!</v>
      </c>
      <c r="O37" s="175"/>
      <c r="P37" s="176" t="e">
        <f t="shared" si="16"/>
        <v>#REF!</v>
      </c>
      <c r="Q37" s="176" t="e">
        <f>GEOMEAN(F37:I37)</f>
        <v>#REF!</v>
      </c>
    </row>
    <row r="38" spans="2:17" x14ac:dyDescent="0.25">
      <c r="B38" s="171" t="s">
        <v>206</v>
      </c>
      <c r="C38" s="11"/>
      <c r="D38" s="170" t="e">
        <f t="shared" ref="D38:I40" si="27">((D21/C21)-1)</f>
        <v>#DIV/0!</v>
      </c>
      <c r="E38" s="170" t="e">
        <f t="shared" si="27"/>
        <v>#DIV/0!</v>
      </c>
      <c r="F38" s="172"/>
      <c r="G38" s="170" t="e">
        <f t="shared" si="27"/>
        <v>#REF!</v>
      </c>
      <c r="H38" s="170" t="e">
        <f t="shared" si="27"/>
        <v>#REF!</v>
      </c>
      <c r="I38" s="170" t="e">
        <f t="shared" si="27"/>
        <v>#REF!</v>
      </c>
      <c r="J38" s="163"/>
      <c r="K38" s="163"/>
      <c r="L38" s="163"/>
      <c r="M38" s="163"/>
      <c r="N38" s="163"/>
      <c r="O38" s="50"/>
      <c r="P38" s="61"/>
      <c r="Q38" s="61"/>
    </row>
    <row r="39" spans="2:17" x14ac:dyDescent="0.25">
      <c r="B39" s="171" t="s">
        <v>207</v>
      </c>
      <c r="C39" s="11"/>
      <c r="D39" s="170" t="e">
        <f t="shared" si="27"/>
        <v>#DIV/0!</v>
      </c>
      <c r="E39" s="170" t="e">
        <f t="shared" si="27"/>
        <v>#DIV/0!</v>
      </c>
      <c r="F39" s="172"/>
      <c r="G39" s="170" t="e">
        <f t="shared" si="27"/>
        <v>#REF!</v>
      </c>
      <c r="H39" s="170" t="e">
        <f t="shared" si="27"/>
        <v>#REF!</v>
      </c>
      <c r="I39" s="170" t="e">
        <f t="shared" si="27"/>
        <v>#REF!</v>
      </c>
      <c r="J39" s="163"/>
      <c r="K39" s="163"/>
      <c r="L39" s="163"/>
      <c r="M39" s="163"/>
      <c r="N39" s="163"/>
      <c r="O39" s="50"/>
      <c r="P39" s="50"/>
      <c r="Q39" s="50"/>
    </row>
    <row r="40" spans="2:17" x14ac:dyDescent="0.25">
      <c r="B40" s="171" t="s">
        <v>208</v>
      </c>
      <c r="C40" s="11"/>
      <c r="D40" s="170" t="e">
        <f t="shared" si="27"/>
        <v>#DIV/0!</v>
      </c>
      <c r="E40" s="170" t="e">
        <f t="shared" si="27"/>
        <v>#DIV/0!</v>
      </c>
      <c r="F40" s="172"/>
      <c r="G40" s="170" t="e">
        <f t="shared" si="27"/>
        <v>#REF!</v>
      </c>
      <c r="H40" s="170" t="e">
        <f t="shared" si="27"/>
        <v>#REF!</v>
      </c>
      <c r="I40" s="170" t="e">
        <f t="shared" si="27"/>
        <v>#REF!</v>
      </c>
      <c r="J40" s="163"/>
      <c r="K40" s="163"/>
      <c r="L40" s="163"/>
      <c r="M40" s="163"/>
      <c r="N40" s="163"/>
      <c r="O40" s="50"/>
      <c r="P40" s="50"/>
      <c r="Q40" s="50"/>
    </row>
    <row r="41" spans="2:17" x14ac:dyDescent="0.25">
      <c r="B41" s="171" t="s">
        <v>209</v>
      </c>
      <c r="C41" s="11"/>
      <c r="D41" s="170" t="e">
        <f t="shared" ref="D41:I42" si="28">((D25/C25)-1)</f>
        <v>#DIV/0!</v>
      </c>
      <c r="E41" s="170" t="e">
        <f t="shared" si="28"/>
        <v>#DIV/0!</v>
      </c>
      <c r="F41" s="172"/>
      <c r="G41" s="170" t="e">
        <f t="shared" si="28"/>
        <v>#REF!</v>
      </c>
      <c r="H41" s="170" t="e">
        <f t="shared" si="28"/>
        <v>#REF!</v>
      </c>
      <c r="I41" s="170" t="e">
        <f t="shared" si="28"/>
        <v>#REF!</v>
      </c>
      <c r="J41" s="163"/>
      <c r="K41" s="163"/>
      <c r="L41" s="163"/>
      <c r="M41" s="163"/>
      <c r="N41" s="163"/>
      <c r="O41" s="50"/>
      <c r="P41" s="50"/>
      <c r="Q41" s="50"/>
    </row>
    <row r="42" spans="2:17" x14ac:dyDescent="0.25">
      <c r="B42" s="171" t="s">
        <v>210</v>
      </c>
      <c r="C42" s="11"/>
      <c r="D42" s="170" t="e">
        <f t="shared" si="28"/>
        <v>#DIV/0!</v>
      </c>
      <c r="E42" s="170" t="e">
        <f t="shared" si="28"/>
        <v>#DIV/0!</v>
      </c>
      <c r="F42" s="172"/>
      <c r="G42" s="170" t="e">
        <f t="shared" si="28"/>
        <v>#REF!</v>
      </c>
      <c r="H42" s="170" t="e">
        <f t="shared" si="28"/>
        <v>#REF!</v>
      </c>
      <c r="I42" s="170" t="e">
        <f t="shared" si="28"/>
        <v>#REF!</v>
      </c>
      <c r="J42" s="163"/>
      <c r="K42" s="163"/>
      <c r="L42" s="163"/>
      <c r="M42" s="163"/>
      <c r="N42" s="163"/>
      <c r="O42" s="50"/>
      <c r="P42" s="50"/>
      <c r="Q42" s="50"/>
    </row>
    <row r="43" spans="2:17" x14ac:dyDescent="0.25">
      <c r="B43" s="171" t="s">
        <v>211</v>
      </c>
      <c r="C43" s="11"/>
      <c r="D43" s="170" t="e">
        <f t="shared" ref="D43:I43" si="29">((D30/C30)-1)</f>
        <v>#DIV/0!</v>
      </c>
      <c r="E43" s="170" t="e">
        <f t="shared" si="29"/>
        <v>#DIV/0!</v>
      </c>
      <c r="F43" s="172"/>
      <c r="G43" s="170" t="e">
        <f t="shared" si="29"/>
        <v>#REF!</v>
      </c>
      <c r="H43" s="170" t="e">
        <f t="shared" si="29"/>
        <v>#REF!</v>
      </c>
      <c r="I43" s="170" t="e">
        <f t="shared" si="29"/>
        <v>#REF!</v>
      </c>
      <c r="J43" s="163"/>
      <c r="K43" s="163"/>
      <c r="L43" s="163"/>
      <c r="M43" s="163"/>
      <c r="N43" s="163"/>
      <c r="O43" s="50"/>
      <c r="P43" s="50"/>
      <c r="Q43" s="50"/>
    </row>
    <row r="44" spans="2:17" x14ac:dyDescent="0.25">
      <c r="B44" s="48"/>
      <c r="C44" s="48"/>
      <c r="D44" s="49"/>
      <c r="E44" s="49"/>
      <c r="F44" s="49"/>
      <c r="G44" s="49"/>
      <c r="H44" s="51"/>
      <c r="I44" s="50"/>
      <c r="J44" s="50"/>
      <c r="K44" s="50"/>
      <c r="L44" s="50"/>
      <c r="M44" s="50"/>
      <c r="N44" s="50"/>
      <c r="O44" s="71"/>
      <c r="P44" s="71"/>
      <c r="Q44" s="71"/>
    </row>
    <row r="45" spans="2:17" ht="18.75" x14ac:dyDescent="0.3">
      <c r="B45" s="52" t="s">
        <v>140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71"/>
      <c r="P45" s="71"/>
      <c r="Q45" s="71"/>
    </row>
    <row r="46" spans="2:17" x14ac:dyDescent="0.25">
      <c r="B46" s="72" t="s">
        <v>141</v>
      </c>
      <c r="C46" s="72"/>
      <c r="D46" s="53"/>
      <c r="E46" s="73"/>
      <c r="F46" s="53"/>
      <c r="G46" s="53"/>
      <c r="H46" s="53"/>
      <c r="I46" s="74"/>
      <c r="J46" s="181" t="s">
        <v>130</v>
      </c>
      <c r="K46" s="182"/>
      <c r="L46" s="182"/>
      <c r="M46" s="182"/>
      <c r="N46" s="183"/>
      <c r="O46" s="71"/>
      <c r="P46" s="71"/>
      <c r="Q46" s="71"/>
    </row>
    <row r="47" spans="2:17" x14ac:dyDescent="0.25">
      <c r="B47" s="75"/>
      <c r="C47" s="56">
        <f t="shared" ref="C47:D47" si="30">D47-365</f>
        <v>-730</v>
      </c>
      <c r="D47" s="57">
        <f t="shared" si="30"/>
        <v>-365</v>
      </c>
      <c r="E47" s="58"/>
      <c r="F47" s="58" t="s">
        <v>56</v>
      </c>
      <c r="G47" s="58" t="s">
        <v>57</v>
      </c>
      <c r="H47" s="58" t="s">
        <v>58</v>
      </c>
      <c r="I47" s="58" t="s">
        <v>59</v>
      </c>
      <c r="J47" s="59" t="s">
        <v>60</v>
      </c>
      <c r="K47" s="59" t="s">
        <v>61</v>
      </c>
      <c r="L47" s="59" t="s">
        <v>62</v>
      </c>
      <c r="M47" s="59" t="s">
        <v>63</v>
      </c>
      <c r="N47" s="60" t="s">
        <v>64</v>
      </c>
      <c r="O47" s="71"/>
      <c r="P47" s="71"/>
      <c r="Q47" s="71"/>
    </row>
    <row r="48" spans="2:17" x14ac:dyDescent="0.25">
      <c r="B48" s="76" t="s">
        <v>142</v>
      </c>
      <c r="C48" s="76"/>
      <c r="D48" s="77"/>
      <c r="E48" s="78"/>
      <c r="F48" s="78"/>
      <c r="G48" s="78"/>
      <c r="H48" s="78"/>
      <c r="I48" s="78"/>
      <c r="J48" s="77">
        <v>1</v>
      </c>
      <c r="K48" s="77">
        <f t="shared" ref="K48:N48" si="31">J48+1</f>
        <v>2</v>
      </c>
      <c r="L48" s="77">
        <f t="shared" si="31"/>
        <v>3</v>
      </c>
      <c r="M48" s="77">
        <f t="shared" si="31"/>
        <v>4</v>
      </c>
      <c r="N48" s="77">
        <f t="shared" si="31"/>
        <v>5</v>
      </c>
      <c r="O48" s="71"/>
      <c r="P48" s="71"/>
      <c r="Q48" s="71"/>
    </row>
    <row r="49" spans="2:17" x14ac:dyDescent="0.25">
      <c r="B49" s="71" t="s">
        <v>143</v>
      </c>
      <c r="C49" s="79">
        <f t="shared" ref="C49:N49" si="32">C11</f>
        <v>0</v>
      </c>
      <c r="D49" s="80">
        <f t="shared" si="32"/>
        <v>0</v>
      </c>
      <c r="E49" s="80">
        <f t="shared" si="32"/>
        <v>0</v>
      </c>
      <c r="F49" s="80" t="e">
        <f t="shared" si="32"/>
        <v>#REF!</v>
      </c>
      <c r="G49" s="80" t="e">
        <f t="shared" si="32"/>
        <v>#REF!</v>
      </c>
      <c r="H49" s="80" t="e">
        <f t="shared" si="32"/>
        <v>#REF!</v>
      </c>
      <c r="I49" s="81">
        <f t="shared" si="32"/>
        <v>0</v>
      </c>
      <c r="J49" s="81">
        <f t="shared" si="32"/>
        <v>0</v>
      </c>
      <c r="K49" s="81">
        <f t="shared" si="32"/>
        <v>0</v>
      </c>
      <c r="L49" s="81">
        <f t="shared" si="32"/>
        <v>0</v>
      </c>
      <c r="M49" s="81">
        <f t="shared" si="32"/>
        <v>0</v>
      </c>
      <c r="N49" s="81" t="e">
        <f t="shared" si="32"/>
        <v>#REF!</v>
      </c>
      <c r="O49" s="71"/>
      <c r="P49" s="71"/>
      <c r="Q49" s="71"/>
    </row>
    <row r="50" spans="2:17" x14ac:dyDescent="0.25">
      <c r="B50" s="71" t="s">
        <v>132</v>
      </c>
      <c r="C50" s="79">
        <f t="shared" ref="C50:N50" si="33">C13</f>
        <v>0</v>
      </c>
      <c r="D50" s="81">
        <f t="shared" si="33"/>
        <v>0</v>
      </c>
      <c r="E50" s="81">
        <f t="shared" si="33"/>
        <v>0</v>
      </c>
      <c r="F50" s="81" t="e">
        <f t="shared" si="33"/>
        <v>#REF!</v>
      </c>
      <c r="G50" s="81" t="e">
        <f t="shared" si="33"/>
        <v>#REF!</v>
      </c>
      <c r="H50" s="81" t="e">
        <f t="shared" si="33"/>
        <v>#REF!</v>
      </c>
      <c r="I50" s="81">
        <f t="shared" si="33"/>
        <v>0</v>
      </c>
      <c r="J50" s="81">
        <f t="shared" si="33"/>
        <v>0</v>
      </c>
      <c r="K50" s="81">
        <f t="shared" si="33"/>
        <v>0</v>
      </c>
      <c r="L50" s="81">
        <f t="shared" si="33"/>
        <v>0</v>
      </c>
      <c r="M50" s="81">
        <f t="shared" si="33"/>
        <v>0</v>
      </c>
      <c r="N50" s="81" t="e">
        <f t="shared" si="33"/>
        <v>#REF!</v>
      </c>
      <c r="O50" s="71"/>
      <c r="P50" s="71"/>
      <c r="Q50" s="71"/>
    </row>
    <row r="51" spans="2:17" x14ac:dyDescent="0.25">
      <c r="B51" s="71" t="s">
        <v>144</v>
      </c>
      <c r="C51" s="82"/>
      <c r="D51" s="82"/>
      <c r="E51" s="82"/>
      <c r="F51" s="149" t="e">
        <f>IS!#REF!</f>
        <v>#REF!</v>
      </c>
      <c r="G51" s="149" t="e">
        <f>IS!#REF!</f>
        <v>#REF!</v>
      </c>
      <c r="H51" s="149" t="e">
        <f>IS!#REF!</f>
        <v>#REF!</v>
      </c>
      <c r="I51" s="149">
        <f>IS!E8</f>
        <v>0</v>
      </c>
      <c r="J51" s="149">
        <f>IS!F8</f>
        <v>0</v>
      </c>
      <c r="K51" s="149">
        <f>IS!G8</f>
        <v>0</v>
      </c>
      <c r="L51" s="149">
        <f>IS!H8</f>
        <v>0</v>
      </c>
      <c r="M51" s="149">
        <f>IS!I8</f>
        <v>0</v>
      </c>
      <c r="N51" s="149" t="e">
        <f>IS!#REF!</f>
        <v>#REF!</v>
      </c>
      <c r="O51" s="71"/>
      <c r="P51" s="61"/>
      <c r="Q51" s="61"/>
    </row>
    <row r="52" spans="2:17" x14ac:dyDescent="0.25">
      <c r="B52" s="75" t="s">
        <v>145</v>
      </c>
      <c r="C52" s="83">
        <f t="shared" ref="C52:N52" si="34">C50*(1-C51)</f>
        <v>0</v>
      </c>
      <c r="D52" s="83">
        <f t="shared" si="34"/>
        <v>0</v>
      </c>
      <c r="E52" s="83">
        <f t="shared" si="34"/>
        <v>0</v>
      </c>
      <c r="F52" s="83" t="e">
        <f t="shared" si="34"/>
        <v>#REF!</v>
      </c>
      <c r="G52" s="83" t="e">
        <f t="shared" si="34"/>
        <v>#REF!</v>
      </c>
      <c r="H52" s="83" t="e">
        <f t="shared" si="34"/>
        <v>#REF!</v>
      </c>
      <c r="I52" s="83">
        <f t="shared" si="34"/>
        <v>0</v>
      </c>
      <c r="J52" s="84">
        <f t="shared" si="34"/>
        <v>0</v>
      </c>
      <c r="K52" s="84">
        <f t="shared" si="34"/>
        <v>0</v>
      </c>
      <c r="L52" s="84">
        <f t="shared" si="34"/>
        <v>0</v>
      </c>
      <c r="M52" s="84">
        <f t="shared" si="34"/>
        <v>0</v>
      </c>
      <c r="N52" s="84" t="e">
        <f t="shared" si="34"/>
        <v>#REF!</v>
      </c>
      <c r="O52" s="71"/>
      <c r="P52" s="71"/>
      <c r="Q52" s="71"/>
    </row>
    <row r="53" spans="2:17" x14ac:dyDescent="0.25">
      <c r="B53" s="85" t="s">
        <v>146</v>
      </c>
      <c r="C53" s="86">
        <f t="shared" ref="C53:N53" si="35">C15</f>
        <v>0</v>
      </c>
      <c r="D53" s="86">
        <f t="shared" si="35"/>
        <v>0</v>
      </c>
      <c r="E53" s="86">
        <f t="shared" si="35"/>
        <v>0</v>
      </c>
      <c r="F53" s="86" t="e">
        <f t="shared" si="35"/>
        <v>#REF!</v>
      </c>
      <c r="G53" s="86" t="e">
        <f t="shared" si="35"/>
        <v>#REF!</v>
      </c>
      <c r="H53" s="86" t="e">
        <f t="shared" si="35"/>
        <v>#REF!</v>
      </c>
      <c r="I53" s="86">
        <f t="shared" si="35"/>
        <v>0</v>
      </c>
      <c r="J53" s="86">
        <f t="shared" si="35"/>
        <v>0</v>
      </c>
      <c r="K53" s="86">
        <f t="shared" si="35"/>
        <v>0</v>
      </c>
      <c r="L53" s="86">
        <f t="shared" si="35"/>
        <v>0</v>
      </c>
      <c r="M53" s="86">
        <f t="shared" si="35"/>
        <v>0</v>
      </c>
      <c r="N53" s="86">
        <f t="shared" si="35"/>
        <v>0</v>
      </c>
      <c r="O53" s="71"/>
      <c r="P53" s="71"/>
      <c r="Q53" s="71"/>
    </row>
    <row r="54" spans="2:17" x14ac:dyDescent="0.25">
      <c r="B54" s="67" t="s">
        <v>147</v>
      </c>
      <c r="C54" s="67"/>
      <c r="D54" s="87">
        <f t="shared" ref="D54:N54" si="36">(D21-C21)*-1</f>
        <v>0</v>
      </c>
      <c r="E54" s="87">
        <f t="shared" si="36"/>
        <v>0</v>
      </c>
      <c r="F54" s="87" t="e">
        <f t="shared" si="36"/>
        <v>#REF!</v>
      </c>
      <c r="G54" s="87" t="e">
        <f t="shared" si="36"/>
        <v>#REF!</v>
      </c>
      <c r="H54" s="87" t="e">
        <f t="shared" si="36"/>
        <v>#REF!</v>
      </c>
      <c r="I54" s="87" t="e">
        <f t="shared" si="36"/>
        <v>#REF!</v>
      </c>
      <c r="J54" s="87" t="e">
        <f t="shared" si="36"/>
        <v>#REF!</v>
      </c>
      <c r="K54" s="87" t="e">
        <f t="shared" si="36"/>
        <v>#REF!</v>
      </c>
      <c r="L54" s="87" t="e">
        <f t="shared" si="36"/>
        <v>#REF!</v>
      </c>
      <c r="M54" s="87" t="e">
        <f t="shared" si="36"/>
        <v>#REF!</v>
      </c>
      <c r="N54" s="87" t="e">
        <f t="shared" si="36"/>
        <v>#REF!</v>
      </c>
      <c r="O54" s="71"/>
      <c r="P54" s="71"/>
      <c r="Q54" s="71"/>
    </row>
    <row r="55" spans="2:17" x14ac:dyDescent="0.25">
      <c r="B55" s="67" t="s">
        <v>148</v>
      </c>
      <c r="C55" s="67"/>
      <c r="D55" s="87">
        <f t="shared" ref="D55:N55" si="37">(D22-C22)*-1</f>
        <v>0</v>
      </c>
      <c r="E55" s="87">
        <f t="shared" si="37"/>
        <v>0</v>
      </c>
      <c r="F55" s="87" t="e">
        <f t="shared" si="37"/>
        <v>#REF!</v>
      </c>
      <c r="G55" s="87" t="e">
        <f t="shared" si="37"/>
        <v>#REF!</v>
      </c>
      <c r="H55" s="87" t="e">
        <f t="shared" si="37"/>
        <v>#REF!</v>
      </c>
      <c r="I55" s="87" t="e">
        <f t="shared" si="37"/>
        <v>#REF!</v>
      </c>
      <c r="J55" s="87" t="e">
        <f t="shared" si="37"/>
        <v>#REF!</v>
      </c>
      <c r="K55" s="87" t="e">
        <f t="shared" si="37"/>
        <v>#REF!</v>
      </c>
      <c r="L55" s="87" t="e">
        <f t="shared" si="37"/>
        <v>#REF!</v>
      </c>
      <c r="M55" s="87" t="e">
        <f t="shared" si="37"/>
        <v>#REF!</v>
      </c>
      <c r="N55" s="87" t="e">
        <f t="shared" si="37"/>
        <v>#REF!</v>
      </c>
      <c r="O55" s="71"/>
      <c r="P55" s="71"/>
      <c r="Q55" s="71"/>
    </row>
    <row r="56" spans="2:17" x14ac:dyDescent="0.25">
      <c r="B56" s="67" t="s">
        <v>149</v>
      </c>
      <c r="C56" s="67"/>
      <c r="D56" s="87">
        <f t="shared" ref="D56:N56" si="38">(D23-C23)*-1</f>
        <v>0</v>
      </c>
      <c r="E56" s="87">
        <f t="shared" si="38"/>
        <v>0</v>
      </c>
      <c r="F56" s="87" t="e">
        <f t="shared" si="38"/>
        <v>#REF!</v>
      </c>
      <c r="G56" s="87" t="e">
        <f t="shared" si="38"/>
        <v>#REF!</v>
      </c>
      <c r="H56" s="87" t="e">
        <f t="shared" si="38"/>
        <v>#REF!</v>
      </c>
      <c r="I56" s="87" t="e">
        <f t="shared" si="38"/>
        <v>#REF!</v>
      </c>
      <c r="J56" s="87" t="e">
        <f t="shared" si="38"/>
        <v>#REF!</v>
      </c>
      <c r="K56" s="87" t="e">
        <f t="shared" si="38"/>
        <v>#REF!</v>
      </c>
      <c r="L56" s="87" t="e">
        <f t="shared" si="38"/>
        <v>#REF!</v>
      </c>
      <c r="M56" s="87" t="e">
        <f t="shared" si="38"/>
        <v>#REF!</v>
      </c>
      <c r="N56" s="87" t="e">
        <f t="shared" si="38"/>
        <v>#REF!</v>
      </c>
      <c r="O56" s="71"/>
      <c r="P56" s="71"/>
      <c r="Q56" s="71"/>
    </row>
    <row r="57" spans="2:17" x14ac:dyDescent="0.25">
      <c r="B57" s="67" t="s">
        <v>150</v>
      </c>
      <c r="C57" s="67"/>
      <c r="D57" s="87">
        <f t="shared" ref="D57:N57" si="39">(D25-C25)</f>
        <v>0</v>
      </c>
      <c r="E57" s="87">
        <f t="shared" si="39"/>
        <v>0</v>
      </c>
      <c r="F57" s="87" t="e">
        <f t="shared" si="39"/>
        <v>#REF!</v>
      </c>
      <c r="G57" s="87" t="e">
        <f t="shared" si="39"/>
        <v>#REF!</v>
      </c>
      <c r="H57" s="87" t="e">
        <f t="shared" si="39"/>
        <v>#REF!</v>
      </c>
      <c r="I57" s="87" t="e">
        <f t="shared" si="39"/>
        <v>#REF!</v>
      </c>
      <c r="J57" s="87" t="e">
        <f t="shared" si="39"/>
        <v>#REF!</v>
      </c>
      <c r="K57" s="87" t="e">
        <f t="shared" si="39"/>
        <v>#REF!</v>
      </c>
      <c r="L57" s="87" t="e">
        <f t="shared" si="39"/>
        <v>#REF!</v>
      </c>
      <c r="M57" s="87" t="e">
        <f t="shared" si="39"/>
        <v>#REF!</v>
      </c>
      <c r="N57" s="87" t="e">
        <f t="shared" si="39"/>
        <v>#REF!</v>
      </c>
      <c r="O57" s="71"/>
      <c r="P57" s="71"/>
      <c r="Q57" s="71"/>
    </row>
    <row r="58" spans="2:17" x14ac:dyDescent="0.25">
      <c r="B58" s="67" t="s">
        <v>151</v>
      </c>
      <c r="C58" s="67"/>
      <c r="D58" s="87">
        <f t="shared" ref="D58:N58" si="40">(D26-C26)</f>
        <v>0</v>
      </c>
      <c r="E58" s="87">
        <f t="shared" si="40"/>
        <v>0</v>
      </c>
      <c r="F58" s="87" t="e">
        <f t="shared" si="40"/>
        <v>#REF!</v>
      </c>
      <c r="G58" s="87" t="e">
        <f t="shared" si="40"/>
        <v>#REF!</v>
      </c>
      <c r="H58" s="87" t="e">
        <f t="shared" si="40"/>
        <v>#REF!</v>
      </c>
      <c r="I58" s="87" t="e">
        <f t="shared" si="40"/>
        <v>#REF!</v>
      </c>
      <c r="J58" s="87" t="e">
        <f t="shared" si="40"/>
        <v>#REF!</v>
      </c>
      <c r="K58" s="87" t="e">
        <f t="shared" si="40"/>
        <v>#REF!</v>
      </c>
      <c r="L58" s="87" t="e">
        <f t="shared" si="40"/>
        <v>#REF!</v>
      </c>
      <c r="M58" s="87" t="e">
        <f t="shared" si="40"/>
        <v>#REF!</v>
      </c>
      <c r="N58" s="87" t="e">
        <f t="shared" si="40"/>
        <v>#REF!</v>
      </c>
      <c r="O58" s="71"/>
      <c r="P58" s="71"/>
      <c r="Q58" s="71"/>
    </row>
    <row r="59" spans="2:17" x14ac:dyDescent="0.25">
      <c r="B59" s="85" t="s">
        <v>152</v>
      </c>
      <c r="C59" s="88"/>
      <c r="D59" s="89">
        <f t="shared" ref="D59:I59" si="41">D30*-1</f>
        <v>0</v>
      </c>
      <c r="E59" s="89">
        <f t="shared" si="41"/>
        <v>0</v>
      </c>
      <c r="F59" s="89" t="e">
        <f t="shared" si="41"/>
        <v>#REF!</v>
      </c>
      <c r="G59" s="89" t="e">
        <f t="shared" si="41"/>
        <v>#REF!</v>
      </c>
      <c r="H59" s="89" t="e">
        <f t="shared" si="41"/>
        <v>#REF!</v>
      </c>
      <c r="I59" s="89">
        <f t="shared" si="41"/>
        <v>0</v>
      </c>
      <c r="J59" s="89" t="e">
        <f>-J30*1</f>
        <v>#REF!</v>
      </c>
      <c r="K59" s="89" t="e">
        <f t="shared" ref="K59:N59" si="42">-K30*1</f>
        <v>#REF!</v>
      </c>
      <c r="L59" s="89" t="e">
        <f t="shared" si="42"/>
        <v>#REF!</v>
      </c>
      <c r="M59" s="89" t="e">
        <f t="shared" si="42"/>
        <v>#REF!</v>
      </c>
      <c r="N59" s="89" t="e">
        <f t="shared" si="42"/>
        <v>#REF!</v>
      </c>
      <c r="O59" s="71"/>
      <c r="P59" s="71"/>
      <c r="Q59" s="71"/>
    </row>
    <row r="60" spans="2:17" x14ac:dyDescent="0.25">
      <c r="B60" s="75" t="s">
        <v>153</v>
      </c>
      <c r="C60" s="75"/>
      <c r="D60" s="90">
        <f t="shared" ref="D60:M60" si="43">SUM(D52:D59)</f>
        <v>0</v>
      </c>
      <c r="E60" s="90">
        <f t="shared" si="43"/>
        <v>0</v>
      </c>
      <c r="F60" s="90" t="e">
        <f t="shared" si="43"/>
        <v>#REF!</v>
      </c>
      <c r="G60" s="90" t="e">
        <f t="shared" si="43"/>
        <v>#REF!</v>
      </c>
      <c r="H60" s="90" t="e">
        <f t="shared" si="43"/>
        <v>#REF!</v>
      </c>
      <c r="I60" s="90" t="e">
        <f>SUM(I52:I59)</f>
        <v>#REF!</v>
      </c>
      <c r="J60" s="90" t="e">
        <f>SUM(J52:J59)</f>
        <v>#REF!</v>
      </c>
      <c r="K60" s="90" t="e">
        <f t="shared" si="43"/>
        <v>#REF!</v>
      </c>
      <c r="L60" s="90" t="e">
        <f t="shared" si="43"/>
        <v>#REF!</v>
      </c>
      <c r="M60" s="90" t="e">
        <f t="shared" si="43"/>
        <v>#REF!</v>
      </c>
      <c r="N60" s="90" t="e">
        <f>SUM(N52:N59)</f>
        <v>#REF!</v>
      </c>
      <c r="O60" s="71"/>
      <c r="P60" s="91"/>
      <c r="Q60" s="71"/>
    </row>
    <row r="61" spans="2:17" x14ac:dyDescent="0.25">
      <c r="B61" s="67" t="s">
        <v>154</v>
      </c>
      <c r="C61" s="67"/>
      <c r="D61" s="92"/>
      <c r="E61" s="92"/>
      <c r="F61" s="93"/>
      <c r="G61" s="93"/>
      <c r="H61" s="94"/>
      <c r="I61" s="94"/>
      <c r="J61" s="95">
        <f>$H$88</f>
        <v>6.8513000000000004E-2</v>
      </c>
      <c r="K61" s="95">
        <f t="shared" ref="K61:N61" si="44">$H$88</f>
        <v>6.8513000000000004E-2</v>
      </c>
      <c r="L61" s="95">
        <f t="shared" si="44"/>
        <v>6.8513000000000004E-2</v>
      </c>
      <c r="M61" s="95">
        <f t="shared" si="44"/>
        <v>6.8513000000000004E-2</v>
      </c>
      <c r="N61" s="95">
        <f t="shared" si="44"/>
        <v>6.8513000000000004E-2</v>
      </c>
      <c r="O61" s="71"/>
      <c r="P61" s="91"/>
      <c r="Q61" s="71"/>
    </row>
    <row r="62" spans="2:17" x14ac:dyDescent="0.25">
      <c r="B62" s="67" t="s">
        <v>155</v>
      </c>
      <c r="C62" s="67"/>
      <c r="D62" s="81"/>
      <c r="E62" s="81"/>
      <c r="G62" s="81"/>
      <c r="H62" s="81"/>
      <c r="I62" s="81"/>
      <c r="J62" s="96" t="e">
        <f>J60/(1+J61)^J48</f>
        <v>#REF!</v>
      </c>
      <c r="K62" s="96" t="e">
        <f t="shared" ref="K62:M62" si="45">K60/(1+K61)^K48</f>
        <v>#REF!</v>
      </c>
      <c r="L62" s="96" t="e">
        <f t="shared" si="45"/>
        <v>#REF!</v>
      </c>
      <c r="M62" s="96" t="e">
        <f t="shared" si="45"/>
        <v>#REF!</v>
      </c>
      <c r="N62" s="96" t="e">
        <f>N60/(1+N61)^N48</f>
        <v>#REF!</v>
      </c>
      <c r="O62" s="71"/>
      <c r="P62" s="71"/>
      <c r="Q62" s="71"/>
    </row>
    <row r="63" spans="2:17" x14ac:dyDescent="0.25">
      <c r="B63" s="75" t="s">
        <v>156</v>
      </c>
      <c r="C63" s="75"/>
      <c r="D63" s="90"/>
      <c r="F63" s="84" t="e">
        <f>SUM(J62:N62)</f>
        <v>#REF!</v>
      </c>
      <c r="G63" s="90"/>
      <c r="H63" s="71"/>
      <c r="I63" s="71"/>
      <c r="J63" s="95" t="e">
        <f t="shared" ref="J63:N63" si="46">J60/I60-1</f>
        <v>#REF!</v>
      </c>
      <c r="K63" s="95" t="e">
        <f t="shared" si="46"/>
        <v>#REF!</v>
      </c>
      <c r="L63" s="95" t="e">
        <f t="shared" si="46"/>
        <v>#REF!</v>
      </c>
      <c r="M63" s="95" t="e">
        <f t="shared" si="46"/>
        <v>#REF!</v>
      </c>
      <c r="N63" s="95" t="e">
        <f t="shared" si="46"/>
        <v>#REF!</v>
      </c>
      <c r="O63" s="71"/>
      <c r="P63" s="71"/>
      <c r="Q63" s="71"/>
    </row>
    <row r="64" spans="2:17" x14ac:dyDescent="0.25"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</row>
    <row r="65" spans="2:17" ht="18.75" x14ac:dyDescent="0.3">
      <c r="B65" s="52" t="s">
        <v>157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71"/>
      <c r="P65" s="71"/>
      <c r="Q65" s="71"/>
    </row>
    <row r="66" spans="2:17" x14ac:dyDescent="0.25">
      <c r="B66" s="97" t="s">
        <v>158</v>
      </c>
      <c r="C66" s="97"/>
      <c r="D66" s="98"/>
      <c r="E66" s="98"/>
      <c r="F66" s="99"/>
      <c r="G66" s="99"/>
      <c r="H66" s="100"/>
      <c r="I66" s="100"/>
      <c r="J66" s="100"/>
      <c r="K66" s="99"/>
      <c r="L66" s="100"/>
      <c r="M66" s="71"/>
      <c r="N66" s="71"/>
      <c r="O66" s="71"/>
      <c r="P66" s="71"/>
      <c r="Q66" s="71"/>
    </row>
    <row r="67" spans="2:17" x14ac:dyDescent="0.25">
      <c r="B67" s="71" t="s">
        <v>159</v>
      </c>
      <c r="C67" s="71"/>
      <c r="D67" s="101"/>
      <c r="F67" s="150">
        <v>0.01</v>
      </c>
      <c r="G67" s="102"/>
      <c r="I67" s="179"/>
      <c r="J67" s="179"/>
      <c r="K67" s="179"/>
      <c r="L67" s="179"/>
      <c r="M67" s="179"/>
      <c r="N67" s="71"/>
      <c r="O67" s="71"/>
      <c r="P67" s="71"/>
      <c r="Q67" s="71"/>
    </row>
    <row r="68" spans="2:17" x14ac:dyDescent="0.25">
      <c r="B68" s="71" t="s">
        <v>160</v>
      </c>
      <c r="C68" s="71"/>
      <c r="D68" s="103"/>
      <c r="F68" s="103">
        <f>H88</f>
        <v>6.8513000000000004E-2</v>
      </c>
      <c r="G68" s="104"/>
      <c r="H68" s="105"/>
      <c r="I68" s="178"/>
      <c r="J68" s="178"/>
      <c r="K68" s="178"/>
      <c r="L68" s="178"/>
      <c r="M68" s="178"/>
      <c r="N68" s="71"/>
      <c r="O68" s="71"/>
      <c r="P68" s="71"/>
      <c r="Q68" s="71"/>
    </row>
    <row r="69" spans="2:17" x14ac:dyDescent="0.25">
      <c r="B69" s="71" t="s">
        <v>161</v>
      </c>
      <c r="C69" s="71"/>
      <c r="D69" s="86"/>
      <c r="F69" s="86" t="e">
        <f>N60*(1+F67)</f>
        <v>#REF!</v>
      </c>
      <c r="G69" s="99"/>
      <c r="H69" s="100"/>
      <c r="I69" s="106"/>
      <c r="J69" s="106"/>
      <c r="K69" s="106"/>
      <c r="L69" s="107"/>
      <c r="M69" s="106"/>
      <c r="N69" s="71"/>
      <c r="O69" s="71"/>
      <c r="P69" s="71"/>
      <c r="Q69" s="71"/>
    </row>
    <row r="70" spans="2:17" x14ac:dyDescent="0.25">
      <c r="B70" s="71" t="s">
        <v>157</v>
      </c>
      <c r="C70" s="71"/>
      <c r="D70" s="86"/>
      <c r="F70" s="86" t="e">
        <f>F69/(F68-F67)</f>
        <v>#REF!</v>
      </c>
      <c r="G70" s="99"/>
      <c r="H70" s="100"/>
      <c r="I70" s="100"/>
      <c r="J70" s="100"/>
      <c r="K70" s="99"/>
      <c r="L70" s="100"/>
      <c r="M70" s="71"/>
      <c r="N70" s="71"/>
      <c r="O70" s="71"/>
      <c r="P70" s="71"/>
      <c r="Q70" s="71"/>
    </row>
    <row r="71" spans="2:17" x14ac:dyDescent="0.25">
      <c r="B71" s="75" t="s">
        <v>162</v>
      </c>
      <c r="C71" s="75"/>
      <c r="D71" s="108"/>
      <c r="F71" s="109" t="e">
        <f>F70/(1+F68)^N48</f>
        <v>#REF!</v>
      </c>
      <c r="G71" s="110"/>
      <c r="H71" s="100"/>
      <c r="I71" s="100"/>
      <c r="J71" s="100"/>
      <c r="K71" s="110"/>
      <c r="L71" s="100"/>
      <c r="M71" s="71"/>
      <c r="N71" s="71"/>
      <c r="O71" s="71"/>
      <c r="P71" s="71"/>
      <c r="Q71" s="71"/>
    </row>
    <row r="72" spans="2:17" x14ac:dyDescent="0.25">
      <c r="B72" s="71"/>
      <c r="C72" s="71"/>
      <c r="D72" s="111"/>
      <c r="E72" s="111"/>
      <c r="F72" s="111"/>
      <c r="G72" s="100"/>
      <c r="H72" s="100"/>
      <c r="I72" s="100"/>
      <c r="J72" s="100"/>
      <c r="K72" s="100"/>
      <c r="L72" s="100"/>
      <c r="M72" s="71"/>
      <c r="N72" s="71"/>
      <c r="O72" s="71"/>
      <c r="P72" s="71"/>
      <c r="Q72" s="71"/>
    </row>
    <row r="73" spans="2:17" ht="18.75" x14ac:dyDescent="0.3">
      <c r="B73" s="52" t="s">
        <v>160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71"/>
      <c r="P73" s="71"/>
      <c r="Q73" s="71"/>
    </row>
    <row r="74" spans="2:17" x14ac:dyDescent="0.25">
      <c r="B74" s="71" t="s">
        <v>163</v>
      </c>
      <c r="C74" s="71"/>
      <c r="D74" s="71"/>
      <c r="E74" s="71"/>
      <c r="F74" s="71"/>
      <c r="G74" s="71"/>
      <c r="H74" s="112">
        <f>H5</f>
        <v>13.31</v>
      </c>
      <c r="I74" s="71"/>
      <c r="J74" s="71"/>
      <c r="K74" s="71"/>
      <c r="L74" s="71"/>
      <c r="M74" s="71"/>
      <c r="N74" s="71"/>
      <c r="O74" s="71"/>
      <c r="P74" s="71"/>
      <c r="Q74" s="71"/>
    </row>
    <row r="75" spans="2:17" x14ac:dyDescent="0.25">
      <c r="B75" s="71" t="s">
        <v>128</v>
      </c>
      <c r="C75" s="71"/>
      <c r="D75" s="71"/>
      <c r="E75" s="71"/>
      <c r="F75" s="71"/>
      <c r="G75" s="71"/>
      <c r="H75" s="113">
        <f>H6</f>
        <v>160.66999999999999</v>
      </c>
      <c r="I75" s="71"/>
      <c r="J75" s="71"/>
      <c r="K75" s="71"/>
      <c r="L75" s="71"/>
      <c r="M75" s="95"/>
      <c r="N75" s="71"/>
      <c r="O75" s="71"/>
      <c r="P75" s="71"/>
      <c r="Q75" s="71"/>
    </row>
    <row r="76" spans="2:17" x14ac:dyDescent="0.25">
      <c r="B76" s="71" t="s">
        <v>164</v>
      </c>
      <c r="C76" s="71"/>
      <c r="D76" s="71"/>
      <c r="E76" s="71"/>
      <c r="F76" s="71"/>
      <c r="G76" s="71"/>
      <c r="H76" s="150">
        <v>4.9000000000000002E-2</v>
      </c>
      <c r="I76" s="71"/>
      <c r="J76" s="71"/>
      <c r="K76" s="71"/>
      <c r="L76" s="71" t="s">
        <v>189</v>
      </c>
      <c r="M76" s="153">
        <v>4.2299999999999997E-2</v>
      </c>
      <c r="N76" s="71" t="s">
        <v>191</v>
      </c>
      <c r="O76" s="71"/>
      <c r="P76" s="71"/>
      <c r="Q76" s="71"/>
    </row>
    <row r="77" spans="2:17" x14ac:dyDescent="0.25">
      <c r="B77" s="71" t="s">
        <v>165</v>
      </c>
      <c r="C77" s="71"/>
      <c r="D77" s="71"/>
      <c r="E77" s="71"/>
      <c r="F77" s="71"/>
      <c r="G77" s="71"/>
      <c r="H77" s="151">
        <f>J51</f>
        <v>0</v>
      </c>
      <c r="I77" s="71"/>
      <c r="J77" s="71"/>
      <c r="K77" s="71"/>
      <c r="L77" s="71" t="s">
        <v>166</v>
      </c>
      <c r="M77" s="153">
        <v>4.6940000000000003E-2</v>
      </c>
      <c r="N77" s="71" t="s">
        <v>190</v>
      </c>
      <c r="O77" s="71"/>
      <c r="P77" s="71"/>
      <c r="Q77" s="71"/>
    </row>
    <row r="78" spans="2:17" x14ac:dyDescent="0.25">
      <c r="B78" s="71" t="s">
        <v>167</v>
      </c>
      <c r="C78" s="71"/>
      <c r="D78" s="71"/>
      <c r="E78" s="71"/>
      <c r="F78" s="71"/>
      <c r="G78" s="71"/>
      <c r="H78" s="114">
        <f>H76*(1-H77)</f>
        <v>4.9000000000000002E-2</v>
      </c>
      <c r="I78" s="71"/>
      <c r="J78" s="71"/>
      <c r="K78" s="71"/>
      <c r="L78" s="71" t="s">
        <v>168</v>
      </c>
      <c r="M78" s="154">
        <v>0.51</v>
      </c>
      <c r="N78" s="71" t="s">
        <v>169</v>
      </c>
      <c r="O78" s="71"/>
      <c r="P78" s="71"/>
      <c r="Q78" s="71"/>
    </row>
    <row r="79" spans="2:17" x14ac:dyDescent="0.25">
      <c r="B79" s="71" t="s">
        <v>170</v>
      </c>
      <c r="C79" s="71"/>
      <c r="D79" s="71"/>
      <c r="E79" s="71"/>
      <c r="F79" s="71"/>
      <c r="G79" s="71"/>
      <c r="H79" s="150">
        <f>M80</f>
        <v>6.8513000000000004E-2</v>
      </c>
      <c r="I79" s="71"/>
      <c r="J79" s="71"/>
      <c r="K79" s="71"/>
      <c r="L79" s="71"/>
      <c r="M79" s="71"/>
      <c r="N79" s="71"/>
      <c r="O79" s="71"/>
      <c r="P79" s="71"/>
      <c r="Q79" s="71"/>
    </row>
    <row r="80" spans="2:17" x14ac:dyDescent="0.25">
      <c r="B80" s="71"/>
      <c r="C80" s="71"/>
      <c r="D80" s="111"/>
      <c r="E80" s="111"/>
      <c r="F80" s="71"/>
      <c r="G80" s="111"/>
      <c r="H80" s="71"/>
      <c r="I80" s="71"/>
      <c r="J80" s="71"/>
      <c r="K80" s="71"/>
      <c r="L80" s="71" t="s">
        <v>171</v>
      </c>
      <c r="M80" s="95">
        <f>M77+M78*(M76)</f>
        <v>6.8513000000000004E-2</v>
      </c>
      <c r="N80" s="71"/>
      <c r="O80" s="71"/>
      <c r="P80" s="71"/>
      <c r="Q80" s="71"/>
    </row>
    <row r="81" spans="2:17" x14ac:dyDescent="0.25">
      <c r="B81" s="71" t="s">
        <v>172</v>
      </c>
      <c r="C81" s="71"/>
      <c r="D81" s="71"/>
      <c r="E81" s="71"/>
      <c r="F81" s="71"/>
      <c r="G81" s="71"/>
      <c r="H81" s="152">
        <f>Main!C7</f>
        <v>0</v>
      </c>
      <c r="I81" s="71"/>
      <c r="J81" s="71"/>
      <c r="K81" s="71"/>
      <c r="L81" s="115" t="s">
        <v>173</v>
      </c>
      <c r="M81" s="71"/>
      <c r="N81" s="71"/>
      <c r="O81" s="71"/>
      <c r="P81" s="71"/>
      <c r="Q81" s="71"/>
    </row>
    <row r="82" spans="2:17" x14ac:dyDescent="0.25">
      <c r="B82" s="71" t="s">
        <v>174</v>
      </c>
      <c r="C82" s="71"/>
      <c r="D82" s="71"/>
      <c r="E82" s="71"/>
      <c r="F82" s="71"/>
      <c r="G82" s="71"/>
      <c r="H82" s="152">
        <f>Main!C5</f>
        <v>2138.5176999999999</v>
      </c>
      <c r="I82" s="71"/>
      <c r="J82" s="71"/>
      <c r="K82" s="71"/>
      <c r="L82" s="71"/>
      <c r="M82" s="71"/>
      <c r="N82" s="71"/>
      <c r="O82" s="71"/>
      <c r="P82" s="71"/>
      <c r="Q82" s="71"/>
    </row>
    <row r="83" spans="2:17" x14ac:dyDescent="0.25">
      <c r="B83" s="116" t="s">
        <v>175</v>
      </c>
      <c r="C83" s="116"/>
      <c r="D83" s="71"/>
      <c r="E83" s="71"/>
      <c r="F83" s="71"/>
      <c r="G83" s="71"/>
      <c r="H83" s="84">
        <f>SUM(H81:H82)</f>
        <v>2138.5176999999999</v>
      </c>
      <c r="I83" s="71"/>
      <c r="J83" s="71"/>
      <c r="K83" s="71"/>
      <c r="L83" s="71"/>
      <c r="M83" s="71"/>
      <c r="N83" s="71"/>
      <c r="O83" s="71"/>
      <c r="P83" s="71"/>
      <c r="Q83" s="71"/>
    </row>
    <row r="84" spans="2:17" x14ac:dyDescent="0.25">
      <c r="B84" s="116"/>
      <c r="C84" s="116"/>
      <c r="D84" s="71"/>
      <c r="E84" s="71"/>
      <c r="F84" s="71"/>
      <c r="G84" s="71"/>
      <c r="H84" s="117"/>
      <c r="I84" s="71"/>
      <c r="J84" s="71"/>
      <c r="K84" s="71"/>
      <c r="L84" s="71"/>
      <c r="M84" s="71"/>
      <c r="N84" s="71"/>
      <c r="O84" s="71"/>
      <c r="P84" s="71"/>
      <c r="Q84" s="71"/>
    </row>
    <row r="85" spans="2:17" x14ac:dyDescent="0.25">
      <c r="B85" s="71" t="s">
        <v>176</v>
      </c>
      <c r="C85" s="71"/>
      <c r="D85" s="71"/>
      <c r="E85" s="71"/>
      <c r="F85" s="71"/>
      <c r="G85" s="71"/>
      <c r="H85" s="118">
        <f>H81/H83</f>
        <v>0</v>
      </c>
      <c r="I85" s="71"/>
      <c r="J85" s="71"/>
      <c r="K85" s="71"/>
      <c r="L85" s="71"/>
      <c r="M85" s="71"/>
      <c r="N85" s="71"/>
      <c r="O85" s="71"/>
      <c r="P85" s="71"/>
      <c r="Q85" s="71"/>
    </row>
    <row r="86" spans="2:17" x14ac:dyDescent="0.25">
      <c r="B86" s="71" t="s">
        <v>177</v>
      </c>
      <c r="C86" s="71"/>
      <c r="D86" s="71"/>
      <c r="E86" s="71"/>
      <c r="F86" s="71"/>
      <c r="G86" s="71"/>
      <c r="H86" s="118">
        <f>H82/H83</f>
        <v>1</v>
      </c>
      <c r="I86" s="71"/>
      <c r="J86" s="71"/>
      <c r="K86" s="71"/>
      <c r="L86" s="71"/>
      <c r="M86" s="71"/>
      <c r="N86" s="71"/>
      <c r="O86" s="71"/>
      <c r="P86" s="71"/>
      <c r="Q86" s="71"/>
    </row>
    <row r="87" spans="2:17" x14ac:dyDescent="0.25">
      <c r="B87" s="116"/>
      <c r="C87" s="116"/>
      <c r="D87" s="71"/>
      <c r="E87" s="71"/>
      <c r="F87" s="71"/>
      <c r="G87" s="71"/>
      <c r="H87" s="117"/>
      <c r="I87" s="71"/>
      <c r="J87" s="71"/>
      <c r="K87" s="71"/>
      <c r="L87" s="71"/>
      <c r="M87" s="71"/>
      <c r="N87" s="71"/>
      <c r="O87" s="71"/>
      <c r="P87" s="71"/>
      <c r="Q87" s="71"/>
    </row>
    <row r="88" spans="2:17" x14ac:dyDescent="0.25">
      <c r="B88" s="75" t="s">
        <v>178</v>
      </c>
      <c r="C88" s="75"/>
      <c r="D88" s="75"/>
      <c r="E88" s="75"/>
      <c r="F88" s="75"/>
      <c r="G88" s="75"/>
      <c r="H88" s="119">
        <f>H85*H78+H86*H79</f>
        <v>6.8513000000000004E-2</v>
      </c>
      <c r="I88" s="71"/>
      <c r="J88" s="71"/>
      <c r="K88" s="71"/>
      <c r="L88" s="71"/>
      <c r="M88" s="71"/>
      <c r="N88" s="71"/>
      <c r="O88" s="71"/>
      <c r="P88" s="71"/>
      <c r="Q88" s="71"/>
    </row>
    <row r="89" spans="2:17" x14ac:dyDescent="0.25">
      <c r="B89" s="71"/>
      <c r="C89" s="71"/>
      <c r="D89" s="111"/>
      <c r="E89" s="111"/>
      <c r="F89" s="111"/>
      <c r="G89" s="11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spans="2:17" ht="18.75" x14ac:dyDescent="0.3">
      <c r="B90" s="52" t="s">
        <v>179</v>
      </c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71"/>
      <c r="P90" s="71"/>
      <c r="Q90" s="71"/>
    </row>
    <row r="91" spans="2:17" x14ac:dyDescent="0.25">
      <c r="B91" s="71" t="s">
        <v>180</v>
      </c>
      <c r="C91" s="71"/>
      <c r="D91" s="120"/>
      <c r="E91" s="120"/>
      <c r="F91" s="120"/>
      <c r="G91" s="120"/>
      <c r="H91" s="81" t="e">
        <f>F71+F63</f>
        <v>#REF!</v>
      </c>
      <c r="I91" s="71"/>
      <c r="J91" s="71"/>
      <c r="K91" s="71"/>
      <c r="L91" s="71"/>
      <c r="M91" s="71"/>
      <c r="N91" s="71"/>
      <c r="O91" s="71"/>
      <c r="P91" s="71"/>
      <c r="Q91" s="71"/>
    </row>
    <row r="92" spans="2:17" x14ac:dyDescent="0.25">
      <c r="B92" s="71" t="s">
        <v>181</v>
      </c>
      <c r="C92" s="71"/>
      <c r="D92" s="121"/>
      <c r="E92" s="121"/>
      <c r="F92" s="121"/>
      <c r="G92" s="121"/>
      <c r="H92" s="122">
        <f>(M92+M93)-M94</f>
        <v>0</v>
      </c>
      <c r="I92" s="67" t="s">
        <v>182</v>
      </c>
      <c r="J92" s="120"/>
      <c r="K92" s="71"/>
      <c r="L92" s="71" t="s">
        <v>183</v>
      </c>
      <c r="M92" s="155">
        <f>BS!C29</f>
        <v>0</v>
      </c>
      <c r="N92" s="71"/>
      <c r="O92" s="71"/>
      <c r="P92" s="71"/>
      <c r="Q92" s="71"/>
    </row>
    <row r="93" spans="2:17" x14ac:dyDescent="0.25">
      <c r="B93" s="75" t="s">
        <v>184</v>
      </c>
      <c r="C93" s="75"/>
      <c r="D93" s="71"/>
      <c r="E93" s="71"/>
      <c r="F93" s="71"/>
      <c r="G93" s="71"/>
      <c r="H93" s="84" t="e">
        <f>H91-H92</f>
        <v>#REF!</v>
      </c>
      <c r="I93" s="67"/>
      <c r="J93" s="121"/>
      <c r="K93" s="71"/>
      <c r="L93" s="71" t="s">
        <v>185</v>
      </c>
      <c r="M93" s="155">
        <f>BS!C35</f>
        <v>0</v>
      </c>
      <c r="N93" s="71"/>
      <c r="O93" s="71"/>
      <c r="P93" s="71"/>
      <c r="Q93" s="71"/>
    </row>
    <row r="94" spans="2:17" x14ac:dyDescent="0.25">
      <c r="B94" s="71" t="s">
        <v>128</v>
      </c>
      <c r="C94" s="71"/>
      <c r="D94" s="71"/>
      <c r="E94" s="71"/>
      <c r="F94" s="71"/>
      <c r="G94" s="71"/>
      <c r="H94" s="123">
        <f>H6</f>
        <v>160.66999999999999</v>
      </c>
      <c r="I94" s="116"/>
      <c r="J94" s="108"/>
      <c r="K94" s="71"/>
      <c r="L94" s="71" t="s">
        <v>6</v>
      </c>
      <c r="M94" s="155">
        <f>BS!C14</f>
        <v>0</v>
      </c>
      <c r="N94" s="71"/>
      <c r="O94" s="71"/>
      <c r="P94" s="71"/>
      <c r="Q94" s="71"/>
    </row>
    <row r="95" spans="2:17" x14ac:dyDescent="0.25">
      <c r="B95" s="124" t="s">
        <v>186</v>
      </c>
      <c r="C95" s="78"/>
      <c r="D95" s="78"/>
      <c r="E95" s="78"/>
      <c r="F95" s="78"/>
      <c r="G95" s="78"/>
      <c r="H95" s="125" t="e">
        <f>H93/H94</f>
        <v>#REF!</v>
      </c>
      <c r="I95" s="126"/>
      <c r="J95" s="127"/>
      <c r="K95" s="71"/>
      <c r="L95" s="71"/>
      <c r="M95" s="71"/>
      <c r="N95" s="71"/>
      <c r="O95" s="71"/>
      <c r="P95" s="71"/>
      <c r="Q95" s="71"/>
    </row>
    <row r="96" spans="2:17" x14ac:dyDescent="0.25">
      <c r="B96" s="71"/>
      <c r="C96" s="71"/>
      <c r="D96" s="71"/>
      <c r="E96" s="71"/>
      <c r="F96" s="71"/>
      <c r="G96" s="71" t="s">
        <v>187</v>
      </c>
      <c r="H96" s="128" t="e">
        <f>H95/H5-1</f>
        <v>#REF!</v>
      </c>
      <c r="I96" s="116"/>
      <c r="Q96" s="71"/>
    </row>
    <row r="97" spans="2:17" x14ac:dyDescent="0.25">
      <c r="B97" s="71"/>
      <c r="C97" s="71"/>
      <c r="D97" s="111"/>
      <c r="E97" s="111"/>
      <c r="F97" s="111"/>
      <c r="G97" s="111"/>
      <c r="H97" s="111"/>
      <c r="I97" s="111"/>
      <c r="Q97" s="111"/>
    </row>
    <row r="98" spans="2:17" x14ac:dyDescent="0.25">
      <c r="B98" s="71"/>
      <c r="C98" s="71"/>
      <c r="D98" s="129"/>
      <c r="E98" s="129"/>
    </row>
    <row r="99" spans="2:17" x14ac:dyDescent="0.25">
      <c r="B99" s="71"/>
      <c r="C99" s="71"/>
      <c r="D99" s="129"/>
      <c r="E99" s="129"/>
      <c r="G99" s="129"/>
    </row>
    <row r="100" spans="2:17" x14ac:dyDescent="0.25">
      <c r="B100" s="130"/>
      <c r="C100" s="130"/>
      <c r="D100" s="129"/>
      <c r="E100" s="129"/>
    </row>
    <row r="101" spans="2:17" x14ac:dyDescent="0.25">
      <c r="B101" s="130"/>
      <c r="C101" s="130"/>
      <c r="D101" s="71"/>
      <c r="E101" s="71"/>
    </row>
    <row r="102" spans="2:17" x14ac:dyDescent="0.25">
      <c r="B102" s="130"/>
      <c r="C102" s="130"/>
    </row>
    <row r="103" spans="2:17" x14ac:dyDescent="0.25">
      <c r="B103" s="130"/>
      <c r="C103" s="131"/>
    </row>
    <row r="104" spans="2:17" x14ac:dyDescent="0.25">
      <c r="B104" s="130"/>
      <c r="C104" s="130"/>
      <c r="Q104" s="47" t="s">
        <v>188</v>
      </c>
    </row>
    <row r="105" spans="2:17" x14ac:dyDescent="0.25">
      <c r="B105" s="130"/>
      <c r="C105" s="131"/>
    </row>
    <row r="106" spans="2:17" x14ac:dyDescent="0.25">
      <c r="B106" s="130"/>
      <c r="C106" s="132"/>
    </row>
    <row r="107" spans="2:17" x14ac:dyDescent="0.25">
      <c r="B107" s="130"/>
      <c r="C107" s="131"/>
    </row>
    <row r="116" spans="2:9" x14ac:dyDescent="0.25">
      <c r="C116" s="130"/>
      <c r="D116" s="130"/>
      <c r="E116" s="130"/>
      <c r="F116" s="130"/>
      <c r="G116" s="130"/>
      <c r="H116" s="130"/>
      <c r="I116" s="130"/>
    </row>
    <row r="117" spans="2:9" x14ac:dyDescent="0.25">
      <c r="B117" s="130"/>
      <c r="C117" s="130"/>
      <c r="D117" s="130"/>
      <c r="E117" s="130"/>
      <c r="F117" s="130"/>
      <c r="G117" s="130"/>
      <c r="H117" s="130"/>
      <c r="I117" s="130"/>
    </row>
    <row r="118" spans="2:9" x14ac:dyDescent="0.25">
      <c r="D118" s="133"/>
      <c r="E118" s="133"/>
      <c r="F118" s="133"/>
      <c r="G118" s="133"/>
      <c r="H118" s="133"/>
      <c r="I118" s="133"/>
    </row>
    <row r="120" spans="2:9" x14ac:dyDescent="0.25">
      <c r="D120" s="130"/>
    </row>
    <row r="121" spans="2:9" x14ac:dyDescent="0.25">
      <c r="D121" s="133"/>
    </row>
    <row r="129" spans="2:14" x14ac:dyDescent="0.25"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</row>
    <row r="130" spans="2:14" x14ac:dyDescent="0.25">
      <c r="B130" s="130"/>
      <c r="C130" s="134"/>
      <c r="D130" s="135"/>
      <c r="E130" s="135"/>
      <c r="F130" s="135"/>
      <c r="G130" s="135"/>
      <c r="H130" s="135"/>
      <c r="I130" s="135"/>
      <c r="J130" s="136"/>
      <c r="K130" s="136"/>
      <c r="L130" s="136"/>
      <c r="M130" s="136"/>
      <c r="N130" s="136"/>
    </row>
  </sheetData>
  <mergeCells count="3">
    <mergeCell ref="J9:N9"/>
    <mergeCell ref="J19:N19"/>
    <mergeCell ref="J46:N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10QIS</vt:lpstr>
      <vt:lpstr>IS</vt:lpstr>
      <vt:lpstr>BS</vt:lpstr>
      <vt:lpstr>CFS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2026-05-18T21:29:55Z</dcterms:created>
  <dcterms:modified xsi:type="dcterms:W3CDTF">2026-08-14T20:10:42Z</dcterms:modified>
  <dc:language>en-US</dc:language>
</cp:coreProperties>
</file>
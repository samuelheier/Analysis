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h\Downloads\"/>
    </mc:Choice>
  </mc:AlternateContent>
  <xr:revisionPtr revIDLastSave="0" documentId="13_ncr:1_{4695405A-1F69-4A8A-9BDE-77A37482D8A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ain" sheetId="1" r:id="rId1"/>
    <sheet name="Model" sheetId="2" r:id="rId2"/>
    <sheet name="Mounjaro" sheetId="4" r:id="rId3"/>
    <sheet name="Zepbound" sheetId="5" r:id="rId4"/>
    <sheet name="Trulicity" sheetId="6" r:id="rId5"/>
    <sheet name="Retatrutide" sheetId="7" r:id="rId6"/>
    <sheet name="Foundayo" sheetId="8" r:id="rId7"/>
    <sheet name="Basaglar" sheetId="9" r:id="rId8"/>
    <sheet name="Humalog" sheetId="10" r:id="rId9"/>
    <sheet name="Humulin" sheetId="11" r:id="rId10"/>
    <sheet name="Jardiance" sheetId="12" r:id="rId11"/>
    <sheet name="Verzenio" sheetId="13" r:id="rId12"/>
    <sheet name="Cyramza" sheetId="14" r:id="rId13"/>
    <sheet name="Erbitux" sheetId="15" r:id="rId14"/>
    <sheet name="Retevmo" sheetId="16" r:id="rId15"/>
    <sheet name="Tyvyt" sheetId="17" r:id="rId16"/>
    <sheet name="Jaypirca" sheetId="18" r:id="rId17"/>
    <sheet name="Inluriyo" sheetId="19" r:id="rId18"/>
    <sheet name="Ebglyss" sheetId="20" r:id="rId19"/>
    <sheet name="Olumiant" sheetId="21" r:id="rId20"/>
    <sheet name="Omvoh" sheetId="22" r:id="rId21"/>
    <sheet name="Taltz" sheetId="23" r:id="rId22"/>
    <sheet name="Emgality" sheetId="24" r:id="rId23"/>
    <sheet name="Kisunla" sheetId="25" r:id="rId2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4" i="2" l="1"/>
  <c r="P40" i="2" s="1"/>
  <c r="P42" i="2" s="1"/>
  <c r="P43" i="2" s="1"/>
  <c r="P62" i="2"/>
  <c r="O62" i="2"/>
  <c r="N62" i="2"/>
  <c r="M62" i="2"/>
  <c r="L62" i="2"/>
  <c r="K62" i="2"/>
  <c r="J62" i="2"/>
  <c r="I62" i="2"/>
  <c r="H62" i="2"/>
  <c r="G62" i="2"/>
  <c r="F62" i="2"/>
  <c r="P52" i="2"/>
  <c r="P53" i="2"/>
  <c r="P54" i="2"/>
  <c r="P55" i="2"/>
  <c r="P56" i="2"/>
  <c r="F158" i="2"/>
  <c r="F156" i="2"/>
  <c r="F154" i="2"/>
  <c r="S221" i="2"/>
  <c r="S219" i="2"/>
  <c r="S217" i="2"/>
  <c r="S216" i="2"/>
  <c r="S213" i="2"/>
  <c r="S212" i="2"/>
  <c r="F178" i="2"/>
  <c r="E199" i="2"/>
  <c r="D199" i="2"/>
  <c r="C199" i="2"/>
  <c r="F184" i="2"/>
  <c r="F176" i="2"/>
  <c r="F143" i="2" s="1"/>
  <c r="F175" i="2"/>
  <c r="F137" i="2" s="1"/>
  <c r="F145" i="2"/>
  <c r="F144" i="2"/>
  <c r="F134" i="2"/>
  <c r="F132" i="2"/>
  <c r="F131" i="2"/>
  <c r="F130" i="2"/>
  <c r="F129" i="2"/>
  <c r="C108" i="2"/>
  <c r="D108" i="2"/>
  <c r="D193" i="2" s="1"/>
  <c r="E108" i="2"/>
  <c r="E193" i="2" s="1"/>
  <c r="C110" i="2"/>
  <c r="D110" i="2"/>
  <c r="E110" i="2"/>
  <c r="C111" i="2"/>
  <c r="D111" i="2"/>
  <c r="E111" i="2"/>
  <c r="C112" i="2"/>
  <c r="D112" i="2"/>
  <c r="E112" i="2"/>
  <c r="C113" i="2"/>
  <c r="D113" i="2"/>
  <c r="E113" i="2"/>
  <c r="F113" i="2"/>
  <c r="C114" i="2"/>
  <c r="D114" i="2"/>
  <c r="E114" i="2"/>
  <c r="F114" i="2"/>
  <c r="C116" i="2"/>
  <c r="D116" i="2"/>
  <c r="E116" i="2"/>
  <c r="C119" i="2"/>
  <c r="D119" i="2"/>
  <c r="E119" i="2"/>
  <c r="F119" i="2"/>
  <c r="G113" i="2" l="1"/>
  <c r="H113" i="2" s="1"/>
  <c r="C193" i="2"/>
  <c r="C190" i="2"/>
  <c r="F155" i="2"/>
  <c r="F174" i="2"/>
  <c r="F180" i="2" s="1"/>
  <c r="S214" i="2"/>
  <c r="S215" i="2" s="1"/>
  <c r="S218" i="2" s="1"/>
  <c r="S220" i="2" s="1"/>
  <c r="S222" i="2" s="1"/>
  <c r="G114" i="2"/>
  <c r="H114" i="2" s="1"/>
  <c r="D190" i="2"/>
  <c r="E190" i="2"/>
  <c r="F146" i="2"/>
  <c r="D105" i="2"/>
  <c r="C105" i="2"/>
  <c r="D104" i="2"/>
  <c r="C104" i="2"/>
  <c r="D102" i="2"/>
  <c r="C102" i="2"/>
  <c r="D101" i="2"/>
  <c r="C101" i="2"/>
  <c r="D100" i="2"/>
  <c r="C100" i="2"/>
  <c r="D99" i="2"/>
  <c r="C99" i="2"/>
  <c r="D97" i="2"/>
  <c r="C97" i="2"/>
  <c r="D96" i="2"/>
  <c r="C96" i="2"/>
  <c r="D95" i="2"/>
  <c r="C95" i="2"/>
  <c r="D94" i="2"/>
  <c r="C94" i="2"/>
  <c r="D93" i="2"/>
  <c r="D92" i="2"/>
  <c r="C92" i="2"/>
  <c r="E91" i="2"/>
  <c r="D91" i="2"/>
  <c r="C91" i="2"/>
  <c r="D89" i="2"/>
  <c r="C89" i="2"/>
  <c r="D88" i="2"/>
  <c r="D87" i="2"/>
  <c r="C87" i="2"/>
  <c r="D86" i="2"/>
  <c r="E85" i="2"/>
  <c r="D85" i="2"/>
  <c r="C85" i="2"/>
  <c r="E84" i="2"/>
  <c r="F80" i="2" s="1"/>
  <c r="D84" i="2"/>
  <c r="C84" i="2"/>
  <c r="D83" i="2"/>
  <c r="C83" i="2"/>
  <c r="E82" i="2"/>
  <c r="D82" i="2"/>
  <c r="C82" i="2"/>
  <c r="E81" i="2"/>
  <c r="D81" i="2"/>
  <c r="C81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53" i="2" s="1"/>
  <c r="N30" i="2"/>
  <c r="O29" i="2"/>
  <c r="N29" i="2"/>
  <c r="P28" i="2"/>
  <c r="M28" i="2"/>
  <c r="L28" i="2"/>
  <c r="K28" i="2"/>
  <c r="J28" i="2"/>
  <c r="I28" i="2"/>
  <c r="H28" i="2"/>
  <c r="G28" i="2"/>
  <c r="F28" i="2"/>
  <c r="E28" i="2"/>
  <c r="D28" i="2"/>
  <c r="C28" i="2"/>
  <c r="N27" i="2"/>
  <c r="N26" i="2"/>
  <c r="O25" i="2"/>
  <c r="N25" i="2"/>
  <c r="N24" i="2"/>
  <c r="P23" i="2"/>
  <c r="M23" i="2"/>
  <c r="L23" i="2"/>
  <c r="K23" i="2"/>
  <c r="J23" i="2"/>
  <c r="I23" i="2"/>
  <c r="H23" i="2"/>
  <c r="G23" i="2"/>
  <c r="F23" i="2"/>
  <c r="E23" i="2"/>
  <c r="D23" i="2"/>
  <c r="C23" i="2"/>
  <c r="N22" i="2"/>
  <c r="N21" i="2"/>
  <c r="O20" i="2"/>
  <c r="N20" i="2"/>
  <c r="N19" i="2"/>
  <c r="O18" i="2"/>
  <c r="N18" i="2"/>
  <c r="F18" i="2"/>
  <c r="F15" i="2" s="1"/>
  <c r="O17" i="2"/>
  <c r="N17" i="2"/>
  <c r="P15" i="2"/>
  <c r="K15" i="2"/>
  <c r="J15" i="2"/>
  <c r="I15" i="2"/>
  <c r="H15" i="2"/>
  <c r="G15" i="2"/>
  <c r="E15" i="2"/>
  <c r="D15" i="2"/>
  <c r="C15" i="2"/>
  <c r="N14" i="2"/>
  <c r="O13" i="2"/>
  <c r="N13" i="2"/>
  <c r="F13" i="2"/>
  <c r="N12" i="2"/>
  <c r="O11" i="2"/>
  <c r="N11" i="2"/>
  <c r="F11" i="2"/>
  <c r="N8" i="2"/>
  <c r="E83" i="2" s="1"/>
  <c r="P5" i="2"/>
  <c r="M5" i="2"/>
  <c r="L5" i="2"/>
  <c r="K5" i="2"/>
  <c r="J5" i="2"/>
  <c r="I5" i="2"/>
  <c r="H5" i="2"/>
  <c r="G5" i="2"/>
  <c r="E5" i="2"/>
  <c r="D5" i="2"/>
  <c r="C5" i="2"/>
  <c r="F24" i="1"/>
  <c r="E24" i="1"/>
  <c r="H23" i="1"/>
  <c r="F23" i="1"/>
  <c r="E23" i="1"/>
  <c r="F22" i="1"/>
  <c r="E22" i="1"/>
  <c r="F21" i="1"/>
  <c r="E21" i="1"/>
  <c r="H20" i="1"/>
  <c r="F20" i="1"/>
  <c r="E20" i="1"/>
  <c r="F19" i="1"/>
  <c r="E19" i="1"/>
  <c r="F18" i="1"/>
  <c r="E18" i="1"/>
  <c r="F17" i="1"/>
  <c r="E17" i="1"/>
  <c r="F16" i="1"/>
  <c r="E16" i="1"/>
  <c r="H15" i="1"/>
  <c r="F15" i="1"/>
  <c r="E15" i="1"/>
  <c r="H14" i="1"/>
  <c r="F14" i="1"/>
  <c r="E14" i="1"/>
  <c r="H13" i="1"/>
  <c r="F13" i="1"/>
  <c r="E13" i="1"/>
  <c r="F12" i="1"/>
  <c r="E12" i="1"/>
  <c r="F11" i="1"/>
  <c r="E11" i="1"/>
  <c r="H10" i="1"/>
  <c r="F10" i="1"/>
  <c r="E10" i="1"/>
  <c r="F9" i="1"/>
  <c r="E9" i="1"/>
  <c r="H8" i="1"/>
  <c r="F8" i="1"/>
  <c r="E8" i="1"/>
  <c r="F7" i="1"/>
  <c r="E7" i="1"/>
  <c r="B7" i="1"/>
  <c r="F6" i="1"/>
  <c r="E6" i="1"/>
  <c r="F5" i="1"/>
  <c r="E5" i="1"/>
  <c r="B5" i="1"/>
  <c r="B8" i="1" s="1"/>
  <c r="F4" i="1"/>
  <c r="E4" i="1"/>
  <c r="F3" i="1"/>
  <c r="E3" i="1"/>
  <c r="J49" i="2" l="1"/>
  <c r="I50" i="2"/>
  <c r="I47" i="2"/>
  <c r="K47" i="2"/>
  <c r="K49" i="2"/>
  <c r="J50" i="2"/>
  <c r="I49" i="2"/>
  <c r="H50" i="2"/>
  <c r="H47" i="2"/>
  <c r="G48" i="2"/>
  <c r="L49" i="2"/>
  <c r="K50" i="2"/>
  <c r="H49" i="2"/>
  <c r="G50" i="2"/>
  <c r="L47" i="2"/>
  <c r="M50" i="2"/>
  <c r="H48" i="2"/>
  <c r="M47" i="2"/>
  <c r="I48" i="2"/>
  <c r="M49" i="2"/>
  <c r="L50" i="2"/>
  <c r="P47" i="2"/>
  <c r="J48" i="2"/>
  <c r="P49" i="2"/>
  <c r="G47" i="2"/>
  <c r="K48" i="2"/>
  <c r="G49" i="2"/>
  <c r="P50" i="2"/>
  <c r="C103" i="2"/>
  <c r="F5" i="2"/>
  <c r="F31" i="2" s="1"/>
  <c r="N28" i="2"/>
  <c r="N5" i="2"/>
  <c r="N15" i="2"/>
  <c r="N48" i="2" s="1"/>
  <c r="N23" i="2"/>
  <c r="N49" i="2" s="1"/>
  <c r="C90" i="2"/>
  <c r="O28" i="2"/>
  <c r="O50" i="2" s="1"/>
  <c r="C98" i="2"/>
  <c r="D109" i="2"/>
  <c r="O23" i="2"/>
  <c r="O49" i="2" s="1"/>
  <c r="C109" i="2"/>
  <c r="E109" i="2"/>
  <c r="I113" i="2"/>
  <c r="J113" i="2" s="1"/>
  <c r="D31" i="2"/>
  <c r="E31" i="2"/>
  <c r="M22" i="2"/>
  <c r="I114" i="2"/>
  <c r="J114" i="2" s="1"/>
  <c r="K114" i="2" s="1"/>
  <c r="C31" i="2"/>
  <c r="D80" i="2"/>
  <c r="G31" i="2"/>
  <c r="H31" i="2"/>
  <c r="I31" i="2"/>
  <c r="J31" i="2"/>
  <c r="K31" i="2"/>
  <c r="C86" i="2"/>
  <c r="E86" i="2"/>
  <c r="E87" i="2"/>
  <c r="O12" i="2"/>
  <c r="C88" i="2"/>
  <c r="E88" i="2"/>
  <c r="E89" i="2"/>
  <c r="D90" i="2"/>
  <c r="E92" i="2"/>
  <c r="C93" i="2"/>
  <c r="E93" i="2"/>
  <c r="E94" i="2"/>
  <c r="O19" i="2"/>
  <c r="E95" i="2"/>
  <c r="E96" i="2"/>
  <c r="D98" i="2"/>
  <c r="E99" i="2"/>
  <c r="E100" i="2"/>
  <c r="E101" i="2"/>
  <c r="E102" i="2"/>
  <c r="D103" i="2"/>
  <c r="E104" i="2"/>
  <c r="E105" i="2"/>
  <c r="C55" i="2"/>
  <c r="C54" i="2"/>
  <c r="C52" i="2"/>
  <c r="C40" i="2"/>
  <c r="D55" i="2"/>
  <c r="D54" i="2"/>
  <c r="D53" i="2"/>
  <c r="D52" i="2"/>
  <c r="D40" i="2"/>
  <c r="E55" i="2"/>
  <c r="E54" i="2"/>
  <c r="E53" i="2"/>
  <c r="E52" i="2"/>
  <c r="E40" i="2"/>
  <c r="E56" i="2" s="1"/>
  <c r="F55" i="2"/>
  <c r="F54" i="2"/>
  <c r="F53" i="2"/>
  <c r="F52" i="2"/>
  <c r="F40" i="2"/>
  <c r="G55" i="2"/>
  <c r="G54" i="2"/>
  <c r="G53" i="2"/>
  <c r="G52" i="2"/>
  <c r="G40" i="2"/>
  <c r="H55" i="2"/>
  <c r="H54" i="2"/>
  <c r="H53" i="2"/>
  <c r="H52" i="2"/>
  <c r="H40" i="2"/>
  <c r="I55" i="2"/>
  <c r="I54" i="2"/>
  <c r="I53" i="2"/>
  <c r="I52" i="2"/>
  <c r="I40" i="2"/>
  <c r="J55" i="2"/>
  <c r="J54" i="2"/>
  <c r="J53" i="2"/>
  <c r="J52" i="2"/>
  <c r="J40" i="2"/>
  <c r="K55" i="2"/>
  <c r="K54" i="2"/>
  <c r="K53" i="2"/>
  <c r="K52" i="2"/>
  <c r="K40" i="2"/>
  <c r="L55" i="2"/>
  <c r="L54" i="2"/>
  <c r="L53" i="2"/>
  <c r="L52" i="2"/>
  <c r="L40" i="2"/>
  <c r="M55" i="2"/>
  <c r="M54" i="2"/>
  <c r="M53" i="2"/>
  <c r="M52" i="2"/>
  <c r="M40" i="2"/>
  <c r="N55" i="2"/>
  <c r="N54" i="2"/>
  <c r="N53" i="2"/>
  <c r="N52" i="2"/>
  <c r="N40" i="2"/>
  <c r="O55" i="2"/>
  <c r="F71" i="2" s="1"/>
  <c r="O54" i="2"/>
  <c r="F70" i="2" s="1"/>
  <c r="O53" i="2"/>
  <c r="F69" i="2" s="1"/>
  <c r="O52" i="2"/>
  <c r="O40" i="2"/>
  <c r="F68" i="2" l="1"/>
  <c r="F65" i="2"/>
  <c r="K51" i="2"/>
  <c r="I51" i="2"/>
  <c r="H51" i="2"/>
  <c r="C80" i="2"/>
  <c r="J47" i="2"/>
  <c r="J51" i="2"/>
  <c r="E80" i="2"/>
  <c r="N47" i="2"/>
  <c r="E103" i="2"/>
  <c r="N50" i="2"/>
  <c r="F66" i="2" s="1"/>
  <c r="G51" i="2"/>
  <c r="N31" i="2"/>
  <c r="N51" i="2" s="1"/>
  <c r="E98" i="2"/>
  <c r="K113" i="2"/>
  <c r="L113" i="2" s="1"/>
  <c r="M113" i="2" s="1"/>
  <c r="N113" i="2" s="1"/>
  <c r="O113" i="2" s="1"/>
  <c r="M15" i="2"/>
  <c r="M48" i="2" s="1"/>
  <c r="L22" i="2"/>
  <c r="C106" i="2"/>
  <c r="L114" i="2"/>
  <c r="E115" i="2"/>
  <c r="D115" i="2"/>
  <c r="C115" i="2"/>
  <c r="O56" i="2"/>
  <c r="O42" i="2"/>
  <c r="O43" i="2" s="1"/>
  <c r="N56" i="2"/>
  <c r="N42" i="2"/>
  <c r="N43" i="2" s="1"/>
  <c r="M56" i="2"/>
  <c r="M42" i="2"/>
  <c r="M43" i="2" s="1"/>
  <c r="L56" i="2"/>
  <c r="L42" i="2"/>
  <c r="L43" i="2" s="1"/>
  <c r="K56" i="2"/>
  <c r="K42" i="2"/>
  <c r="J56" i="2"/>
  <c r="J42" i="2"/>
  <c r="J43" i="2" s="1"/>
  <c r="I56" i="2"/>
  <c r="I42" i="2"/>
  <c r="I43" i="2" s="1"/>
  <c r="H56" i="2"/>
  <c r="H42" i="2"/>
  <c r="H43" i="2" s="1"/>
  <c r="G56" i="2"/>
  <c r="G42" i="2"/>
  <c r="F56" i="2"/>
  <c r="F42" i="2"/>
  <c r="F43" i="2" s="1"/>
  <c r="E42" i="2"/>
  <c r="E43" i="2" s="1"/>
  <c r="D56" i="2"/>
  <c r="D42" i="2"/>
  <c r="D43" i="2" s="1"/>
  <c r="C56" i="2"/>
  <c r="C42" i="2"/>
  <c r="O15" i="2"/>
  <c r="O48" i="2" s="1"/>
  <c r="O5" i="2"/>
  <c r="O47" i="2" s="1"/>
  <c r="D106" i="2"/>
  <c r="D107" i="2" s="1"/>
  <c r="F63" i="2" l="1"/>
  <c r="C107" i="2"/>
  <c r="C197" i="2" s="1"/>
  <c r="C117" i="2"/>
  <c r="C118" i="2" s="1"/>
  <c r="D117" i="2"/>
  <c r="D118" i="2" s="1"/>
  <c r="E117" i="2"/>
  <c r="E118" i="2" s="1"/>
  <c r="M114" i="2"/>
  <c r="N114" i="2" s="1"/>
  <c r="L15" i="2"/>
  <c r="E97" i="2"/>
  <c r="D194" i="2"/>
  <c r="D191" i="2"/>
  <c r="D196" i="2"/>
  <c r="D188" i="2"/>
  <c r="D198" i="2"/>
  <c r="D195" i="2"/>
  <c r="D192" i="2"/>
  <c r="D197" i="2"/>
  <c r="D189" i="2"/>
  <c r="P113" i="2"/>
  <c r="M31" i="2"/>
  <c r="M51" i="2" s="1"/>
  <c r="G80" i="2"/>
  <c r="O31" i="2"/>
  <c r="O51" i="2" s="1"/>
  <c r="C43" i="2"/>
  <c r="G43" i="2"/>
  <c r="K43" i="2"/>
  <c r="C189" i="2" l="1"/>
  <c r="C195" i="2"/>
  <c r="C198" i="2"/>
  <c r="C188" i="2"/>
  <c r="C196" i="2"/>
  <c r="C194" i="2"/>
  <c r="C191" i="2"/>
  <c r="C192" i="2"/>
  <c r="L48" i="2"/>
  <c r="F64" i="2" s="1"/>
  <c r="P48" i="2"/>
  <c r="O114" i="2"/>
  <c r="P114" i="2" s="1"/>
  <c r="L31" i="2"/>
  <c r="E90" i="2"/>
  <c r="H80" i="2"/>
  <c r="L51" i="2" l="1"/>
  <c r="F67" i="2" s="1"/>
  <c r="P51" i="2"/>
  <c r="E106" i="2"/>
  <c r="I80" i="2"/>
  <c r="E107" i="2" l="1"/>
  <c r="E189" i="2" s="1"/>
  <c r="J80" i="2"/>
  <c r="E197" i="2" l="1"/>
  <c r="E194" i="2"/>
  <c r="E191" i="2"/>
  <c r="E192" i="2"/>
  <c r="E195" i="2"/>
  <c r="E198" i="2"/>
  <c r="E188" i="2"/>
  <c r="E196" i="2"/>
  <c r="F107" i="2"/>
  <c r="F139" i="2" s="1"/>
  <c r="K80" i="2"/>
  <c r="F123" i="2" l="1"/>
  <c r="F153" i="2"/>
  <c r="F127" i="2"/>
  <c r="F165" i="2"/>
  <c r="F124" i="2"/>
  <c r="F159" i="2" s="1"/>
  <c r="F141" i="2"/>
  <c r="F126" i="2"/>
  <c r="F161" i="2" s="1"/>
  <c r="F108" i="2"/>
  <c r="F109" i="2"/>
  <c r="F140" i="2"/>
  <c r="G107" i="2"/>
  <c r="L80" i="2"/>
  <c r="F133" i="2" l="1"/>
  <c r="H107" i="2"/>
  <c r="G108" i="2"/>
  <c r="G109" i="2"/>
  <c r="F112" i="2"/>
  <c r="F157" i="2" s="1"/>
  <c r="F169" i="2" s="1"/>
  <c r="F172" i="2" s="1"/>
  <c r="F110" i="2"/>
  <c r="F111" i="2"/>
  <c r="F138" i="2"/>
  <c r="F125" i="2"/>
  <c r="F160" i="2" s="1"/>
  <c r="M80" i="2"/>
  <c r="F115" i="2" l="1"/>
  <c r="F207" i="2" s="1"/>
  <c r="G110" i="2"/>
  <c r="G111" i="2"/>
  <c r="G112" i="2"/>
  <c r="F162" i="2"/>
  <c r="F142" i="2"/>
  <c r="H108" i="2"/>
  <c r="H109" i="2"/>
  <c r="I107" i="2"/>
  <c r="I108" i="2" s="1"/>
  <c r="N80" i="2"/>
  <c r="G115" i="2" l="1"/>
  <c r="G207" i="2" s="1"/>
  <c r="F116" i="2"/>
  <c r="F117" i="2" s="1"/>
  <c r="F152" i="2" s="1"/>
  <c r="F163" i="2" s="1"/>
  <c r="F183" i="2" s="1"/>
  <c r="F185" i="2" s="1"/>
  <c r="F122" i="2" s="1"/>
  <c r="F128" i="2" s="1"/>
  <c r="F135" i="2" s="1"/>
  <c r="J107" i="2"/>
  <c r="J108" i="2" s="1"/>
  <c r="I109" i="2"/>
  <c r="H112" i="2"/>
  <c r="H110" i="2"/>
  <c r="H111" i="2"/>
  <c r="P80" i="2"/>
  <c r="O80" i="2"/>
  <c r="G116" i="2" l="1"/>
  <c r="G117" i="2" s="1"/>
  <c r="G118" i="2" s="1"/>
  <c r="H115" i="2"/>
  <c r="H207" i="2" s="1"/>
  <c r="F147" i="2"/>
  <c r="F148" i="2" s="1"/>
  <c r="F149" i="2" s="1"/>
  <c r="F118" i="2"/>
  <c r="J109" i="2"/>
  <c r="I110" i="2"/>
  <c r="I111" i="2"/>
  <c r="I112" i="2"/>
  <c r="K107" i="2"/>
  <c r="K108" i="2" s="1"/>
  <c r="H116" i="2" l="1"/>
  <c r="H117" i="2" s="1"/>
  <c r="H118" i="2" s="1"/>
  <c r="I115" i="2"/>
  <c r="I207" i="2" s="1"/>
  <c r="J110" i="2"/>
  <c r="J111" i="2"/>
  <c r="J112" i="2"/>
  <c r="K109" i="2"/>
  <c r="L107" i="2"/>
  <c r="L108" i="2" s="1"/>
  <c r="J115" i="2" l="1"/>
  <c r="J207" i="2" s="1"/>
  <c r="I116" i="2"/>
  <c r="I117" i="2" s="1"/>
  <c r="I118" i="2" s="1"/>
  <c r="L109" i="2"/>
  <c r="K110" i="2"/>
  <c r="K111" i="2"/>
  <c r="K112" i="2"/>
  <c r="M107" i="2"/>
  <c r="M108" i="2" s="1"/>
  <c r="J116" i="2" l="1"/>
  <c r="J117" i="2" s="1"/>
  <c r="J118" i="2" s="1"/>
  <c r="K115" i="2"/>
  <c r="K207" i="2" s="1"/>
  <c r="M109" i="2"/>
  <c r="L110" i="2"/>
  <c r="L111" i="2"/>
  <c r="L112" i="2"/>
  <c r="N107" i="2"/>
  <c r="N108" i="2" s="1"/>
  <c r="L115" i="2" l="1"/>
  <c r="L207" i="2" s="1"/>
  <c r="K116" i="2"/>
  <c r="K117" i="2" s="1"/>
  <c r="K118" i="2" s="1"/>
  <c r="M110" i="2"/>
  <c r="M111" i="2"/>
  <c r="M112" i="2"/>
  <c r="M115" i="2"/>
  <c r="N109" i="2"/>
  <c r="P107" i="2"/>
  <c r="P108" i="2" s="1"/>
  <c r="O107" i="2"/>
  <c r="O108" i="2" s="1"/>
  <c r="L116" i="2" l="1"/>
  <c r="L117" i="2" s="1"/>
  <c r="L118" i="2" s="1"/>
  <c r="N110" i="2"/>
  <c r="N111" i="2"/>
  <c r="N112" i="2"/>
  <c r="M207" i="2"/>
  <c r="M116" i="2"/>
  <c r="M117" i="2" s="1"/>
  <c r="M118" i="2" s="1"/>
  <c r="O109" i="2"/>
  <c r="P109" i="2"/>
  <c r="N115" i="2" l="1"/>
  <c r="N207" i="2" s="1"/>
  <c r="O111" i="2"/>
  <c r="O110" i="2"/>
  <c r="O112" i="2"/>
  <c r="P110" i="2"/>
  <c r="P111" i="2"/>
  <c r="P112" i="2"/>
  <c r="N116" i="2" l="1"/>
  <c r="N117" i="2" s="1"/>
  <c r="N118" i="2" s="1"/>
  <c r="O115" i="2"/>
  <c r="O207" i="2" s="1"/>
  <c r="P115" i="2"/>
  <c r="P207" i="2" s="1"/>
  <c r="O116" i="2" l="1"/>
  <c r="O117" i="2" s="1"/>
  <c r="O118" i="2" s="1"/>
  <c r="P116" i="2"/>
  <c r="P117" i="2" s="1"/>
  <c r="P1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7" authorId="0" shapeId="0" xr:uid="{00000000-0006-0000-0000-000001000000}">
      <text>
        <r>
          <rPr>
            <sz val="10"/>
            <rFont val="Arial"/>
            <family val="2"/>
          </rPr>
          <t>Sam Heier:
Lilly books 100% of sales but pays Chugai a tiered royalty (mid-single-digits to low-teens). Source: Chugai/Lilly Form 10-K, https://www.chugai-pharm.co.jp/english/news/detail/20240222083000_1049.html</t>
        </r>
      </text>
    </comment>
    <comment ref="G8" authorId="0" shapeId="0" xr:uid="{00000000-0006-0000-0000-000002000000}">
      <text>
        <r>
          <rPr>
            <sz val="10"/>
            <rFont val="Arial"/>
            <family val="2"/>
          </rPr>
          <t>Sam Heier:
Lilly is strategic lead and books Basaglar revenue within the Boehringer Ingelheim diabetes alliance. Source: BI/Lilly, https://investor.lilly.com/news-releases/news-release-details/boehringer-ingelheim-and-lilly-modernise-alliance-focus-full</t>
        </r>
      </text>
    </comment>
    <comment ref="G11" authorId="0" shapeId="0" xr:uid="{00000000-0006-0000-0000-000003000000}">
      <text>
        <r>
          <rPr>
            <sz val="10"/>
            <rFont val="Arial"/>
            <family val="2"/>
          </rPr>
          <t>Sam Heier:
Jardiance is part of Lilly's alliance with Boehringer Ingelheim. Lilly does NOT book product sales; it reports only royalties received on BI's net sales of Jardiance. Source: Lilly SEC filing (Q3 2022 sales &amp; earnings), https://www.sec.gov/Archives/edgar/data/59478/000005947822000248/q322lillysalesandearningsp.htm</t>
        </r>
      </text>
    </comment>
    <comment ref="G14" authorId="0" shapeId="0" xr:uid="{00000000-0006-0000-0000-000004000000}">
      <text>
        <r>
          <rPr>
            <sz val="10"/>
            <rFont val="Arial"/>
            <family val="2"/>
          </rPr>
          <t>Sam Heier:
Erbitux economics are territorial/legacy: Lilly (via ImClone) holds North American rights while Merck KGaA markets ex-US; Lilly's interest is a share/royalty rather than full product sales. Worth confirming against the latest 10-K.</t>
        </r>
      </text>
    </comment>
    <comment ref="G16" authorId="0" shapeId="0" xr:uid="{00000000-0006-0000-0000-000005000000}">
      <text>
        <r>
          <rPr>
            <sz val="10"/>
            <rFont val="Arial"/>
            <family val="2"/>
          </rPr>
          <t>Sam Heier:
Tyvyt (sintilimab) is co-developed with Innovent and sold in China; Lilly shares economics in licensed territories rather than booking 100%. Not FDA-approved in the US. Source: Eli Lilly, https://investor.lilly.com/news-releases/news-release-details/tyvyt-sintilimab-injection-combined-alimta-pemetrexed-and</t>
        </r>
      </text>
    </comment>
    <comment ref="G19" authorId="0" shapeId="0" xr:uid="{00000000-0006-0000-0000-000006000000}">
      <text>
        <r>
          <rPr>
            <sz val="10"/>
            <rFont val="Arial"/>
            <family val="2"/>
          </rPr>
          <t>Sam Heier:
Lilly holds rights outside Europe and books those sales; Almirall licenses lebrikizumab in Europe.</t>
        </r>
      </text>
    </comment>
    <comment ref="G20" authorId="0" shapeId="0" xr:uid="{00000000-0006-0000-0000-000007000000}">
      <text>
        <r>
          <rPr>
            <sz val="10"/>
            <rFont val="Arial"/>
            <family val="2"/>
          </rPr>
          <t>Sam Heier:
Discovered by Incyte and licensed to Lilly; Lilly books sales and pays Incyte royalties. Source: Lilly/Incyte, https://investor.lilly.com/news-releases/news-release-details/fda-approves-lilly-and-incytes-olumiantr-baricitinib-first-and</t>
        </r>
      </text>
    </comment>
  </commentList>
</comments>
</file>

<file path=xl/sharedStrings.xml><?xml version="1.0" encoding="utf-8"?>
<sst xmlns="http://schemas.openxmlformats.org/spreadsheetml/2006/main" count="516" uniqueCount="285">
  <si>
    <t>LLY</t>
  </si>
  <si>
    <t>Name</t>
  </si>
  <si>
    <t>Indication</t>
  </si>
  <si>
    <t>Mechanism</t>
  </si>
  <si>
    <t>Economics</t>
  </si>
  <si>
    <t>Approved</t>
  </si>
  <si>
    <t xml:space="preserve">Price </t>
  </si>
  <si>
    <t>Mounjaro</t>
  </si>
  <si>
    <t>Shares</t>
  </si>
  <si>
    <t>Zepbound</t>
  </si>
  <si>
    <t>Market Cap</t>
  </si>
  <si>
    <t>Trulicity</t>
  </si>
  <si>
    <t>Cash</t>
  </si>
  <si>
    <t>Retatrutide</t>
  </si>
  <si>
    <t>TBD</t>
  </si>
  <si>
    <t>Debt</t>
  </si>
  <si>
    <t>Foundayo</t>
  </si>
  <si>
    <t>EV</t>
  </si>
  <si>
    <t>Basaglar</t>
  </si>
  <si>
    <t>Humalog</t>
  </si>
  <si>
    <t>Humulin</t>
  </si>
  <si>
    <t>Jardiance</t>
  </si>
  <si>
    <t>Royalty only</t>
  </si>
  <si>
    <t>Verzenio</t>
  </si>
  <si>
    <t>Cyramza</t>
  </si>
  <si>
    <t>Erbitux</t>
  </si>
  <si>
    <t>Royalty / share</t>
  </si>
  <si>
    <t>Retevmo</t>
  </si>
  <si>
    <t>Tyvyt</t>
  </si>
  <si>
    <t>Not FDA approved</t>
  </si>
  <si>
    <t>Jaypirca</t>
  </si>
  <si>
    <t>Inluriyo</t>
  </si>
  <si>
    <t>Ebglyss</t>
  </si>
  <si>
    <t>Olumiant</t>
  </si>
  <si>
    <t>Omvoh</t>
  </si>
  <si>
    <t>Taltz</t>
  </si>
  <si>
    <t>Emgality</t>
  </si>
  <si>
    <t>Kisunla</t>
  </si>
  <si>
    <t>Eli Lilly and Company (LLY)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</si>
  <si>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</si>
  <si>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</si>
  <si>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</si>
  <si>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</si>
  <si>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</si>
  <si>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</si>
  <si>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</si>
  <si>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</si>
  <si>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</si>
  <si>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</si>
  <si>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</si>
  <si>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</si>
  <si>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</si>
  <si>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</si>
  <si>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Diabetes</t>
  </si>
  <si>
    <t xml:space="preserve">Humulin </t>
  </si>
  <si>
    <t xml:space="preserve">Oncology </t>
  </si>
  <si>
    <t>Immunology</t>
  </si>
  <si>
    <t xml:space="preserve">Neuroscience </t>
  </si>
  <si>
    <t>Other / Misc</t>
  </si>
  <si>
    <t>Total Revenue</t>
  </si>
  <si>
    <t>COGS</t>
  </si>
  <si>
    <t>Gross Margin</t>
  </si>
  <si>
    <t>R&amp;D</t>
  </si>
  <si>
    <t>SG&amp;A</t>
  </si>
  <si>
    <t>IPR&amp;D</t>
  </si>
  <si>
    <t>Asset Impairement/Resturcturing</t>
  </si>
  <si>
    <t>Other expenses</t>
  </si>
  <si>
    <t>Pre Tax Income</t>
  </si>
  <si>
    <t>Taxes</t>
  </si>
  <si>
    <t>Net Income</t>
  </si>
  <si>
    <t>EPS</t>
  </si>
  <si>
    <t>Gross Margin %</t>
  </si>
  <si>
    <t>R&amp;D %</t>
  </si>
  <si>
    <t>SG&amp;A %</t>
  </si>
  <si>
    <t>IPR&amp;D &amp;</t>
  </si>
  <si>
    <t>Tax rate</t>
  </si>
  <si>
    <t>Annual Income Statement</t>
  </si>
  <si>
    <t>FY'23</t>
  </si>
  <si>
    <t>FY'24</t>
  </si>
  <si>
    <t>FY'25</t>
  </si>
  <si>
    <t>FY'26</t>
  </si>
  <si>
    <t>FY'27</t>
  </si>
  <si>
    <t>FY'28</t>
  </si>
  <si>
    <t>FY'29</t>
  </si>
  <si>
    <t>FY'30</t>
  </si>
  <si>
    <t>FY'31</t>
  </si>
  <si>
    <t>Other</t>
  </si>
  <si>
    <t>Balance Sheet</t>
  </si>
  <si>
    <t>Cash and cash equivalents</t>
  </si>
  <si>
    <t>Accounts receivable</t>
  </si>
  <si>
    <t>Other receivables</t>
  </si>
  <si>
    <t>Inventories</t>
  </si>
  <si>
    <t>Prepaid expenses</t>
  </si>
  <si>
    <t>Other current assets</t>
  </si>
  <si>
    <t>Total current assets</t>
  </si>
  <si>
    <t>Investments</t>
  </si>
  <si>
    <t>Goodwill</t>
  </si>
  <si>
    <t>Other intangibles, net</t>
  </si>
  <si>
    <t>Deferred tax assets</t>
  </si>
  <si>
    <t>Property and equipment, net</t>
  </si>
  <si>
    <t>Other noncurrent assets</t>
  </si>
  <si>
    <t>Total assets</t>
  </si>
  <si>
    <t>Short-term borrowings and current maturities</t>
  </si>
  <si>
    <t>Accounts payable</t>
  </si>
  <si>
    <t>Employee compensation</t>
  </si>
  <si>
    <t>Sales rebates and discounts</t>
  </si>
  <si>
    <t>Other current liabilities</t>
  </si>
  <si>
    <t>Total current liabilities</t>
  </si>
  <si>
    <t>Long-term debt</t>
  </si>
  <si>
    <t>Long-term income taxes payable</t>
  </si>
  <si>
    <t>Other noncurrent liabilities</t>
  </si>
  <si>
    <t>Total noncurrent liabilities</t>
  </si>
  <si>
    <t>Total equity</t>
  </si>
  <si>
    <t>Total liabilities and equity</t>
  </si>
  <si>
    <t>Check (Assets less Liab. &amp; Equity)</t>
  </si>
  <si>
    <t>Cash Flow Statement</t>
  </si>
  <si>
    <t>Net income</t>
  </si>
  <si>
    <t>Depreciation and amortization</t>
  </si>
  <si>
    <t>Change in deferred income taxes</t>
  </si>
  <si>
    <t>Stock-based compensation expense</t>
  </si>
  <si>
    <t>Gains on sale of product rights</t>
  </si>
  <si>
    <t>Acquired in-process research and development</t>
  </si>
  <si>
    <t>Other operating activities, net</t>
  </si>
  <si>
    <t>Receivables - (increase) decrease</t>
  </si>
  <si>
    <t>Inventories - (increase) decrease</t>
  </si>
  <si>
    <t>Prepaid exp. and other assets - (incr.) decr.</t>
  </si>
  <si>
    <t>Accounts payable and other liab. - incr. (decr.)</t>
  </si>
  <si>
    <t>Net Cash Provided by Operating Activities</t>
  </si>
  <si>
    <t>Purchases of property and equipment</t>
  </si>
  <si>
    <t>Proceeds from sales of noncurrent investments</t>
  </si>
  <si>
    <t>Purchases of noncurrent investments</t>
  </si>
  <si>
    <t>Proceeds from sale of product rights</t>
  </si>
  <si>
    <t>Purchases of in-process research and development</t>
  </si>
  <si>
    <t>Cash paid for acquisitions, net of cash acquired</t>
  </si>
  <si>
    <t>Other investing activities, net</t>
  </si>
  <si>
    <t>Net Cash Used for Investing Activities</t>
  </si>
  <si>
    <t>Dividends paid</t>
  </si>
  <si>
    <t>Net change in short-term borrowings</t>
  </si>
  <si>
    <t>Proceeds from issuance of long-term debt</t>
  </si>
  <si>
    <t>Repayments of long-term debt</t>
  </si>
  <si>
    <t>Purchases of common stock</t>
  </si>
  <si>
    <t>Other financing activities, net</t>
  </si>
  <si>
    <t>Net Cash Provided by (Used for) Financing Activities</t>
  </si>
  <si>
    <t>Effect of exchange rate changes on cash</t>
  </si>
  <si>
    <t>Net Increase (Decrease) in Cash</t>
  </si>
  <si>
    <t>Cash and cash equivalents at beginning of year</t>
  </si>
  <si>
    <t>Cash and Cash Equivalents at End of Year</t>
  </si>
  <si>
    <t>Projection Drivers</t>
  </si>
  <si>
    <t>Model Inputs</t>
  </si>
  <si>
    <t>Accounts receivable (% of revenue)</t>
  </si>
  <si>
    <t>FY26 dividend / share</t>
  </si>
  <si>
    <t>Other receivables (% of revenue)</t>
  </si>
  <si>
    <t>DPS growth, FY27+</t>
  </si>
  <si>
    <t>Inventories (% of COGS)</t>
  </si>
  <si>
    <t>Buybacks ($mm/yr)</t>
  </si>
  <si>
    <t>Prepaid expenses (% of revenue)</t>
  </si>
  <si>
    <t>Chg. in ST debt ($mm)</t>
  </si>
  <si>
    <t>Other current assets (% of revenue)</t>
  </si>
  <si>
    <t>Chg. in LT debt ($mm)</t>
  </si>
  <si>
    <t>Accounts payable (% of COGS)</t>
  </si>
  <si>
    <t>Employee compensation (% of revenue)</t>
  </si>
  <si>
    <t>Sales rebates and discounts (% of rev.)</t>
  </si>
  <si>
    <t>Other current liabilities (% of rev.)</t>
  </si>
  <si>
    <t>Capital expenditures (% of revenue)</t>
  </si>
  <si>
    <t>D&amp;A (% of revenue)</t>
  </si>
  <si>
    <t>Stock-based compensation ($mm)</t>
  </si>
  <si>
    <t>Dividends per share ($)</t>
  </si>
  <si>
    <t>Dividends paid ($mm)</t>
  </si>
  <si>
    <t>Share repurchases ($mm)</t>
  </si>
  <si>
    <t>Net change in short-term borrowings ($mm)</t>
  </si>
  <si>
    <t>Net change in long-term debt ($mm)</t>
  </si>
  <si>
    <t>Discounted Cash Flow</t>
  </si>
  <si>
    <t>DCF Assumptions</t>
  </si>
  <si>
    <t>EBIT (Pre-Tax Income excl. Other)</t>
  </si>
  <si>
    <t>Valuation date</t>
  </si>
  <si>
    <t>31-Dec-2025</t>
  </si>
  <si>
    <t>NOPAT</t>
  </si>
  <si>
    <t>WACC</t>
  </si>
  <si>
    <t>(+) Depreciation and amortization</t>
  </si>
  <si>
    <t>Terminal growth</t>
  </si>
  <si>
    <t>(-) Capital expenditures</t>
  </si>
  <si>
    <t>(-) Increase in net working capital</t>
  </si>
  <si>
    <t>Unlevered Free Cash Flow</t>
  </si>
  <si>
    <t>Discount period</t>
  </si>
  <si>
    <t>PV of terminal value</t>
  </si>
  <si>
    <t>Discount factor</t>
  </si>
  <si>
    <t>Enterprise Value</t>
  </si>
  <si>
    <t>PV of Unlevered Free Cash Flow</t>
  </si>
  <si>
    <t>(-) Total debt</t>
  </si>
  <si>
    <t>(+) Cash</t>
  </si>
  <si>
    <t>Equity Value</t>
  </si>
  <si>
    <t>Shares outstanding</t>
  </si>
  <si>
    <t>Implied value / share</t>
  </si>
  <si>
    <t>Current price</t>
  </si>
  <si>
    <t>Implied upside / (down)</t>
  </si>
  <si>
    <t xml:space="preserve">Brand </t>
  </si>
  <si>
    <t>Generic</t>
  </si>
  <si>
    <t>TIRZEPATIDE</t>
  </si>
  <si>
    <t>Type 2 Diabetes</t>
  </si>
  <si>
    <t>MOA</t>
  </si>
  <si>
    <t>Dual GIP/GLP-1 Receptor Agonist</t>
  </si>
  <si>
    <t>Tirzepatide</t>
  </si>
  <si>
    <t>Obesity &amp; Obstructive Sleep Apnea</t>
  </si>
  <si>
    <t>dulaglutide</t>
  </si>
  <si>
    <t>Type-2 Diabetes</t>
  </si>
  <si>
    <t>GLP-1 Agonist</t>
  </si>
  <si>
    <t>None</t>
  </si>
  <si>
    <t xml:space="preserve">Obesity &amp; Type 2 Diabetes </t>
  </si>
  <si>
    <t>GIP / GLP-1 / Glucagon Triple Receptor Agonist</t>
  </si>
  <si>
    <t>Orforglipron</t>
  </si>
  <si>
    <t>Obesity / Chronic Weight Management</t>
  </si>
  <si>
    <t>GLP-1 Receptor Agonist (oral, nonpeptide)</t>
  </si>
  <si>
    <t>Insulin Glargine</t>
  </si>
  <si>
    <t>Type 1 and Type 2 Diabetes</t>
  </si>
  <si>
    <t>Long-Acting Insulin</t>
  </si>
  <si>
    <t>Insulin Lispro</t>
  </si>
  <si>
    <t>Rapid-Acting Insulin</t>
  </si>
  <si>
    <t>Human Insulin</t>
  </si>
  <si>
    <t>Insulin (short- and intermediate-acting)</t>
  </si>
  <si>
    <t>empagliflozin</t>
  </si>
  <si>
    <t>Type 2 Diabetes &amp; Heart Failure</t>
  </si>
  <si>
    <t>SGLT2 Inhibitors</t>
  </si>
  <si>
    <t>abemaciclib</t>
  </si>
  <si>
    <t>Breast Cancer</t>
  </si>
  <si>
    <t>CDK4/6 inhibitors</t>
  </si>
  <si>
    <t>Ramucirumab</t>
  </si>
  <si>
    <t>Gastric, NSCLC, and Colorectal Cancer</t>
  </si>
  <si>
    <t>VEGFR2 Antagonist (Monoclonal Antibody)</t>
  </si>
  <si>
    <t>Cetuximab</t>
  </si>
  <si>
    <t>Colorectal and Head &amp; Neck Cancer</t>
  </si>
  <si>
    <t>EGFR Inhibitor (Monoclonal Antibody)</t>
  </si>
  <si>
    <t>Selpercatinib</t>
  </si>
  <si>
    <t>RET-Altered NSCLC and Thyroid Cancer</t>
  </si>
  <si>
    <t>RET Kinase Inhibitor</t>
  </si>
  <si>
    <t>Sintilimab</t>
  </si>
  <si>
    <t>Hodgkin Lymphoma, NSCLC &amp; other cancers (approved in China; not FDA-approved)</t>
  </si>
  <si>
    <t>PD-1 Inhibitor (Monoclonal Antibody)</t>
  </si>
  <si>
    <t>Pirtobrutinib</t>
  </si>
  <si>
    <t>Non-Hodgkin Lymphoma</t>
  </si>
  <si>
    <t>Bruton’s tyrosine kinase (BTK) inhibitor</t>
  </si>
  <si>
    <t>Imlunestrant</t>
  </si>
  <si>
    <t>Estrogen Antagonist</t>
  </si>
  <si>
    <t>Lebrikizumab</t>
  </si>
  <si>
    <t>Eczema</t>
  </si>
  <si>
    <t>interleukin-13 antagonist</t>
  </si>
  <si>
    <t>Baricitinib</t>
  </si>
  <si>
    <t>Rheumatoid Arthritis, Alopecia Areata, COVID-19</t>
  </si>
  <si>
    <t>JAK (Janus Kinase) Inhibitor</t>
  </si>
  <si>
    <t>Mirikizumab-Mrkz</t>
  </si>
  <si>
    <t>Crohn's Disease &amp; Ulcerative Colitis</t>
  </si>
  <si>
    <t>interleukin-23 antagonist</t>
  </si>
  <si>
    <t>Ixekizumab</t>
  </si>
  <si>
    <t>Plaque Psoriasis &amp; Psoriatic Arthritis</t>
  </si>
  <si>
    <t>interleukin antagonist</t>
  </si>
  <si>
    <t>Galcanezumab</t>
  </si>
  <si>
    <t>Migraine Prevention and Cluster Headache</t>
  </si>
  <si>
    <t>CGRP Antagonist (Monoclonal Antibody)</t>
  </si>
  <si>
    <t>donanemab-azbt</t>
  </si>
  <si>
    <t>Alzheimer's Disease</t>
  </si>
  <si>
    <t>amyloid beta-directed antibody</t>
  </si>
  <si>
    <t>FY'32</t>
  </si>
  <si>
    <t>FY'33</t>
  </si>
  <si>
    <t>FY'34</t>
  </si>
  <si>
    <t>FY'35</t>
  </si>
  <si>
    <t>FY'36</t>
  </si>
  <si>
    <t>PV of FY'26-FY'36 FCF</t>
  </si>
  <si>
    <t>Terminal value at FY'36</t>
  </si>
  <si>
    <t>Assumptions</t>
  </si>
  <si>
    <t>Historic Quarterly IS</t>
  </si>
  <si>
    <t>Historic Gross Margin %</t>
  </si>
  <si>
    <t>Historic R&amp;D %</t>
  </si>
  <si>
    <t>Historic SG&amp;A %</t>
  </si>
  <si>
    <t>Historic IPR&amp;D &amp;</t>
  </si>
  <si>
    <t>Historic Tax rate</t>
  </si>
  <si>
    <t>Historic Drivers</t>
  </si>
  <si>
    <t>Historic Diabetes Revenue Growth Rate</t>
  </si>
  <si>
    <t>Historic Oncology Revenue Growth Rate</t>
  </si>
  <si>
    <t>Historic Immunology Revenue Growth Rate</t>
  </si>
  <si>
    <t>Historic Neuroscience Revenue Growth Rate</t>
  </si>
  <si>
    <t>Historic Other Revenue Growth Rate</t>
  </si>
  <si>
    <t>Diabetes Revenue Growth Rate</t>
  </si>
  <si>
    <t>Oncology Revenue Growth Rate</t>
  </si>
  <si>
    <t>Immunology Revenue Growth Rate</t>
  </si>
  <si>
    <t>Neuroscience Revenue Growth Rate</t>
  </si>
  <si>
    <t>Other Revenue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</si>
</sst>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00"/>
  </numFmts>
  <fonts count="15" x14ac:knownFonts="1">
    <font>
      <sz val="12"/>
      <color theme="1"/>
      <name val="Aptos Narrow"/>
      <family val="2"/>
      <charset val="1"/>
    </font>
    <font>
      <sz val="10"/>
      <name val="Arial"/>
      <family val="2"/>
    </font>
    <font>
      <b/>
      <sz val="12"/>
      <color theme="1"/>
      <name val="Aptos Narrow"/>
      <family val="2"/>
      <charset val="1"/>
    </font>
    <font>
      <b/>
      <sz val="10"/>
      <name val="Arial"/>
      <family val="2"/>
      <charset val="1"/>
    </font>
    <font>
      <i/>
      <sz val="12"/>
      <color theme="1"/>
      <name val="Aptos Narrow"/>
      <family val="2"/>
      <charset val="1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i/>
      <sz val="12"/>
      <name val="Aptos Narrow"/>
      <family val="2"/>
    </font>
    <font>
      <sz val="12"/>
      <color theme="1"/>
      <name val="Aptos Narrow"/>
      <family val="2"/>
      <charset val="1"/>
    </font>
    <font>
      <sz val="8"/>
      <name val="Aptos Narrow"/>
      <family val="2"/>
      <charset val="1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8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79"/>
        <bgColor rgb="FFC1E5F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0" fillId="0" borderId="0"/>
    <xf numFmtId="44" fontId="10" fillId="0" borderId="0"/>
    <xf numFmtId="9" fontId="10" fillId="0" borderId="0"/>
  </cellStyleXfs>
  <cellXfs count="88">
    <xf numFmtId="0" fontId="0" fillId="0" borderId="0" xfId="0"/>
    <xf numFmtId="0" fontId="2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4" fontId="0" fillId="0" borderId="0" xfId="2" applyFo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43" fontId="0" fillId="0" borderId="0" xfId="1" applyFont="1"/>
    <xf numFmtId="14" fontId="4" fillId="0" borderId="5" xfId="0" applyNumberFormat="1" applyFont="1" applyBorder="1" applyAlignment="1">
      <alignment horizontal="center"/>
    </xf>
    <xf numFmtId="44" fontId="0" fillId="0" borderId="0" xfId="0" applyNumberFormat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7" xfId="0" applyFont="1" applyBorder="1"/>
    <xf numFmtId="164" fontId="0" fillId="0" borderId="0" xfId="2" applyNumberFormat="1" applyFont="1"/>
    <xf numFmtId="0" fontId="0" fillId="2" borderId="0" xfId="0" applyFill="1"/>
    <xf numFmtId="164" fontId="2" fillId="0" borderId="0" xfId="2" applyNumberFormat="1" applyFont="1"/>
    <xf numFmtId="164" fontId="0" fillId="0" borderId="0" xfId="0" applyNumberFormat="1"/>
    <xf numFmtId="164" fontId="0" fillId="0" borderId="5" xfId="0" applyNumberFormat="1" applyBorder="1"/>
    <xf numFmtId="0" fontId="0" fillId="0" borderId="5" xfId="0" applyBorder="1"/>
    <xf numFmtId="0" fontId="2" fillId="0" borderId="0" xfId="0" applyFont="1"/>
    <xf numFmtId="164" fontId="2" fillId="0" borderId="0" xfId="0" applyNumberFormat="1" applyFont="1"/>
    <xf numFmtId="44" fontId="0" fillId="0" borderId="5" xfId="0" applyNumberFormat="1" applyBorder="1"/>
    <xf numFmtId="0" fontId="4" fillId="0" borderId="0" xfId="0" applyFont="1"/>
    <xf numFmtId="43" fontId="4" fillId="0" borderId="0" xfId="1" applyFont="1"/>
    <xf numFmtId="9" fontId="4" fillId="0" borderId="0" xfId="3" applyFont="1"/>
    <xf numFmtId="9" fontId="4" fillId="0" borderId="0" xfId="0" applyNumberFormat="1" applyFont="1"/>
    <xf numFmtId="0" fontId="6" fillId="0" borderId="0" xfId="0" applyFont="1"/>
    <xf numFmtId="164" fontId="5" fillId="0" borderId="0" xfId="0" applyNumberFormat="1" applyFont="1"/>
    <xf numFmtId="164" fontId="5" fillId="0" borderId="5" xfId="0" applyNumberFormat="1" applyFont="1" applyBorder="1"/>
    <xf numFmtId="43" fontId="0" fillId="0" borderId="0" xfId="0" applyNumberFormat="1"/>
    <xf numFmtId="43" fontId="0" fillId="0" borderId="5" xfId="0" applyNumberFormat="1" applyBorder="1"/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7" fillId="0" borderId="0" xfId="0" applyFont="1"/>
    <xf numFmtId="164" fontId="7" fillId="0" borderId="0" xfId="0" applyNumberFormat="1" applyFont="1"/>
    <xf numFmtId="44" fontId="7" fillId="0" borderId="0" xfId="0" applyNumberFormat="1" applyFont="1"/>
    <xf numFmtId="43" fontId="7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7" fillId="0" borderId="7" xfId="0" applyFont="1" applyBorder="1"/>
    <xf numFmtId="165" fontId="9" fillId="0" borderId="0" xfId="0" applyNumberFormat="1" applyFont="1"/>
    <xf numFmtId="165" fontId="7" fillId="0" borderId="0" xfId="0" applyNumberFormat="1" applyFont="1"/>
    <xf numFmtId="44" fontId="9" fillId="0" borderId="0" xfId="0" applyNumberFormat="1" applyFont="1"/>
    <xf numFmtId="1" fontId="7" fillId="0" borderId="0" xfId="0" applyNumberFormat="1" applyFont="1"/>
    <xf numFmtId="166" fontId="7" fillId="0" borderId="0" xfId="0" applyNumberFormat="1" applyFont="1"/>
    <xf numFmtId="44" fontId="7" fillId="3" borderId="7" xfId="0" applyNumberFormat="1" applyFont="1" applyFill="1" applyBorder="1"/>
    <xf numFmtId="0" fontId="7" fillId="0" borderId="10" xfId="0" applyFont="1" applyBorder="1" applyAlignment="1">
      <alignment horizontal="center"/>
    </xf>
    <xf numFmtId="164" fontId="7" fillId="0" borderId="5" xfId="0" applyNumberFormat="1" applyFont="1" applyBorder="1"/>
    <xf numFmtId="164" fontId="8" fillId="0" borderId="5" xfId="0" applyNumberFormat="1" applyFont="1" applyBorder="1"/>
    <xf numFmtId="164" fontId="9" fillId="0" borderId="5" xfId="0" applyNumberFormat="1" applyFont="1" applyBorder="1"/>
    <xf numFmtId="165" fontId="9" fillId="0" borderId="5" xfId="0" applyNumberFormat="1" applyFont="1" applyBorder="1"/>
    <xf numFmtId="0" fontId="12" fillId="0" borderId="9" xfId="0" applyFont="1" applyBorder="1"/>
    <xf numFmtId="164" fontId="0" fillId="0" borderId="0" xfId="2" applyNumberFormat="1" applyFont="1" applyBorder="1"/>
    <xf numFmtId="164" fontId="2" fillId="0" borderId="0" xfId="2" applyNumberFormat="1" applyFont="1" applyBorder="1"/>
    <xf numFmtId="44" fontId="0" fillId="0" borderId="0" xfId="0" applyNumberFormat="1" applyBorder="1"/>
    <xf numFmtId="43" fontId="0" fillId="0" borderId="0" xfId="1" applyFont="1" applyBorder="1"/>
    <xf numFmtId="9" fontId="4" fillId="0" borderId="0" xfId="3" applyFont="1" applyBorder="1"/>
    <xf numFmtId="9" fontId="4" fillId="0" borderId="0" xfId="0" applyNumberFormat="1" applyFont="1" applyBorder="1"/>
    <xf numFmtId="0" fontId="13" fillId="0" borderId="0" xfId="0" applyFont="1" applyBorder="1" applyAlignment="1">
      <alignment horizontal="center"/>
    </xf>
    <xf numFmtId="0" fontId="14" fillId="0" borderId="0" xfId="0" applyFont="1"/>
    <xf numFmtId="0" fontId="13" fillId="0" borderId="7" xfId="0" applyFont="1" applyBorder="1"/>
    <xf numFmtId="164" fontId="13" fillId="0" borderId="11" xfId="0" applyNumberFormat="1" applyFont="1" applyBorder="1" applyAlignment="1">
      <alignment horizontal="center"/>
    </xf>
    <xf numFmtId="0" fontId="13" fillId="0" borderId="3" xfId="0" applyFont="1" applyBorder="1"/>
    <xf numFmtId="164" fontId="13" fillId="0" borderId="3" xfId="2" applyNumberFormat="1" applyFont="1" applyBorder="1"/>
    <xf numFmtId="0" fontId="2" fillId="0" borderId="12" xfId="0" applyFont="1" applyBorder="1"/>
    <xf numFmtId="164" fontId="2" fillId="0" borderId="12" xfId="2" applyNumberFormat="1" applyFont="1" applyBorder="1"/>
    <xf numFmtId="164" fontId="0" fillId="4" borderId="0" xfId="2" applyNumberFormat="1" applyFont="1" applyFill="1"/>
    <xf numFmtId="164" fontId="0" fillId="4" borderId="0" xfId="2" applyNumberFormat="1" applyFont="1" applyFill="1" applyBorder="1"/>
    <xf numFmtId="0" fontId="12" fillId="0" borderId="0" xfId="0" applyFont="1" applyBorder="1"/>
    <xf numFmtId="0" fontId="0" fillId="0" borderId="0" xfId="0" applyFill="1"/>
    <xf numFmtId="164" fontId="0" fillId="5" borderId="0" xfId="0" applyNumberFormat="1" applyFill="1"/>
    <xf numFmtId="44" fontId="0" fillId="5" borderId="0" xfId="0" applyNumberFormat="1" applyFill="1"/>
    <xf numFmtId="164" fontId="13" fillId="5" borderId="3" xfId="2" applyNumberFormat="1" applyFont="1" applyFill="1" applyBorder="1"/>
    <xf numFmtId="9" fontId="4" fillId="5" borderId="0" xfId="3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AC3F01-F6B2-4FA8-B28A-3DEBA42FDC6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bb60593-198e-4e6b-9f25-7e41498dbc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B16" sqref="B16"/>
    </sheetView>
  </sheetViews>
  <sheetFormatPr defaultColWidth="11" defaultRowHeight="15.75" x14ac:dyDescent="0.25"/>
  <cols>
    <col min="2" max="2" width="22.125" customWidth="1"/>
    <col min="3" max="3" width="2.875" customWidth="1"/>
    <col min="4" max="4" width="20.5" customWidth="1"/>
    <col min="5" max="5" width="69.625" customWidth="1"/>
    <col min="6" max="6" width="38.875" customWidth="1"/>
    <col min="7" max="7" width="13.5" customWidth="1"/>
    <col min="8" max="8" width="16.125" customWidth="1"/>
    <col min="9" max="9" width="14" customWidth="1"/>
  </cols>
  <sheetData>
    <row r="2" spans="1:8" x14ac:dyDescent="0.25">
      <c r="A2" s="1" t="s">
        <v>0</v>
      </c>
      <c r="B2" s="2"/>
      <c r="D2" s="3" t="s">
        <v>1</v>
      </c>
      <c r="E2" s="4" t="s">
        <v>2</v>
      </c>
      <c r="F2" s="4" t="s">
        <v>3</v>
      </c>
      <c r="G2" s="4" t="s">
        <v>4</v>
      </c>
      <c r="H2" s="5" t="s">
        <v>5</v>
      </c>
    </row>
    <row r="3" spans="1:8" x14ac:dyDescent="0.25">
      <c r="A3" t="s">
        <v>6</v>
      </c>
      <c r="B3" s="6">
        <v>1213.4000000000001</v>
      </c>
      <c r="D3" s="7" t="s">
        <v>7</v>
      </c>
      <c r="E3" s="8" t="str">
        <f>Mounjaro!C4</f>
        <v>Type 2 Diabetes</v>
      </c>
      <c r="F3" s="8" t="str">
        <f>Mounjaro!C5</f>
        <v>Dual GIP/GLP-1 Receptor Agonist</v>
      </c>
      <c r="G3" s="9">
        <v>1</v>
      </c>
      <c r="H3" s="10">
        <v>44694</v>
      </c>
    </row>
    <row r="4" spans="1:8" x14ac:dyDescent="0.25">
      <c r="A4" t="s">
        <v>8</v>
      </c>
      <c r="B4" s="11">
        <v>895.9</v>
      </c>
      <c r="D4" s="7" t="s">
        <v>9</v>
      </c>
      <c r="E4" s="8" t="str">
        <f>Zepbound!C4</f>
        <v>Obesity &amp; Obstructive Sleep Apnea</v>
      </c>
      <c r="F4" s="8" t="str">
        <f>Zepbound!C5</f>
        <v>Dual GIP/GLP-1 Receptor Agonist</v>
      </c>
      <c r="G4" s="9">
        <v>1</v>
      </c>
      <c r="H4" s="10">
        <v>45238</v>
      </c>
    </row>
    <row r="5" spans="1:8" x14ac:dyDescent="0.25">
      <c r="A5" t="s">
        <v>10</v>
      </c>
      <c r="B5" s="6">
        <f>B3*B4</f>
        <v>1087085.06</v>
      </c>
      <c r="D5" s="7" t="s">
        <v>11</v>
      </c>
      <c r="E5" s="8" t="str">
        <f>Trulicity!C4</f>
        <v>Type-2 Diabetes</v>
      </c>
      <c r="F5" s="8" t="str">
        <f>Trulicity!C5</f>
        <v>GLP-1 Agonist</v>
      </c>
      <c r="G5" s="9">
        <v>1</v>
      </c>
      <c r="H5" s="10">
        <v>41900</v>
      </c>
    </row>
    <row r="6" spans="1:8" x14ac:dyDescent="0.25">
      <c r="A6" t="s">
        <v>12</v>
      </c>
      <c r="B6" s="6">
        <v>7268</v>
      </c>
      <c r="D6" s="7" t="s">
        <v>13</v>
      </c>
      <c r="E6" s="8" t="str">
        <f>Retatrutide!C4</f>
        <v xml:space="preserve">Obesity &amp; Type 2 Diabetes </v>
      </c>
      <c r="F6" s="8" t="str">
        <f>Retatrutide!C5</f>
        <v>GIP / GLP-1 / Glucagon Triple Receptor Agonist</v>
      </c>
      <c r="G6" s="9">
        <v>1</v>
      </c>
      <c r="H6" s="12" t="s">
        <v>14</v>
      </c>
    </row>
    <row r="7" spans="1:8" x14ac:dyDescent="0.25">
      <c r="A7" t="s">
        <v>15</v>
      </c>
      <c r="B7" s="6">
        <f>1635+40868</f>
        <v>42503</v>
      </c>
      <c r="D7" s="7" t="s">
        <v>16</v>
      </c>
      <c r="E7" s="8" t="str">
        <f>Foundayo!C4</f>
        <v>Obesity / Chronic Weight Management</v>
      </c>
      <c r="F7" s="8" t="str">
        <f>Foundayo!C5</f>
        <v>GLP-1 Receptor Agonist (oral, nonpeptide)</v>
      </c>
      <c r="G7" s="9">
        <v>1</v>
      </c>
      <c r="H7" s="10">
        <v>46113</v>
      </c>
    </row>
    <row r="8" spans="1:8" x14ac:dyDescent="0.25">
      <c r="A8" t="s">
        <v>17</v>
      </c>
      <c r="B8" s="13">
        <f>B5+B7-B6</f>
        <v>1122320.06</v>
      </c>
      <c r="D8" s="7" t="s">
        <v>18</v>
      </c>
      <c r="E8" s="8" t="str">
        <f>Basaglar!C4</f>
        <v>Type 1 and Type 2 Diabetes</v>
      </c>
      <c r="F8" s="8" t="str">
        <f>Basaglar!C5</f>
        <v>Long-Acting Insulin</v>
      </c>
      <c r="G8" s="9">
        <v>1</v>
      </c>
      <c r="H8" s="10">
        <f>DATE(2015,12,16)</f>
        <v>42354</v>
      </c>
    </row>
    <row r="9" spans="1:8" x14ac:dyDescent="0.25">
      <c r="D9" s="7" t="s">
        <v>19</v>
      </c>
      <c r="E9" s="8" t="str">
        <f>Humalog!C4</f>
        <v>Type 1 and Type 2 Diabetes</v>
      </c>
      <c r="F9" s="8" t="str">
        <f>Humalog!C5</f>
        <v>Rapid-Acting Insulin</v>
      </c>
      <c r="G9" s="9">
        <v>1</v>
      </c>
      <c r="H9" s="10">
        <v>35230</v>
      </c>
    </row>
    <row r="10" spans="1:8" x14ac:dyDescent="0.25">
      <c r="D10" s="7" t="s">
        <v>20</v>
      </c>
      <c r="E10" s="8" t="str">
        <f>Humulin!C4</f>
        <v>Type 1 and Type 2 Diabetes</v>
      </c>
      <c r="F10" s="8" t="str">
        <f>Humulin!C5</f>
        <v>Insulin (short- and intermediate-acting)</v>
      </c>
      <c r="G10" s="9">
        <v>1</v>
      </c>
      <c r="H10" s="10">
        <f>DATE(1982,10,28)</f>
        <v>30252</v>
      </c>
    </row>
    <row r="11" spans="1:8" x14ac:dyDescent="0.25">
      <c r="D11" s="7" t="s">
        <v>21</v>
      </c>
      <c r="E11" s="8" t="str">
        <f>Jardiance!C4</f>
        <v>Type 2 Diabetes &amp; Heart Failure</v>
      </c>
      <c r="F11" s="8" t="str">
        <f>Jardiance!C5</f>
        <v>SGLT2 Inhibitors</v>
      </c>
      <c r="G11" s="14" t="s">
        <v>22</v>
      </c>
      <c r="H11" s="10">
        <v>41852</v>
      </c>
    </row>
    <row r="12" spans="1:8" x14ac:dyDescent="0.25">
      <c r="D12" s="7" t="s">
        <v>23</v>
      </c>
      <c r="E12" s="8" t="str">
        <f>Verzenio!C4</f>
        <v>Breast Cancer</v>
      </c>
      <c r="F12" s="8" t="str">
        <f>Verzenio!C5</f>
        <v>CDK4/6 inhibitors</v>
      </c>
      <c r="G12" s="9">
        <v>1</v>
      </c>
      <c r="H12" s="10">
        <v>43006</v>
      </c>
    </row>
    <row r="13" spans="1:8" x14ac:dyDescent="0.25">
      <c r="D13" s="7" t="s">
        <v>24</v>
      </c>
      <c r="E13" s="8" t="str">
        <f>Cyramza!C4</f>
        <v>Gastric, NSCLC, and Colorectal Cancer</v>
      </c>
      <c r="F13" s="8" t="str">
        <f>Cyramza!C5</f>
        <v>VEGFR2 Antagonist (Monoclonal Antibody)</v>
      </c>
      <c r="G13" s="9">
        <v>1</v>
      </c>
      <c r="H13" s="10">
        <f>DATE(2014,4,21)</f>
        <v>41750</v>
      </c>
    </row>
    <row r="14" spans="1:8" x14ac:dyDescent="0.25">
      <c r="D14" s="7" t="s">
        <v>25</v>
      </c>
      <c r="E14" s="8" t="str">
        <f>Erbitux!C4</f>
        <v>Colorectal and Head &amp; Neck Cancer</v>
      </c>
      <c r="F14" s="8" t="str">
        <f>Erbitux!C5</f>
        <v>EGFR Inhibitor (Monoclonal Antibody)</v>
      </c>
      <c r="G14" s="14" t="s">
        <v>26</v>
      </c>
      <c r="H14" s="10">
        <f>DATE(2004,2,12)</f>
        <v>38029</v>
      </c>
    </row>
    <row r="15" spans="1:8" x14ac:dyDescent="0.25">
      <c r="D15" s="7" t="s">
        <v>27</v>
      </c>
      <c r="E15" s="8" t="str">
        <f>Retevmo!C4</f>
        <v>RET-Altered NSCLC and Thyroid Cancer</v>
      </c>
      <c r="F15" s="8" t="str">
        <f>Retevmo!C5</f>
        <v>RET Kinase Inhibitor</v>
      </c>
      <c r="G15" s="9">
        <v>1</v>
      </c>
      <c r="H15" s="10">
        <f>DATE(2020,5,8)</f>
        <v>43959</v>
      </c>
    </row>
    <row r="16" spans="1:8" x14ac:dyDescent="0.25">
      <c r="D16" s="7" t="s">
        <v>28</v>
      </c>
      <c r="E16" s="8" t="str">
        <f>Tyvyt!C4</f>
        <v>Hodgkin Lymphoma, NSCLC &amp; other cancers (approved in China; not FDA-approved)</v>
      </c>
      <c r="F16" s="8" t="str">
        <f>Tyvyt!C5</f>
        <v>PD-1 Inhibitor (Monoclonal Antibody)</v>
      </c>
      <c r="G16" s="14" t="s">
        <v>26</v>
      </c>
      <c r="H16" s="15" t="s">
        <v>29</v>
      </c>
    </row>
    <row r="17" spans="3:8" x14ac:dyDescent="0.25">
      <c r="D17" s="7" t="s">
        <v>30</v>
      </c>
      <c r="E17" s="8" t="str">
        <f>Jaypirca!C4</f>
        <v>Non-Hodgkin Lymphoma</v>
      </c>
      <c r="F17" s="8" t="str">
        <f>Jaypirca!C5</f>
        <v>Bruton’s tyrosine kinase (BTK) inhibitor</v>
      </c>
      <c r="G17" s="9">
        <v>1</v>
      </c>
      <c r="H17" s="10">
        <v>44953</v>
      </c>
    </row>
    <row r="18" spans="3:8" x14ac:dyDescent="0.25">
      <c r="D18" s="7" t="s">
        <v>31</v>
      </c>
      <c r="E18" s="8" t="str">
        <f>Inluriyo!C4</f>
        <v>Breast Cancer</v>
      </c>
      <c r="F18" s="8" t="str">
        <f>Inluriyo!C5</f>
        <v>Estrogen Antagonist</v>
      </c>
      <c r="G18" s="9">
        <v>1</v>
      </c>
      <c r="H18" s="10">
        <v>45925</v>
      </c>
    </row>
    <row r="19" spans="3:8" x14ac:dyDescent="0.25">
      <c r="D19" s="7" t="s">
        <v>32</v>
      </c>
      <c r="E19" s="8" t="str">
        <f>Ebglyss!C4</f>
        <v>Eczema</v>
      </c>
      <c r="F19" s="8" t="str">
        <f>Ebglyss!C5</f>
        <v>interleukin-13 antagonist</v>
      </c>
      <c r="G19" s="9">
        <v>1</v>
      </c>
      <c r="H19" s="10">
        <v>45548</v>
      </c>
    </row>
    <row r="20" spans="3:8" x14ac:dyDescent="0.25">
      <c r="D20" s="7" t="s">
        <v>33</v>
      </c>
      <c r="E20" s="8" t="str">
        <f>Olumiant!C4</f>
        <v>Rheumatoid Arthritis, Alopecia Areata, COVID-19</v>
      </c>
      <c r="F20" s="8" t="str">
        <f>Olumiant!C5</f>
        <v>JAK (Janus Kinase) Inhibitor</v>
      </c>
      <c r="G20" s="9">
        <v>1</v>
      </c>
      <c r="H20" s="10">
        <f>DATE(2018,5,31)</f>
        <v>43251</v>
      </c>
    </row>
    <row r="21" spans="3:8" x14ac:dyDescent="0.25">
      <c r="D21" s="7" t="s">
        <v>34</v>
      </c>
      <c r="E21" s="8" t="str">
        <f>Omvoh!C4</f>
        <v>Crohn's Disease &amp; Ulcerative Colitis</v>
      </c>
      <c r="F21" s="8" t="str">
        <f>Omvoh!C5</f>
        <v>interleukin-23 antagonist</v>
      </c>
      <c r="G21" s="9">
        <v>1</v>
      </c>
      <c r="H21" s="10">
        <v>45225</v>
      </c>
    </row>
    <row r="22" spans="3:8" x14ac:dyDescent="0.25">
      <c r="D22" s="7" t="s">
        <v>35</v>
      </c>
      <c r="E22" s="8" t="str">
        <f>Taltz!C4</f>
        <v>Plaque Psoriasis &amp; Psoriatic Arthritis</v>
      </c>
      <c r="F22" s="8" t="str">
        <f>Taltz!C5</f>
        <v>interleukin antagonist</v>
      </c>
      <c r="G22" s="9">
        <v>1</v>
      </c>
      <c r="H22" s="10">
        <v>42451</v>
      </c>
    </row>
    <row r="23" spans="3:8" x14ac:dyDescent="0.25">
      <c r="D23" s="7" t="s">
        <v>36</v>
      </c>
      <c r="E23" s="8" t="str">
        <f>Emgality!C4</f>
        <v>Migraine Prevention and Cluster Headache</v>
      </c>
      <c r="F23" s="8" t="str">
        <f>Emgality!C5</f>
        <v>CGRP Antagonist (Monoclonal Antibody)</v>
      </c>
      <c r="G23" s="9">
        <v>1</v>
      </c>
      <c r="H23" s="10">
        <f>DATE(2018,9,27)</f>
        <v>43370</v>
      </c>
    </row>
    <row r="24" spans="3:8" x14ac:dyDescent="0.25">
      <c r="D24" s="16" t="s">
        <v>37</v>
      </c>
      <c r="E24" s="17" t="str">
        <f>Kisunla!C4</f>
        <v>Alzheimer's Disease</v>
      </c>
      <c r="F24" s="17" t="str">
        <f>Kisunla!C5</f>
        <v>amyloid beta-directed antibody</v>
      </c>
      <c r="G24" s="18">
        <v>1</v>
      </c>
      <c r="H24" s="19">
        <v>45475</v>
      </c>
    </row>
    <row r="26" spans="3:8" x14ac:dyDescent="0.25">
      <c r="D26" s="20"/>
      <c r="E26" s="8"/>
      <c r="F26" s="8"/>
    </row>
    <row r="28" spans="3:8" x14ac:dyDescent="0.25">
      <c r="C28" s="8"/>
    </row>
    <row r="29" spans="3:8" x14ac:dyDescent="0.25">
      <c r="C29" s="8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K260"/>
  <sheetViews>
    <sheetView tabSelected="1" topLeftCell="A46" zoomScaleNormal="100" workbookViewId="0">
      <pane xSplit="2" topLeftCell="C1" activePane="topRight" state="frozen"/>
      <selection pane="topRight" activeCell="I69" sqref="I69"/>
    </sheetView>
  </sheetViews>
  <sheetFormatPr defaultColWidth="11" defaultRowHeight="15.75" x14ac:dyDescent="0.25"/>
  <cols>
    <col min="1" max="1" width="2.375" customWidth="1"/>
    <col min="2" max="2" width="38.5" customWidth="1"/>
    <col min="3" max="12" width="13.375" customWidth="1"/>
    <col min="13" max="13" width="14" customWidth="1"/>
    <col min="14" max="14" width="15.125" customWidth="1"/>
    <col min="15" max="16" width="13.375" customWidth="1"/>
    <col min="17" max="17" width="22.875" customWidth="1"/>
    <col min="18" max="18" width="20" bestFit="1" customWidth="1"/>
    <col min="19" max="19" width="26.875" customWidth="1"/>
    <col min="20" max="20" width="13.5" customWidth="1"/>
    <col min="21" max="31" width="13.375" customWidth="1"/>
    <col min="32" max="38" width="13.125" customWidth="1"/>
    <col min="39" max="91" width="12.5" customWidth="1"/>
  </cols>
  <sheetData>
    <row r="1" spans="2:16" ht="9.75" customHeight="1" x14ac:dyDescent="0.25"/>
    <row r="2" spans="2:16" ht="35.1" customHeight="1" x14ac:dyDescent="0.4">
      <c r="B2" s="73" t="s">
        <v>38</v>
      </c>
    </row>
    <row r="4" spans="2:16" ht="16.5" customHeight="1" thickBot="1" x14ac:dyDescent="0.3">
      <c r="B4" s="65" t="s">
        <v>268</v>
      </c>
      <c r="C4" s="22" t="s">
        <v>39</v>
      </c>
      <c r="D4" s="22" t="s">
        <v>40</v>
      </c>
      <c r="E4" s="22" t="s">
        <v>41</v>
      </c>
      <c r="F4" s="22" t="s">
        <v>42</v>
      </c>
      <c r="G4" s="22" t="s">
        <v>43</v>
      </c>
      <c r="H4" s="22" t="s">
        <v>44</v>
      </c>
      <c r="I4" s="22" t="s">
        <v>45</v>
      </c>
      <c r="J4" s="22" t="s">
        <v>46</v>
      </c>
      <c r="K4" s="22" t="s">
        <v>47</v>
      </c>
      <c r="L4" s="22" t="s">
        <v>48</v>
      </c>
      <c r="M4" s="22" t="s">
        <v>49</v>
      </c>
      <c r="N4" s="22" t="s">
        <v>50</v>
      </c>
      <c r="O4" s="22" t="s">
        <v>51</v>
      </c>
      <c r="P4" s="22" t="s">
        <v>52</v>
      </c>
    </row>
    <row r="5" spans="2:16" x14ac:dyDescent="0.25">
      <c r="B5" s="74" t="s">
        <v>53</v>
      </c>
      <c r="C5" s="75">
        <f t="shared" ref="C5:P5" si="0">SUM(C6:C14)</f>
        <v>4045.3</v>
      </c>
      <c r="D5" s="75">
        <f t="shared" si="0"/>
        <v>4260.3999999999996</v>
      </c>
      <c r="E5" s="75">
        <f t="shared" si="0"/>
        <v>4565.3999999999996</v>
      </c>
      <c r="F5" s="75">
        <f t="shared" si="0"/>
        <v>5588.7000000000007</v>
      </c>
      <c r="G5" s="75">
        <f t="shared" si="0"/>
        <v>5369.2</v>
      </c>
      <c r="H5" s="75">
        <f t="shared" si="0"/>
        <v>7858.8000000000011</v>
      </c>
      <c r="I5" s="75">
        <f t="shared" si="0"/>
        <v>7261.6</v>
      </c>
      <c r="J5" s="75">
        <f t="shared" si="0"/>
        <v>8962.6999999999989</v>
      </c>
      <c r="K5" s="75">
        <f t="shared" si="0"/>
        <v>9147</v>
      </c>
      <c r="L5" s="75">
        <f t="shared" si="0"/>
        <v>11185.800000000001</v>
      </c>
      <c r="M5" s="75">
        <f t="shared" si="0"/>
        <v>13051.800000000001</v>
      </c>
      <c r="N5" s="75">
        <f t="shared" si="0"/>
        <v>14526.3</v>
      </c>
      <c r="O5" s="75">
        <f t="shared" si="0"/>
        <v>15790.900000000001</v>
      </c>
      <c r="P5" s="75">
        <f t="shared" si="0"/>
        <v>14969</v>
      </c>
    </row>
    <row r="6" spans="2:16" x14ac:dyDescent="0.25">
      <c r="B6" t="s">
        <v>7</v>
      </c>
      <c r="C6" s="25">
        <v>568.5</v>
      </c>
      <c r="D6" s="25">
        <v>979.7</v>
      </c>
      <c r="E6" s="25">
        <v>1409.3</v>
      </c>
      <c r="F6" s="25">
        <v>2205.6</v>
      </c>
      <c r="G6" s="25">
        <v>1806.5</v>
      </c>
      <c r="H6" s="25">
        <v>3090.8</v>
      </c>
      <c r="I6" s="25">
        <v>3112.7</v>
      </c>
      <c r="J6" s="25">
        <v>3530</v>
      </c>
      <c r="K6" s="25">
        <v>3842</v>
      </c>
      <c r="L6" s="25">
        <v>5198.8999999999996</v>
      </c>
      <c r="M6" s="25">
        <v>6515.1</v>
      </c>
      <c r="N6" s="25">
        <v>7409</v>
      </c>
      <c r="O6" s="66">
        <v>8662</v>
      </c>
      <c r="P6" s="28">
        <v>9943</v>
      </c>
    </row>
    <row r="7" spans="2:16" x14ac:dyDescent="0.25">
      <c r="B7" t="s">
        <v>9</v>
      </c>
      <c r="C7" s="80"/>
      <c r="D7" s="80"/>
      <c r="E7" s="80"/>
      <c r="F7" s="25">
        <v>175.8</v>
      </c>
      <c r="G7" s="25">
        <v>517.4</v>
      </c>
      <c r="H7" s="25">
        <v>1243.2</v>
      </c>
      <c r="I7" s="25">
        <v>1257.8</v>
      </c>
      <c r="J7" s="25">
        <v>1907</v>
      </c>
      <c r="K7" s="25">
        <v>2312</v>
      </c>
      <c r="L7" s="25">
        <v>3381.4</v>
      </c>
      <c r="M7" s="25">
        <v>3588</v>
      </c>
      <c r="N7" s="25">
        <v>4261</v>
      </c>
      <c r="O7" s="66">
        <v>4160</v>
      </c>
      <c r="P7" s="28">
        <v>4928</v>
      </c>
    </row>
    <row r="8" spans="2:16" x14ac:dyDescent="0.25">
      <c r="B8" t="s">
        <v>11</v>
      </c>
      <c r="C8" s="25">
        <v>1977.1</v>
      </c>
      <c r="D8" s="25">
        <v>1812.5</v>
      </c>
      <c r="E8" s="25">
        <v>1673.6</v>
      </c>
      <c r="F8" s="25">
        <v>1669.3</v>
      </c>
      <c r="G8" s="25">
        <v>1456.3</v>
      </c>
      <c r="H8" s="25">
        <v>1245.5999999999999</v>
      </c>
      <c r="I8" s="25">
        <v>1301.4000000000001</v>
      </c>
      <c r="J8" s="25">
        <v>1250.2</v>
      </c>
      <c r="K8" s="25">
        <v>1095</v>
      </c>
      <c r="L8" s="25">
        <v>1092.2</v>
      </c>
      <c r="M8" s="25">
        <v>1051.8</v>
      </c>
      <c r="N8" s="25">
        <f>4276-M8-L8-K8</f>
        <v>1037</v>
      </c>
      <c r="O8" s="66">
        <v>919</v>
      </c>
      <c r="P8" s="84"/>
    </row>
    <row r="9" spans="2:16" x14ac:dyDescent="0.25">
      <c r="B9" s="26" t="s">
        <v>13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1"/>
      <c r="P9" s="81"/>
    </row>
    <row r="10" spans="2:16" x14ac:dyDescent="0.25">
      <c r="B10" s="83" t="s">
        <v>16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1"/>
      <c r="P10" s="28">
        <v>98</v>
      </c>
    </row>
    <row r="11" spans="2:16" x14ac:dyDescent="0.25">
      <c r="B11" t="s">
        <v>18</v>
      </c>
      <c r="C11" s="25">
        <v>209.3</v>
      </c>
      <c r="D11" s="25">
        <v>154.19999999999999</v>
      </c>
      <c r="E11" s="25">
        <v>179.6</v>
      </c>
      <c r="F11" s="25">
        <f>728.3-E11-D11-C11</f>
        <v>185.19999999999993</v>
      </c>
      <c r="G11" s="25">
        <v>157.6</v>
      </c>
      <c r="H11" s="25">
        <v>180.8</v>
      </c>
      <c r="I11" s="25">
        <v>161.6</v>
      </c>
      <c r="J11" s="25">
        <v>176.9</v>
      </c>
      <c r="K11" s="25">
        <v>173.6</v>
      </c>
      <c r="L11" s="25">
        <v>145</v>
      </c>
      <c r="M11" s="25">
        <v>162.19999999999999</v>
      </c>
      <c r="N11" s="25">
        <f>+J11</f>
        <v>176.9</v>
      </c>
      <c r="O11" s="66">
        <f>+K11-10</f>
        <v>163.6</v>
      </c>
      <c r="P11" s="84"/>
    </row>
    <row r="12" spans="2:16" x14ac:dyDescent="0.25">
      <c r="B12" t="s">
        <v>19</v>
      </c>
      <c r="C12" s="25">
        <v>460.9</v>
      </c>
      <c r="D12" s="25">
        <v>440.4</v>
      </c>
      <c r="E12" s="25">
        <v>395.4</v>
      </c>
      <c r="F12" s="25">
        <v>366.6</v>
      </c>
      <c r="G12" s="25">
        <v>538.70000000000005</v>
      </c>
      <c r="H12" s="25">
        <v>631.6</v>
      </c>
      <c r="I12" s="25">
        <v>534.6</v>
      </c>
      <c r="J12" s="25">
        <v>619.9</v>
      </c>
      <c r="K12" s="25">
        <v>537.20000000000005</v>
      </c>
      <c r="L12" s="25">
        <v>503.1</v>
      </c>
      <c r="M12" s="25">
        <v>599.1</v>
      </c>
      <c r="N12" s="25">
        <f>+M12-5</f>
        <v>594.1</v>
      </c>
      <c r="O12" s="66">
        <f>+N12--15</f>
        <v>609.1</v>
      </c>
      <c r="P12" s="84"/>
    </row>
    <row r="13" spans="2:16" x14ac:dyDescent="0.25">
      <c r="B13" t="s">
        <v>54</v>
      </c>
      <c r="C13" s="25">
        <v>252</v>
      </c>
      <c r="D13" s="25">
        <v>205.3</v>
      </c>
      <c r="E13" s="25">
        <v>206.7</v>
      </c>
      <c r="F13" s="25">
        <f>852.1-E13-D13-C13</f>
        <v>188.10000000000008</v>
      </c>
      <c r="G13" s="25">
        <v>206.2</v>
      </c>
      <c r="H13" s="25">
        <v>223.6</v>
      </c>
      <c r="I13" s="25">
        <v>207.1</v>
      </c>
      <c r="J13" s="25">
        <v>280.3</v>
      </c>
      <c r="K13" s="25">
        <v>173.2</v>
      </c>
      <c r="L13" s="25">
        <v>175.2</v>
      </c>
      <c r="M13" s="25">
        <v>176.6</v>
      </c>
      <c r="N13" s="25">
        <f>+J13</f>
        <v>280.3</v>
      </c>
      <c r="O13" s="66">
        <f>+K13-10</f>
        <v>163.19999999999999</v>
      </c>
      <c r="P13" s="84"/>
    </row>
    <row r="14" spans="2:16" x14ac:dyDescent="0.25">
      <c r="B14" t="s">
        <v>21</v>
      </c>
      <c r="C14" s="25">
        <v>577.5</v>
      </c>
      <c r="D14" s="25">
        <v>668.3</v>
      </c>
      <c r="E14" s="25">
        <v>700.8</v>
      </c>
      <c r="F14" s="25">
        <v>798.1</v>
      </c>
      <c r="G14" s="25">
        <v>686.5</v>
      </c>
      <c r="H14" s="25">
        <v>1243.2</v>
      </c>
      <c r="I14" s="25">
        <v>686.4</v>
      </c>
      <c r="J14" s="25">
        <v>1198.4000000000001</v>
      </c>
      <c r="K14" s="25">
        <v>1014</v>
      </c>
      <c r="L14" s="25">
        <v>690</v>
      </c>
      <c r="M14" s="25">
        <v>959</v>
      </c>
      <c r="N14" s="25">
        <f>3431-K14-L14-M14</f>
        <v>768</v>
      </c>
      <c r="O14" s="66">
        <v>1114</v>
      </c>
      <c r="P14" s="84"/>
    </row>
    <row r="15" spans="2:16" x14ac:dyDescent="0.25">
      <c r="B15" s="76" t="s">
        <v>55</v>
      </c>
      <c r="C15" s="77">
        <f t="shared" ref="C15:P15" si="1">SUM(C16:C22)</f>
        <v>1230.0000000000002</v>
      </c>
      <c r="D15" s="77">
        <f t="shared" si="1"/>
        <v>1518.6</v>
      </c>
      <c r="E15" s="77">
        <f t="shared" si="1"/>
        <v>1596.7</v>
      </c>
      <c r="F15" s="77">
        <f t="shared" si="1"/>
        <v>1736.2</v>
      </c>
      <c r="G15" s="77">
        <f t="shared" si="1"/>
        <v>1660.7</v>
      </c>
      <c r="H15" s="77">
        <f t="shared" si="1"/>
        <v>2043.2000000000003</v>
      </c>
      <c r="I15" s="77">
        <f t="shared" si="1"/>
        <v>2102.6</v>
      </c>
      <c r="J15" s="77">
        <f t="shared" si="1"/>
        <v>2328.1999999999998</v>
      </c>
      <c r="K15" s="77">
        <f t="shared" si="1"/>
        <v>1853.3000000000002</v>
      </c>
      <c r="L15" s="77">
        <f t="shared" si="1"/>
        <v>2317.6000000000004</v>
      </c>
      <c r="M15" s="77">
        <f t="shared" si="1"/>
        <v>2326</v>
      </c>
      <c r="N15" s="77">
        <f t="shared" si="1"/>
        <v>2468.5</v>
      </c>
      <c r="O15" s="77">
        <f t="shared" si="1"/>
        <v>2268.4</v>
      </c>
      <c r="P15" s="77">
        <f t="shared" si="1"/>
        <v>267</v>
      </c>
    </row>
    <row r="16" spans="2:16" x14ac:dyDescent="0.25">
      <c r="B16" t="s">
        <v>23</v>
      </c>
      <c r="C16" s="25">
        <v>750.9</v>
      </c>
      <c r="D16" s="25">
        <v>926.8</v>
      </c>
      <c r="E16" s="25">
        <v>1040.2</v>
      </c>
      <c r="F16" s="25">
        <v>1145.4000000000001</v>
      </c>
      <c r="G16" s="25">
        <v>1050.3</v>
      </c>
      <c r="H16" s="25">
        <v>1331.9</v>
      </c>
      <c r="I16" s="25">
        <v>1369.3</v>
      </c>
      <c r="J16" s="25">
        <v>1555</v>
      </c>
      <c r="K16" s="25">
        <v>1158.9000000000001</v>
      </c>
      <c r="L16" s="25">
        <v>1489.3</v>
      </c>
      <c r="M16" s="25">
        <v>1470.2</v>
      </c>
      <c r="N16" s="25">
        <v>1604</v>
      </c>
      <c r="O16" s="66">
        <v>1302</v>
      </c>
      <c r="P16" s="84"/>
    </row>
    <row r="17" spans="2:16" x14ac:dyDescent="0.25">
      <c r="B17" t="s">
        <v>24</v>
      </c>
      <c r="C17" s="25">
        <v>236.8</v>
      </c>
      <c r="D17" s="25">
        <v>260.3</v>
      </c>
      <c r="E17" s="25">
        <v>224.1</v>
      </c>
      <c r="F17" s="25">
        <v>253.6</v>
      </c>
      <c r="G17" s="25">
        <v>229.9</v>
      </c>
      <c r="H17" s="25">
        <v>248.9</v>
      </c>
      <c r="I17" s="25">
        <v>236</v>
      </c>
      <c r="J17" s="25">
        <v>258.60000000000002</v>
      </c>
      <c r="K17" s="25">
        <v>224.9</v>
      </c>
      <c r="L17" s="25">
        <v>253.7</v>
      </c>
      <c r="M17" s="25">
        <v>245.5</v>
      </c>
      <c r="N17" s="25">
        <f>+J17</f>
        <v>258.60000000000002</v>
      </c>
      <c r="O17" s="66">
        <f>+K17+34</f>
        <v>258.89999999999998</v>
      </c>
      <c r="P17" s="84"/>
    </row>
    <row r="18" spans="2:16" x14ac:dyDescent="0.25">
      <c r="B18" t="s">
        <v>25</v>
      </c>
      <c r="C18" s="25">
        <v>129.9</v>
      </c>
      <c r="D18" s="25">
        <v>162.5</v>
      </c>
      <c r="E18" s="25">
        <v>153.9</v>
      </c>
      <c r="F18" s="25">
        <f>596.5-E18-D18-C18</f>
        <v>150.20000000000002</v>
      </c>
      <c r="G18" s="25">
        <v>144.6</v>
      </c>
      <c r="H18" s="25">
        <v>155.80000000000001</v>
      </c>
      <c r="I18" s="25">
        <v>152</v>
      </c>
      <c r="J18" s="25">
        <v>175</v>
      </c>
      <c r="K18" s="25">
        <v>149</v>
      </c>
      <c r="L18" s="25">
        <v>183.7</v>
      </c>
      <c r="M18" s="25">
        <v>198.6</v>
      </c>
      <c r="N18" s="25">
        <f>+J18</f>
        <v>175</v>
      </c>
      <c r="O18" s="66">
        <f>+K18+34</f>
        <v>183</v>
      </c>
      <c r="P18" s="84"/>
    </row>
    <row r="19" spans="2:16" x14ac:dyDescent="0.25">
      <c r="B19" t="s">
        <v>27</v>
      </c>
      <c r="C19" s="25">
        <v>51.4</v>
      </c>
      <c r="D19" s="25">
        <v>65.400000000000006</v>
      </c>
      <c r="E19" s="25">
        <v>63.4</v>
      </c>
      <c r="F19" s="25">
        <v>73.400000000000006</v>
      </c>
      <c r="G19" s="25">
        <v>69.2</v>
      </c>
      <c r="H19" s="25">
        <v>91.2</v>
      </c>
      <c r="I19" s="25">
        <v>114</v>
      </c>
      <c r="J19" s="25">
        <v>90</v>
      </c>
      <c r="K19" s="25">
        <v>91</v>
      </c>
      <c r="L19" s="25">
        <v>125.3</v>
      </c>
      <c r="M19" s="25">
        <v>112</v>
      </c>
      <c r="N19" s="25">
        <f>+M19+5</f>
        <v>117</v>
      </c>
      <c r="O19" s="66">
        <f>+N19+34</f>
        <v>151</v>
      </c>
      <c r="P19" s="84"/>
    </row>
    <row r="20" spans="2:16" x14ac:dyDescent="0.25">
      <c r="B20" t="s">
        <v>28</v>
      </c>
      <c r="C20" s="25">
        <v>61</v>
      </c>
      <c r="D20" s="25">
        <v>103.6</v>
      </c>
      <c r="E20" s="25">
        <v>115.1</v>
      </c>
      <c r="F20" s="25">
        <v>113.6</v>
      </c>
      <c r="G20" s="25">
        <v>116.7</v>
      </c>
      <c r="H20" s="25">
        <v>123</v>
      </c>
      <c r="I20" s="25">
        <v>150.19999999999999</v>
      </c>
      <c r="J20" s="25">
        <v>136</v>
      </c>
      <c r="K20" s="25">
        <v>137.5</v>
      </c>
      <c r="L20" s="25">
        <v>137.30000000000001</v>
      </c>
      <c r="M20" s="25">
        <v>141.80000000000001</v>
      </c>
      <c r="N20" s="25">
        <f>+J20</f>
        <v>136</v>
      </c>
      <c r="O20" s="66">
        <f>+K20+34+2</f>
        <v>173.5</v>
      </c>
      <c r="P20" s="84"/>
    </row>
    <row r="21" spans="2:16" x14ac:dyDescent="0.25">
      <c r="B21" t="s">
        <v>30</v>
      </c>
      <c r="C21" s="80"/>
      <c r="D21" s="80"/>
      <c r="E21" s="80"/>
      <c r="F21" s="80"/>
      <c r="G21" s="25">
        <v>50</v>
      </c>
      <c r="H21" s="25">
        <v>92.4</v>
      </c>
      <c r="I21" s="25">
        <v>81.099999999999994</v>
      </c>
      <c r="J21" s="25">
        <v>113.6</v>
      </c>
      <c r="K21" s="25">
        <v>92</v>
      </c>
      <c r="L21" s="25">
        <v>123.3</v>
      </c>
      <c r="M21" s="25">
        <v>142.9</v>
      </c>
      <c r="N21" s="25">
        <f>+M21+10</f>
        <v>152.9</v>
      </c>
      <c r="O21" s="66">
        <v>165</v>
      </c>
      <c r="P21" s="28">
        <v>192</v>
      </c>
    </row>
    <row r="22" spans="2:16" x14ac:dyDescent="0.25">
      <c r="B22" t="s">
        <v>31</v>
      </c>
      <c r="C22" s="80"/>
      <c r="D22" s="80"/>
      <c r="E22" s="80"/>
      <c r="F22" s="80"/>
      <c r="G22" s="80"/>
      <c r="H22" s="80"/>
      <c r="I22" s="80"/>
      <c r="J22" s="80"/>
      <c r="K22" s="80"/>
      <c r="L22" s="25">
        <f>M22-10</f>
        <v>5</v>
      </c>
      <c r="M22" s="25">
        <f>N22-10</f>
        <v>15</v>
      </c>
      <c r="N22" s="25">
        <f>O22-10</f>
        <v>25</v>
      </c>
      <c r="O22" s="66">
        <v>35</v>
      </c>
      <c r="P22" s="28">
        <v>75</v>
      </c>
    </row>
    <row r="23" spans="2:16" x14ac:dyDescent="0.25">
      <c r="B23" s="76" t="s">
        <v>56</v>
      </c>
      <c r="C23" s="77">
        <f t="shared" ref="C23:P23" si="2">SUM(C24:C27)</f>
        <v>755.9</v>
      </c>
      <c r="D23" s="77">
        <f t="shared" si="2"/>
        <v>922.8</v>
      </c>
      <c r="E23" s="77">
        <f t="shared" si="2"/>
        <v>975.6</v>
      </c>
      <c r="F23" s="77">
        <f t="shared" si="2"/>
        <v>1028.0999999999999</v>
      </c>
      <c r="G23" s="77">
        <f t="shared" si="2"/>
        <v>834</v>
      </c>
      <c r="H23" s="77">
        <f t="shared" si="2"/>
        <v>1082.3000000000002</v>
      </c>
      <c r="I23" s="77">
        <f t="shared" si="2"/>
        <v>1185.8</v>
      </c>
      <c r="J23" s="77">
        <f t="shared" si="2"/>
        <v>1290.9000000000001</v>
      </c>
      <c r="K23" s="77">
        <f t="shared" si="2"/>
        <v>1088.0999999999999</v>
      </c>
      <c r="L23" s="77">
        <f t="shared" si="2"/>
        <v>1255.5999999999999</v>
      </c>
      <c r="M23" s="77">
        <f t="shared" si="2"/>
        <v>1362.4</v>
      </c>
      <c r="N23" s="77">
        <f t="shared" si="2"/>
        <v>1535.5</v>
      </c>
      <c r="O23" s="77">
        <f t="shared" si="2"/>
        <v>1202.7</v>
      </c>
      <c r="P23" s="77">
        <f t="shared" si="2"/>
        <v>303</v>
      </c>
    </row>
    <row r="24" spans="2:16" x14ac:dyDescent="0.25">
      <c r="B24" t="s">
        <v>32</v>
      </c>
      <c r="C24" s="80"/>
      <c r="D24" s="80"/>
      <c r="E24" s="80"/>
      <c r="F24" s="80"/>
      <c r="G24" s="25">
        <v>3.1</v>
      </c>
      <c r="H24" s="25">
        <v>4.3</v>
      </c>
      <c r="I24" s="25">
        <v>14.9</v>
      </c>
      <c r="J24" s="25">
        <v>20.399999999999999</v>
      </c>
      <c r="K24" s="25">
        <v>60.2</v>
      </c>
      <c r="L24" s="25">
        <v>86.8</v>
      </c>
      <c r="M24" s="25">
        <v>127.1</v>
      </c>
      <c r="N24" s="25">
        <f>+M24+5</f>
        <v>132.1</v>
      </c>
      <c r="O24" s="66">
        <v>145</v>
      </c>
      <c r="P24" s="28">
        <v>201</v>
      </c>
    </row>
    <row r="25" spans="2:16" x14ac:dyDescent="0.25">
      <c r="B25" t="s">
        <v>33</v>
      </c>
      <c r="C25" s="25">
        <v>228.9</v>
      </c>
      <c r="D25" s="25">
        <v>218.9</v>
      </c>
      <c r="E25" s="25">
        <v>231.4</v>
      </c>
      <c r="F25" s="25">
        <v>243.5</v>
      </c>
      <c r="G25" s="25">
        <v>217.4</v>
      </c>
      <c r="H25" s="25">
        <v>227.7</v>
      </c>
      <c r="I25" s="25">
        <v>250.8</v>
      </c>
      <c r="J25" s="25">
        <v>261.60000000000002</v>
      </c>
      <c r="K25" s="25">
        <v>228.7</v>
      </c>
      <c r="L25" s="25">
        <v>246.4</v>
      </c>
      <c r="M25" s="25">
        <v>268.89999999999998</v>
      </c>
      <c r="N25" s="25">
        <f>+J25</f>
        <v>261.60000000000002</v>
      </c>
      <c r="O25" s="66">
        <f>+K25+16</f>
        <v>244.7</v>
      </c>
      <c r="P25" s="84"/>
    </row>
    <row r="26" spans="2:16" x14ac:dyDescent="0.25">
      <c r="B26" t="s">
        <v>34</v>
      </c>
      <c r="C26" s="80"/>
      <c r="D26" s="80"/>
      <c r="E26" s="80"/>
      <c r="F26" s="80"/>
      <c r="G26" s="25">
        <v>9.4</v>
      </c>
      <c r="H26" s="25">
        <v>25.6</v>
      </c>
      <c r="I26" s="25">
        <v>40.5</v>
      </c>
      <c r="J26" s="25">
        <v>56.9</v>
      </c>
      <c r="K26" s="25">
        <v>37.200000000000003</v>
      </c>
      <c r="L26" s="25">
        <v>74.8</v>
      </c>
      <c r="M26" s="25">
        <v>64.900000000000006</v>
      </c>
      <c r="N26" s="25">
        <f>+M26+25</f>
        <v>89.9</v>
      </c>
      <c r="O26" s="66">
        <v>80</v>
      </c>
      <c r="P26" s="28">
        <v>102</v>
      </c>
    </row>
    <row r="27" spans="2:16" x14ac:dyDescent="0.25">
      <c r="B27" t="s">
        <v>35</v>
      </c>
      <c r="C27" s="25">
        <v>527</v>
      </c>
      <c r="D27" s="25">
        <v>703.9</v>
      </c>
      <c r="E27" s="25">
        <v>744.2</v>
      </c>
      <c r="F27" s="25">
        <v>784.6</v>
      </c>
      <c r="G27" s="25">
        <v>604.1</v>
      </c>
      <c r="H27" s="25">
        <v>824.7</v>
      </c>
      <c r="I27" s="25">
        <v>879.6</v>
      </c>
      <c r="J27" s="25">
        <v>952</v>
      </c>
      <c r="K27" s="25">
        <v>762</v>
      </c>
      <c r="L27" s="25">
        <v>847.6</v>
      </c>
      <c r="M27" s="25">
        <v>901.5</v>
      </c>
      <c r="N27" s="25">
        <f>3563-K27-L27-M27</f>
        <v>1051.9000000000001</v>
      </c>
      <c r="O27" s="66">
        <v>733</v>
      </c>
      <c r="P27" s="84"/>
    </row>
    <row r="28" spans="2:16" x14ac:dyDescent="0.25">
      <c r="B28" s="76" t="s">
        <v>57</v>
      </c>
      <c r="C28" s="77">
        <f t="shared" ref="C28:P28" si="3">SUM(C29:C30)</f>
        <v>154.30000000000001</v>
      </c>
      <c r="D28" s="77">
        <f t="shared" si="3"/>
        <v>169.3</v>
      </c>
      <c r="E28" s="77">
        <f t="shared" si="3"/>
        <v>168.5</v>
      </c>
      <c r="F28" s="77">
        <f t="shared" si="3"/>
        <v>186.1</v>
      </c>
      <c r="G28" s="77">
        <f t="shared" si="3"/>
        <v>225.7</v>
      </c>
      <c r="H28" s="77">
        <f t="shared" si="3"/>
        <v>192</v>
      </c>
      <c r="I28" s="77">
        <f t="shared" si="3"/>
        <v>204.3</v>
      </c>
      <c r="J28" s="77">
        <f t="shared" si="3"/>
        <v>257.7</v>
      </c>
      <c r="K28" s="77">
        <f t="shared" si="3"/>
        <v>146.1</v>
      </c>
      <c r="L28" s="77">
        <f t="shared" si="3"/>
        <v>249.7</v>
      </c>
      <c r="M28" s="77">
        <f t="shared" si="3"/>
        <v>246.1</v>
      </c>
      <c r="N28" s="77">
        <f t="shared" si="3"/>
        <v>370.18000000000006</v>
      </c>
      <c r="O28" s="77">
        <f t="shared" si="3"/>
        <v>261.06</v>
      </c>
      <c r="P28" s="77">
        <f t="shared" si="3"/>
        <v>167</v>
      </c>
    </row>
    <row r="29" spans="2:16" x14ac:dyDescent="0.25">
      <c r="B29" t="s">
        <v>36</v>
      </c>
      <c r="C29" s="25">
        <v>154.30000000000001</v>
      </c>
      <c r="D29" s="25">
        <v>169.3</v>
      </c>
      <c r="E29" s="25">
        <v>168.5</v>
      </c>
      <c r="F29" s="25">
        <v>186.1</v>
      </c>
      <c r="G29" s="25">
        <v>225.7</v>
      </c>
      <c r="H29" s="25">
        <v>192</v>
      </c>
      <c r="I29" s="25">
        <v>202.9</v>
      </c>
      <c r="J29" s="25">
        <v>249.8</v>
      </c>
      <c r="K29" s="25">
        <v>124.6</v>
      </c>
      <c r="L29" s="25">
        <v>201.1</v>
      </c>
      <c r="M29" s="25">
        <v>175.7</v>
      </c>
      <c r="N29" s="25">
        <f>+J29*1.1</f>
        <v>274.78000000000003</v>
      </c>
      <c r="O29" s="66">
        <f>+K29*1.1</f>
        <v>137.06</v>
      </c>
      <c r="P29" s="85"/>
    </row>
    <row r="30" spans="2:16" x14ac:dyDescent="0.25">
      <c r="B30" t="s">
        <v>37</v>
      </c>
      <c r="C30" s="80"/>
      <c r="D30" s="80"/>
      <c r="E30" s="80"/>
      <c r="F30" s="80"/>
      <c r="G30" s="80"/>
      <c r="H30" s="80"/>
      <c r="I30" s="25">
        <v>1.4</v>
      </c>
      <c r="J30" s="25">
        <v>7.9</v>
      </c>
      <c r="K30" s="25">
        <v>21.5</v>
      </c>
      <c r="L30" s="25">
        <v>48.6</v>
      </c>
      <c r="M30" s="25">
        <v>70.400000000000006</v>
      </c>
      <c r="N30" s="25">
        <f>+M30+25</f>
        <v>95.4</v>
      </c>
      <c r="O30" s="66">
        <v>124</v>
      </c>
      <c r="P30" s="28">
        <v>167</v>
      </c>
    </row>
    <row r="31" spans="2:16" x14ac:dyDescent="0.25">
      <c r="B31" s="76" t="s">
        <v>58</v>
      </c>
      <c r="C31" s="77">
        <f t="shared" ref="C31:O31" si="4">C32-(C5+C15+C23+C28)</f>
        <v>774.5</v>
      </c>
      <c r="D31" s="77">
        <f t="shared" si="4"/>
        <v>1441</v>
      </c>
      <c r="E31" s="77">
        <f t="shared" si="4"/>
        <v>2192.4000000000005</v>
      </c>
      <c r="F31" s="77">
        <f t="shared" si="4"/>
        <v>814.29999999999927</v>
      </c>
      <c r="G31" s="77">
        <f t="shared" si="4"/>
        <v>678.40000000000055</v>
      </c>
      <c r="H31" s="77">
        <f t="shared" si="4"/>
        <v>126.49999999999636</v>
      </c>
      <c r="I31" s="77">
        <f t="shared" si="4"/>
        <v>684.80000000000109</v>
      </c>
      <c r="J31" s="77">
        <f t="shared" si="4"/>
        <v>693.30000000000109</v>
      </c>
      <c r="K31" s="77">
        <f t="shared" si="4"/>
        <v>494.5</v>
      </c>
      <c r="L31" s="77">
        <f t="shared" si="4"/>
        <v>548.99999999999818</v>
      </c>
      <c r="M31" s="77">
        <f t="shared" si="4"/>
        <v>614.5</v>
      </c>
      <c r="N31" s="77">
        <f t="shared" si="4"/>
        <v>391.52000000000044</v>
      </c>
      <c r="O31" s="77">
        <f t="shared" si="4"/>
        <v>275.93999999999505</v>
      </c>
      <c r="P31" s="86"/>
    </row>
    <row r="32" spans="2:16" x14ac:dyDescent="0.25">
      <c r="B32" s="31" t="s">
        <v>59</v>
      </c>
      <c r="C32" s="27">
        <v>6960</v>
      </c>
      <c r="D32" s="27">
        <v>8312.1</v>
      </c>
      <c r="E32" s="27">
        <v>9498.6</v>
      </c>
      <c r="F32" s="27">
        <v>9353.4</v>
      </c>
      <c r="G32" s="27">
        <v>8768</v>
      </c>
      <c r="H32" s="27">
        <v>11302.8</v>
      </c>
      <c r="I32" s="27">
        <v>11439.1</v>
      </c>
      <c r="J32" s="27">
        <v>13532.8</v>
      </c>
      <c r="K32" s="27">
        <v>12729</v>
      </c>
      <c r="L32" s="27">
        <v>15557.7</v>
      </c>
      <c r="M32" s="27">
        <v>17600.8</v>
      </c>
      <c r="N32" s="27">
        <v>19292</v>
      </c>
      <c r="O32" s="67">
        <v>19799</v>
      </c>
      <c r="P32" s="32">
        <v>22974</v>
      </c>
    </row>
    <row r="33" spans="2:36" x14ac:dyDescent="0.25">
      <c r="B33" t="s">
        <v>60</v>
      </c>
      <c r="C33" s="25">
        <v>1626.7</v>
      </c>
      <c r="D33" s="25">
        <v>1807.4</v>
      </c>
      <c r="E33" s="25">
        <v>1860.1</v>
      </c>
      <c r="F33" s="25">
        <v>1788</v>
      </c>
      <c r="G33" s="25">
        <v>1673.5</v>
      </c>
      <c r="H33" s="25">
        <v>2170.1999999999998</v>
      </c>
      <c r="I33" s="25">
        <v>2170.8000000000002</v>
      </c>
      <c r="J33" s="25">
        <v>2403.8000000000002</v>
      </c>
      <c r="K33" s="25">
        <v>2225</v>
      </c>
      <c r="L33" s="25">
        <v>2447.8000000000002</v>
      </c>
      <c r="M33" s="25">
        <v>3008.3</v>
      </c>
      <c r="N33" s="25">
        <v>3371.7</v>
      </c>
      <c r="O33" s="66">
        <v>3577</v>
      </c>
      <c r="P33" s="28">
        <v>3268</v>
      </c>
    </row>
    <row r="34" spans="2:36" x14ac:dyDescent="0.25">
      <c r="B34" s="31" t="s">
        <v>61</v>
      </c>
      <c r="C34" s="27">
        <f t="shared" ref="C34:P34" si="5">C32-C33</f>
        <v>5333.3</v>
      </c>
      <c r="D34" s="27">
        <f t="shared" si="5"/>
        <v>6504.7000000000007</v>
      </c>
      <c r="E34" s="27">
        <f t="shared" si="5"/>
        <v>7638.5</v>
      </c>
      <c r="F34" s="27">
        <f t="shared" si="5"/>
        <v>7565.4</v>
      </c>
      <c r="G34" s="27">
        <f t="shared" si="5"/>
        <v>7094.5</v>
      </c>
      <c r="H34" s="27">
        <f t="shared" si="5"/>
        <v>9132.5999999999985</v>
      </c>
      <c r="I34" s="27">
        <f t="shared" si="5"/>
        <v>9268.2999999999993</v>
      </c>
      <c r="J34" s="27">
        <f t="shared" si="5"/>
        <v>11129</v>
      </c>
      <c r="K34" s="27">
        <f t="shared" si="5"/>
        <v>10504</v>
      </c>
      <c r="L34" s="27">
        <f t="shared" si="5"/>
        <v>13109.900000000001</v>
      </c>
      <c r="M34" s="27">
        <f t="shared" si="5"/>
        <v>14592.5</v>
      </c>
      <c r="N34" s="27">
        <f t="shared" si="5"/>
        <v>15920.3</v>
      </c>
      <c r="O34" s="67">
        <f t="shared" si="5"/>
        <v>16222</v>
      </c>
      <c r="P34" s="67">
        <f t="shared" si="5"/>
        <v>19706</v>
      </c>
    </row>
    <row r="35" spans="2:36" x14ac:dyDescent="0.25">
      <c r="B35" t="s">
        <v>62</v>
      </c>
      <c r="C35" s="25">
        <v>1985.1</v>
      </c>
      <c r="D35" s="25">
        <v>2356.5</v>
      </c>
      <c r="E35" s="25">
        <v>2409.1</v>
      </c>
      <c r="F35" s="25">
        <v>2562.6999999999998</v>
      </c>
      <c r="G35" s="25">
        <v>2522.8000000000002</v>
      </c>
      <c r="H35" s="25">
        <v>2711.2</v>
      </c>
      <c r="I35" s="25">
        <v>2734.1</v>
      </c>
      <c r="J35" s="25">
        <v>3022.5</v>
      </c>
      <c r="K35" s="25">
        <v>2734</v>
      </c>
      <c r="L35" s="25">
        <v>3336.1</v>
      </c>
      <c r="M35" s="25">
        <v>3465.7</v>
      </c>
      <c r="N35" s="25">
        <v>3801.5</v>
      </c>
      <c r="O35" s="66">
        <v>3510</v>
      </c>
      <c r="P35" s="28">
        <v>3819</v>
      </c>
    </row>
    <row r="36" spans="2:36" ht="15.75" customHeight="1" x14ac:dyDescent="0.25">
      <c r="B36" t="s">
        <v>63</v>
      </c>
      <c r="C36" s="25">
        <v>1749.2</v>
      </c>
      <c r="D36" s="25">
        <v>1925.4</v>
      </c>
      <c r="E36" s="25">
        <v>1803.9</v>
      </c>
      <c r="F36" s="25">
        <v>1924.6</v>
      </c>
      <c r="G36" s="25">
        <v>1952.2</v>
      </c>
      <c r="H36" s="25">
        <v>2117.3000000000002</v>
      </c>
      <c r="I36" s="25">
        <v>2099.8000000000002</v>
      </c>
      <c r="J36" s="25">
        <v>2424.5</v>
      </c>
      <c r="K36" s="25">
        <v>2468</v>
      </c>
      <c r="L36" s="25">
        <v>2753</v>
      </c>
      <c r="M36" s="25">
        <v>2740.7</v>
      </c>
      <c r="N36" s="25">
        <v>3131.4</v>
      </c>
      <c r="O36" s="66">
        <v>2934</v>
      </c>
      <c r="P36" s="28">
        <v>3430</v>
      </c>
    </row>
    <row r="37" spans="2:36" x14ac:dyDescent="0.25">
      <c r="B37" t="s">
        <v>64</v>
      </c>
      <c r="C37" s="25">
        <v>105</v>
      </c>
      <c r="D37" s="25">
        <v>97.1</v>
      </c>
      <c r="E37" s="25">
        <v>2975.1</v>
      </c>
      <c r="F37" s="25">
        <v>622.6</v>
      </c>
      <c r="G37" s="25">
        <v>110.5</v>
      </c>
      <c r="H37" s="25">
        <v>154.30000000000001</v>
      </c>
      <c r="I37" s="25">
        <v>2826.4</v>
      </c>
      <c r="J37" s="25">
        <v>189.2</v>
      </c>
      <c r="K37" s="25">
        <v>1572</v>
      </c>
      <c r="L37" s="25">
        <v>153</v>
      </c>
      <c r="M37" s="25">
        <v>655.7</v>
      </c>
      <c r="N37" s="25">
        <v>528.79999999999995</v>
      </c>
      <c r="O37" s="66">
        <v>584</v>
      </c>
      <c r="P37" s="28">
        <v>2776</v>
      </c>
    </row>
    <row r="38" spans="2:36" x14ac:dyDescent="0.25">
      <c r="B38" t="s">
        <v>65</v>
      </c>
      <c r="C38" s="25">
        <v>0</v>
      </c>
      <c r="D38" s="25">
        <v>0</v>
      </c>
      <c r="E38" s="25">
        <v>0</v>
      </c>
      <c r="F38" s="25">
        <v>67.7</v>
      </c>
      <c r="G38" s="25">
        <v>0</v>
      </c>
      <c r="H38" s="25">
        <v>435</v>
      </c>
      <c r="I38" s="25">
        <v>81.599999999999994</v>
      </c>
      <c r="J38" s="25">
        <v>344</v>
      </c>
      <c r="K38" s="25">
        <v>35</v>
      </c>
      <c r="L38" s="25">
        <v>0</v>
      </c>
      <c r="M38" s="25">
        <v>364.9</v>
      </c>
      <c r="N38" s="25">
        <v>84.1</v>
      </c>
      <c r="O38" s="66">
        <v>279</v>
      </c>
      <c r="P38" s="28">
        <v>703</v>
      </c>
    </row>
    <row r="39" spans="2:36" x14ac:dyDescent="0.25">
      <c r="B39" t="s">
        <v>66</v>
      </c>
      <c r="C39" s="25">
        <v>-35.700000000000003</v>
      </c>
      <c r="D39" s="25">
        <v>36.799999999999997</v>
      </c>
      <c r="E39" s="25">
        <v>23.2</v>
      </c>
      <c r="F39" s="25">
        <v>121</v>
      </c>
      <c r="G39" s="25">
        <v>-27.1</v>
      </c>
      <c r="H39" s="25">
        <v>197.6</v>
      </c>
      <c r="I39" s="25">
        <v>-62</v>
      </c>
      <c r="J39" s="25">
        <v>110.2</v>
      </c>
      <c r="K39" s="25">
        <v>239</v>
      </c>
      <c r="L39" s="25">
        <v>90.6</v>
      </c>
      <c r="M39" s="25">
        <v>133.1</v>
      </c>
      <c r="N39" s="25">
        <v>108.3</v>
      </c>
      <c r="O39" s="66">
        <v>65</v>
      </c>
      <c r="P39" s="28">
        <v>-269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spans="2:36" x14ac:dyDescent="0.25">
      <c r="B40" t="s">
        <v>67</v>
      </c>
      <c r="C40" s="25">
        <f t="shared" ref="C40:P40" si="6">C34-(SUM(C35:C39))</f>
        <v>1529.6999999999998</v>
      </c>
      <c r="D40" s="25">
        <f t="shared" si="6"/>
        <v>2088.9000000000005</v>
      </c>
      <c r="E40" s="25">
        <f t="shared" si="6"/>
        <v>427.19999999999982</v>
      </c>
      <c r="F40" s="25">
        <f t="shared" si="6"/>
        <v>2266.8000000000002</v>
      </c>
      <c r="G40" s="25">
        <f t="shared" si="6"/>
        <v>2536.1000000000004</v>
      </c>
      <c r="H40" s="25">
        <f t="shared" si="6"/>
        <v>3517.199999999998</v>
      </c>
      <c r="I40" s="25">
        <f t="shared" si="6"/>
        <v>1588.3999999999996</v>
      </c>
      <c r="J40" s="25">
        <f t="shared" si="6"/>
        <v>5038.6000000000004</v>
      </c>
      <c r="K40" s="25">
        <f t="shared" si="6"/>
        <v>3456</v>
      </c>
      <c r="L40" s="25">
        <f t="shared" si="6"/>
        <v>6777.2000000000007</v>
      </c>
      <c r="M40" s="25">
        <f t="shared" si="6"/>
        <v>7232.4000000000005</v>
      </c>
      <c r="N40" s="25">
        <f t="shared" si="6"/>
        <v>8266.1999999999989</v>
      </c>
      <c r="O40" s="66">
        <f t="shared" si="6"/>
        <v>8850</v>
      </c>
      <c r="P40" s="66">
        <f t="shared" si="6"/>
        <v>9247</v>
      </c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2:36" x14ac:dyDescent="0.25">
      <c r="B41" t="s">
        <v>68</v>
      </c>
      <c r="C41" s="25">
        <v>184.8</v>
      </c>
      <c r="D41" s="25">
        <v>325.7</v>
      </c>
      <c r="E41" s="25">
        <v>484.6</v>
      </c>
      <c r="F41" s="25">
        <v>319.10000000000002</v>
      </c>
      <c r="G41" s="25">
        <v>293.2</v>
      </c>
      <c r="H41" s="25">
        <v>550.20000000000005</v>
      </c>
      <c r="I41" s="25">
        <v>618.1</v>
      </c>
      <c r="J41" s="25">
        <v>628.9</v>
      </c>
      <c r="K41" s="25">
        <v>697</v>
      </c>
      <c r="L41" s="25">
        <v>1115.9000000000001</v>
      </c>
      <c r="M41" s="25">
        <v>1649.9</v>
      </c>
      <c r="N41" s="25">
        <v>1628.5</v>
      </c>
      <c r="O41" s="66">
        <v>1454</v>
      </c>
      <c r="P41" s="28">
        <v>2152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spans="2:36" ht="16.5" thickBot="1" x14ac:dyDescent="0.3">
      <c r="B42" s="78" t="s">
        <v>69</v>
      </c>
      <c r="C42" s="79">
        <f t="shared" ref="C42:P42" si="7">C40-C41</f>
        <v>1344.8999999999999</v>
      </c>
      <c r="D42" s="79">
        <f t="shared" si="7"/>
        <v>1763.2000000000005</v>
      </c>
      <c r="E42" s="79">
        <f t="shared" si="7"/>
        <v>-57.400000000000205</v>
      </c>
      <c r="F42" s="79">
        <f t="shared" si="7"/>
        <v>1947.7000000000003</v>
      </c>
      <c r="G42" s="79">
        <f t="shared" si="7"/>
        <v>2242.9000000000005</v>
      </c>
      <c r="H42" s="79">
        <f t="shared" si="7"/>
        <v>2966.9999999999982</v>
      </c>
      <c r="I42" s="79">
        <f t="shared" si="7"/>
        <v>970.29999999999961</v>
      </c>
      <c r="J42" s="79">
        <f t="shared" si="7"/>
        <v>4409.7000000000007</v>
      </c>
      <c r="K42" s="79">
        <f t="shared" si="7"/>
        <v>2759</v>
      </c>
      <c r="L42" s="79">
        <f t="shared" si="7"/>
        <v>5661.3000000000011</v>
      </c>
      <c r="M42" s="79">
        <f t="shared" si="7"/>
        <v>5582.5</v>
      </c>
      <c r="N42" s="79">
        <f t="shared" si="7"/>
        <v>6637.6999999999989</v>
      </c>
      <c r="O42" s="79">
        <f t="shared" si="7"/>
        <v>7396</v>
      </c>
      <c r="P42" s="79">
        <f t="shared" si="7"/>
        <v>7095</v>
      </c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spans="2:36" ht="16.5" thickTop="1" x14ac:dyDescent="0.25">
      <c r="B43" t="s">
        <v>70</v>
      </c>
      <c r="C43" s="13">
        <f t="shared" ref="C43:P43" si="8">C42/C44</f>
        <v>1.4888741281966122</v>
      </c>
      <c r="D43" s="13">
        <f t="shared" si="8"/>
        <v>1.9526024363233672</v>
      </c>
      <c r="E43" s="13">
        <f t="shared" si="8"/>
        <v>-6.3791953767504114E-2</v>
      </c>
      <c r="F43" s="13">
        <f t="shared" si="8"/>
        <v>2.1617092119866816</v>
      </c>
      <c r="G43" s="13">
        <f t="shared" si="8"/>
        <v>2.4816331046691755</v>
      </c>
      <c r="H43" s="13">
        <f t="shared" si="8"/>
        <v>3.2813536828135348</v>
      </c>
      <c r="I43" s="13">
        <f t="shared" si="8"/>
        <v>1.0721546961325963</v>
      </c>
      <c r="J43" s="13">
        <f t="shared" si="8"/>
        <v>4.8779867256637175</v>
      </c>
      <c r="K43" s="13">
        <f t="shared" si="8"/>
        <v>3.0635132134132799</v>
      </c>
      <c r="L43" s="13">
        <f t="shared" si="8"/>
        <v>6.2917314958879764</v>
      </c>
      <c r="M43" s="13">
        <f t="shared" si="8"/>
        <v>6.2110591900311531</v>
      </c>
      <c r="N43" s="13">
        <f t="shared" si="8"/>
        <v>7.3916481069042304</v>
      </c>
      <c r="O43" s="68">
        <f t="shared" si="8"/>
        <v>8.2553856457193877</v>
      </c>
      <c r="P43" s="68">
        <f t="shared" si="8"/>
        <v>7.9391632938743673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2:36" x14ac:dyDescent="0.25">
      <c r="B44" t="s">
        <v>8</v>
      </c>
      <c r="C44" s="11">
        <v>903.3</v>
      </c>
      <c r="D44" s="11">
        <v>903</v>
      </c>
      <c r="E44" s="11">
        <v>899.8</v>
      </c>
      <c r="F44" s="11">
        <v>901</v>
      </c>
      <c r="G44" s="11">
        <v>903.8</v>
      </c>
      <c r="H44" s="11">
        <v>904.2</v>
      </c>
      <c r="I44" s="11">
        <v>905</v>
      </c>
      <c r="J44" s="11">
        <v>904</v>
      </c>
      <c r="K44" s="11">
        <v>900.6</v>
      </c>
      <c r="L44" s="11">
        <v>899.8</v>
      </c>
      <c r="M44" s="11">
        <v>898.8</v>
      </c>
      <c r="N44" s="11">
        <v>898</v>
      </c>
      <c r="O44" s="69">
        <v>895.9</v>
      </c>
      <c r="P44" s="11">
        <v>893.67100000000005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2:36" x14ac:dyDescent="0.25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68"/>
    </row>
    <row r="46" spans="2:36" ht="16.5" thickBot="1" x14ac:dyDescent="0.3">
      <c r="B46" s="65" t="s">
        <v>274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68"/>
    </row>
    <row r="47" spans="2:36" x14ac:dyDescent="0.25">
      <c r="B47" s="34" t="s">
        <v>275</v>
      </c>
      <c r="C47" s="35">
        <v>0</v>
      </c>
      <c r="D47" s="35">
        <v>0</v>
      </c>
      <c r="E47" s="35">
        <v>0</v>
      </c>
      <c r="F47" s="35">
        <v>0</v>
      </c>
      <c r="G47" s="36">
        <f>(G5-C5)/C5</f>
        <v>0.3272686821743751</v>
      </c>
      <c r="H47" s="36">
        <f t="shared" ref="H47:P47" si="9">(H5-D5)/D5</f>
        <v>0.84461552905830484</v>
      </c>
      <c r="I47" s="36">
        <f t="shared" si="9"/>
        <v>0.59057256757348775</v>
      </c>
      <c r="J47" s="36">
        <f t="shared" si="9"/>
        <v>0.6037182171166815</v>
      </c>
      <c r="K47" s="36">
        <f t="shared" si="9"/>
        <v>0.70360575132235725</v>
      </c>
      <c r="L47" s="36">
        <f t="shared" si="9"/>
        <v>0.4233470758894487</v>
      </c>
      <c r="M47" s="36">
        <f t="shared" si="9"/>
        <v>0.79737247989423821</v>
      </c>
      <c r="N47" s="36">
        <f t="shared" si="9"/>
        <v>0.62075044350474762</v>
      </c>
      <c r="O47" s="36">
        <f t="shared" si="9"/>
        <v>0.72634743631791865</v>
      </c>
      <c r="P47" s="87">
        <f t="shared" si="9"/>
        <v>0.3382145219832286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spans="2:36" x14ac:dyDescent="0.25">
      <c r="B48" s="34" t="s">
        <v>276</v>
      </c>
      <c r="C48" s="35">
        <v>0</v>
      </c>
      <c r="D48" s="35">
        <v>0</v>
      </c>
      <c r="E48" s="35">
        <v>0</v>
      </c>
      <c r="F48" s="35">
        <v>0</v>
      </c>
      <c r="G48" s="36">
        <f>(G15-C15)/C15</f>
        <v>0.35016260162601603</v>
      </c>
      <c r="H48" s="36">
        <f t="shared" ref="H48:P48" si="10">(H15-D15)/D15</f>
        <v>0.34544975635453734</v>
      </c>
      <c r="I48" s="36">
        <f t="shared" si="10"/>
        <v>0.31684098453059428</v>
      </c>
      <c r="J48" s="36">
        <f t="shared" si="10"/>
        <v>0.34097454210344419</v>
      </c>
      <c r="K48" s="36">
        <f t="shared" si="10"/>
        <v>0.11597519118444037</v>
      </c>
      <c r="L48" s="36">
        <f t="shared" si="10"/>
        <v>0.13429913860610809</v>
      </c>
      <c r="M48" s="36">
        <f t="shared" si="10"/>
        <v>0.10624940549795496</v>
      </c>
      <c r="N48" s="36">
        <f t="shared" si="10"/>
        <v>6.0261145949660762E-2</v>
      </c>
      <c r="O48" s="36">
        <f t="shared" si="10"/>
        <v>0.22397884854044131</v>
      </c>
      <c r="P48" s="87">
        <f t="shared" si="10"/>
        <v>-0.88479461511908875</v>
      </c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 spans="2:36" x14ac:dyDescent="0.25">
      <c r="B49" s="34" t="s">
        <v>277</v>
      </c>
      <c r="C49" s="35">
        <v>0</v>
      </c>
      <c r="D49" s="35">
        <v>0</v>
      </c>
      <c r="E49" s="35">
        <v>0</v>
      </c>
      <c r="F49" s="35">
        <v>0</v>
      </c>
      <c r="G49" s="36">
        <f>(G23-C23)/C23</f>
        <v>0.10332054504564099</v>
      </c>
      <c r="H49" s="36">
        <f t="shared" ref="H49:P49" si="11">(H23-D23)/D23</f>
        <v>0.17284351972258369</v>
      </c>
      <c r="I49" s="36">
        <f t="shared" si="11"/>
        <v>0.21545715457154563</v>
      </c>
      <c r="J49" s="36">
        <f t="shared" si="11"/>
        <v>0.25561715786402123</v>
      </c>
      <c r="K49" s="36">
        <f t="shared" si="11"/>
        <v>0.30467625899280565</v>
      </c>
      <c r="L49" s="36">
        <f t="shared" si="11"/>
        <v>0.16012196248729529</v>
      </c>
      <c r="M49" s="36">
        <f t="shared" si="11"/>
        <v>0.14892899308483737</v>
      </c>
      <c r="N49" s="36">
        <f t="shared" si="11"/>
        <v>0.18948020760709575</v>
      </c>
      <c r="O49" s="36">
        <f t="shared" si="11"/>
        <v>0.10532120209539578</v>
      </c>
      <c r="P49" s="87">
        <f t="shared" si="11"/>
        <v>-0.75868110863332272</v>
      </c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</row>
    <row r="50" spans="2:36" x14ac:dyDescent="0.25">
      <c r="B50" s="34" t="s">
        <v>278</v>
      </c>
      <c r="C50" s="35">
        <v>0</v>
      </c>
      <c r="D50" s="35">
        <v>0</v>
      </c>
      <c r="E50" s="35">
        <v>0</v>
      </c>
      <c r="F50" s="35">
        <v>0</v>
      </c>
      <c r="G50" s="36">
        <f>(G28-C28)/C28</f>
        <v>0.46273493195074511</v>
      </c>
      <c r="H50" s="36">
        <f t="shared" ref="H50:P50" si="12">(H28-D28)/D28</f>
        <v>0.13408151210868274</v>
      </c>
      <c r="I50" s="36">
        <f t="shared" si="12"/>
        <v>0.21246290801186951</v>
      </c>
      <c r="J50" s="36">
        <f t="shared" si="12"/>
        <v>0.38473938742611496</v>
      </c>
      <c r="K50" s="36">
        <f t="shared" si="12"/>
        <v>-0.35268054940186089</v>
      </c>
      <c r="L50" s="36">
        <f t="shared" si="12"/>
        <v>0.30052083333333329</v>
      </c>
      <c r="M50" s="36">
        <f t="shared" si="12"/>
        <v>0.20460107684777279</v>
      </c>
      <c r="N50" s="36">
        <f t="shared" si="12"/>
        <v>0.43647652308886331</v>
      </c>
      <c r="O50" s="36">
        <f t="shared" si="12"/>
        <v>0.78685831622176605</v>
      </c>
      <c r="P50" s="87">
        <f t="shared" si="12"/>
        <v>-0.33119743692430914</v>
      </c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</row>
    <row r="51" spans="2:36" x14ac:dyDescent="0.25">
      <c r="B51" s="34" t="s">
        <v>279</v>
      </c>
      <c r="C51" s="35">
        <v>0</v>
      </c>
      <c r="D51" s="35">
        <v>0</v>
      </c>
      <c r="E51" s="35">
        <v>0</v>
      </c>
      <c r="F51" s="35">
        <v>0</v>
      </c>
      <c r="G51" s="36">
        <f>(G31-C31)/C31</f>
        <v>-0.12408005164622267</v>
      </c>
      <c r="H51" s="36">
        <f t="shared" ref="H51:P51" si="13">(H31-D31)/D31</f>
        <v>-0.91221374045801784</v>
      </c>
      <c r="I51" s="36">
        <f t="shared" si="13"/>
        <v>-0.68764823937237685</v>
      </c>
      <c r="J51" s="36">
        <f t="shared" si="13"/>
        <v>-0.14859388431781689</v>
      </c>
      <c r="K51" s="36">
        <f t="shared" si="13"/>
        <v>-0.27107900943396285</v>
      </c>
      <c r="L51" s="36">
        <f t="shared" si="13"/>
        <v>3.3399209486167112</v>
      </c>
      <c r="M51" s="36">
        <f t="shared" si="13"/>
        <v>-0.10265771028037526</v>
      </c>
      <c r="N51" s="36">
        <f t="shared" si="13"/>
        <v>-0.43528054233376628</v>
      </c>
      <c r="O51" s="36">
        <f t="shared" si="13"/>
        <v>-0.44198179979778551</v>
      </c>
      <c r="P51" s="87">
        <f t="shared" si="13"/>
        <v>-1</v>
      </c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</row>
    <row r="52" spans="2:36" x14ac:dyDescent="0.25">
      <c r="B52" s="34" t="s">
        <v>269</v>
      </c>
      <c r="C52" s="36">
        <f t="shared" ref="C52:O52" si="14">C34/C32</f>
        <v>0.76627873563218396</v>
      </c>
      <c r="D52" s="36">
        <f t="shared" si="14"/>
        <v>0.78255795767615888</v>
      </c>
      <c r="E52" s="36">
        <f t="shared" si="14"/>
        <v>0.80417114101025411</v>
      </c>
      <c r="F52" s="36">
        <f t="shared" si="14"/>
        <v>0.80883956636089549</v>
      </c>
      <c r="G52" s="36">
        <f t="shared" si="14"/>
        <v>0.80913549270072993</v>
      </c>
      <c r="H52" s="36">
        <f t="shared" si="14"/>
        <v>0.80799447924408108</v>
      </c>
      <c r="I52" s="36">
        <f t="shared" si="14"/>
        <v>0.81022982577300651</v>
      </c>
      <c r="J52" s="36">
        <f t="shared" si="14"/>
        <v>0.82237231023882718</v>
      </c>
      <c r="K52" s="36">
        <f t="shared" si="14"/>
        <v>0.82520229397438916</v>
      </c>
      <c r="L52" s="36">
        <f t="shared" si="14"/>
        <v>0.8426631185843666</v>
      </c>
      <c r="M52" s="36">
        <f t="shared" si="14"/>
        <v>0.82908163265306123</v>
      </c>
      <c r="N52" s="36">
        <f t="shared" si="14"/>
        <v>0.82522807381297947</v>
      </c>
      <c r="O52" s="70">
        <f t="shared" si="14"/>
        <v>0.81933430981362698</v>
      </c>
      <c r="P52" s="70">
        <f t="shared" ref="P52" si="15">P34/P32</f>
        <v>0.85775224166449027</v>
      </c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spans="2:36" x14ac:dyDescent="0.25">
      <c r="B53" s="34" t="s">
        <v>270</v>
      </c>
      <c r="C53" s="36">
        <f>C35/C34</f>
        <v>0.37220857630360188</v>
      </c>
      <c r="D53" s="36">
        <f t="shared" ref="D53:O53" si="16">D35/D34</f>
        <v>0.36227650775593029</v>
      </c>
      <c r="E53" s="36">
        <f t="shared" si="16"/>
        <v>0.31538914708385152</v>
      </c>
      <c r="F53" s="36">
        <f t="shared" si="16"/>
        <v>0.33873952467813995</v>
      </c>
      <c r="G53" s="36">
        <f t="shared" si="16"/>
        <v>0.3555994079921066</v>
      </c>
      <c r="H53" s="36">
        <f t="shared" si="16"/>
        <v>0.29687055165013254</v>
      </c>
      <c r="I53" s="36">
        <f t="shared" si="16"/>
        <v>0.29499476710939437</v>
      </c>
      <c r="J53" s="36">
        <f t="shared" si="16"/>
        <v>0.27158774373259054</v>
      </c>
      <c r="K53" s="36">
        <f t="shared" si="16"/>
        <v>0.26028179741051027</v>
      </c>
      <c r="L53" s="36">
        <f t="shared" si="16"/>
        <v>0.25447181137918667</v>
      </c>
      <c r="M53" s="36">
        <f t="shared" si="16"/>
        <v>0.23749871509336987</v>
      </c>
      <c r="N53" s="36">
        <f t="shared" si="16"/>
        <v>0.23878318875900581</v>
      </c>
      <c r="O53" s="70">
        <f t="shared" si="16"/>
        <v>0.21637282702502775</v>
      </c>
      <c r="P53" s="70">
        <f t="shared" ref="P53" si="17">P35/P34</f>
        <v>0.19379884299198213</v>
      </c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2:36" x14ac:dyDescent="0.25">
      <c r="B54" s="34" t="s">
        <v>271</v>
      </c>
      <c r="C54" s="36">
        <f t="shared" ref="C54:O54" si="18">C36/C34</f>
        <v>0.32797704985656162</v>
      </c>
      <c r="D54" s="36">
        <f t="shared" si="18"/>
        <v>0.29600135286792623</v>
      </c>
      <c r="E54" s="36">
        <f t="shared" si="18"/>
        <v>0.23615893172743341</v>
      </c>
      <c r="F54" s="36">
        <f t="shared" si="18"/>
        <v>0.25439500885610805</v>
      </c>
      <c r="G54" s="36">
        <f t="shared" si="18"/>
        <v>0.27517090704066532</v>
      </c>
      <c r="H54" s="36">
        <f t="shared" si="18"/>
        <v>0.23183978275627976</v>
      </c>
      <c r="I54" s="36">
        <f t="shared" si="18"/>
        <v>0.22655718956011353</v>
      </c>
      <c r="J54" s="36">
        <f t="shared" si="18"/>
        <v>0.21785425465001348</v>
      </c>
      <c r="K54" s="36">
        <f t="shared" si="18"/>
        <v>0.23495811119573495</v>
      </c>
      <c r="L54" s="36">
        <f t="shared" si="18"/>
        <v>0.20999397401963399</v>
      </c>
      <c r="M54" s="36">
        <f t="shared" si="18"/>
        <v>0.18781565872879902</v>
      </c>
      <c r="N54" s="36">
        <f t="shared" si="18"/>
        <v>0.19669227338680806</v>
      </c>
      <c r="O54" s="70">
        <f t="shared" si="18"/>
        <v>0.18086549130810012</v>
      </c>
      <c r="P54" s="70">
        <f t="shared" ref="P54" si="19">P36/P34</f>
        <v>0.17405866233634426</v>
      </c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spans="2:36" x14ac:dyDescent="0.25">
      <c r="B55" s="34" t="s">
        <v>272</v>
      </c>
      <c r="C55" s="36">
        <f t="shared" ref="C55:O55" si="20">C37/C34</f>
        <v>1.9687623047644046E-2</v>
      </c>
      <c r="D55" s="36">
        <f t="shared" si="20"/>
        <v>1.4927667686442108E-2</v>
      </c>
      <c r="E55" s="36">
        <f t="shared" si="20"/>
        <v>0.38948746481639063</v>
      </c>
      <c r="F55" s="36">
        <f t="shared" si="20"/>
        <v>8.2295714701139402E-2</v>
      </c>
      <c r="G55" s="36">
        <f t="shared" si="20"/>
        <v>1.5575445767848334E-2</v>
      </c>
      <c r="H55" s="36">
        <f t="shared" si="20"/>
        <v>1.6895517158311984E-2</v>
      </c>
      <c r="I55" s="36">
        <f t="shared" si="20"/>
        <v>0.30495344345780784</v>
      </c>
      <c r="J55" s="36">
        <f t="shared" si="20"/>
        <v>1.7000628987330398E-2</v>
      </c>
      <c r="K55" s="36">
        <f t="shared" si="20"/>
        <v>0.14965727341964966</v>
      </c>
      <c r="L55" s="36">
        <f t="shared" si="20"/>
        <v>1.1670569569561933E-2</v>
      </c>
      <c r="M55" s="36">
        <f t="shared" si="20"/>
        <v>4.4934041459653934E-2</v>
      </c>
      <c r="N55" s="36">
        <f t="shared" si="20"/>
        <v>3.3215454482641654E-2</v>
      </c>
      <c r="O55" s="70">
        <f t="shared" si="20"/>
        <v>3.6000493157440513E-2</v>
      </c>
      <c r="P55" s="70">
        <f t="shared" ref="P55" si="21">P37/P34</f>
        <v>0.14087080077133868</v>
      </c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2:36" x14ac:dyDescent="0.25">
      <c r="B56" s="34" t="s">
        <v>273</v>
      </c>
      <c r="C56" s="36">
        <f t="shared" ref="C56:P56" si="22">C41/C40</f>
        <v>0.12080800156893511</v>
      </c>
      <c r="D56" s="36">
        <f t="shared" si="22"/>
        <v>0.15591938340753503</v>
      </c>
      <c r="E56" s="36">
        <f t="shared" si="22"/>
        <v>1.1343632958801504</v>
      </c>
      <c r="F56" s="36">
        <f t="shared" si="22"/>
        <v>0.14077113110993472</v>
      </c>
      <c r="G56" s="36">
        <f t="shared" si="22"/>
        <v>0.11561058317889671</v>
      </c>
      <c r="H56" s="36">
        <f t="shared" si="22"/>
        <v>0.15643125213237813</v>
      </c>
      <c r="I56" s="36">
        <f t="shared" si="22"/>
        <v>0.38913371946612957</v>
      </c>
      <c r="J56" s="36">
        <f t="shared" si="22"/>
        <v>0.12481641725876234</v>
      </c>
      <c r="K56" s="36">
        <f t="shared" si="22"/>
        <v>0.20167824074074073</v>
      </c>
      <c r="L56" s="36">
        <f t="shared" si="22"/>
        <v>0.16465501977217731</v>
      </c>
      <c r="M56" s="36">
        <f t="shared" si="22"/>
        <v>0.22812620983352691</v>
      </c>
      <c r="N56" s="36">
        <f t="shared" si="22"/>
        <v>0.19700708910986914</v>
      </c>
      <c r="O56" s="70">
        <f t="shared" si="22"/>
        <v>0.16429378531073446</v>
      </c>
      <c r="P56" s="70">
        <f t="shared" si="22"/>
        <v>0.2327241267438088</v>
      </c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  <row r="59" spans="2:36" x14ac:dyDescent="0.25">
      <c r="C59" s="72"/>
    </row>
    <row r="60" spans="2:36" x14ac:dyDescent="0.25">
      <c r="B60" s="82"/>
      <c r="C60" s="72"/>
    </row>
    <row r="61" spans="2:36" x14ac:dyDescent="0.25">
      <c r="B61" s="82"/>
      <c r="C61" s="72"/>
    </row>
    <row r="62" spans="2:36" ht="16.5" thickBot="1" x14ac:dyDescent="0.3">
      <c r="B62" s="65" t="s">
        <v>267</v>
      </c>
      <c r="C62" s="22"/>
      <c r="D62" s="22"/>
      <c r="E62" s="23"/>
      <c r="F62" s="22" t="str">
        <f t="shared" ref="F62:P62" si="23">F79</f>
        <v>FY'26</v>
      </c>
      <c r="G62" s="22" t="str">
        <f t="shared" si="23"/>
        <v>FY'27</v>
      </c>
      <c r="H62" s="22" t="str">
        <f t="shared" si="23"/>
        <v>FY'28</v>
      </c>
      <c r="I62" s="22" t="str">
        <f t="shared" si="23"/>
        <v>FY'29</v>
      </c>
      <c r="J62" s="22" t="str">
        <f t="shared" si="23"/>
        <v>FY'30</v>
      </c>
      <c r="K62" s="22" t="str">
        <f t="shared" si="23"/>
        <v>FY'31</v>
      </c>
      <c r="L62" s="22" t="str">
        <f t="shared" si="23"/>
        <v>FY'32</v>
      </c>
      <c r="M62" s="22" t="str">
        <f t="shared" si="23"/>
        <v>FY'33</v>
      </c>
      <c r="N62" s="22" t="str">
        <f t="shared" si="23"/>
        <v>FY'34</v>
      </c>
      <c r="O62" s="22" t="str">
        <f t="shared" si="23"/>
        <v>FY'35</v>
      </c>
      <c r="P62" s="22" t="str">
        <f t="shared" si="23"/>
        <v>FY'36</v>
      </c>
    </row>
    <row r="63" spans="2:36" x14ac:dyDescent="0.25">
      <c r="B63" s="34" t="s">
        <v>280</v>
      </c>
      <c r="E63" s="30"/>
      <c r="F63" s="71">
        <f>AVERAGE(G47:O47)</f>
        <v>0.62639979809461765</v>
      </c>
    </row>
    <row r="64" spans="2:36" x14ac:dyDescent="0.25">
      <c r="B64" s="34" t="s">
        <v>281</v>
      </c>
      <c r="E64" s="30"/>
      <c r="F64" s="71">
        <f>AVERAGE(G48:O48)</f>
        <v>0.2215768460436886</v>
      </c>
    </row>
    <row r="65" spans="2:16" x14ac:dyDescent="0.25">
      <c r="B65" s="34" t="s">
        <v>282</v>
      </c>
      <c r="E65" s="30"/>
      <c r="F65" s="71">
        <f>AVERAGE(G49:O49)</f>
        <v>0.18397411127458019</v>
      </c>
    </row>
    <row r="66" spans="2:16" x14ac:dyDescent="0.25">
      <c r="B66" s="34" t="s">
        <v>283</v>
      </c>
      <c r="E66" s="30"/>
      <c r="F66" s="71">
        <f>AVERAGE(G50:O50)</f>
        <v>0.2855327710652541</v>
      </c>
    </row>
    <row r="67" spans="2:16" x14ac:dyDescent="0.25">
      <c r="B67" s="34" t="s">
        <v>284</v>
      </c>
      <c r="E67" s="30"/>
      <c r="F67" s="71">
        <f>AVERAGE(G51:O51)</f>
        <v>2.4042885664042987E-2</v>
      </c>
    </row>
    <row r="68" spans="2:16" x14ac:dyDescent="0.25">
      <c r="B68" s="34" t="s">
        <v>71</v>
      </c>
      <c r="E68" s="30"/>
      <c r="F68" s="71">
        <f>AVERAGE(C52:P52)</f>
        <v>0.81506008422421783</v>
      </c>
    </row>
    <row r="69" spans="2:16" x14ac:dyDescent="0.25">
      <c r="B69" s="34" t="s">
        <v>72</v>
      </c>
      <c r="E69" s="30"/>
      <c r="F69" s="71">
        <f>O53</f>
        <v>0.21637282702502775</v>
      </c>
    </row>
    <row r="70" spans="2:16" x14ac:dyDescent="0.25">
      <c r="B70" s="34" t="s">
        <v>73</v>
      </c>
      <c r="E70" s="30"/>
      <c r="F70" s="71">
        <f>O54</f>
        <v>0.18086549130810012</v>
      </c>
    </row>
    <row r="71" spans="2:16" x14ac:dyDescent="0.25">
      <c r="B71" s="34" t="s">
        <v>74</v>
      </c>
      <c r="E71" s="30"/>
      <c r="F71" s="71">
        <f>O55</f>
        <v>3.6000493157440513E-2</v>
      </c>
    </row>
    <row r="72" spans="2:16" x14ac:dyDescent="0.25">
      <c r="B72" s="34" t="s">
        <v>75</v>
      </c>
      <c r="E72" s="30"/>
      <c r="F72" s="71">
        <v>0.2</v>
      </c>
    </row>
    <row r="73" spans="2:16" x14ac:dyDescent="0.25">
      <c r="E73" s="30"/>
    </row>
    <row r="74" spans="2:16" x14ac:dyDescent="0.25">
      <c r="E74" s="30"/>
    </row>
    <row r="75" spans="2:16" x14ac:dyDescent="0.25">
      <c r="E75" s="30"/>
    </row>
    <row r="76" spans="2:16" x14ac:dyDescent="0.25">
      <c r="E76" s="30"/>
    </row>
    <row r="77" spans="2:16" x14ac:dyDescent="0.25">
      <c r="E77" s="30"/>
    </row>
    <row r="78" spans="2:16" x14ac:dyDescent="0.25">
      <c r="E78" s="30"/>
    </row>
    <row r="79" spans="2:16" ht="16.5" customHeight="1" thickBot="1" x14ac:dyDescent="0.3">
      <c r="B79" s="21" t="s">
        <v>76</v>
      </c>
      <c r="C79" s="22" t="s">
        <v>77</v>
      </c>
      <c r="D79" s="22" t="s">
        <v>78</v>
      </c>
      <c r="E79" s="23" t="s">
        <v>79</v>
      </c>
      <c r="F79" s="22" t="s">
        <v>80</v>
      </c>
      <c r="G79" s="22" t="s">
        <v>81</v>
      </c>
      <c r="H79" s="22" t="s">
        <v>82</v>
      </c>
      <c r="I79" s="22" t="s">
        <v>83</v>
      </c>
      <c r="J79" s="22" t="s">
        <v>84</v>
      </c>
      <c r="K79" s="22" t="s">
        <v>85</v>
      </c>
      <c r="L79" s="22" t="s">
        <v>260</v>
      </c>
      <c r="M79" s="22" t="s">
        <v>261</v>
      </c>
      <c r="N79" s="22" t="s">
        <v>262</v>
      </c>
      <c r="O79" s="22" t="s">
        <v>263</v>
      </c>
      <c r="P79" s="22" t="s">
        <v>264</v>
      </c>
    </row>
    <row r="80" spans="2:16" ht="15" customHeight="1" x14ac:dyDescent="0.25">
      <c r="B80" s="24" t="s">
        <v>53</v>
      </c>
      <c r="C80" s="39">
        <f>SUM(C5:F5)</f>
        <v>18459.800000000003</v>
      </c>
      <c r="D80" s="39">
        <f>SUM(G5:J5)</f>
        <v>29452.299999999996</v>
      </c>
      <c r="E80" s="40">
        <f>SUM(K5:N5)</f>
        <v>47910.900000000009</v>
      </c>
      <c r="F80" s="39">
        <f>SUM(F81:F89)</f>
        <v>0</v>
      </c>
      <c r="G80" s="39">
        <f t="shared" ref="G80:P80" si="24">SUM(G81:G89)</f>
        <v>0</v>
      </c>
      <c r="H80" s="39">
        <f t="shared" si="24"/>
        <v>0</v>
      </c>
      <c r="I80" s="39">
        <f t="shared" si="24"/>
        <v>0</v>
      </c>
      <c r="J80" s="39">
        <f t="shared" si="24"/>
        <v>0</v>
      </c>
      <c r="K80" s="39">
        <f t="shared" si="24"/>
        <v>0</v>
      </c>
      <c r="L80" s="39">
        <f t="shared" si="24"/>
        <v>0</v>
      </c>
      <c r="M80" s="39">
        <f t="shared" si="24"/>
        <v>0</v>
      </c>
      <c r="N80" s="39">
        <f t="shared" si="24"/>
        <v>0</v>
      </c>
      <c r="O80" s="39">
        <f t="shared" si="24"/>
        <v>0</v>
      </c>
      <c r="P80" s="39">
        <f t="shared" si="24"/>
        <v>0</v>
      </c>
    </row>
    <row r="81" spans="2:16" ht="15" customHeight="1" x14ac:dyDescent="0.25">
      <c r="B81" t="s">
        <v>7</v>
      </c>
      <c r="C81" s="28">
        <f>SUM(C6:F6)</f>
        <v>5163.1000000000004</v>
      </c>
      <c r="D81" s="28">
        <f>SUM(G6:J6)</f>
        <v>11540</v>
      </c>
      <c r="E81" s="29">
        <f>SUM(K6:N6)</f>
        <v>22965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</row>
    <row r="82" spans="2:16" ht="15" customHeight="1" x14ac:dyDescent="0.25">
      <c r="B82" t="s">
        <v>9</v>
      </c>
      <c r="C82" s="28">
        <f>SUM(C7:F7)</f>
        <v>175.8</v>
      </c>
      <c r="D82" s="28">
        <f>SUM(G7:J7)</f>
        <v>4925.3999999999996</v>
      </c>
      <c r="E82" s="29">
        <f>SUM(K7:N7)</f>
        <v>13542.4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</row>
    <row r="83" spans="2:16" ht="15" customHeight="1" x14ac:dyDescent="0.25">
      <c r="B83" t="s">
        <v>11</v>
      </c>
      <c r="C83" s="28">
        <f>SUM(C8:F8)</f>
        <v>7132.5</v>
      </c>
      <c r="D83" s="28">
        <f>SUM(G8:J8)</f>
        <v>5253.5</v>
      </c>
      <c r="E83" s="29">
        <f>SUM(K8:N8)</f>
        <v>4276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</row>
    <row r="84" spans="2:16" ht="15" customHeight="1" x14ac:dyDescent="0.25">
      <c r="B84" s="26" t="s">
        <v>13</v>
      </c>
      <c r="C84" s="28">
        <f>SUM(C9:F9)</f>
        <v>0</v>
      </c>
      <c r="D84" s="28">
        <f>SUM(G9:J9)</f>
        <v>0</v>
      </c>
      <c r="E84" s="29">
        <f>SUM(K9:N9)</f>
        <v>0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</row>
    <row r="85" spans="2:16" ht="15" customHeight="1" x14ac:dyDescent="0.25">
      <c r="B85" s="26" t="s">
        <v>16</v>
      </c>
      <c r="C85" s="28">
        <f>SUM(C10:F10)</f>
        <v>0</v>
      </c>
      <c r="D85" s="28">
        <f>SUM(G10:J10)</f>
        <v>0</v>
      </c>
      <c r="E85" s="29">
        <f>SUM(K10:N10)</f>
        <v>0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</row>
    <row r="86" spans="2:16" ht="15" customHeight="1" x14ac:dyDescent="0.25">
      <c r="B86" t="s">
        <v>18</v>
      </c>
      <c r="C86" s="28">
        <f>SUM(C11:F11)</f>
        <v>728.3</v>
      </c>
      <c r="D86" s="28">
        <f>SUM(G11:J11)</f>
        <v>676.9</v>
      </c>
      <c r="E86" s="29">
        <f>SUM(K11:N11)</f>
        <v>657.7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</row>
    <row r="87" spans="2:16" ht="15" customHeight="1" x14ac:dyDescent="0.25">
      <c r="B87" t="s">
        <v>19</v>
      </c>
      <c r="C87" s="28">
        <f>SUM(C12:F12)</f>
        <v>1663.2999999999997</v>
      </c>
      <c r="D87" s="28">
        <f>SUM(G12:J12)</f>
        <v>2324.8000000000002</v>
      </c>
      <c r="E87" s="29">
        <f>SUM(K12:N12)</f>
        <v>2233.5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</row>
    <row r="88" spans="2:16" ht="15" customHeight="1" x14ac:dyDescent="0.25">
      <c r="B88" t="s">
        <v>54</v>
      </c>
      <c r="C88" s="28">
        <f>SUM(C13:F13)</f>
        <v>852.10000000000014</v>
      </c>
      <c r="D88" s="28">
        <f>SUM(G13:J13)</f>
        <v>917.2</v>
      </c>
      <c r="E88" s="29">
        <f>SUM(K13:N13)</f>
        <v>805.3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</row>
    <row r="89" spans="2:16" ht="15" customHeight="1" x14ac:dyDescent="0.25">
      <c r="B89" t="s">
        <v>21</v>
      </c>
      <c r="C89" s="28">
        <f>SUM(C14:F14)</f>
        <v>2744.7</v>
      </c>
      <c r="D89" s="28">
        <f>SUM(G14:J14)</f>
        <v>3814.5</v>
      </c>
      <c r="E89" s="29">
        <f>SUM(K14:N14)</f>
        <v>3431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</row>
    <row r="90" spans="2:16" x14ac:dyDescent="0.25">
      <c r="B90" s="24" t="s">
        <v>55</v>
      </c>
      <c r="C90" s="39">
        <f>SUM(C15:F15)</f>
        <v>6081.5</v>
      </c>
      <c r="D90" s="39">
        <f>SUM(G15:J15)</f>
        <v>8134.7</v>
      </c>
      <c r="E90" s="40">
        <f>SUM(K15:N15)</f>
        <v>8965.4000000000015</v>
      </c>
      <c r="F90" s="39">
        <v>9295.0861999999979</v>
      </c>
      <c r="G90" s="39">
        <v>9523.8690619999998</v>
      </c>
      <c r="H90" s="39">
        <v>9824.6268776200013</v>
      </c>
      <c r="I90" s="39">
        <v>10212.3080686462</v>
      </c>
      <c r="J90" s="39">
        <v>3660.6567469583701</v>
      </c>
      <c r="K90" s="39">
        <v>3070.226972684899</v>
      </c>
      <c r="L90" s="39">
        <v>3070.226972684899</v>
      </c>
      <c r="M90" s="39">
        <v>3070.226972684899</v>
      </c>
      <c r="N90" s="39">
        <v>3070.226972684899</v>
      </c>
      <c r="O90" s="39">
        <v>3070.226972684899</v>
      </c>
      <c r="P90" s="39">
        <v>3070.226972684899</v>
      </c>
    </row>
    <row r="91" spans="2:16" x14ac:dyDescent="0.25">
      <c r="B91" t="s">
        <v>23</v>
      </c>
      <c r="C91" s="28">
        <f>SUM(C16:F16)</f>
        <v>3863.2999999999997</v>
      </c>
      <c r="D91" s="28">
        <f>SUM(G16:J16)</f>
        <v>5306.5</v>
      </c>
      <c r="E91" s="29">
        <f>SUM(K16:N16)</f>
        <v>5722.4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</row>
    <row r="92" spans="2:16" x14ac:dyDescent="0.25">
      <c r="B92" t="s">
        <v>24</v>
      </c>
      <c r="C92" s="28">
        <f>SUM(C17:F17)</f>
        <v>974.80000000000007</v>
      </c>
      <c r="D92" s="28">
        <f>SUM(G17:J17)</f>
        <v>973.4</v>
      </c>
      <c r="E92" s="29">
        <f>SUM(K17:N17)</f>
        <v>982.7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</row>
    <row r="93" spans="2:16" x14ac:dyDescent="0.25">
      <c r="B93" t="s">
        <v>25</v>
      </c>
      <c r="C93" s="28">
        <f>SUM(C18:F18)</f>
        <v>596.5</v>
      </c>
      <c r="D93" s="28">
        <f>SUM(G18:J18)</f>
        <v>627.4</v>
      </c>
      <c r="E93" s="29">
        <f>SUM(K18:N18)</f>
        <v>706.3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</row>
    <row r="94" spans="2:16" x14ac:dyDescent="0.25">
      <c r="B94" t="s">
        <v>27</v>
      </c>
      <c r="C94" s="28">
        <f>SUM(C19:F19)</f>
        <v>253.60000000000002</v>
      </c>
      <c r="D94" s="28">
        <f>SUM(G19:J19)</f>
        <v>364.4</v>
      </c>
      <c r="E94" s="29">
        <f>SUM(K19:N19)</f>
        <v>445.3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</row>
    <row r="95" spans="2:16" x14ac:dyDescent="0.25">
      <c r="B95" t="s">
        <v>28</v>
      </c>
      <c r="C95" s="28">
        <f>SUM(C20:F20)</f>
        <v>393.29999999999995</v>
      </c>
      <c r="D95" s="28">
        <f>SUM(G20:J20)</f>
        <v>525.9</v>
      </c>
      <c r="E95" s="29">
        <f>SUM(K20:N20)</f>
        <v>552.6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</row>
    <row r="96" spans="2:16" x14ac:dyDescent="0.25">
      <c r="B96" t="s">
        <v>30</v>
      </c>
      <c r="C96" s="28">
        <f>SUM(C21:F21)</f>
        <v>0</v>
      </c>
      <c r="D96" s="28">
        <f>SUM(G21:J21)</f>
        <v>337.1</v>
      </c>
      <c r="E96" s="29">
        <f>SUM(K21:N21)</f>
        <v>511.1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</row>
    <row r="97" spans="2:16" x14ac:dyDescent="0.25">
      <c r="B97" t="s">
        <v>31</v>
      </c>
      <c r="C97" s="28">
        <f>SUM(C22:F22)</f>
        <v>0</v>
      </c>
      <c r="D97" s="28">
        <f>SUM(G22:J22)</f>
        <v>0</v>
      </c>
      <c r="E97" s="29">
        <f>SUM(K22:N22)</f>
        <v>45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</row>
    <row r="98" spans="2:16" x14ac:dyDescent="0.25">
      <c r="B98" s="24" t="s">
        <v>56</v>
      </c>
      <c r="C98" s="39">
        <f>SUM(C23:F23)</f>
        <v>3682.3999999999996</v>
      </c>
      <c r="D98" s="39">
        <f>SUM(G23:J23)</f>
        <v>4393</v>
      </c>
      <c r="E98" s="40">
        <f>SUM(K23:N23)</f>
        <v>5241.6000000000004</v>
      </c>
      <c r="F98" s="39">
        <v>6062.5159999999996</v>
      </c>
      <c r="G98" s="39">
        <v>6780.1265599999997</v>
      </c>
      <c r="H98" s="39">
        <v>7365.8160856000004</v>
      </c>
      <c r="I98" s="39">
        <v>8009.151332456001</v>
      </c>
      <c r="J98" s="39">
        <v>7491.2379372456016</v>
      </c>
      <c r="K98" s="39">
        <v>7849.7015989245629</v>
      </c>
      <c r="L98" s="39">
        <v>8150.0194413645631</v>
      </c>
      <c r="M98" s="39">
        <v>8465.3531759265643</v>
      </c>
      <c r="N98" s="39">
        <v>8796.4535972166632</v>
      </c>
      <c r="O98" s="39">
        <v>9144.1090395712708</v>
      </c>
      <c r="P98" s="39">
        <v>9509.1472540436062</v>
      </c>
    </row>
    <row r="99" spans="2:16" x14ac:dyDescent="0.25">
      <c r="B99" t="s">
        <v>32</v>
      </c>
      <c r="C99" s="28">
        <f>SUM(C24:F24)</f>
        <v>0</v>
      </c>
      <c r="D99" s="28">
        <f>SUM(G24:J24)</f>
        <v>42.7</v>
      </c>
      <c r="E99" s="29">
        <f>SUM(K24:N24)</f>
        <v>406.20000000000005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</row>
    <row r="100" spans="2:16" x14ac:dyDescent="0.25">
      <c r="B100" t="s">
        <v>33</v>
      </c>
      <c r="C100" s="28">
        <f>SUM(C25:F25)</f>
        <v>922.7</v>
      </c>
      <c r="D100" s="28">
        <f>SUM(G25:J25)</f>
        <v>957.50000000000011</v>
      </c>
      <c r="E100" s="29">
        <f>SUM(K25:N25)</f>
        <v>1005.6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</row>
    <row r="101" spans="2:16" x14ac:dyDescent="0.25">
      <c r="B101" t="s">
        <v>34</v>
      </c>
      <c r="C101" s="28">
        <f>SUM(C26:F26)</f>
        <v>0</v>
      </c>
      <c r="D101" s="28">
        <f>SUM(G26:J26)</f>
        <v>132.4</v>
      </c>
      <c r="E101" s="29">
        <f>SUM(K26:N26)</f>
        <v>266.8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</row>
    <row r="102" spans="2:16" x14ac:dyDescent="0.25">
      <c r="B102" t="s">
        <v>35</v>
      </c>
      <c r="C102" s="28">
        <f>SUM(C27:F27)</f>
        <v>2759.7000000000003</v>
      </c>
      <c r="D102" s="28">
        <f>SUM(G27:J27)</f>
        <v>3260.4</v>
      </c>
      <c r="E102" s="29">
        <f>SUM(K27:N27)</f>
        <v>3563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</row>
    <row r="103" spans="2:16" x14ac:dyDescent="0.25">
      <c r="B103" s="24" t="s">
        <v>57</v>
      </c>
      <c r="C103" s="39">
        <f>SUM(C28:F28)</f>
        <v>678.2</v>
      </c>
      <c r="D103" s="39">
        <f>SUM(G28:J28)</f>
        <v>879.7</v>
      </c>
      <c r="E103" s="40">
        <f>SUM(K28:N28)</f>
        <v>1012.08</v>
      </c>
      <c r="F103" s="39">
        <v>1043.4317999999998</v>
      </c>
      <c r="G103" s="39">
        <v>1077.2202179999999</v>
      </c>
      <c r="H103" s="39">
        <v>1113.6819301800001</v>
      </c>
      <c r="I103" s="39">
        <v>1153.0772104818</v>
      </c>
      <c r="J103" s="39">
        <v>1195.6922896866181</v>
      </c>
      <c r="K103" s="39">
        <v>1241.841950393484</v>
      </c>
      <c r="L103" s="39">
        <v>1241.841950393484</v>
      </c>
      <c r="M103" s="39">
        <v>1241.841950393484</v>
      </c>
      <c r="N103" s="39">
        <v>1241.841950393484</v>
      </c>
      <c r="O103" s="39">
        <v>1241.841950393484</v>
      </c>
      <c r="P103" s="39">
        <v>1241.841950393484</v>
      </c>
    </row>
    <row r="104" spans="2:16" x14ac:dyDescent="0.25">
      <c r="B104" t="s">
        <v>36</v>
      </c>
      <c r="C104" s="28">
        <f>SUM(C29:F29)</f>
        <v>678.2</v>
      </c>
      <c r="D104" s="28">
        <f>SUM(G29:J29)</f>
        <v>870.40000000000009</v>
      </c>
      <c r="E104" s="29">
        <f>SUM(K29:N29)</f>
        <v>776.18000000000006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</row>
    <row r="105" spans="2:16" x14ac:dyDescent="0.25">
      <c r="B105" t="s">
        <v>37</v>
      </c>
      <c r="C105" s="28">
        <f>SUM(C30:F30)</f>
        <v>0</v>
      </c>
      <c r="D105" s="28">
        <f>SUM(G30:J30)</f>
        <v>9.3000000000000007</v>
      </c>
      <c r="E105" s="29">
        <f>SUM(K30:N30)</f>
        <v>235.9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</row>
    <row r="106" spans="2:16" x14ac:dyDescent="0.25">
      <c r="B106" s="38" t="s">
        <v>86</v>
      </c>
      <c r="C106" s="28">
        <f>SUM(C31:F31)</f>
        <v>5222.2</v>
      </c>
      <c r="D106" s="28">
        <f>SUM(G31:J31)</f>
        <v>2182.9999999999991</v>
      </c>
      <c r="E106" s="29">
        <f>SUM(K31:N31)</f>
        <v>2049.5199999999986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</row>
    <row r="107" spans="2:16" x14ac:dyDescent="0.25">
      <c r="B107" s="31" t="s">
        <v>59</v>
      </c>
      <c r="C107" s="39">
        <f>C80+C90+C98+C103+C106</f>
        <v>34124.100000000006</v>
      </c>
      <c r="D107" s="39">
        <f t="shared" ref="D107:K107" si="25">D80+D90+D98+D103+D106</f>
        <v>45042.69999999999</v>
      </c>
      <c r="E107" s="40">
        <f t="shared" si="25"/>
        <v>65179.500000000007</v>
      </c>
      <c r="F107" s="39">
        <f t="shared" si="25"/>
        <v>16401.033999999996</v>
      </c>
      <c r="G107" s="39">
        <f t="shared" si="25"/>
        <v>17381.215839999997</v>
      </c>
      <c r="H107" s="39">
        <f t="shared" si="25"/>
        <v>18304.1248934</v>
      </c>
      <c r="I107" s="39">
        <f t="shared" si="25"/>
        <v>19374.536611584001</v>
      </c>
      <c r="J107" s="39">
        <f t="shared" si="25"/>
        <v>12347.586973890589</v>
      </c>
      <c r="K107" s="39">
        <f t="shared" si="25"/>
        <v>12161.770522002946</v>
      </c>
      <c r="L107" s="39">
        <f t="shared" ref="L107:P107" si="26">L80+L90+L98+L103+L106</f>
        <v>12462.088364442947</v>
      </c>
      <c r="M107" s="39">
        <f t="shared" si="26"/>
        <v>12777.422099004947</v>
      </c>
      <c r="N107" s="39">
        <f t="shared" si="26"/>
        <v>13108.522520295046</v>
      </c>
      <c r="O107" s="39">
        <f t="shared" si="26"/>
        <v>13456.177962649654</v>
      </c>
      <c r="P107" s="39">
        <f t="shared" si="26"/>
        <v>13821.216177121989</v>
      </c>
    </row>
    <row r="108" spans="2:16" x14ac:dyDescent="0.25">
      <c r="B108" t="s">
        <v>60</v>
      </c>
      <c r="C108" s="28">
        <f>SUM(C33:F33)</f>
        <v>7082.2000000000007</v>
      </c>
      <c r="D108" s="28">
        <f>SUM(G33:J33)</f>
        <v>8418.2999999999993</v>
      </c>
      <c r="E108" s="29">
        <f>SUM(K33:N33)</f>
        <v>11052.8</v>
      </c>
      <c r="F108" s="28">
        <f>F107*(1-$F$68)</f>
        <v>3033.2058465957389</v>
      </c>
      <c r="G108" s="28">
        <f>G107*(1-$F$68)</f>
        <v>3214.4805935302902</v>
      </c>
      <c r="H108" s="28">
        <f>H107*(1-$F$68)</f>
        <v>3385.1633161347936</v>
      </c>
      <c r="I108" s="28">
        <f t="shared" ref="I108:P108" si="27">I107*(1-$F$68)</f>
        <v>3583.125169141153</v>
      </c>
      <c r="J108" s="28">
        <f t="shared" si="27"/>
        <v>2283.5616949854707</v>
      </c>
      <c r="K108" s="28">
        <f t="shared" si="27"/>
        <v>2249.1968160236152</v>
      </c>
      <c r="L108" s="28">
        <f t="shared" si="27"/>
        <v>2304.7375725104334</v>
      </c>
      <c r="M108" s="28">
        <f t="shared" si="27"/>
        <v>2363.0553668215925</v>
      </c>
      <c r="N108" s="28">
        <f t="shared" si="27"/>
        <v>2424.2890508483097</v>
      </c>
      <c r="O108" s="28">
        <f t="shared" si="27"/>
        <v>2488.5844190763632</v>
      </c>
      <c r="P108" s="28">
        <f t="shared" si="27"/>
        <v>2556.0945557158188</v>
      </c>
    </row>
    <row r="109" spans="2:16" x14ac:dyDescent="0.25">
      <c r="B109" s="31" t="s">
        <v>61</v>
      </c>
      <c r="C109" s="39">
        <f>SUM(C34:F34)</f>
        <v>27041.9</v>
      </c>
      <c r="D109" s="39">
        <f>SUM(G34:J34)</f>
        <v>36624.399999999994</v>
      </c>
      <c r="E109" s="40">
        <f>SUM(K34:N34)</f>
        <v>54126.7</v>
      </c>
      <c r="F109" s="39">
        <f t="shared" ref="F109:P109" si="28">F107*($F$68)</f>
        <v>13367.828153404256</v>
      </c>
      <c r="G109" s="39">
        <f t="shared" si="28"/>
        <v>14166.735246469707</v>
      </c>
      <c r="H109" s="39">
        <f t="shared" si="28"/>
        <v>14918.961577265205</v>
      </c>
      <c r="I109" s="39">
        <f t="shared" si="28"/>
        <v>15791.411442442848</v>
      </c>
      <c r="J109" s="39">
        <f t="shared" si="28"/>
        <v>10064.025278905119</v>
      </c>
      <c r="K109" s="39">
        <f t="shared" si="28"/>
        <v>9912.57370597933</v>
      </c>
      <c r="L109" s="39">
        <f t="shared" si="28"/>
        <v>10157.350791932513</v>
      </c>
      <c r="M109" s="39">
        <f t="shared" si="28"/>
        <v>10414.366732183355</v>
      </c>
      <c r="N109" s="39">
        <f t="shared" si="28"/>
        <v>10684.233469446737</v>
      </c>
      <c r="O109" s="39">
        <f t="shared" si="28"/>
        <v>10967.59354357329</v>
      </c>
      <c r="P109" s="39">
        <f t="shared" si="28"/>
        <v>11265.12162140617</v>
      </c>
    </row>
    <row r="110" spans="2:16" x14ac:dyDescent="0.25">
      <c r="B110" t="s">
        <v>62</v>
      </c>
      <c r="C110" s="28">
        <f>SUM(C35:F35)</f>
        <v>9313.4000000000015</v>
      </c>
      <c r="D110" s="28">
        <f>SUM(G35:J35)</f>
        <v>10990.6</v>
      </c>
      <c r="E110" s="29">
        <f>SUM(K35:N35)</f>
        <v>13337.3</v>
      </c>
      <c r="F110" s="28">
        <f t="shared" ref="F110:P110" si="29">F109*$F$69</f>
        <v>2892.4347687368354</v>
      </c>
      <c r="G110" s="28">
        <f t="shared" si="29"/>
        <v>3065.2965549937539</v>
      </c>
      <c r="H110" s="28">
        <f t="shared" si="29"/>
        <v>3228.0578927506394</v>
      </c>
      <c r="I110" s="28">
        <f t="shared" si="29"/>
        <v>3416.8323365167303</v>
      </c>
      <c r="J110" s="28">
        <f t="shared" si="29"/>
        <v>2177.5816008480438</v>
      </c>
      <c r="K110" s="28">
        <f t="shared" si="29"/>
        <v>2144.8115958567037</v>
      </c>
      <c r="L110" s="28">
        <f t="shared" si="29"/>
        <v>2197.7747059353424</v>
      </c>
      <c r="M110" s="28">
        <f t="shared" si="29"/>
        <v>2253.3859715179124</v>
      </c>
      <c r="N110" s="28">
        <f t="shared" si="29"/>
        <v>2311.7778003796111</v>
      </c>
      <c r="O110" s="28">
        <f t="shared" si="29"/>
        <v>2373.0892206843946</v>
      </c>
      <c r="P110" s="28">
        <f t="shared" si="29"/>
        <v>2437.4662120044172</v>
      </c>
    </row>
    <row r="111" spans="2:16" x14ac:dyDescent="0.25">
      <c r="B111" t="s">
        <v>63</v>
      </c>
      <c r="C111" s="28">
        <f>SUM(C36:F36)</f>
        <v>7403.1</v>
      </c>
      <c r="D111" s="28">
        <f>SUM(G36:J36)</f>
        <v>8593.7999999999993</v>
      </c>
      <c r="E111" s="29">
        <f>SUM(K36:N36)</f>
        <v>11093.1</v>
      </c>
      <c r="F111" s="28">
        <f t="shared" ref="F111:P111" si="30">F109*$F$70</f>
        <v>2417.7788066877138</v>
      </c>
      <c r="G111" s="28">
        <f t="shared" si="30"/>
        <v>2562.2735305845222</v>
      </c>
      <c r="H111" s="28">
        <f t="shared" si="30"/>
        <v>2698.3253154787394</v>
      </c>
      <c r="I111" s="28">
        <f t="shared" si="30"/>
        <v>2856.1213889857795</v>
      </c>
      <c r="J111" s="28">
        <f t="shared" si="30"/>
        <v>1820.2348766063137</v>
      </c>
      <c r="K111" s="28">
        <f t="shared" si="30"/>
        <v>1792.8425134597062</v>
      </c>
      <c r="L111" s="28">
        <f t="shared" si="30"/>
        <v>1837.1142413715938</v>
      </c>
      <c r="M111" s="28">
        <f t="shared" si="30"/>
        <v>1883.5995556790756</v>
      </c>
      <c r="N111" s="28">
        <f t="shared" si="30"/>
        <v>1932.4091357019313</v>
      </c>
      <c r="O111" s="28">
        <f t="shared" si="30"/>
        <v>1983.6591947259299</v>
      </c>
      <c r="P111" s="28">
        <f t="shared" si="30"/>
        <v>2037.4717567011282</v>
      </c>
    </row>
    <row r="112" spans="2:16" x14ac:dyDescent="0.25">
      <c r="B112" t="s">
        <v>64</v>
      </c>
      <c r="C112" s="28">
        <f>SUM(C37:F37)</f>
        <v>3799.7999999999997</v>
      </c>
      <c r="D112" s="28">
        <f>SUM(G37:J37)</f>
        <v>3280.4</v>
      </c>
      <c r="E112" s="29">
        <f>SUM(K37:N37)</f>
        <v>2909.5</v>
      </c>
      <c r="F112" s="28">
        <f t="shared" ref="F112:P112" si="31">F109*$F$71</f>
        <v>481.24840596647056</v>
      </c>
      <c r="G112" s="28">
        <f t="shared" si="31"/>
        <v>510.00945530380403</v>
      </c>
      <c r="H112" s="28">
        <f t="shared" si="31"/>
        <v>537.08997417845399</v>
      </c>
      <c r="I112" s="28">
        <f t="shared" si="31"/>
        <v>568.49859957999161</v>
      </c>
      <c r="J112" s="28">
        <f t="shared" si="31"/>
        <v>362.30987318953208</v>
      </c>
      <c r="K112" s="28">
        <f t="shared" si="31"/>
        <v>356.85754187473361</v>
      </c>
      <c r="L112" s="28">
        <f t="shared" si="31"/>
        <v>365.66963768268943</v>
      </c>
      <c r="M112" s="28">
        <f t="shared" si="31"/>
        <v>374.92233828104298</v>
      </c>
      <c r="N112" s="28">
        <f t="shared" si="31"/>
        <v>384.63767390931417</v>
      </c>
      <c r="O112" s="28">
        <f t="shared" si="31"/>
        <v>394.83877631899895</v>
      </c>
      <c r="P112" s="28">
        <f t="shared" si="31"/>
        <v>405.54993384916799</v>
      </c>
    </row>
    <row r="113" spans="2:89" x14ac:dyDescent="0.25">
      <c r="B113" t="s">
        <v>65</v>
      </c>
      <c r="C113" s="28">
        <f>SUM(C38:F38)</f>
        <v>67.7</v>
      </c>
      <c r="D113" s="28">
        <f>SUM(G38:J38)</f>
        <v>860.6</v>
      </c>
      <c r="E113" s="29">
        <f>SUM(K38:N38)</f>
        <v>484</v>
      </c>
      <c r="F113" s="28">
        <f>SUM(O38:P38)</f>
        <v>982</v>
      </c>
      <c r="G113" s="28">
        <f t="shared" ref="G113:K114" si="32">AVERAGE(C113:F113)</f>
        <v>598.57500000000005</v>
      </c>
      <c r="H113" s="28">
        <f t="shared" si="32"/>
        <v>731.29375000000005</v>
      </c>
      <c r="I113" s="28">
        <f t="shared" si="32"/>
        <v>698.96718749999991</v>
      </c>
      <c r="J113" s="28">
        <f t="shared" si="32"/>
        <v>752.708984375</v>
      </c>
      <c r="K113" s="28">
        <f t="shared" si="32"/>
        <v>695.38623046875</v>
      </c>
      <c r="L113" s="28">
        <f t="shared" ref="L113:L114" si="33">AVERAGE(H113:K113)</f>
        <v>719.58903808593755</v>
      </c>
      <c r="M113" s="28">
        <f t="shared" ref="M113:M114" si="34">AVERAGE(I113:L113)</f>
        <v>716.66286010742192</v>
      </c>
      <c r="N113" s="28">
        <f t="shared" ref="N113:N114" si="35">AVERAGE(J113:M113)</f>
        <v>721.08677825927725</v>
      </c>
      <c r="O113" s="28">
        <f t="shared" ref="O113:O114" si="36">AVERAGE(K113:N113)</f>
        <v>713.18122673034668</v>
      </c>
      <c r="P113" s="28">
        <f t="shared" ref="P113:P114" si="37">AVERAGE(L113:O113)</f>
        <v>717.62997579574585</v>
      </c>
    </row>
    <row r="114" spans="2:89" x14ac:dyDescent="0.25">
      <c r="B114" t="s">
        <v>66</v>
      </c>
      <c r="C114" s="28">
        <f>SUM(C39:F39)</f>
        <v>145.29999999999998</v>
      </c>
      <c r="D114" s="28">
        <f>SUM(G39:J39)</f>
        <v>218.7</v>
      </c>
      <c r="E114" s="29">
        <f>SUM(K39:N39)</f>
        <v>571</v>
      </c>
      <c r="F114" s="28">
        <f>SUM(O39:P39)</f>
        <v>-204</v>
      </c>
      <c r="G114" s="28">
        <f t="shared" si="32"/>
        <v>182.75</v>
      </c>
      <c r="H114" s="28">
        <f t="shared" si="32"/>
        <v>192.11250000000001</v>
      </c>
      <c r="I114" s="28">
        <f t="shared" si="32"/>
        <v>185.46562499999999</v>
      </c>
      <c r="J114" s="28">
        <f t="shared" si="32"/>
        <v>89.08203125</v>
      </c>
      <c r="K114" s="28">
        <f t="shared" si="32"/>
        <v>162.3525390625</v>
      </c>
      <c r="L114" s="28">
        <f t="shared" si="33"/>
        <v>157.253173828125</v>
      </c>
      <c r="M114" s="28">
        <f t="shared" si="34"/>
        <v>148.53834228515626</v>
      </c>
      <c r="N114" s="28">
        <f t="shared" si="35"/>
        <v>139.3065216064453</v>
      </c>
      <c r="O114" s="28">
        <f t="shared" si="36"/>
        <v>151.86264419555664</v>
      </c>
      <c r="P114" s="28">
        <f t="shared" si="37"/>
        <v>149.2401704788208</v>
      </c>
    </row>
    <row r="115" spans="2:89" x14ac:dyDescent="0.25">
      <c r="B115" t="s">
        <v>67</v>
      </c>
      <c r="C115" s="28">
        <f>SUM(C40:F40)</f>
        <v>6312.6</v>
      </c>
      <c r="D115" s="28">
        <f>SUM(G40:J40)</f>
        <v>12680.3</v>
      </c>
      <c r="E115" s="29">
        <f>SUM(K40:N40)</f>
        <v>25731.800000000003</v>
      </c>
      <c r="F115" s="28">
        <f t="shared" ref="F115:K115" si="38">F109-SUM(F110:F114)</f>
        <v>6798.3661720132368</v>
      </c>
      <c r="G115" s="28">
        <f t="shared" si="38"/>
        <v>7247.8307055876267</v>
      </c>
      <c r="H115" s="28">
        <f t="shared" si="38"/>
        <v>7532.0821448573715</v>
      </c>
      <c r="I115" s="28">
        <f t="shared" si="38"/>
        <v>8065.5263048603474</v>
      </c>
      <c r="J115" s="28">
        <f t="shared" si="38"/>
        <v>4862.1079126362292</v>
      </c>
      <c r="K115" s="28">
        <f t="shared" si="38"/>
        <v>4760.3232852569372</v>
      </c>
      <c r="L115" s="28">
        <f t="shared" ref="L115:P115" si="39">L109-SUM(L110:L114)</f>
        <v>4879.9499950288255</v>
      </c>
      <c r="M115" s="28">
        <f t="shared" si="39"/>
        <v>5037.257664312745</v>
      </c>
      <c r="N115" s="28">
        <f t="shared" si="39"/>
        <v>5195.0155595901588</v>
      </c>
      <c r="O115" s="28">
        <f t="shared" si="39"/>
        <v>5350.9624809180641</v>
      </c>
      <c r="P115" s="28">
        <f t="shared" si="39"/>
        <v>5517.7635725768896</v>
      </c>
    </row>
    <row r="116" spans="2:89" x14ac:dyDescent="0.25">
      <c r="B116" t="s">
        <v>68</v>
      </c>
      <c r="C116" s="28">
        <f>SUM(C41:F41)</f>
        <v>1314.2</v>
      </c>
      <c r="D116" s="28">
        <f>SUM(G41:J41)</f>
        <v>2090.4</v>
      </c>
      <c r="E116" s="29">
        <f>SUM(K41:N41)</f>
        <v>5091.3</v>
      </c>
      <c r="F116" s="28">
        <f t="shared" ref="F116:K116" si="40">F115*0.25</f>
        <v>1699.5915430033092</v>
      </c>
      <c r="G116" s="28">
        <f t="shared" si="40"/>
        <v>1811.9576763969067</v>
      </c>
      <c r="H116" s="28">
        <f t="shared" si="40"/>
        <v>1883.0205362143429</v>
      </c>
      <c r="I116" s="28">
        <f t="shared" si="40"/>
        <v>2016.3815762150869</v>
      </c>
      <c r="J116" s="28">
        <f t="shared" si="40"/>
        <v>1215.5269781590573</v>
      </c>
      <c r="K116" s="28">
        <f t="shared" si="40"/>
        <v>1190.0808213142343</v>
      </c>
      <c r="L116" s="28">
        <f t="shared" ref="L116:P116" si="41">L115*0.25</f>
        <v>1219.9874987572064</v>
      </c>
      <c r="M116" s="28">
        <f t="shared" si="41"/>
        <v>1259.3144160781862</v>
      </c>
      <c r="N116" s="28">
        <f t="shared" si="41"/>
        <v>1298.7538898975397</v>
      </c>
      <c r="O116" s="28">
        <f t="shared" si="41"/>
        <v>1337.740620229516</v>
      </c>
      <c r="P116" s="28">
        <f t="shared" si="41"/>
        <v>1379.4408931442224</v>
      </c>
    </row>
    <row r="117" spans="2:89" x14ac:dyDescent="0.25">
      <c r="B117" s="31" t="s">
        <v>69</v>
      </c>
      <c r="C117" s="39">
        <f>SUM(C42:F42)</f>
        <v>4998.4000000000005</v>
      </c>
      <c r="D117" s="39">
        <f>SUM(G42:J42)</f>
        <v>10589.899999999998</v>
      </c>
      <c r="E117" s="40">
        <f>SUM(K42:N42)</f>
        <v>20640.5</v>
      </c>
      <c r="F117" s="39">
        <f t="shared" ref="F117:J117" si="42">F115-F116</f>
        <v>5098.7746290099276</v>
      </c>
      <c r="G117" s="39">
        <f t="shared" si="42"/>
        <v>5435.8730291907195</v>
      </c>
      <c r="H117" s="39">
        <f t="shared" si="42"/>
        <v>5649.0616086430291</v>
      </c>
      <c r="I117" s="39">
        <f t="shared" si="42"/>
        <v>6049.1447286452603</v>
      </c>
      <c r="J117" s="39">
        <f t="shared" si="42"/>
        <v>3646.5809344771719</v>
      </c>
      <c r="K117" s="39">
        <f>K115-K116</f>
        <v>3570.2424639427027</v>
      </c>
      <c r="L117" s="39">
        <f t="shared" ref="L117:P117" si="43">L115-L116</f>
        <v>3659.9624962716189</v>
      </c>
      <c r="M117" s="39">
        <f t="shared" si="43"/>
        <v>3777.9432482345587</v>
      </c>
      <c r="N117" s="39">
        <f t="shared" si="43"/>
        <v>3896.2616696926189</v>
      </c>
      <c r="O117" s="39">
        <f t="shared" si="43"/>
        <v>4013.2218606885481</v>
      </c>
      <c r="P117" s="39">
        <f t="shared" si="43"/>
        <v>4138.3226794326674</v>
      </c>
      <c r="Q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</row>
    <row r="118" spans="2:89" x14ac:dyDescent="0.25">
      <c r="B118" t="s">
        <v>70</v>
      </c>
      <c r="C118" s="13">
        <f t="shared" ref="C118:K118" si="44">C117/C119</f>
        <v>5.5428460536164792</v>
      </c>
      <c r="D118" s="13">
        <f t="shared" si="44"/>
        <v>11.711252419131874</v>
      </c>
      <c r="E118" s="33">
        <f t="shared" si="44"/>
        <v>22.951740242410764</v>
      </c>
      <c r="F118" s="13">
        <f t="shared" si="44"/>
        <v>5.6983205796360448</v>
      </c>
      <c r="G118" s="13">
        <f t="shared" si="44"/>
        <v>6.0536477857238369</v>
      </c>
      <c r="H118" s="13">
        <f t="shared" si="44"/>
        <v>6.2910647682421388</v>
      </c>
      <c r="I118" s="13">
        <f t="shared" si="44"/>
        <v>6.7366164359321346</v>
      </c>
      <c r="J118" s="13">
        <f t="shared" si="44"/>
        <v>4.0610066645995566</v>
      </c>
      <c r="K118" s="13">
        <f t="shared" si="44"/>
        <v>3.9759924984049251</v>
      </c>
      <c r="L118" s="13">
        <f t="shared" ref="L118:P118" si="45">L117/L119</f>
        <v>4.0713749332795137</v>
      </c>
      <c r="M118" s="13">
        <f t="shared" si="45"/>
        <v>4.1979479395905974</v>
      </c>
      <c r="N118" s="13">
        <f t="shared" si="45"/>
        <v>4.3246147618542858</v>
      </c>
      <c r="O118" s="13">
        <f t="shared" si="45"/>
        <v>4.4494948286363414</v>
      </c>
      <c r="P118" s="13">
        <f t="shared" si="45"/>
        <v>4.5831138816464554</v>
      </c>
      <c r="Q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</row>
    <row r="119" spans="2:89" x14ac:dyDescent="0.25">
      <c r="B119" t="s">
        <v>8</v>
      </c>
      <c r="C119" s="41">
        <f>AVERAGE(C44:F44)</f>
        <v>901.77499999999998</v>
      </c>
      <c r="D119" s="41">
        <f>AVERAGE(G44:J44)</f>
        <v>904.25</v>
      </c>
      <c r="E119" s="42">
        <f>AVERAGE(K44:N44)</f>
        <v>899.3</v>
      </c>
      <c r="F119" s="41">
        <f>AVERAGE(O44:P44)</f>
        <v>894.78549999999996</v>
      </c>
      <c r="G119" s="41">
        <v>897.95</v>
      </c>
      <c r="H119" s="41">
        <v>897.95</v>
      </c>
      <c r="I119" s="41">
        <v>897.95</v>
      </c>
      <c r="J119" s="41">
        <v>897.95</v>
      </c>
      <c r="K119" s="41">
        <v>897.95</v>
      </c>
      <c r="L119" s="41">
        <v>898.95</v>
      </c>
      <c r="M119" s="41">
        <v>899.95</v>
      </c>
      <c r="N119" s="41">
        <v>900.95</v>
      </c>
      <c r="O119" s="41">
        <v>901.95</v>
      </c>
      <c r="P119" s="41">
        <v>902.95</v>
      </c>
    </row>
    <row r="120" spans="2:89" x14ac:dyDescent="0.25">
      <c r="E120" s="30"/>
    </row>
    <row r="121" spans="2:89" ht="16.5" thickBot="1" x14ac:dyDescent="0.3">
      <c r="B121" s="43" t="s">
        <v>87</v>
      </c>
      <c r="C121" s="44" t="s">
        <v>77</v>
      </c>
      <c r="D121" s="44" t="s">
        <v>78</v>
      </c>
      <c r="E121" s="60" t="s">
        <v>79</v>
      </c>
      <c r="F121" s="44" t="s">
        <v>80</v>
      </c>
      <c r="G121" s="44" t="s">
        <v>81</v>
      </c>
      <c r="H121" s="44" t="s">
        <v>82</v>
      </c>
      <c r="I121" s="44" t="s">
        <v>83</v>
      </c>
      <c r="J121" s="44" t="s">
        <v>84</v>
      </c>
      <c r="K121" s="44" t="s">
        <v>85</v>
      </c>
      <c r="L121" s="44" t="s">
        <v>260</v>
      </c>
      <c r="M121" s="44" t="s">
        <v>261</v>
      </c>
      <c r="N121" s="44" t="s">
        <v>262</v>
      </c>
      <c r="O121" s="44" t="s">
        <v>263</v>
      </c>
      <c r="P121" s="44" t="s">
        <v>264</v>
      </c>
    </row>
    <row r="122" spans="2:89" x14ac:dyDescent="0.25">
      <c r="B122" s="47" t="s">
        <v>88</v>
      </c>
      <c r="C122" s="48">
        <v>2818.6</v>
      </c>
      <c r="D122" s="48">
        <v>3268</v>
      </c>
      <c r="E122" s="61">
        <v>7268</v>
      </c>
      <c r="F122" s="48">
        <f t="shared" ref="F122" si="46">F185</f>
        <v>24718.441295676595</v>
      </c>
      <c r="G122" s="48"/>
      <c r="H122" s="48"/>
      <c r="I122" s="48"/>
      <c r="J122" s="48"/>
      <c r="K122" s="48"/>
      <c r="L122" s="48"/>
      <c r="M122" s="48"/>
      <c r="N122" s="48"/>
      <c r="O122" s="48"/>
      <c r="P122" s="48"/>
    </row>
    <row r="123" spans="2:89" x14ac:dyDescent="0.25">
      <c r="B123" s="47" t="s">
        <v>89</v>
      </c>
      <c r="C123" s="48">
        <v>9090.5</v>
      </c>
      <c r="D123" s="48">
        <v>11006</v>
      </c>
      <c r="E123" s="61">
        <v>17760</v>
      </c>
      <c r="F123" s="48">
        <f t="shared" ref="F123" si="47">F$107*F$188</f>
        <v>0</v>
      </c>
      <c r="G123" s="48"/>
      <c r="H123" s="48"/>
      <c r="I123" s="48"/>
      <c r="J123" s="48"/>
      <c r="K123" s="48"/>
      <c r="L123" s="48"/>
      <c r="M123" s="48"/>
      <c r="N123" s="48"/>
      <c r="O123" s="48"/>
      <c r="P123" s="48"/>
    </row>
    <row r="124" spans="2:89" x14ac:dyDescent="0.25">
      <c r="B124" s="47" t="s">
        <v>90</v>
      </c>
      <c r="C124" s="48">
        <v>2245.6999999999998</v>
      </c>
      <c r="D124" s="48">
        <v>2270</v>
      </c>
      <c r="E124" s="61">
        <v>2395</v>
      </c>
      <c r="F124" s="48">
        <f t="shared" ref="F124" si="48">F$107*F$189</f>
        <v>0</v>
      </c>
      <c r="G124" s="48"/>
      <c r="H124" s="48"/>
      <c r="I124" s="48"/>
      <c r="J124" s="48"/>
      <c r="K124" s="48"/>
      <c r="L124" s="48"/>
      <c r="M124" s="48"/>
      <c r="N124" s="48"/>
      <c r="O124" s="48"/>
      <c r="P124" s="48"/>
    </row>
    <row r="125" spans="2:89" x14ac:dyDescent="0.25">
      <c r="B125" s="47" t="s">
        <v>91</v>
      </c>
      <c r="C125" s="48">
        <v>5772.8</v>
      </c>
      <c r="D125" s="48">
        <v>7589</v>
      </c>
      <c r="E125" s="61">
        <v>13744</v>
      </c>
      <c r="F125" s="48">
        <f t="shared" ref="F125" si="49">F$108*F$190</f>
        <v>0</v>
      </c>
      <c r="G125" s="48"/>
      <c r="H125" s="48"/>
      <c r="I125" s="48"/>
      <c r="J125" s="48"/>
      <c r="K125" s="48"/>
      <c r="L125" s="48"/>
      <c r="M125" s="48"/>
      <c r="N125" s="48"/>
      <c r="O125" s="48"/>
      <c r="P125" s="48"/>
    </row>
    <row r="126" spans="2:89" x14ac:dyDescent="0.25">
      <c r="B126" s="47" t="s">
        <v>92</v>
      </c>
      <c r="C126" s="48">
        <v>5540.8</v>
      </c>
      <c r="D126" s="48">
        <v>8341</v>
      </c>
      <c r="E126" s="61">
        <v>14315</v>
      </c>
      <c r="F126" s="48">
        <f t="shared" ref="F126" si="50">F$107*F$191</f>
        <v>0</v>
      </c>
      <c r="G126" s="48"/>
      <c r="H126" s="48"/>
      <c r="I126" s="48"/>
      <c r="J126" s="48"/>
      <c r="K126" s="48"/>
      <c r="L126" s="48"/>
      <c r="M126" s="48"/>
      <c r="N126" s="48"/>
      <c r="O126" s="48"/>
      <c r="P126" s="48"/>
    </row>
    <row r="127" spans="2:89" x14ac:dyDescent="0.25">
      <c r="B127" s="47" t="s">
        <v>93</v>
      </c>
      <c r="C127" s="48">
        <v>258.60000000000002</v>
      </c>
      <c r="D127" s="48">
        <v>266</v>
      </c>
      <c r="E127" s="61">
        <v>147</v>
      </c>
      <c r="F127" s="48">
        <f t="shared" ref="F127" si="51">F$107*F$192</f>
        <v>0</v>
      </c>
      <c r="G127" s="48"/>
      <c r="H127" s="48"/>
      <c r="I127" s="48"/>
      <c r="J127" s="48"/>
      <c r="K127" s="48"/>
      <c r="L127" s="48"/>
      <c r="M127" s="48"/>
      <c r="N127" s="48"/>
      <c r="O127" s="48"/>
      <c r="P127" s="48"/>
    </row>
    <row r="128" spans="2:89" x14ac:dyDescent="0.25">
      <c r="B128" s="45" t="s">
        <v>94</v>
      </c>
      <c r="C128" s="46">
        <v>25726.999999999996</v>
      </c>
      <c r="D128" s="46">
        <v>32740</v>
      </c>
      <c r="E128" s="62">
        <v>55629</v>
      </c>
      <c r="F128" s="46">
        <f t="shared" ref="F128" si="52">SUM(F122:F127)</f>
        <v>24718.441295676595</v>
      </c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spans="2:16" x14ac:dyDescent="0.25">
      <c r="B129" s="47" t="s">
        <v>95</v>
      </c>
      <c r="C129" s="48">
        <v>3052.2</v>
      </c>
      <c r="D129" s="48">
        <v>3216</v>
      </c>
      <c r="E129" s="61">
        <v>2802</v>
      </c>
      <c r="F129" s="48">
        <f t="shared" ref="F129" si="53">E129</f>
        <v>2802</v>
      </c>
      <c r="G129" s="48"/>
      <c r="H129" s="48"/>
      <c r="I129" s="48"/>
      <c r="J129" s="48"/>
      <c r="K129" s="48"/>
      <c r="L129" s="48"/>
      <c r="M129" s="48"/>
      <c r="N129" s="48"/>
      <c r="O129" s="48"/>
      <c r="P129" s="48"/>
    </row>
    <row r="130" spans="2:16" x14ac:dyDescent="0.25">
      <c r="B130" s="47" t="s">
        <v>96</v>
      </c>
      <c r="C130" s="48">
        <v>4939.7</v>
      </c>
      <c r="D130" s="48">
        <v>5770</v>
      </c>
      <c r="E130" s="61">
        <v>5898</v>
      </c>
      <c r="F130" s="48">
        <f t="shared" ref="F130" si="54">E130</f>
        <v>5898</v>
      </c>
      <c r="G130" s="48"/>
      <c r="H130" s="48"/>
      <c r="I130" s="48"/>
      <c r="J130" s="48"/>
      <c r="K130" s="48"/>
      <c r="L130" s="48"/>
      <c r="M130" s="48"/>
      <c r="N130" s="48"/>
      <c r="O130" s="48"/>
      <c r="P130" s="48"/>
    </row>
    <row r="131" spans="2:16" x14ac:dyDescent="0.25">
      <c r="B131" s="47" t="s">
        <v>97</v>
      </c>
      <c r="C131" s="48">
        <v>6906.6</v>
      </c>
      <c r="D131" s="48">
        <v>6166</v>
      </c>
      <c r="E131" s="61">
        <v>6521</v>
      </c>
      <c r="F131" s="48">
        <f t="shared" ref="F131" si="55">E131</f>
        <v>6521</v>
      </c>
      <c r="G131" s="48"/>
      <c r="H131" s="48"/>
      <c r="I131" s="48"/>
      <c r="J131" s="48"/>
      <c r="K131" s="48"/>
      <c r="L131" s="48"/>
      <c r="M131" s="48"/>
      <c r="N131" s="48"/>
      <c r="O131" s="48"/>
      <c r="P131" s="48"/>
    </row>
    <row r="132" spans="2:16" x14ac:dyDescent="0.25">
      <c r="B132" s="47" t="s">
        <v>98</v>
      </c>
      <c r="C132" s="48">
        <v>5477.3</v>
      </c>
      <c r="D132" s="48">
        <v>8001</v>
      </c>
      <c r="E132" s="61">
        <v>9959</v>
      </c>
      <c r="F132" s="48">
        <f t="shared" ref="F132" si="56">E132</f>
        <v>9959</v>
      </c>
      <c r="G132" s="48"/>
      <c r="H132" s="48"/>
      <c r="I132" s="48"/>
      <c r="J132" s="48"/>
      <c r="K132" s="48"/>
      <c r="L132" s="48"/>
      <c r="M132" s="48"/>
      <c r="N132" s="48"/>
      <c r="O132" s="48"/>
      <c r="P132" s="48"/>
    </row>
    <row r="133" spans="2:16" x14ac:dyDescent="0.25">
      <c r="B133" s="47" t="s">
        <v>99</v>
      </c>
      <c r="C133" s="48">
        <v>12913.6</v>
      </c>
      <c r="D133" s="48">
        <v>17102</v>
      </c>
      <c r="E133" s="61">
        <v>24675</v>
      </c>
      <c r="F133" s="48">
        <f t="shared" ref="F133" si="57">E133-F165-F153</f>
        <v>24675</v>
      </c>
      <c r="G133" s="48"/>
      <c r="H133" s="48"/>
      <c r="I133" s="48"/>
      <c r="J133" s="48"/>
      <c r="K133" s="48"/>
      <c r="L133" s="48"/>
      <c r="M133" s="48"/>
      <c r="N133" s="48"/>
      <c r="O133" s="48"/>
      <c r="P133" s="48"/>
    </row>
    <row r="134" spans="2:16" x14ac:dyDescent="0.25">
      <c r="B134" s="47" t="s">
        <v>100</v>
      </c>
      <c r="C134" s="48">
        <v>4989.8999999999996</v>
      </c>
      <c r="D134" s="48">
        <v>5720</v>
      </c>
      <c r="E134" s="61">
        <v>6992</v>
      </c>
      <c r="F134" s="48">
        <f t="shared" ref="F134" si="58">E134</f>
        <v>6992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</row>
    <row r="135" spans="2:16" x14ac:dyDescent="0.25">
      <c r="B135" s="45" t="s">
        <v>101</v>
      </c>
      <c r="C135" s="46">
        <v>64006.3</v>
      </c>
      <c r="D135" s="46">
        <v>78715</v>
      </c>
      <c r="E135" s="62">
        <v>112476</v>
      </c>
      <c r="F135" s="46">
        <f t="shared" ref="F135" si="59">F128+SUM(F129:F134)</f>
        <v>81565.441295676603</v>
      </c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spans="2:16" x14ac:dyDescent="0.25">
      <c r="E136" s="30"/>
    </row>
    <row r="137" spans="2:16" x14ac:dyDescent="0.25">
      <c r="B137" s="47" t="s">
        <v>102</v>
      </c>
      <c r="C137" s="48">
        <v>6904.5</v>
      </c>
      <c r="D137" s="48">
        <v>5117</v>
      </c>
      <c r="E137" s="61">
        <v>1635</v>
      </c>
      <c r="F137" s="48">
        <f t="shared" ref="F137" si="60">E137+F175</f>
        <v>1635</v>
      </c>
      <c r="G137" s="48"/>
      <c r="H137" s="48"/>
      <c r="I137" s="48"/>
      <c r="J137" s="48"/>
      <c r="K137" s="48"/>
      <c r="L137" s="48"/>
      <c r="M137" s="48"/>
      <c r="N137" s="48"/>
      <c r="O137" s="48"/>
      <c r="P137" s="48"/>
    </row>
    <row r="138" spans="2:16" x14ac:dyDescent="0.25">
      <c r="B138" s="47" t="s">
        <v>103</v>
      </c>
      <c r="C138" s="48">
        <v>2598.8000000000002</v>
      </c>
      <c r="D138" s="48">
        <v>3229</v>
      </c>
      <c r="E138" s="61">
        <v>5379</v>
      </c>
      <c r="F138" s="48">
        <f t="shared" ref="F138" si="61">F$108*F$193</f>
        <v>0</v>
      </c>
      <c r="G138" s="48"/>
      <c r="H138" s="48"/>
      <c r="I138" s="48"/>
      <c r="J138" s="48"/>
      <c r="K138" s="48"/>
      <c r="L138" s="48"/>
      <c r="M138" s="48"/>
      <c r="N138" s="48"/>
      <c r="O138" s="48"/>
      <c r="P138" s="48"/>
    </row>
    <row r="139" spans="2:16" x14ac:dyDescent="0.25">
      <c r="B139" s="47" t="s">
        <v>104</v>
      </c>
      <c r="C139" s="48">
        <v>1650.4</v>
      </c>
      <c r="D139" s="48">
        <v>2094</v>
      </c>
      <c r="E139" s="61">
        <v>2375</v>
      </c>
      <c r="F139" s="48">
        <f t="shared" ref="F139" si="62">F$107*F$194</f>
        <v>0</v>
      </c>
      <c r="G139" s="48"/>
      <c r="H139" s="48"/>
      <c r="I139" s="48"/>
      <c r="J139" s="48"/>
      <c r="K139" s="48"/>
      <c r="L139" s="48"/>
      <c r="M139" s="48"/>
      <c r="N139" s="48"/>
      <c r="O139" s="48"/>
      <c r="P139" s="48"/>
    </row>
    <row r="140" spans="2:16" x14ac:dyDescent="0.25">
      <c r="B140" s="47" t="s">
        <v>105</v>
      </c>
      <c r="C140" s="48">
        <v>11689</v>
      </c>
      <c r="D140" s="48">
        <v>11539</v>
      </c>
      <c r="E140" s="61">
        <v>17382</v>
      </c>
      <c r="F140" s="48">
        <f t="shared" ref="F140" si="63">F$107*F$195</f>
        <v>0</v>
      </c>
      <c r="G140" s="48"/>
      <c r="H140" s="48"/>
      <c r="I140" s="48"/>
      <c r="J140" s="48"/>
      <c r="K140" s="48"/>
      <c r="L140" s="48"/>
      <c r="M140" s="48"/>
      <c r="N140" s="48"/>
      <c r="O140" s="48"/>
      <c r="P140" s="48"/>
    </row>
    <row r="141" spans="2:16" x14ac:dyDescent="0.25">
      <c r="B141" s="47" t="s">
        <v>106</v>
      </c>
      <c r="C141" s="48">
        <v>4450.5</v>
      </c>
      <c r="D141" s="48">
        <v>6397</v>
      </c>
      <c r="E141" s="61">
        <v>8457</v>
      </c>
      <c r="F141" s="48">
        <f t="shared" ref="F141" si="64">F$107*F$196</f>
        <v>0</v>
      </c>
      <c r="G141" s="48"/>
      <c r="H141" s="48"/>
      <c r="I141" s="48"/>
      <c r="J141" s="48"/>
      <c r="K141" s="48"/>
      <c r="L141" s="48"/>
      <c r="M141" s="48"/>
      <c r="N141" s="48"/>
      <c r="O141" s="48"/>
      <c r="P141" s="48"/>
    </row>
    <row r="142" spans="2:16" x14ac:dyDescent="0.25">
      <c r="B142" s="45" t="s">
        <v>107</v>
      </c>
      <c r="C142" s="46">
        <v>27293.199999999997</v>
      </c>
      <c r="D142" s="46">
        <v>28376</v>
      </c>
      <c r="E142" s="62">
        <v>35228</v>
      </c>
      <c r="F142" s="46">
        <f t="shared" ref="F142" si="65">SUM(F137:F141)</f>
        <v>1635</v>
      </c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spans="2:16" x14ac:dyDescent="0.25">
      <c r="B143" s="47" t="s">
        <v>108</v>
      </c>
      <c r="C143" s="48">
        <v>18320.8</v>
      </c>
      <c r="D143" s="48">
        <v>28527</v>
      </c>
      <c r="E143" s="61">
        <v>40868</v>
      </c>
      <c r="F143" s="48">
        <f t="shared" ref="F143" si="66">E143+F176+F177</f>
        <v>40868</v>
      </c>
      <c r="G143" s="48"/>
      <c r="H143" s="48"/>
      <c r="I143" s="48"/>
      <c r="J143" s="48"/>
      <c r="K143" s="48"/>
      <c r="L143" s="48"/>
      <c r="M143" s="48"/>
      <c r="N143" s="48"/>
      <c r="O143" s="48"/>
      <c r="P143" s="48"/>
    </row>
    <row r="144" spans="2:16" x14ac:dyDescent="0.25">
      <c r="B144" s="47" t="s">
        <v>109</v>
      </c>
      <c r="C144" s="48">
        <v>3849.2</v>
      </c>
      <c r="D144" s="48">
        <v>4061</v>
      </c>
      <c r="E144" s="61">
        <v>5875</v>
      </c>
      <c r="F144" s="48">
        <f t="shared" ref="F144" si="67">E144</f>
        <v>5875</v>
      </c>
      <c r="G144" s="48"/>
      <c r="H144" s="48"/>
      <c r="I144" s="48"/>
      <c r="J144" s="48"/>
      <c r="K144" s="48"/>
      <c r="L144" s="48"/>
      <c r="M144" s="48"/>
      <c r="N144" s="48"/>
      <c r="O144" s="48"/>
      <c r="P144" s="48"/>
    </row>
    <row r="145" spans="2:16" x14ac:dyDescent="0.25">
      <c r="B145" s="47" t="s">
        <v>110</v>
      </c>
      <c r="C145" s="48">
        <v>3679.4</v>
      </c>
      <c r="D145" s="48">
        <v>3479</v>
      </c>
      <c r="E145" s="61">
        <v>3970</v>
      </c>
      <c r="F145" s="48">
        <f t="shared" ref="F145" si="68">E145</f>
        <v>3970</v>
      </c>
      <c r="G145" s="48"/>
      <c r="H145" s="48"/>
      <c r="I145" s="48"/>
      <c r="J145" s="48"/>
      <c r="K145" s="48"/>
      <c r="L145" s="48"/>
      <c r="M145" s="48"/>
      <c r="N145" s="48"/>
      <c r="O145" s="48"/>
      <c r="P145" s="48"/>
    </row>
    <row r="146" spans="2:16" x14ac:dyDescent="0.25">
      <c r="B146" s="45" t="s">
        <v>111</v>
      </c>
      <c r="C146" s="46">
        <v>25849.4</v>
      </c>
      <c r="D146" s="46">
        <v>36067</v>
      </c>
      <c r="E146" s="62">
        <v>50713</v>
      </c>
      <c r="F146" s="46">
        <f t="shared" ref="F146" si="69">SUM(F143:F145)</f>
        <v>50713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</row>
    <row r="147" spans="2:16" x14ac:dyDescent="0.25">
      <c r="B147" s="45" t="s">
        <v>112</v>
      </c>
      <c r="C147" s="46">
        <v>10863.7</v>
      </c>
      <c r="D147" s="46">
        <v>14272</v>
      </c>
      <c r="E147" s="62">
        <v>26535</v>
      </c>
      <c r="F147" s="46">
        <f t="shared" ref="F147" si="70">E147+F117+F155+F174+F178</f>
        <v>31633.774629009928</v>
      </c>
      <c r="G147" s="46"/>
      <c r="H147" s="46"/>
      <c r="I147" s="46"/>
      <c r="J147" s="46"/>
      <c r="K147" s="46"/>
      <c r="L147" s="46"/>
      <c r="M147" s="46"/>
      <c r="N147" s="46"/>
      <c r="O147" s="46"/>
      <c r="P147" s="46"/>
    </row>
    <row r="148" spans="2:16" x14ac:dyDescent="0.25">
      <c r="B148" s="45" t="s">
        <v>113</v>
      </c>
      <c r="C148" s="46">
        <v>64006.3</v>
      </c>
      <c r="D148" s="46">
        <v>78715</v>
      </c>
      <c r="E148" s="62">
        <v>112476</v>
      </c>
      <c r="F148" s="46">
        <f t="shared" ref="F148" si="71">F142+F146+F147</f>
        <v>83981.774629009931</v>
      </c>
      <c r="G148" s="46"/>
      <c r="H148" s="46"/>
      <c r="I148" s="46"/>
      <c r="J148" s="46"/>
      <c r="K148" s="46"/>
      <c r="L148" s="46"/>
      <c r="M148" s="46"/>
      <c r="N148" s="46"/>
      <c r="O148" s="46"/>
      <c r="P148" s="46"/>
    </row>
    <row r="149" spans="2:16" x14ac:dyDescent="0.25">
      <c r="B149" s="51" t="s">
        <v>114</v>
      </c>
      <c r="C149" s="52">
        <v>0</v>
      </c>
      <c r="D149" s="52">
        <v>0</v>
      </c>
      <c r="E149" s="63">
        <v>0</v>
      </c>
      <c r="F149" s="52">
        <f t="shared" ref="F149" si="72">F135-F148</f>
        <v>-2416.3333333333285</v>
      </c>
      <c r="G149" s="52"/>
      <c r="H149" s="52"/>
      <c r="I149" s="52"/>
      <c r="J149" s="52"/>
      <c r="K149" s="52"/>
      <c r="L149" s="52"/>
      <c r="M149" s="52"/>
      <c r="N149" s="52"/>
      <c r="O149" s="52"/>
      <c r="P149" s="52"/>
    </row>
    <row r="150" spans="2:16" x14ac:dyDescent="0.25">
      <c r="E150" s="30"/>
    </row>
    <row r="151" spans="2:16" ht="16.5" thickBot="1" x14ac:dyDescent="0.3">
      <c r="B151" s="43" t="s">
        <v>115</v>
      </c>
      <c r="C151" s="44" t="s">
        <v>77</v>
      </c>
      <c r="D151" s="44" t="s">
        <v>78</v>
      </c>
      <c r="E151" s="60" t="s">
        <v>79</v>
      </c>
      <c r="F151" s="44" t="s">
        <v>80</v>
      </c>
      <c r="G151" s="44" t="s">
        <v>81</v>
      </c>
      <c r="H151" s="44" t="s">
        <v>82</v>
      </c>
      <c r="I151" s="44" t="s">
        <v>83</v>
      </c>
      <c r="J151" s="44" t="s">
        <v>84</v>
      </c>
      <c r="K151" s="44" t="s">
        <v>85</v>
      </c>
      <c r="L151" s="44" t="s">
        <v>260</v>
      </c>
      <c r="M151" s="44" t="s">
        <v>261</v>
      </c>
      <c r="N151" s="44" t="s">
        <v>262</v>
      </c>
      <c r="O151" s="44" t="s">
        <v>263</v>
      </c>
      <c r="P151" s="44" t="s">
        <v>264</v>
      </c>
    </row>
    <row r="152" spans="2:16" x14ac:dyDescent="0.25">
      <c r="B152" s="47" t="s">
        <v>116</v>
      </c>
      <c r="C152" s="48">
        <v>5240</v>
      </c>
      <c r="D152" s="48">
        <v>10590</v>
      </c>
      <c r="E152" s="61">
        <v>20640</v>
      </c>
      <c r="F152" s="48">
        <f t="shared" ref="F152" si="73">F117</f>
        <v>5098.7746290099276</v>
      </c>
      <c r="G152" s="48"/>
      <c r="H152" s="48"/>
      <c r="I152" s="48"/>
      <c r="J152" s="48"/>
      <c r="K152" s="48"/>
      <c r="L152" s="48"/>
      <c r="M152" s="48"/>
      <c r="N152" s="48"/>
      <c r="O152" s="48"/>
      <c r="P152" s="48"/>
    </row>
    <row r="153" spans="2:16" x14ac:dyDescent="0.25">
      <c r="B153" s="47" t="s">
        <v>117</v>
      </c>
      <c r="C153" s="48">
        <v>1527</v>
      </c>
      <c r="D153" s="48">
        <v>1767</v>
      </c>
      <c r="E153" s="61">
        <v>1997</v>
      </c>
      <c r="F153" s="48">
        <f t="shared" ref="F153" si="74">F$107*F$198</f>
        <v>0</v>
      </c>
      <c r="G153" s="48"/>
      <c r="H153" s="48"/>
      <c r="I153" s="48"/>
      <c r="J153" s="48"/>
      <c r="K153" s="48"/>
      <c r="L153" s="48"/>
      <c r="M153" s="48"/>
      <c r="N153" s="48"/>
      <c r="O153" s="48"/>
      <c r="P153" s="48"/>
    </row>
    <row r="154" spans="2:16" x14ac:dyDescent="0.25">
      <c r="B154" s="47" t="s">
        <v>118</v>
      </c>
      <c r="C154" s="48">
        <v>-2341</v>
      </c>
      <c r="D154" s="48">
        <v>-2683</v>
      </c>
      <c r="E154" s="61">
        <v>-1707</v>
      </c>
      <c r="F154" s="48">
        <f>AVERAGE(C154:E154)</f>
        <v>-2243.6666666666665</v>
      </c>
      <c r="G154" s="48"/>
      <c r="H154" s="48"/>
      <c r="I154" s="48"/>
      <c r="J154" s="48"/>
      <c r="K154" s="48"/>
      <c r="L154" s="48"/>
      <c r="M154" s="48"/>
      <c r="N154" s="48"/>
      <c r="O154" s="48"/>
      <c r="P154" s="48"/>
    </row>
    <row r="155" spans="2:16" x14ac:dyDescent="0.25">
      <c r="B155" s="47" t="s">
        <v>119</v>
      </c>
      <c r="C155" s="48">
        <v>629</v>
      </c>
      <c r="D155" s="48">
        <v>646</v>
      </c>
      <c r="E155" s="61">
        <v>626</v>
      </c>
      <c r="F155" s="48">
        <f t="shared" ref="F155" si="75">F$199</f>
        <v>0</v>
      </c>
      <c r="G155" s="48"/>
      <c r="H155" s="48"/>
      <c r="I155" s="48"/>
      <c r="J155" s="48"/>
      <c r="K155" s="48"/>
      <c r="L155" s="48"/>
      <c r="M155" s="48"/>
      <c r="N155" s="48"/>
      <c r="O155" s="48"/>
      <c r="P155" s="48"/>
    </row>
    <row r="156" spans="2:16" x14ac:dyDescent="0.25">
      <c r="B156" s="47" t="s">
        <v>120</v>
      </c>
      <c r="C156" s="48">
        <v>-1879</v>
      </c>
      <c r="D156" s="48">
        <v>-224</v>
      </c>
      <c r="E156" s="61">
        <v>-180</v>
      </c>
      <c r="F156" s="48">
        <f>AVERAGE(C156:E156)</f>
        <v>-761</v>
      </c>
      <c r="G156" s="48"/>
      <c r="H156" s="48"/>
      <c r="I156" s="48"/>
      <c r="J156" s="48"/>
      <c r="K156" s="48"/>
      <c r="L156" s="48"/>
      <c r="M156" s="48"/>
      <c r="N156" s="48"/>
      <c r="O156" s="48"/>
      <c r="P156" s="48"/>
    </row>
    <row r="157" spans="2:16" x14ac:dyDescent="0.25">
      <c r="B157" s="47" t="s">
        <v>121</v>
      </c>
      <c r="C157" s="48">
        <v>3800</v>
      </c>
      <c r="D157" s="48">
        <v>3280</v>
      </c>
      <c r="E157" s="61">
        <v>2910</v>
      </c>
      <c r="F157" s="48">
        <f t="shared" ref="F157" si="76">F112</f>
        <v>481.24840596647056</v>
      </c>
      <c r="G157" s="48"/>
      <c r="H157" s="48"/>
      <c r="I157" s="48"/>
      <c r="J157" s="48"/>
      <c r="K157" s="48"/>
      <c r="L157" s="48"/>
      <c r="M157" s="48"/>
      <c r="N157" s="48"/>
      <c r="O157" s="48"/>
      <c r="P157" s="48"/>
    </row>
    <row r="158" spans="2:16" x14ac:dyDescent="0.25">
      <c r="B158" s="47" t="s">
        <v>122</v>
      </c>
      <c r="C158" s="48">
        <v>319</v>
      </c>
      <c r="D158" s="48">
        <v>826</v>
      </c>
      <c r="E158" s="61">
        <v>620</v>
      </c>
      <c r="F158" s="48">
        <f>AVERAGE(C158:E158)</f>
        <v>588.33333333333337</v>
      </c>
      <c r="G158" s="48"/>
      <c r="H158" s="48"/>
      <c r="I158" s="48"/>
      <c r="J158" s="48"/>
      <c r="K158" s="48"/>
      <c r="L158" s="48"/>
      <c r="M158" s="48"/>
      <c r="N158" s="48"/>
      <c r="O158" s="48"/>
      <c r="P158" s="48"/>
    </row>
    <row r="159" spans="2:16" x14ac:dyDescent="0.25">
      <c r="B159" s="47" t="s">
        <v>123</v>
      </c>
      <c r="C159" s="48">
        <v>-2451</v>
      </c>
      <c r="D159" s="48">
        <v>-2155</v>
      </c>
      <c r="E159" s="61">
        <v>-7000</v>
      </c>
      <c r="F159" s="48">
        <f t="shared" ref="F159" si="77">-(F123+F124-E123-E124)</f>
        <v>20155</v>
      </c>
      <c r="G159" s="48"/>
      <c r="H159" s="48"/>
      <c r="I159" s="48"/>
      <c r="J159" s="48"/>
      <c r="K159" s="48"/>
      <c r="L159" s="48"/>
      <c r="M159" s="48"/>
      <c r="N159" s="48"/>
      <c r="O159" s="48"/>
      <c r="P159" s="48"/>
    </row>
    <row r="160" spans="2:16" x14ac:dyDescent="0.25">
      <c r="B160" s="47" t="s">
        <v>124</v>
      </c>
      <c r="C160" s="48">
        <v>-1425</v>
      </c>
      <c r="D160" s="48">
        <v>-2507</v>
      </c>
      <c r="E160" s="61">
        <v>-4671</v>
      </c>
      <c r="F160" s="48">
        <f t="shared" ref="F160" si="78">-(F125-E125)</f>
        <v>13744</v>
      </c>
      <c r="G160" s="48"/>
      <c r="H160" s="48"/>
      <c r="I160" s="48"/>
      <c r="J160" s="48"/>
      <c r="K160" s="48"/>
      <c r="L160" s="48"/>
      <c r="M160" s="48"/>
      <c r="N160" s="48"/>
      <c r="O160" s="48"/>
      <c r="P160" s="48"/>
    </row>
    <row r="161" spans="2:16" x14ac:dyDescent="0.25">
      <c r="B161" s="47" t="s">
        <v>125</v>
      </c>
      <c r="C161" s="48">
        <v>-3453</v>
      </c>
      <c r="D161" s="48">
        <v>-3331</v>
      </c>
      <c r="E161" s="61">
        <v>-6609</v>
      </c>
      <c r="F161" s="48">
        <f t="shared" ref="F161" si="79">-(F126+F127-E126-E127)</f>
        <v>14462</v>
      </c>
      <c r="G161" s="48"/>
      <c r="H161" s="48"/>
      <c r="I161" s="48"/>
      <c r="J161" s="48"/>
      <c r="K161" s="48"/>
      <c r="L161" s="48"/>
      <c r="M161" s="48"/>
      <c r="N161" s="48"/>
      <c r="O161" s="48"/>
      <c r="P161" s="48"/>
    </row>
    <row r="162" spans="2:16" x14ac:dyDescent="0.25">
      <c r="B162" s="47" t="s">
        <v>126</v>
      </c>
      <c r="C162" s="48">
        <v>4274</v>
      </c>
      <c r="D162" s="48">
        <v>2609</v>
      </c>
      <c r="E162" s="61">
        <v>10187</v>
      </c>
      <c r="F162" s="48">
        <f t="shared" ref="F162" si="80">(F138+F139+F140+F141+F144+F145)-(E138+E139+E140+E141+E144+E145)</f>
        <v>-33593</v>
      </c>
      <c r="G162" s="48"/>
      <c r="H162" s="48"/>
      <c r="I162" s="48"/>
      <c r="J162" s="48"/>
      <c r="K162" s="48"/>
      <c r="L162" s="48"/>
      <c r="M162" s="48"/>
      <c r="N162" s="48"/>
      <c r="O162" s="48"/>
      <c r="P162" s="48"/>
    </row>
    <row r="163" spans="2:16" x14ac:dyDescent="0.25">
      <c r="B163" s="45" t="s">
        <v>127</v>
      </c>
      <c r="C163" s="46">
        <v>4240</v>
      </c>
      <c r="D163" s="46">
        <v>8818</v>
      </c>
      <c r="E163" s="62">
        <v>16813</v>
      </c>
      <c r="F163" s="46">
        <f t="shared" ref="F163" si="81">SUM(F152:F162)</f>
        <v>17931.689701643067</v>
      </c>
      <c r="G163" s="46"/>
      <c r="H163" s="46"/>
      <c r="I163" s="46"/>
      <c r="J163" s="46"/>
      <c r="K163" s="46"/>
      <c r="L163" s="46"/>
      <c r="M163" s="46"/>
      <c r="N163" s="46"/>
      <c r="O163" s="46"/>
      <c r="P163" s="46"/>
    </row>
    <row r="164" spans="2:16" x14ac:dyDescent="0.25">
      <c r="E164" s="30"/>
    </row>
    <row r="165" spans="2:16" x14ac:dyDescent="0.25">
      <c r="B165" s="47" t="s">
        <v>128</v>
      </c>
      <c r="C165" s="48">
        <v>-3448</v>
      </c>
      <c r="D165" s="48">
        <v>-5058</v>
      </c>
      <c r="E165" s="61">
        <v>-7841</v>
      </c>
      <c r="F165" s="48">
        <f t="shared" ref="F165" si="82">-F$107*F$197</f>
        <v>0</v>
      </c>
      <c r="G165" s="48"/>
      <c r="H165" s="48"/>
      <c r="I165" s="48"/>
      <c r="J165" s="48"/>
      <c r="K165" s="48"/>
      <c r="L165" s="48"/>
      <c r="M165" s="48"/>
      <c r="N165" s="48"/>
      <c r="O165" s="48"/>
      <c r="P165" s="48"/>
    </row>
    <row r="166" spans="2:16" x14ac:dyDescent="0.25">
      <c r="B166" s="47" t="s">
        <v>129</v>
      </c>
      <c r="C166" s="48">
        <v>508</v>
      </c>
      <c r="D166" s="48">
        <v>374</v>
      </c>
      <c r="E166" s="61">
        <v>964</v>
      </c>
      <c r="F166" s="48">
        <v>0</v>
      </c>
      <c r="G166" s="48"/>
      <c r="H166" s="48"/>
      <c r="I166" s="48"/>
      <c r="J166" s="48"/>
      <c r="K166" s="48"/>
      <c r="L166" s="48"/>
      <c r="M166" s="48"/>
      <c r="N166" s="48"/>
      <c r="O166" s="48"/>
      <c r="P166" s="48"/>
    </row>
    <row r="167" spans="2:16" x14ac:dyDescent="0.25">
      <c r="B167" s="47" t="s">
        <v>130</v>
      </c>
      <c r="C167" s="48">
        <v>-731</v>
      </c>
      <c r="D167" s="48">
        <v>-677</v>
      </c>
      <c r="E167" s="61">
        <v>-645</v>
      </c>
      <c r="F167" s="48">
        <v>0</v>
      </c>
      <c r="G167" s="48"/>
      <c r="H167" s="48"/>
      <c r="I167" s="48"/>
      <c r="J167" s="48"/>
      <c r="K167" s="48"/>
      <c r="L167" s="48"/>
      <c r="M167" s="48"/>
      <c r="N167" s="48"/>
      <c r="O167" s="48"/>
      <c r="P167" s="48"/>
    </row>
    <row r="168" spans="2:16" x14ac:dyDescent="0.25">
      <c r="B168" s="47" t="s">
        <v>131</v>
      </c>
      <c r="C168" s="48">
        <v>1604</v>
      </c>
      <c r="D168" s="48">
        <v>601</v>
      </c>
      <c r="E168" s="61">
        <v>218</v>
      </c>
      <c r="F168" s="48">
        <v>0</v>
      </c>
      <c r="G168" s="48"/>
      <c r="H168" s="48"/>
      <c r="I168" s="48"/>
      <c r="J168" s="48"/>
      <c r="K168" s="48"/>
      <c r="L168" s="48"/>
      <c r="M168" s="48"/>
      <c r="N168" s="48"/>
      <c r="O168" s="48"/>
      <c r="P168" s="48"/>
    </row>
    <row r="169" spans="2:16" x14ac:dyDescent="0.25">
      <c r="B169" s="47" t="s">
        <v>132</v>
      </c>
      <c r="C169" s="48">
        <v>-3944</v>
      </c>
      <c r="D169" s="48">
        <v>-3346</v>
      </c>
      <c r="E169" s="61">
        <v>-3008</v>
      </c>
      <c r="F169" s="48">
        <f t="shared" ref="F169" si="83">-F157</f>
        <v>-481.24840596647056</v>
      </c>
      <c r="G169" s="48"/>
      <c r="H169" s="48"/>
      <c r="I169" s="48"/>
      <c r="J169" s="48"/>
      <c r="K169" s="48"/>
      <c r="L169" s="48"/>
      <c r="M169" s="48"/>
      <c r="N169" s="48"/>
      <c r="O169" s="48"/>
      <c r="P169" s="48"/>
    </row>
    <row r="170" spans="2:16" x14ac:dyDescent="0.25">
      <c r="B170" s="47" t="s">
        <v>133</v>
      </c>
      <c r="C170" s="48">
        <v>-1044</v>
      </c>
      <c r="D170" s="48">
        <v>-948</v>
      </c>
      <c r="E170" s="61">
        <v>-661</v>
      </c>
      <c r="F170" s="48">
        <v>0</v>
      </c>
      <c r="G170" s="48"/>
      <c r="H170" s="48"/>
      <c r="I170" s="48"/>
      <c r="J170" s="48"/>
      <c r="K170" s="48"/>
      <c r="L170" s="48"/>
      <c r="M170" s="48"/>
      <c r="N170" s="48"/>
      <c r="O170" s="48"/>
      <c r="P170" s="48"/>
    </row>
    <row r="171" spans="2:16" x14ac:dyDescent="0.25">
      <c r="B171" s="47" t="s">
        <v>134</v>
      </c>
      <c r="C171" s="48">
        <v>-98</v>
      </c>
      <c r="D171" s="48">
        <v>-248</v>
      </c>
      <c r="E171" s="61">
        <v>1</v>
      </c>
      <c r="F171" s="48">
        <v>0</v>
      </c>
      <c r="G171" s="48"/>
      <c r="H171" s="48"/>
      <c r="I171" s="48"/>
      <c r="J171" s="48"/>
      <c r="K171" s="48"/>
      <c r="L171" s="48"/>
      <c r="M171" s="48"/>
      <c r="N171" s="48"/>
      <c r="O171" s="48"/>
      <c r="P171" s="48"/>
    </row>
    <row r="172" spans="2:16" x14ac:dyDescent="0.25">
      <c r="B172" s="45" t="s">
        <v>135</v>
      </c>
      <c r="C172" s="46">
        <v>-7153</v>
      </c>
      <c r="D172" s="46">
        <v>-9302</v>
      </c>
      <c r="E172" s="62">
        <v>-10972</v>
      </c>
      <c r="F172" s="46">
        <f t="shared" ref="F172" si="84">SUM(F165:F171)</f>
        <v>-481.24840596647056</v>
      </c>
      <c r="G172" s="46"/>
      <c r="H172" s="46"/>
      <c r="I172" s="46"/>
      <c r="J172" s="46"/>
      <c r="K172" s="46"/>
      <c r="L172" s="46"/>
      <c r="M172" s="46"/>
      <c r="N172" s="46"/>
      <c r="O172" s="46"/>
      <c r="P172" s="46"/>
    </row>
    <row r="173" spans="2:16" x14ac:dyDescent="0.25">
      <c r="E173" s="30"/>
    </row>
    <row r="174" spans="2:16" x14ac:dyDescent="0.25">
      <c r="B174" s="47" t="s">
        <v>136</v>
      </c>
      <c r="C174" s="48">
        <v>-4069</v>
      </c>
      <c r="D174" s="48">
        <v>-4680</v>
      </c>
      <c r="E174" s="61">
        <v>-5384</v>
      </c>
      <c r="F174" s="48">
        <f t="shared" ref="F174" si="85">-F$201</f>
        <v>0</v>
      </c>
      <c r="G174" s="48"/>
      <c r="H174" s="48"/>
      <c r="I174" s="48"/>
      <c r="J174" s="48"/>
      <c r="K174" s="48"/>
      <c r="L174" s="48"/>
      <c r="M174" s="48"/>
      <c r="N174" s="48"/>
      <c r="O174" s="48"/>
      <c r="P174" s="48"/>
    </row>
    <row r="175" spans="2:16" x14ac:dyDescent="0.25">
      <c r="B175" s="47" t="s">
        <v>137</v>
      </c>
      <c r="C175" s="48">
        <v>4691</v>
      </c>
      <c r="D175" s="48">
        <v>-1852</v>
      </c>
      <c r="E175" s="61">
        <v>-4338</v>
      </c>
      <c r="F175" s="48">
        <f t="shared" ref="F175" si="86">F$203</f>
        <v>0</v>
      </c>
      <c r="G175" s="48"/>
      <c r="H175" s="48"/>
      <c r="I175" s="48"/>
      <c r="J175" s="48"/>
      <c r="K175" s="48"/>
      <c r="L175" s="48"/>
      <c r="M175" s="48"/>
      <c r="N175" s="48"/>
      <c r="O175" s="48"/>
      <c r="P175" s="48"/>
    </row>
    <row r="176" spans="2:16" x14ac:dyDescent="0.25">
      <c r="B176" s="47" t="s">
        <v>138</v>
      </c>
      <c r="C176" s="48">
        <v>3959</v>
      </c>
      <c r="D176" s="48">
        <v>11417</v>
      </c>
      <c r="E176" s="61">
        <v>13167</v>
      </c>
      <c r="F176" s="48">
        <f t="shared" ref="F176" si="87">F$204</f>
        <v>0</v>
      </c>
      <c r="G176" s="48"/>
      <c r="H176" s="48"/>
      <c r="I176" s="48"/>
      <c r="J176" s="48"/>
      <c r="K176" s="48"/>
      <c r="L176" s="48"/>
      <c r="M176" s="48"/>
      <c r="N176" s="48"/>
      <c r="O176" s="48"/>
      <c r="P176" s="48"/>
    </row>
    <row r="177" spans="2:19" x14ac:dyDescent="0.25">
      <c r="B177" s="47" t="s">
        <v>139</v>
      </c>
      <c r="C177" s="48">
        <v>0</v>
      </c>
      <c r="D177" s="48">
        <v>-664</v>
      </c>
      <c r="E177" s="61">
        <v>-778</v>
      </c>
      <c r="F177" s="48">
        <v>0</v>
      </c>
      <c r="G177" s="48"/>
      <c r="H177" s="48"/>
      <c r="I177" s="48"/>
      <c r="J177" s="48"/>
      <c r="K177" s="48"/>
      <c r="L177" s="48"/>
      <c r="M177" s="48"/>
      <c r="N177" s="48"/>
      <c r="O177" s="48"/>
      <c r="P177" s="48"/>
    </row>
    <row r="178" spans="2:19" x14ac:dyDescent="0.25">
      <c r="B178" s="47" t="s">
        <v>140</v>
      </c>
      <c r="C178" s="48">
        <v>-750</v>
      </c>
      <c r="D178" s="48">
        <v>-2500</v>
      </c>
      <c r="E178" s="61">
        <v>-4108</v>
      </c>
      <c r="F178" s="48">
        <f t="shared" ref="F178" si="88">-F$202</f>
        <v>0</v>
      </c>
      <c r="G178" s="48"/>
      <c r="H178" s="48"/>
      <c r="I178" s="48"/>
      <c r="J178" s="48"/>
      <c r="K178" s="48"/>
      <c r="L178" s="48"/>
      <c r="M178" s="48"/>
      <c r="N178" s="48"/>
      <c r="O178" s="48"/>
      <c r="P178" s="48"/>
    </row>
    <row r="179" spans="2:19" x14ac:dyDescent="0.25">
      <c r="B179" s="47" t="s">
        <v>141</v>
      </c>
      <c r="C179" s="48">
        <v>-335</v>
      </c>
      <c r="D179" s="48">
        <v>-491</v>
      </c>
      <c r="E179" s="61">
        <v>-772</v>
      </c>
      <c r="F179" s="48">
        <v>0</v>
      </c>
      <c r="G179" s="48"/>
      <c r="H179" s="48"/>
      <c r="I179" s="48"/>
      <c r="J179" s="48"/>
      <c r="K179" s="48"/>
      <c r="L179" s="48"/>
      <c r="M179" s="48"/>
      <c r="N179" s="48"/>
      <c r="O179" s="48"/>
      <c r="P179" s="48"/>
    </row>
    <row r="180" spans="2:19" x14ac:dyDescent="0.25">
      <c r="B180" s="45" t="s">
        <v>142</v>
      </c>
      <c r="C180" s="46">
        <v>3496</v>
      </c>
      <c r="D180" s="46">
        <v>1230</v>
      </c>
      <c r="E180" s="62">
        <v>-2213</v>
      </c>
      <c r="F180" s="46">
        <f t="shared" ref="F180" si="89">SUM(F174:F179)</f>
        <v>0</v>
      </c>
      <c r="G180" s="46"/>
      <c r="H180" s="46"/>
      <c r="I180" s="46"/>
      <c r="J180" s="46"/>
      <c r="K180" s="46"/>
      <c r="L180" s="46"/>
      <c r="M180" s="46"/>
      <c r="N180" s="46"/>
      <c r="O180" s="46"/>
      <c r="P180" s="46"/>
    </row>
    <row r="181" spans="2:19" x14ac:dyDescent="0.25">
      <c r="E181" s="30"/>
    </row>
    <row r="182" spans="2:19" x14ac:dyDescent="0.25">
      <c r="B182" s="47" t="s">
        <v>143</v>
      </c>
      <c r="C182" s="48">
        <v>169</v>
      </c>
      <c r="D182" s="48">
        <v>-297</v>
      </c>
      <c r="E182" s="61">
        <v>372</v>
      </c>
      <c r="F182" s="48">
        <v>0</v>
      </c>
      <c r="G182" s="48"/>
      <c r="H182" s="48"/>
      <c r="I182" s="48"/>
      <c r="J182" s="48"/>
      <c r="K182" s="48"/>
      <c r="L182" s="48"/>
      <c r="M182" s="48"/>
      <c r="N182" s="48"/>
      <c r="O182" s="48"/>
      <c r="P182" s="48"/>
    </row>
    <row r="183" spans="2:19" x14ac:dyDescent="0.25">
      <c r="B183" s="45" t="s">
        <v>144</v>
      </c>
      <c r="C183" s="46">
        <v>752</v>
      </c>
      <c r="D183" s="46">
        <v>449</v>
      </c>
      <c r="E183" s="62">
        <v>4000</v>
      </c>
      <c r="F183" s="46">
        <f t="shared" ref="F183" si="90">F163+F172+F180+F182</f>
        <v>17450.441295676595</v>
      </c>
      <c r="G183" s="46"/>
      <c r="H183" s="46"/>
      <c r="I183" s="46"/>
      <c r="J183" s="46"/>
      <c r="K183" s="46"/>
      <c r="L183" s="46"/>
      <c r="M183" s="46"/>
      <c r="N183" s="46"/>
      <c r="O183" s="46"/>
      <c r="P183" s="46"/>
    </row>
    <row r="184" spans="2:19" x14ac:dyDescent="0.25">
      <c r="B184" s="47" t="s">
        <v>145</v>
      </c>
      <c r="C184" s="48">
        <v>2067</v>
      </c>
      <c r="D184" s="48">
        <v>2818.6</v>
      </c>
      <c r="E184" s="61">
        <v>3268</v>
      </c>
      <c r="F184" s="48">
        <f t="shared" ref="F184" si="91">E122</f>
        <v>7268</v>
      </c>
      <c r="G184" s="48"/>
      <c r="H184" s="48"/>
      <c r="I184" s="48"/>
      <c r="J184" s="48"/>
      <c r="K184" s="48"/>
      <c r="L184" s="48"/>
      <c r="M184" s="48"/>
      <c r="N184" s="48"/>
      <c r="O184" s="48"/>
      <c r="P184" s="48"/>
    </row>
    <row r="185" spans="2:19" x14ac:dyDescent="0.25">
      <c r="B185" s="45" t="s">
        <v>146</v>
      </c>
      <c r="C185" s="46">
        <v>2819</v>
      </c>
      <c r="D185" s="46">
        <v>3267.6</v>
      </c>
      <c r="E185" s="62">
        <v>7268</v>
      </c>
      <c r="F185" s="46">
        <f t="shared" ref="F185" si="92">F184+F183</f>
        <v>24718.441295676595</v>
      </c>
      <c r="G185" s="46"/>
      <c r="H185" s="46"/>
      <c r="I185" s="46"/>
      <c r="J185" s="46"/>
      <c r="K185" s="46"/>
      <c r="L185" s="46"/>
      <c r="M185" s="46"/>
      <c r="N185" s="46"/>
      <c r="O185" s="46"/>
      <c r="P185" s="46"/>
    </row>
    <row r="186" spans="2:19" x14ac:dyDescent="0.25">
      <c r="E186" s="30"/>
    </row>
    <row r="187" spans="2:19" ht="16.5" thickBot="1" x14ac:dyDescent="0.3">
      <c r="B187" s="43" t="s">
        <v>147</v>
      </c>
      <c r="C187" s="44" t="s">
        <v>77</v>
      </c>
      <c r="D187" s="44" t="s">
        <v>78</v>
      </c>
      <c r="E187" s="60" t="s">
        <v>79</v>
      </c>
      <c r="F187" s="44" t="s">
        <v>80</v>
      </c>
      <c r="G187" s="44" t="s">
        <v>81</v>
      </c>
      <c r="H187" s="44" t="s">
        <v>82</v>
      </c>
      <c r="I187" s="44" t="s">
        <v>83</v>
      </c>
      <c r="J187" s="44" t="s">
        <v>84</v>
      </c>
      <c r="K187" s="44" t="s">
        <v>85</v>
      </c>
      <c r="L187" s="44" t="s">
        <v>260</v>
      </c>
      <c r="M187" s="44" t="s">
        <v>261</v>
      </c>
      <c r="N187" s="44" t="s">
        <v>262</v>
      </c>
      <c r="O187" s="44" t="s">
        <v>263</v>
      </c>
      <c r="P187" s="44" t="s">
        <v>264</v>
      </c>
      <c r="R187" s="53" t="s">
        <v>148</v>
      </c>
      <c r="S187" s="53"/>
    </row>
    <row r="188" spans="2:19" x14ac:dyDescent="0.25">
      <c r="B188" s="51" t="s">
        <v>149</v>
      </c>
      <c r="C188" s="54">
        <f>C123/C107</f>
        <v>0.26639530419849894</v>
      </c>
      <c r="D188" s="54">
        <f>D123/D107</f>
        <v>0.24434592064862903</v>
      </c>
      <c r="E188" s="64">
        <f>E123/E107</f>
        <v>0.27247830989805072</v>
      </c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R188" s="47" t="s">
        <v>150</v>
      </c>
      <c r="S188" s="49">
        <v>6.92</v>
      </c>
    </row>
    <row r="189" spans="2:19" x14ac:dyDescent="0.25">
      <c r="B189" s="51" t="s">
        <v>151</v>
      </c>
      <c r="C189" s="54">
        <f t="shared" ref="C189:E190" si="93">C124/C107</f>
        <v>6.5809794250983891E-2</v>
      </c>
      <c r="D189" s="54">
        <f t="shared" si="93"/>
        <v>5.039662364822714E-2</v>
      </c>
      <c r="E189" s="64">
        <f t="shared" si="93"/>
        <v>3.6744681993571594E-2</v>
      </c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R189" s="47" t="s">
        <v>152</v>
      </c>
      <c r="S189" s="55">
        <v>0.08</v>
      </c>
    </row>
    <row r="190" spans="2:19" x14ac:dyDescent="0.25">
      <c r="B190" s="51" t="s">
        <v>153</v>
      </c>
      <c r="C190" s="54">
        <f t="shared" si="93"/>
        <v>0.81511394764338763</v>
      </c>
      <c r="D190" s="54">
        <f t="shared" si="93"/>
        <v>0.90148842402860441</v>
      </c>
      <c r="E190" s="64">
        <f t="shared" si="93"/>
        <v>1.2434858135495079</v>
      </c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R190" s="47" t="s">
        <v>154</v>
      </c>
      <c r="S190" s="48">
        <v>4000</v>
      </c>
    </row>
    <row r="191" spans="2:19" x14ac:dyDescent="0.25">
      <c r="B191" s="51" t="s">
        <v>155</v>
      </c>
      <c r="C191" s="54">
        <f>C126/C107</f>
        <v>0.16237204790749057</v>
      </c>
      <c r="D191" s="54">
        <f>D126/D107</f>
        <v>0.18517984046249453</v>
      </c>
      <c r="E191" s="64">
        <f>E126/E107</f>
        <v>0.21962426836658763</v>
      </c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R191" s="47" t="s">
        <v>156</v>
      </c>
      <c r="S191" s="48">
        <v>0</v>
      </c>
    </row>
    <row r="192" spans="2:19" x14ac:dyDescent="0.25">
      <c r="B192" s="51" t="s">
        <v>157</v>
      </c>
      <c r="C192" s="54">
        <f>C127/C107</f>
        <v>7.5782218432134466E-3</v>
      </c>
      <c r="D192" s="54">
        <f>D127/D107</f>
        <v>5.9055074407173653E-3</v>
      </c>
      <c r="E192" s="64">
        <f>E127/E107</f>
        <v>2.2553103353048116E-3</v>
      </c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R192" s="47" t="s">
        <v>158</v>
      </c>
      <c r="S192" s="48">
        <v>0</v>
      </c>
    </row>
    <row r="193" spans="2:19" x14ac:dyDescent="0.25">
      <c r="B193" s="51" t="s">
        <v>159</v>
      </c>
      <c r="C193" s="54">
        <f>C138/C108</f>
        <v>0.36694812346446021</v>
      </c>
      <c r="D193" s="54">
        <f>D138/D108</f>
        <v>0.38356912915909391</v>
      </c>
      <c r="E193" s="64">
        <f>E138/E108</f>
        <v>0.48666401273885351</v>
      </c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</row>
    <row r="194" spans="2:19" x14ac:dyDescent="0.25">
      <c r="B194" s="51" t="s">
        <v>160</v>
      </c>
      <c r="C194" s="54">
        <f>C139/C107</f>
        <v>4.8364645514460451E-2</v>
      </c>
      <c r="D194" s="54">
        <f>D139/D107</f>
        <v>4.6489220228805125E-2</v>
      </c>
      <c r="E194" s="64">
        <f>E139/E107</f>
        <v>3.6437837049992705E-2</v>
      </c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</row>
    <row r="195" spans="2:19" x14ac:dyDescent="0.25">
      <c r="B195" s="51" t="s">
        <v>161</v>
      </c>
      <c r="C195" s="54">
        <f>C140/C107</f>
        <v>0.34254383265785759</v>
      </c>
      <c r="D195" s="54">
        <f>D140/D107</f>
        <v>0.2561791366858559</v>
      </c>
      <c r="E195" s="64">
        <f>E140/E107</f>
        <v>0.26667894046440982</v>
      </c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</row>
    <row r="196" spans="2:19" x14ac:dyDescent="0.25">
      <c r="B196" s="51" t="s">
        <v>162</v>
      </c>
      <c r="C196" s="54">
        <f>C141/C107</f>
        <v>0.13042102209289033</v>
      </c>
      <c r="D196" s="54">
        <f>D141/D107</f>
        <v>0.14202079360251499</v>
      </c>
      <c r="E196" s="64">
        <f>E141/E107</f>
        <v>0.12974938439233194</v>
      </c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</row>
    <row r="197" spans="2:19" x14ac:dyDescent="0.25">
      <c r="B197" s="51" t="s">
        <v>163</v>
      </c>
      <c r="C197" s="54">
        <f>-C165/C107</f>
        <v>0.10104295790951262</v>
      </c>
      <c r="D197" s="54">
        <f>-D165/D107</f>
        <v>0.11229344599679862</v>
      </c>
      <c r="E197" s="64">
        <f>-E165/E107</f>
        <v>0.12029856013010225</v>
      </c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</row>
    <row r="198" spans="2:19" x14ac:dyDescent="0.25">
      <c r="B198" s="51" t="s">
        <v>164</v>
      </c>
      <c r="C198" s="54">
        <f>C153/C107</f>
        <v>4.4748432925703525E-2</v>
      </c>
      <c r="D198" s="54">
        <f>D153/D107</f>
        <v>3.9229442284765353E-2</v>
      </c>
      <c r="E198" s="64">
        <f>E153/E107</f>
        <v>3.0638467616351764E-2</v>
      </c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</row>
    <row r="199" spans="2:19" x14ac:dyDescent="0.25">
      <c r="B199" s="51" t="s">
        <v>165</v>
      </c>
      <c r="C199" s="52">
        <f>C155</f>
        <v>629</v>
      </c>
      <c r="D199" s="52">
        <f>D155</f>
        <v>646</v>
      </c>
      <c r="E199" s="63">
        <f>E155</f>
        <v>626</v>
      </c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</row>
    <row r="200" spans="2:19" x14ac:dyDescent="0.25">
      <c r="B200" s="51" t="s">
        <v>166</v>
      </c>
      <c r="E200" s="30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</row>
    <row r="201" spans="2:19" x14ac:dyDescent="0.25">
      <c r="B201" s="51" t="s">
        <v>167</v>
      </c>
      <c r="E201" s="30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</row>
    <row r="202" spans="2:19" x14ac:dyDescent="0.25">
      <c r="B202" s="51" t="s">
        <v>168</v>
      </c>
      <c r="E202" s="30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</row>
    <row r="203" spans="2:19" x14ac:dyDescent="0.25">
      <c r="B203" s="51" t="s">
        <v>169</v>
      </c>
      <c r="E203" s="30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</row>
    <row r="204" spans="2:19" x14ac:dyDescent="0.25">
      <c r="B204" s="51" t="s">
        <v>170</v>
      </c>
      <c r="E204" s="30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</row>
    <row r="205" spans="2:19" x14ac:dyDescent="0.25">
      <c r="E205" s="30"/>
    </row>
    <row r="206" spans="2:19" ht="16.5" thickBot="1" x14ac:dyDescent="0.3">
      <c r="B206" s="43" t="s">
        <v>171</v>
      </c>
      <c r="C206" s="44" t="s">
        <v>77</v>
      </c>
      <c r="D206" s="44" t="s">
        <v>78</v>
      </c>
      <c r="E206" s="60" t="s">
        <v>79</v>
      </c>
      <c r="F206" s="44" t="s">
        <v>80</v>
      </c>
      <c r="G206" s="44" t="s">
        <v>81</v>
      </c>
      <c r="H206" s="44" t="s">
        <v>82</v>
      </c>
      <c r="I206" s="44" t="s">
        <v>83</v>
      </c>
      <c r="J206" s="44" t="s">
        <v>84</v>
      </c>
      <c r="K206" s="44" t="s">
        <v>85</v>
      </c>
      <c r="L206" s="44" t="s">
        <v>260</v>
      </c>
      <c r="M206" s="44" t="s">
        <v>261</v>
      </c>
      <c r="N206" s="44" t="s">
        <v>262</v>
      </c>
      <c r="O206" s="44" t="s">
        <v>263</v>
      </c>
      <c r="P206" s="44" t="s">
        <v>264</v>
      </c>
      <c r="R206" s="53" t="s">
        <v>172</v>
      </c>
      <c r="S206" s="53"/>
    </row>
    <row r="207" spans="2:19" x14ac:dyDescent="0.25">
      <c r="B207" s="47" t="s">
        <v>173</v>
      </c>
      <c r="E207" s="30"/>
      <c r="F207" s="48">
        <f>F115-F114</f>
        <v>7002.3661720132368</v>
      </c>
      <c r="G207" s="48">
        <f t="shared" ref="G207:P207" si="94">G115-G114</f>
        <v>7065.0807055876267</v>
      </c>
      <c r="H207" s="48">
        <f t="shared" si="94"/>
        <v>7339.9696448573713</v>
      </c>
      <c r="I207" s="48">
        <f t="shared" si="94"/>
        <v>7880.0606798603476</v>
      </c>
      <c r="J207" s="48">
        <f t="shared" si="94"/>
        <v>4773.0258813862292</v>
      </c>
      <c r="K207" s="48">
        <f t="shared" si="94"/>
        <v>4597.9707461944372</v>
      </c>
      <c r="L207" s="48">
        <f t="shared" si="94"/>
        <v>4722.6968212007005</v>
      </c>
      <c r="M207" s="48">
        <f t="shared" si="94"/>
        <v>4888.7193220275885</v>
      </c>
      <c r="N207" s="48">
        <f t="shared" si="94"/>
        <v>5055.7090379837136</v>
      </c>
      <c r="O207" s="48">
        <f t="shared" si="94"/>
        <v>5199.0998367225075</v>
      </c>
      <c r="P207" s="48">
        <f t="shared" si="94"/>
        <v>5368.5234020980688</v>
      </c>
      <c r="R207" s="47" t="s">
        <v>174</v>
      </c>
      <c r="S207" s="47" t="s">
        <v>175</v>
      </c>
    </row>
    <row r="208" spans="2:19" x14ac:dyDescent="0.25">
      <c r="B208" s="47" t="s">
        <v>75</v>
      </c>
      <c r="E208" s="30"/>
      <c r="F208" s="55">
        <v>0.25</v>
      </c>
      <c r="G208" s="55">
        <v>0.25</v>
      </c>
      <c r="H208" s="55">
        <v>0.25</v>
      </c>
      <c r="I208" s="55">
        <v>0.25</v>
      </c>
      <c r="J208" s="55">
        <v>0.25</v>
      </c>
      <c r="K208" s="55">
        <v>0.25</v>
      </c>
      <c r="L208" s="55">
        <v>0.25</v>
      </c>
      <c r="M208" s="55">
        <v>0.25</v>
      </c>
      <c r="N208" s="55">
        <v>0.25</v>
      </c>
      <c r="O208" s="55">
        <v>0.25</v>
      </c>
      <c r="P208" s="55">
        <v>0.25</v>
      </c>
      <c r="R208" s="47" t="s">
        <v>75</v>
      </c>
      <c r="S208" s="55">
        <v>0.25</v>
      </c>
    </row>
    <row r="209" spans="2:19" x14ac:dyDescent="0.25">
      <c r="B209" s="45" t="s">
        <v>176</v>
      </c>
      <c r="E209" s="30"/>
      <c r="F209" s="46">
        <v>27066.503848426568</v>
      </c>
      <c r="G209" s="46">
        <v>33017.613643745739</v>
      </c>
      <c r="H209" s="46">
        <v>37370.022509736264</v>
      </c>
      <c r="I209" s="46">
        <v>42020.521911419914</v>
      </c>
      <c r="J209" s="46">
        <v>39669.810806591173</v>
      </c>
      <c r="K209" s="46">
        <v>40778.018597026305</v>
      </c>
      <c r="L209" s="46">
        <v>42338.191591462499</v>
      </c>
      <c r="M209" s="46">
        <v>43945.419797412156</v>
      </c>
      <c r="N209" s="46">
        <v>46602.772610805012</v>
      </c>
      <c r="O209" s="46">
        <v>47902.633306993012</v>
      </c>
      <c r="P209" s="46">
        <v>49231.489344369911</v>
      </c>
      <c r="R209" s="47" t="s">
        <v>177</v>
      </c>
      <c r="S209" s="55">
        <v>0.08</v>
      </c>
    </row>
    <row r="210" spans="2:19" x14ac:dyDescent="0.25">
      <c r="B210" s="47" t="s">
        <v>178</v>
      </c>
      <c r="E210" s="30"/>
      <c r="F210" s="48">
        <v>2421.844144370546</v>
      </c>
      <c r="G210" s="48">
        <v>2959.8275046982558</v>
      </c>
      <c r="H210" s="48">
        <v>3352.1949072019547</v>
      </c>
      <c r="I210" s="48">
        <v>3759.3076938173167</v>
      </c>
      <c r="J210" s="48">
        <v>3549.5925298807861</v>
      </c>
      <c r="K210" s="48">
        <v>3650.1632461185691</v>
      </c>
      <c r="L210" s="48">
        <v>3789.0129353793127</v>
      </c>
      <c r="M210" s="48">
        <v>3930.6427027649715</v>
      </c>
      <c r="N210" s="48">
        <v>4166.6972807764478</v>
      </c>
      <c r="O210" s="48">
        <v>4282.493204033899</v>
      </c>
      <c r="P210" s="48">
        <v>4400.4156892352412</v>
      </c>
      <c r="R210" s="47" t="s">
        <v>179</v>
      </c>
      <c r="S210" s="55">
        <v>0.01</v>
      </c>
    </row>
    <row r="211" spans="2:19" x14ac:dyDescent="0.25">
      <c r="B211" s="47" t="s">
        <v>180</v>
      </c>
      <c r="E211" s="30"/>
      <c r="F211" s="48">
        <v>-9509.1036234398853</v>
      </c>
      <c r="G211" s="48">
        <v>-11621.435885998511</v>
      </c>
      <c r="H211" s="48">
        <v>-13162.023168437921</v>
      </c>
      <c r="I211" s="48">
        <v>-14760.506573470997</v>
      </c>
      <c r="J211" s="48">
        <v>-13937.083138104779</v>
      </c>
      <c r="K211" s="48">
        <v>-14331.962950834102</v>
      </c>
      <c r="L211" s="48">
        <v>-14877.140924541407</v>
      </c>
      <c r="M211" s="48">
        <v>-15433.234568042135</v>
      </c>
      <c r="N211" s="48">
        <v>-16360.076804490802</v>
      </c>
      <c r="O211" s="48">
        <v>-16814.736711482125</v>
      </c>
      <c r="P211" s="48">
        <v>-17277.746329140475</v>
      </c>
    </row>
    <row r="212" spans="2:19" x14ac:dyDescent="0.25">
      <c r="B212" s="47" t="s">
        <v>181</v>
      </c>
      <c r="E212" s="30"/>
      <c r="F212" s="48">
        <v>-4257.4210107930339</v>
      </c>
      <c r="G212" s="48">
        <v>-4226.2669754481976</v>
      </c>
      <c r="H212" s="48">
        <v>-3082.3432799736765</v>
      </c>
      <c r="I212" s="48">
        <v>-3198.1794461210156</v>
      </c>
      <c r="J212" s="48">
        <v>1647.4715334239663</v>
      </c>
      <c r="K212" s="48">
        <v>-790.05918784182722</v>
      </c>
      <c r="L212" s="48">
        <v>-1090.7695284784713</v>
      </c>
      <c r="M212" s="48">
        <v>-1112.6091488736784</v>
      </c>
      <c r="N212" s="48">
        <v>-1854.3875908087066</v>
      </c>
      <c r="O212" s="48">
        <v>-909.66472653800156</v>
      </c>
      <c r="P212" s="48">
        <v>-926.37048210120702</v>
      </c>
      <c r="R212" s="47" t="s">
        <v>265</v>
      </c>
      <c r="S212" s="48">
        <f>SUM(F216:P216)</f>
        <v>193180.43976630253</v>
      </c>
    </row>
    <row r="213" spans="2:19" x14ac:dyDescent="0.25">
      <c r="B213" s="45" t="s">
        <v>182</v>
      </c>
      <c r="E213" s="30"/>
      <c r="F213" s="46">
        <v>15721.823358564194</v>
      </c>
      <c r="G213" s="46">
        <v>20129.738286997283</v>
      </c>
      <c r="H213" s="46">
        <v>24477.850968526622</v>
      </c>
      <c r="I213" s="46">
        <v>27821.143585645219</v>
      </c>
      <c r="J213" s="46">
        <v>30929.791731791145</v>
      </c>
      <c r="K213" s="46">
        <v>29306.159704468948</v>
      </c>
      <c r="L213" s="46">
        <v>30159.294073821937</v>
      </c>
      <c r="M213" s="46">
        <v>31330.218783261313</v>
      </c>
      <c r="N213" s="46">
        <v>32555.005496281949</v>
      </c>
      <c r="O213" s="46">
        <v>34460.725073006783</v>
      </c>
      <c r="P213" s="46">
        <v>35427.788222363466</v>
      </c>
      <c r="R213" s="47" t="s">
        <v>266</v>
      </c>
      <c r="S213" s="48">
        <f>P213*(1+S210)/(S209-S210)</f>
        <v>511172.37292267283</v>
      </c>
    </row>
    <row r="214" spans="2:19" x14ac:dyDescent="0.25">
      <c r="B214" s="47" t="s">
        <v>183</v>
      </c>
      <c r="E214" s="30"/>
      <c r="F214" s="57">
        <v>1</v>
      </c>
      <c r="G214" s="57">
        <v>2</v>
      </c>
      <c r="H214" s="57">
        <v>3</v>
      </c>
      <c r="I214" s="57">
        <v>4</v>
      </c>
      <c r="J214" s="57">
        <v>5</v>
      </c>
      <c r="K214" s="57">
        <v>6</v>
      </c>
      <c r="L214" s="57">
        <v>7</v>
      </c>
      <c r="M214" s="57">
        <v>8</v>
      </c>
      <c r="N214" s="57">
        <v>9</v>
      </c>
      <c r="O214" s="57">
        <v>10</v>
      </c>
      <c r="P214" s="57">
        <v>11</v>
      </c>
      <c r="R214" s="47" t="s">
        <v>184</v>
      </c>
      <c r="S214" s="48">
        <f>S213*P215</f>
        <v>219233.06891349799</v>
      </c>
    </row>
    <row r="215" spans="2:19" x14ac:dyDescent="0.25">
      <c r="B215" s="47" t="s">
        <v>185</v>
      </c>
      <c r="E215" s="30"/>
      <c r="F215" s="58">
        <v>0.92592592592592582</v>
      </c>
      <c r="G215" s="58">
        <v>0.85733882030178321</v>
      </c>
      <c r="H215" s="58">
        <v>0.79383224102016958</v>
      </c>
      <c r="I215" s="58">
        <v>0.73502985279645328</v>
      </c>
      <c r="J215" s="58">
        <v>0.68058319703375303</v>
      </c>
      <c r="K215" s="58">
        <v>0.63016962688310452</v>
      </c>
      <c r="L215" s="58">
        <v>0.58349039526213387</v>
      </c>
      <c r="M215" s="58">
        <v>0.54026888450197574</v>
      </c>
      <c r="N215" s="58">
        <v>0.50024896713145905</v>
      </c>
      <c r="O215" s="58">
        <v>0.46319348808468425</v>
      </c>
      <c r="P215" s="58">
        <v>0.42888285933767062</v>
      </c>
      <c r="R215" s="45" t="s">
        <v>186</v>
      </c>
      <c r="S215" s="46">
        <f>S212+S214</f>
        <v>412413.50867980055</v>
      </c>
    </row>
    <row r="216" spans="2:19" x14ac:dyDescent="0.25">
      <c r="B216" s="45" t="s">
        <v>187</v>
      </c>
      <c r="E216" s="30"/>
      <c r="F216" s="46">
        <v>14557.2438505224</v>
      </c>
      <c r="G216" s="46">
        <v>17258.006075957888</v>
      </c>
      <c r="H216" s="46">
        <v>19431.307289703218</v>
      </c>
      <c r="I216" s="46">
        <v>20449.371074385796</v>
      </c>
      <c r="J216" s="46">
        <v>21050.29654041056</v>
      </c>
      <c r="K216" s="46">
        <v>18467.851726341869</v>
      </c>
      <c r="L216" s="46">
        <v>17597.658419961292</v>
      </c>
      <c r="M216" s="46">
        <v>16926.742353235437</v>
      </c>
      <c r="N216" s="46">
        <v>16285.607874474017</v>
      </c>
      <c r="O216" s="46">
        <v>15961.983448493347</v>
      </c>
      <c r="P216" s="46">
        <v>15194.371112816694</v>
      </c>
      <c r="R216" s="47" t="s">
        <v>188</v>
      </c>
      <c r="S216" s="48">
        <f>-Main!B7</f>
        <v>-42503</v>
      </c>
    </row>
    <row r="217" spans="2:19" x14ac:dyDescent="0.25">
      <c r="R217" s="47" t="s">
        <v>189</v>
      </c>
      <c r="S217" s="48">
        <f>Main!B6</f>
        <v>7268</v>
      </c>
    </row>
    <row r="218" spans="2:19" x14ac:dyDescent="0.25">
      <c r="B218" s="45"/>
      <c r="R218" s="45" t="s">
        <v>190</v>
      </c>
      <c r="S218" s="46">
        <f>SUM(S215:S217)</f>
        <v>377178.50867980055</v>
      </c>
    </row>
    <row r="219" spans="2:19" x14ac:dyDescent="0.25">
      <c r="R219" s="47" t="s">
        <v>191</v>
      </c>
      <c r="S219" s="50">
        <f>Main!B4</f>
        <v>895.9</v>
      </c>
    </row>
    <row r="220" spans="2:19" x14ac:dyDescent="0.25">
      <c r="R220" s="53" t="s">
        <v>192</v>
      </c>
      <c r="S220" s="59">
        <f>S218/S219</f>
        <v>421.00514418997716</v>
      </c>
    </row>
    <row r="221" spans="2:19" x14ac:dyDescent="0.25">
      <c r="B221" s="55"/>
      <c r="C221" s="49"/>
      <c r="D221" s="49"/>
      <c r="E221" s="49"/>
      <c r="F221" s="49"/>
      <c r="G221" s="49"/>
      <c r="R221" s="47" t="s">
        <v>193</v>
      </c>
      <c r="S221" s="49">
        <f>Main!B3</f>
        <v>1213.4000000000001</v>
      </c>
    </row>
    <row r="222" spans="2:19" x14ac:dyDescent="0.25">
      <c r="B222" s="55"/>
      <c r="C222" s="49"/>
      <c r="D222" s="49"/>
      <c r="E222" s="49"/>
      <c r="F222" s="49"/>
      <c r="G222" s="49"/>
      <c r="R222" s="47" t="s">
        <v>194</v>
      </c>
      <c r="S222" s="55">
        <f>S220/S221-1</f>
        <v>-0.65303680221692995</v>
      </c>
    </row>
    <row r="223" spans="2:19" x14ac:dyDescent="0.25">
      <c r="B223" s="55"/>
      <c r="C223" s="49"/>
      <c r="D223" s="49"/>
      <c r="E223" s="49"/>
      <c r="F223" s="49"/>
      <c r="G223" s="49"/>
    </row>
    <row r="252" spans="2:2" x14ac:dyDescent="0.25">
      <c r="B252" s="51"/>
    </row>
    <row r="253" spans="2:2" x14ac:dyDescent="0.25">
      <c r="B253" s="51"/>
    </row>
    <row r="254" spans="2:2" x14ac:dyDescent="0.25">
      <c r="B254" s="51"/>
    </row>
    <row r="255" spans="2:2" x14ac:dyDescent="0.25">
      <c r="B255" s="51"/>
    </row>
    <row r="256" spans="2:2" x14ac:dyDescent="0.25">
      <c r="B256" s="51"/>
    </row>
    <row r="257" spans="2:2" x14ac:dyDescent="0.25">
      <c r="B257" s="51"/>
    </row>
    <row r="258" spans="2:2" x14ac:dyDescent="0.25">
      <c r="B258" s="51"/>
    </row>
    <row r="259" spans="2:2" x14ac:dyDescent="0.25">
      <c r="B259" s="51"/>
    </row>
    <row r="260" spans="2:2" x14ac:dyDescent="0.25">
      <c r="B260" s="51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6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7</v>
      </c>
    </row>
    <row r="3" spans="2:3" x14ac:dyDescent="0.25">
      <c r="B3" s="31" t="s">
        <v>196</v>
      </c>
      <c r="C3" t="s">
        <v>197</v>
      </c>
    </row>
    <row r="4" spans="2:3" x14ac:dyDescent="0.25">
      <c r="B4" s="31" t="s">
        <v>2</v>
      </c>
      <c r="C4" t="s">
        <v>198</v>
      </c>
    </row>
    <row r="5" spans="2:3" x14ac:dyDescent="0.25">
      <c r="B5" s="31" t="s">
        <v>199</v>
      </c>
      <c r="C5" t="s">
        <v>200</v>
      </c>
    </row>
    <row r="6" spans="2:3" x14ac:dyDescent="0.25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6"/>
  <sheetViews>
    <sheetView zoomScale="130" zoomScaleNormal="130" workbookViewId="0">
      <selection activeCell="C5" sqref="C5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9</v>
      </c>
    </row>
    <row r="3" spans="2:3" x14ac:dyDescent="0.25">
      <c r="B3" s="31" t="s">
        <v>196</v>
      </c>
      <c r="C3" t="s">
        <v>201</v>
      </c>
    </row>
    <row r="4" spans="2:3" x14ac:dyDescent="0.25">
      <c r="B4" s="31" t="s">
        <v>2</v>
      </c>
      <c r="C4" t="s">
        <v>202</v>
      </c>
    </row>
    <row r="5" spans="2:3" x14ac:dyDescent="0.25">
      <c r="B5" s="31" t="s">
        <v>199</v>
      </c>
      <c r="C5" t="s">
        <v>200</v>
      </c>
    </row>
    <row r="6" spans="2:3" x14ac:dyDescent="0.25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6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11</v>
      </c>
    </row>
    <row r="3" spans="2:3" x14ac:dyDescent="0.25">
      <c r="B3" s="31" t="s">
        <v>196</v>
      </c>
      <c r="C3" t="s">
        <v>203</v>
      </c>
    </row>
    <row r="4" spans="2:3" x14ac:dyDescent="0.25">
      <c r="B4" s="31" t="s">
        <v>2</v>
      </c>
      <c r="C4" t="s">
        <v>204</v>
      </c>
    </row>
    <row r="5" spans="2:3" x14ac:dyDescent="0.25">
      <c r="B5" s="31" t="s">
        <v>199</v>
      </c>
      <c r="C5" t="s">
        <v>205</v>
      </c>
    </row>
    <row r="6" spans="2:3" x14ac:dyDescent="0.25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1E5F5"/>
  </sheetPr>
  <dimension ref="B2:C5"/>
  <sheetViews>
    <sheetView zoomScale="130" zoomScaleNormal="130" workbookViewId="0">
      <selection activeCell="C12" sqref="C12"/>
    </sheetView>
  </sheetViews>
  <sheetFormatPr defaultColWidth="11" defaultRowHeight="15.75" x14ac:dyDescent="0.25"/>
  <cols>
    <col min="2" max="2" width="11.5" customWidth="1"/>
    <col min="3" max="3" width="39.5" customWidth="1"/>
  </cols>
  <sheetData>
    <row r="2" spans="2:3" x14ac:dyDescent="0.25">
      <c r="B2" s="31" t="s">
        <v>195</v>
      </c>
      <c r="C2" t="s">
        <v>206</v>
      </c>
    </row>
    <row r="3" spans="2:3" x14ac:dyDescent="0.25">
      <c r="B3" s="31" t="s">
        <v>196</v>
      </c>
      <c r="C3" t="s">
        <v>13</v>
      </c>
    </row>
    <row r="4" spans="2:3" x14ac:dyDescent="0.25">
      <c r="B4" s="31" t="s">
        <v>2</v>
      </c>
      <c r="C4" t="s">
        <v>207</v>
      </c>
    </row>
    <row r="5" spans="2:3" x14ac:dyDescent="0.25">
      <c r="B5" s="31" t="s">
        <v>199</v>
      </c>
      <c r="C5" t="s">
        <v>208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6" customWidth="1"/>
  </cols>
  <sheetData>
    <row r="2" spans="2:3" x14ac:dyDescent="0.25">
      <c r="B2" s="31" t="s">
        <v>195</v>
      </c>
      <c r="C2" t="s">
        <v>16</v>
      </c>
    </row>
    <row r="3" spans="2:3" x14ac:dyDescent="0.25">
      <c r="B3" s="31" t="s">
        <v>196</v>
      </c>
      <c r="C3" t="s">
        <v>209</v>
      </c>
    </row>
    <row r="4" spans="2:3" x14ac:dyDescent="0.25">
      <c r="B4" s="31" t="s">
        <v>2</v>
      </c>
      <c r="C4" t="s">
        <v>210</v>
      </c>
    </row>
    <row r="5" spans="2:3" x14ac:dyDescent="0.25">
      <c r="B5" s="31" t="s">
        <v>199</v>
      </c>
      <c r="C5" t="s">
        <v>211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18</v>
      </c>
    </row>
    <row r="3" spans="2:3" x14ac:dyDescent="0.25">
      <c r="B3" s="31" t="s">
        <v>196</v>
      </c>
      <c r="C3" t="s">
        <v>212</v>
      </c>
    </row>
    <row r="4" spans="2:3" x14ac:dyDescent="0.25">
      <c r="B4" s="31" t="s">
        <v>2</v>
      </c>
      <c r="C4" t="s">
        <v>213</v>
      </c>
    </row>
    <row r="5" spans="2:3" x14ac:dyDescent="0.25">
      <c r="B5" s="31" t="s">
        <v>199</v>
      </c>
      <c r="C5" t="s">
        <v>214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19</v>
      </c>
    </row>
    <row r="3" spans="2:3" x14ac:dyDescent="0.25">
      <c r="B3" s="31" t="s">
        <v>196</v>
      </c>
      <c r="C3" t="s">
        <v>215</v>
      </c>
    </row>
    <row r="4" spans="2:3" x14ac:dyDescent="0.25">
      <c r="B4" s="31" t="s">
        <v>2</v>
      </c>
      <c r="C4" t="s">
        <v>213</v>
      </c>
    </row>
    <row r="5" spans="2:3" x14ac:dyDescent="0.25">
      <c r="B5" s="31" t="s">
        <v>199</v>
      </c>
      <c r="C5" t="s">
        <v>216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20</v>
      </c>
    </row>
    <row r="3" spans="2:3" x14ac:dyDescent="0.25">
      <c r="B3" s="31" t="s">
        <v>196</v>
      </c>
      <c r="C3" t="s">
        <v>217</v>
      </c>
    </row>
    <row r="4" spans="2:3" x14ac:dyDescent="0.25">
      <c r="B4" s="31" t="s">
        <v>2</v>
      </c>
      <c r="C4" t="s">
        <v>213</v>
      </c>
    </row>
    <row r="5" spans="2:3" x14ac:dyDescent="0.25">
      <c r="B5" s="31" t="s">
        <v>199</v>
      </c>
      <c r="C5" t="s">
        <v>218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C6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21</v>
      </c>
    </row>
    <row r="3" spans="2:3" x14ac:dyDescent="0.25">
      <c r="B3" s="31" t="s">
        <v>196</v>
      </c>
      <c r="C3" t="s">
        <v>219</v>
      </c>
    </row>
    <row r="4" spans="2:3" x14ac:dyDescent="0.25">
      <c r="B4" s="31" t="s">
        <v>2</v>
      </c>
      <c r="C4" t="s">
        <v>220</v>
      </c>
    </row>
    <row r="5" spans="2:3" x14ac:dyDescent="0.25">
      <c r="B5" s="31" t="s">
        <v>199</v>
      </c>
      <c r="C5" t="s">
        <v>221</v>
      </c>
    </row>
    <row r="6" spans="2:3" x14ac:dyDescent="0.25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C6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23</v>
      </c>
    </row>
    <row r="3" spans="2:3" x14ac:dyDescent="0.25">
      <c r="B3" s="31" t="s">
        <v>196</v>
      </c>
      <c r="C3" t="s">
        <v>222</v>
      </c>
    </row>
    <row r="4" spans="2:3" x14ac:dyDescent="0.25">
      <c r="B4" s="31" t="s">
        <v>2</v>
      </c>
      <c r="C4" t="s">
        <v>223</v>
      </c>
    </row>
    <row r="5" spans="2:3" x14ac:dyDescent="0.25">
      <c r="B5" s="31" t="s">
        <v>199</v>
      </c>
      <c r="C5" t="s">
        <v>224</v>
      </c>
    </row>
    <row r="6" spans="2:3" x14ac:dyDescent="0.25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24</v>
      </c>
    </row>
    <row r="3" spans="2:3" x14ac:dyDescent="0.25">
      <c r="B3" s="31" t="s">
        <v>196</v>
      </c>
      <c r="C3" t="s">
        <v>225</v>
      </c>
    </row>
    <row r="4" spans="2:3" x14ac:dyDescent="0.25">
      <c r="B4" s="31" t="s">
        <v>2</v>
      </c>
      <c r="C4" t="s">
        <v>226</v>
      </c>
    </row>
    <row r="5" spans="2:3" x14ac:dyDescent="0.25">
      <c r="B5" s="31" t="s">
        <v>199</v>
      </c>
      <c r="C5" t="s">
        <v>227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25</v>
      </c>
    </row>
    <row r="3" spans="2:3" x14ac:dyDescent="0.25">
      <c r="B3" s="31" t="s">
        <v>196</v>
      </c>
      <c r="C3" t="s">
        <v>228</v>
      </c>
    </row>
    <row r="4" spans="2:3" x14ac:dyDescent="0.25">
      <c r="B4" s="31" t="s">
        <v>2</v>
      </c>
      <c r="C4" t="s">
        <v>229</v>
      </c>
    </row>
    <row r="5" spans="2:3" x14ac:dyDescent="0.25">
      <c r="B5" s="31" t="s">
        <v>199</v>
      </c>
      <c r="C5" t="s">
        <v>230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27</v>
      </c>
    </row>
    <row r="3" spans="2:3" x14ac:dyDescent="0.25">
      <c r="B3" s="31" t="s">
        <v>196</v>
      </c>
      <c r="C3" t="s">
        <v>231</v>
      </c>
    </row>
    <row r="4" spans="2:3" x14ac:dyDescent="0.25">
      <c r="B4" s="31" t="s">
        <v>2</v>
      </c>
      <c r="C4" t="s">
        <v>232</v>
      </c>
    </row>
    <row r="5" spans="2:3" x14ac:dyDescent="0.25">
      <c r="B5" s="31" t="s">
        <v>199</v>
      </c>
      <c r="C5" t="s">
        <v>233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28</v>
      </c>
    </row>
    <row r="3" spans="2:3" x14ac:dyDescent="0.25">
      <c r="B3" s="31" t="s">
        <v>196</v>
      </c>
      <c r="C3" t="s">
        <v>234</v>
      </c>
    </row>
    <row r="4" spans="2:3" x14ac:dyDescent="0.25">
      <c r="B4" s="31" t="s">
        <v>2</v>
      </c>
      <c r="C4" t="s">
        <v>235</v>
      </c>
    </row>
    <row r="5" spans="2:3" x14ac:dyDescent="0.25">
      <c r="B5" s="31" t="s">
        <v>199</v>
      </c>
      <c r="C5" t="s">
        <v>236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30</v>
      </c>
    </row>
    <row r="3" spans="2:3" x14ac:dyDescent="0.25">
      <c r="B3" s="31" t="s">
        <v>196</v>
      </c>
      <c r="C3" t="s">
        <v>237</v>
      </c>
    </row>
    <row r="4" spans="2:3" x14ac:dyDescent="0.25">
      <c r="B4" s="31" t="s">
        <v>2</v>
      </c>
      <c r="C4" t="s">
        <v>238</v>
      </c>
    </row>
    <row r="5" spans="2:3" x14ac:dyDescent="0.25">
      <c r="B5" s="31" t="s">
        <v>199</v>
      </c>
      <c r="C5" t="s">
        <v>239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C5"/>
  <sheetViews>
    <sheetView zoomScale="130" zoomScaleNormal="130" workbookViewId="0">
      <selection activeCell="C3" sqref="C3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31" t="s">
        <v>195</v>
      </c>
      <c r="C2" t="s">
        <v>31</v>
      </c>
    </row>
    <row r="3" spans="2:3" x14ac:dyDescent="0.25">
      <c r="B3" s="31" t="s">
        <v>196</v>
      </c>
      <c r="C3" t="s">
        <v>240</v>
      </c>
    </row>
    <row r="4" spans="2:3" x14ac:dyDescent="0.25">
      <c r="B4" s="31" t="s">
        <v>2</v>
      </c>
      <c r="C4" t="s">
        <v>223</v>
      </c>
    </row>
    <row r="5" spans="2:3" x14ac:dyDescent="0.25">
      <c r="B5" s="31" t="s">
        <v>199</v>
      </c>
      <c r="C5" t="s">
        <v>241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27.125" customWidth="1"/>
  </cols>
  <sheetData>
    <row r="2" spans="2:3" x14ac:dyDescent="0.25">
      <c r="B2" s="31" t="s">
        <v>195</v>
      </c>
      <c r="C2" t="s">
        <v>32</v>
      </c>
    </row>
    <row r="3" spans="2:3" x14ac:dyDescent="0.25">
      <c r="B3" s="31" t="s">
        <v>196</v>
      </c>
      <c r="C3" t="s">
        <v>242</v>
      </c>
    </row>
    <row r="4" spans="2:3" x14ac:dyDescent="0.25">
      <c r="B4" s="31" t="s">
        <v>2</v>
      </c>
      <c r="C4" t="s">
        <v>243</v>
      </c>
    </row>
    <row r="5" spans="2:3" x14ac:dyDescent="0.25">
      <c r="B5" s="31" t="s">
        <v>199</v>
      </c>
      <c r="C5" t="s">
        <v>244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46.625" customWidth="1"/>
  </cols>
  <sheetData>
    <row r="2" spans="2:3" x14ac:dyDescent="0.25">
      <c r="B2" s="31" t="s">
        <v>195</v>
      </c>
      <c r="C2" t="s">
        <v>33</v>
      </c>
    </row>
    <row r="3" spans="2:3" x14ac:dyDescent="0.25">
      <c r="B3" s="31" t="s">
        <v>196</v>
      </c>
      <c r="C3" t="s">
        <v>245</v>
      </c>
    </row>
    <row r="4" spans="2:3" x14ac:dyDescent="0.25">
      <c r="B4" s="31" t="s">
        <v>2</v>
      </c>
      <c r="C4" t="s">
        <v>246</v>
      </c>
    </row>
    <row r="5" spans="2:3" x14ac:dyDescent="0.25">
      <c r="B5" s="31" t="s">
        <v>199</v>
      </c>
      <c r="C5" t="s">
        <v>247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30.625" customWidth="1"/>
  </cols>
  <sheetData>
    <row r="2" spans="2:3" x14ac:dyDescent="0.25">
      <c r="B2" s="31" t="s">
        <v>195</v>
      </c>
      <c r="C2" t="s">
        <v>34</v>
      </c>
    </row>
    <row r="3" spans="2:3" x14ac:dyDescent="0.25">
      <c r="B3" s="31" t="s">
        <v>196</v>
      </c>
      <c r="C3" t="s">
        <v>248</v>
      </c>
    </row>
    <row r="4" spans="2:3" x14ac:dyDescent="0.25">
      <c r="B4" s="31" t="s">
        <v>2</v>
      </c>
      <c r="C4" t="s">
        <v>249</v>
      </c>
    </row>
    <row r="5" spans="2:3" x14ac:dyDescent="0.25">
      <c r="B5" s="31" t="s">
        <v>199</v>
      </c>
      <c r="C5" t="s">
        <v>250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27.125" customWidth="1"/>
  </cols>
  <sheetData>
    <row r="2" spans="2:3" x14ac:dyDescent="0.25">
      <c r="B2" s="31" t="s">
        <v>195</v>
      </c>
      <c r="C2" t="s">
        <v>35</v>
      </c>
    </row>
    <row r="3" spans="2:3" x14ac:dyDescent="0.25">
      <c r="B3" s="31" t="s">
        <v>196</v>
      </c>
      <c r="C3" t="s">
        <v>251</v>
      </c>
    </row>
    <row r="4" spans="2:3" x14ac:dyDescent="0.25">
      <c r="B4" s="31" t="s">
        <v>2</v>
      </c>
      <c r="C4" t="s">
        <v>252</v>
      </c>
    </row>
    <row r="5" spans="2:3" x14ac:dyDescent="0.25">
      <c r="B5" s="31" t="s">
        <v>199</v>
      </c>
      <c r="C5" t="s">
        <v>253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46.625" customWidth="1"/>
  </cols>
  <sheetData>
    <row r="2" spans="2:3" x14ac:dyDescent="0.25">
      <c r="B2" s="31" t="s">
        <v>195</v>
      </c>
      <c r="C2" t="s">
        <v>36</v>
      </c>
    </row>
    <row r="3" spans="2:3" x14ac:dyDescent="0.25">
      <c r="B3" s="31" t="s">
        <v>196</v>
      </c>
      <c r="C3" t="s">
        <v>254</v>
      </c>
    </row>
    <row r="4" spans="2:3" x14ac:dyDescent="0.25">
      <c r="B4" s="31" t="s">
        <v>2</v>
      </c>
      <c r="C4" t="s">
        <v>255</v>
      </c>
    </row>
    <row r="5" spans="2:3" x14ac:dyDescent="0.25">
      <c r="B5" s="31" t="s">
        <v>199</v>
      </c>
      <c r="C5" t="s">
        <v>256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27.125" customWidth="1"/>
  </cols>
  <sheetData>
    <row r="2" spans="2:3" x14ac:dyDescent="0.25">
      <c r="B2" s="31" t="s">
        <v>195</v>
      </c>
      <c r="C2" t="s">
        <v>37</v>
      </c>
    </row>
    <row r="3" spans="2:3" x14ac:dyDescent="0.25">
      <c r="B3" s="31" t="s">
        <v>196</v>
      </c>
      <c r="C3" t="s">
        <v>257</v>
      </c>
    </row>
    <row r="4" spans="2:3" x14ac:dyDescent="0.25">
      <c r="B4" s="31" t="s">
        <v>2</v>
      </c>
      <c r="C4" t="s">
        <v>258</v>
      </c>
    </row>
    <row r="5" spans="2:3" x14ac:dyDescent="0.25">
      <c r="B5" s="31" t="s">
        <v>199</v>
      </c>
      <c r="C5" t="s">
        <v>259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Main</vt:lpstr>
      <vt:lpstr>Model</vt:lpstr>
      <vt:lpstr>Mounjaro</vt:lpstr>
      <vt:lpstr>Zepbound</vt:lpstr>
      <vt:lpstr>Trulicity</vt:lpstr>
      <vt:lpstr>Retatrutide</vt:lpstr>
      <vt:lpstr>Foundayo</vt:lpstr>
      <vt:lpstr>Basaglar</vt:lpstr>
      <vt:lpstr>Humalog</vt:lpstr>
      <vt:lpstr>Humulin</vt:lpstr>
      <vt:lpstr>Jardiance</vt:lpstr>
      <vt:lpstr>Verzenio</vt:lpstr>
      <vt:lpstr>Cyramza</vt:lpstr>
      <vt:lpstr>Erbitux</vt:lpstr>
      <vt:lpstr>Retevmo</vt:lpstr>
      <vt:lpstr>Tyvyt</vt:lpstr>
      <vt:lpstr>Jaypirca</vt:lpstr>
      <vt:lpstr>Inluriyo</vt:lpstr>
      <vt:lpstr>Ebglyss</vt:lpstr>
      <vt:lpstr>Olumiant</vt:lpstr>
      <vt:lpstr>Omvoh</vt:lpstr>
      <vt:lpstr>Taltz</vt:lpstr>
      <vt:lpstr>Emgality</vt:lpstr>
      <vt:lpstr>Kisunla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2026-05-18T21:29:55Z</dcterms:created>
  <dcterms:modified xsi:type="dcterms:W3CDTF">2026-08-05T14:08:51Z</dcterms:modified>
  <dc:language>en-US</dc:language>
</cp:coreProperties>
</file>
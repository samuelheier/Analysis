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U:\Models\"/>
    </mc:Choice>
  </mc:AlternateContent>
  <xr:revisionPtr revIDLastSave="0" documentId="13_ncr:1_{B2380A57-D9D7-44C7-A8C0-C38275E0805E}" xr6:coauthVersionLast="47" xr6:coauthVersionMax="47" xr10:uidLastSave="{00000000-0000-0000-0000-000000000000}"/>
  <bookViews>
    <workbookView xWindow="-120" yWindow="-120" windowWidth="29040" windowHeight="15720" tabRatio="500" activeTab="2" xr2:uid="{00000000-000D-0000-FFFF-FFFF00000000}"/>
  </bookViews>
  <sheets>
    <sheet name="Positions" sheetId="2" r:id="rId1"/>
    <sheet name="Summary" sheetId="3" r:id="rId2"/>
    <sheet name="Activity" sheetId="5" r:id="rId3"/>
  </sheets>
  <definedNames>
    <definedName name="_xlnm._FilterDatabase" localSheetId="2" hidden="1">Activity!$A$3:$G$75</definedName>
    <definedName name="_xlnm._FilterDatabase" localSheetId="0" hidden="1">Positions!$B$2:$N$11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0" i="5" l="1"/>
  <c r="K10" i="5"/>
  <c r="L10" i="5"/>
  <c r="M10" i="5"/>
  <c r="N10" i="5"/>
  <c r="O10" i="5"/>
  <c r="E3" i="2" a="1"/>
  <c r="E3" i="2"/>
  <c r="E10" i="2"/>
  <c r="H10" i="2"/>
  <c r="J10" i="2"/>
  <c r="K10" i="2"/>
  <c r="L10" i="2"/>
  <c r="M10" i="2"/>
  <c r="I9" i="5"/>
  <c r="I5" i="5"/>
  <c r="I6" i="5"/>
  <c r="I7" i="5"/>
  <c r="I8" i="5"/>
  <c r="I4" i="5"/>
  <c r="K4" i="5"/>
  <c r="J4" i="5"/>
  <c r="L4" i="5"/>
  <c r="M4" i="5"/>
  <c r="N4" i="5"/>
  <c r="O4" i="5"/>
  <c r="K5" i="5"/>
  <c r="J5" i="5"/>
  <c r="L5" i="5"/>
  <c r="M5" i="5"/>
  <c r="N5" i="5"/>
  <c r="O5" i="5"/>
  <c r="K6" i="5"/>
  <c r="J6" i="5"/>
  <c r="L6" i="5"/>
  <c r="M6" i="5"/>
  <c r="N6" i="5"/>
  <c r="O6" i="5"/>
  <c r="K7" i="5"/>
  <c r="J7" i="5"/>
  <c r="L7" i="5"/>
  <c r="M7" i="5"/>
  <c r="N7" i="5"/>
  <c r="O7" i="5"/>
  <c r="K8" i="5"/>
  <c r="J8" i="5"/>
  <c r="L8" i="5"/>
  <c r="M8" i="5"/>
  <c r="N8" i="5"/>
  <c r="O8" i="5"/>
  <c r="K9" i="5"/>
  <c r="J9" i="5"/>
  <c r="L9" i="5"/>
  <c r="M9" i="5"/>
  <c r="N9" i="5"/>
  <c r="O9" i="5"/>
  <c r="M11" i="5"/>
  <c r="N11" i="5"/>
  <c r="O11" i="5"/>
  <c r="H5" i="2"/>
  <c r="E5" i="2" a="1"/>
  <c r="E5" i="2"/>
  <c r="J5" i="2" s="1"/>
  <c r="K5" i="2" s="1"/>
  <c r="C5" i="2" a="1"/>
  <c r="C5" i="2"/>
  <c r="E8" i="2" a="1"/>
  <c r="E8" i="2"/>
  <c r="E7" i="2" a="1"/>
  <c r="E7" i="2"/>
  <c r="E6" i="2" a="1"/>
  <c r="E6" i="2"/>
  <c r="E4" i="2" a="1"/>
  <c r="E4" i="2"/>
  <c r="I4" i="2"/>
  <c r="C8" i="2" a="1"/>
  <c r="C8" i="2"/>
  <c r="C7" i="2" a="1"/>
  <c r="C7" i="2"/>
  <c r="C6" i="2" a="1"/>
  <c r="C6" i="2"/>
  <c r="C4" i="2" a="1"/>
  <c r="C4" i="2"/>
  <c r="C1" i="2"/>
  <c r="D26" i="3"/>
  <c r="B26" i="3"/>
  <c r="D25" i="3"/>
  <c r="B25" i="3"/>
  <c r="D24" i="3"/>
  <c r="B24" i="3"/>
  <c r="D23" i="3"/>
  <c r="B23" i="3"/>
  <c r="D22" i="3"/>
  <c r="B22" i="3"/>
  <c r="D21" i="3"/>
  <c r="D20" i="3"/>
  <c r="D27" i="3" s="1"/>
  <c r="B10" i="3"/>
  <c r="I12" i="2"/>
  <c r="B8" i="3" s="1"/>
  <c r="K11" i="2"/>
  <c r="J11" i="2"/>
  <c r="H11" i="2"/>
  <c r="J8" i="2"/>
  <c r="H8" i="2"/>
  <c r="J7" i="2"/>
  <c r="H7" i="2"/>
  <c r="J6" i="2"/>
  <c r="B20" i="3" s="1"/>
  <c r="H6" i="2"/>
  <c r="J4" i="2"/>
  <c r="H4" i="2"/>
  <c r="J3" i="2"/>
  <c r="H3" i="2"/>
  <c r="L5" i="2" l="1"/>
  <c r="M5" i="2"/>
  <c r="K8" i="2"/>
  <c r="K7" i="2"/>
  <c r="K6" i="2"/>
  <c r="K4" i="2"/>
  <c r="H12" i="2"/>
  <c r="B21" i="3"/>
  <c r="B11" i="3"/>
  <c r="J12" i="2"/>
  <c r="K3" i="2"/>
  <c r="M4" i="2"/>
  <c r="L4" i="2"/>
  <c r="M6" i="2"/>
  <c r="L6" i="2"/>
  <c r="M7" i="2"/>
  <c r="L7" i="2"/>
  <c r="M8" i="2"/>
  <c r="L8" i="2"/>
  <c r="M11" i="2"/>
  <c r="L11" i="2"/>
  <c r="B27" i="3"/>
  <c r="N5" i="2" l="1"/>
  <c r="N10" i="2"/>
  <c r="C26" i="3"/>
  <c r="C25" i="3"/>
  <c r="C24" i="3"/>
  <c r="C23" i="3"/>
  <c r="C22" i="3"/>
  <c r="C21" i="3"/>
  <c r="C20" i="3"/>
  <c r="C27" i="3" s="1"/>
  <c r="M3" i="2"/>
  <c r="L3" i="2"/>
  <c r="B4" i="3"/>
  <c r="K12" i="2"/>
  <c r="B6" i="3" s="1"/>
  <c r="N11" i="2"/>
  <c r="N8" i="2"/>
  <c r="N7" i="2"/>
  <c r="N6" i="2"/>
  <c r="N4" i="2"/>
  <c r="N3" i="2"/>
  <c r="B5" i="3"/>
  <c r="M12" i="2"/>
  <c r="B9" i="3" s="1"/>
  <c r="L12" i="2"/>
  <c r="B7" i="3" s="1"/>
  <c r="B12" i="3" l="1"/>
  <c r="N12" i="2"/>
  <c r="B16" i="3"/>
  <c r="B15" i="3"/>
  <c r="B14" i="3"/>
  <c r="B13"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8"/>
        </ext>
      </extLst>
    </bk>
    <bk>
      <extLst>
        <ext uri="{3e2802c4-a4d2-4d8b-9148-e3be6c30e623}">
          <xlrd:rvb i="21"/>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<sst xmlns="http://schemas.openxmlformats.org/spreadsheetml/2006/main" count="230" uniqueCount="68">
  <si>
    <t>Positions</t>
  </si>
  <si>
    <t>Ticker</t>
  </si>
  <si>
    <t>Name</t>
  </si>
  <si>
    <t>Type</t>
  </si>
  <si>
    <t>Shares</t>
  </si>
  <si>
    <t>Avg Cost / Share ($)</t>
  </si>
  <si>
    <t>Current Price ($)</t>
  </si>
  <si>
    <t>Dividends Received ($)</t>
  </si>
  <si>
    <t>Cost Basis ($)</t>
  </si>
  <si>
    <t>Market Value ($)</t>
  </si>
  <si>
    <t>Gain / Loss ($)</t>
  </si>
  <si>
    <t>Gain %</t>
  </si>
  <si>
    <t>Total Return % (incl. dividends)</t>
  </si>
  <si>
    <t>Allocation %</t>
  </si>
  <si>
    <t>ETF</t>
  </si>
  <si>
    <t>Total</t>
  </si>
  <si>
    <t>Portfolio Summary</t>
  </si>
  <si>
    <t>Metric</t>
  </si>
  <si>
    <t>Value</t>
  </si>
  <si>
    <t>Total Value</t>
  </si>
  <si>
    <t>Amount Invested (Cost Basis)</t>
  </si>
  <si>
    <t>Unrealized Gain / Loss</t>
  </si>
  <si>
    <t>Gain % (price only)</t>
  </si>
  <si>
    <t>Dividends Received</t>
  </si>
  <si>
    <t>Number of Positions</t>
  </si>
  <si>
    <t>Largest Holding</t>
  </si>
  <si>
    <t>Largest Holding Share</t>
  </si>
  <si>
    <t>Best Total Return</t>
  </si>
  <si>
    <t>Best Total Return %</t>
  </si>
  <si>
    <t>Worst Total Return</t>
  </si>
  <si>
    <t>Worst Total Return %</t>
  </si>
  <si>
    <t>Allocation by Type</t>
  </si>
  <si>
    <t>Share of Portfolio</t>
  </si>
  <si>
    <t>Stock</t>
  </si>
  <si>
    <t>Mutual Fund</t>
  </si>
  <si>
    <t>Bond</t>
  </si>
  <si>
    <t>Crypto</t>
  </si>
  <si>
    <t>Cash</t>
  </si>
  <si>
    <t>Other</t>
  </si>
  <si>
    <t>Date</t>
  </si>
  <si>
    <t>SPY</t>
  </si>
  <si>
    <t>QQQ</t>
  </si>
  <si>
    <t>LLY</t>
  </si>
  <si>
    <t>ADBE</t>
  </si>
  <si>
    <t>UBER</t>
  </si>
  <si>
    <t>SPDR S&amp;P 500 ETF Trust</t>
  </si>
  <si>
    <t>Total Return %</t>
  </si>
  <si>
    <t>VNQ</t>
  </si>
  <si>
    <t>Buy</t>
  </si>
  <si>
    <t>Dividend Reinvest</t>
  </si>
  <si>
    <t>Early dividend</t>
  </si>
  <si>
    <t>Dividend</t>
  </si>
  <si>
    <t>Sell</t>
  </si>
  <si>
    <t>Limit order</t>
  </si>
  <si>
    <t>Notes</t>
  </si>
  <si>
    <t>Sale Proceeds ($)</t>
  </si>
  <si>
    <t>Dividends ($)</t>
  </si>
  <si>
    <t>Money Invested ($)</t>
  </si>
  <si>
    <t>Difference</t>
  </si>
  <si>
    <t>Shares per Positions</t>
  </si>
  <si>
    <t>Shares per Activity</t>
  </si>
  <si>
    <t>Amount ($)</t>
  </si>
  <si>
    <t>Price / Share ($)</t>
  </si>
  <si>
    <t>Activity</t>
  </si>
  <si>
    <t>Check Against Positions</t>
  </si>
  <si>
    <t>Realized gain $60.27</t>
  </si>
  <si>
    <t>$</t>
  </si>
  <si>
    <t>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</si>
</sst>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0.00;&quot;($&quot;#,##0.00\);\-"/>
    <numFmt numFmtId="166" formatCode="mmm\ d&quot;, &quot;yyyy"/>
    <numFmt numFmtId="167" formatCode="0.0%;\(0.0%\);\-"/>
    <numFmt numFmtId="168" formatCode="_([$$-409]* #,##0.00_);_([$$-409]* \(#,##0.00\);_([$$-409]* &quot;-&quot;??_);_(@_)"/>
    <numFmt numFmtId="169" formatCode="#,##0.######"/>
  </numFmts>
  <fonts count="11" x14ac:knownFonts="1">
    <font>
      <sz val="11"/>
      <color theme="1"/>
      <name val="Calibri"/>
      <family val="2"/>
      <charset val="1"/>
    </font>
    <font>
      <b/>
      <sz val="16"/>
      <name val="Arial"/>
      <family val="2"/>
    </font>
    <font>
      <sz val="11"/>
      <color theme="1"/>
      <name val="Arial"/>
      <family val="2"/>
    </font>
    <font>
      <b/>
      <sz val="11"/>
      <name val="Arial"/>
      <family val="2"/>
    </font>
    <font>
      <sz val="11"/>
      <name val="Arial"/>
      <family val="2"/>
    </font>
    <font>
      <sz val="11"/>
      <color rgb="FF0000FF"/>
      <name val="Arial"/>
      <family val="2"/>
    </font>
    <font>
      <sz val="11"/>
      <color rgb="FF000000"/>
      <name val="Arial"/>
      <family val="2"/>
    </font>
    <font>
      <sz val="11"/>
      <color rgb="FF008000"/>
      <name val="Arial"/>
      <family val="2"/>
    </font>
    <font>
      <i/>
      <sz val="9"/>
      <color rgb="FF595959"/>
      <name val="Arial"/>
      <family val="2"/>
    </font>
    <font>
      <b/>
      <sz val="11"/>
      <color rgb="FFFFFFFF"/>
      <name val="Arial"/>
      <family val="2"/>
    </font>
    <font>
      <b/>
      <sz val="11"/>
      <color rgb="FF008000"/>
      <name val="Arial"/>
      <family val="2"/>
    </font>
  </fonts>
  <fills count="4">
    <fill>
      <patternFill patternType="none"/>
    </fill>
    <fill>
      <patternFill patternType="gray125"/>
    </fill>
    <fill>
      <patternFill patternType="solid">
        <fgColor rgb="FF1F3A4D"/>
        <bgColor rgb="FF003366"/>
      </patternFill>
    </fill>
    <fill>
      <patternFill patternType="solid">
        <fgColor rgb="FFDDE4EA"/>
        <bgColor rgb="FFD9D9D9"/>
      </patternFill>
    </fill>
  </fills>
  <borders count="3">
    <border>
      <left/>
      <right/>
      <top/>
      <bottom/>
      <diagonal/>
    </border>
    <border>
      <left/>
      <right/>
      <top/>
      <bottom style="thin">
        <color rgb="FFBFBFBF"/>
      </bottom>
      <diagonal/>
    </border>
    <border>
      <left/>
      <right/>
      <top style="thin">
        <color rgb="FFBFBFBF"/>
      </top>
      <bottom style="thin">
        <color indexed="64"/>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4" fillId="0" borderId="0" xfId="0" applyFont="1"/>
    <xf numFmtId="0" fontId="8" fillId="0" borderId="0" xfId="0" applyFont="1"/>
    <xf numFmtId="0" fontId="9" fillId="2" borderId="0" xfId="0" applyFont="1" applyFill="1" applyAlignment="1">
      <alignment horizontal="center" vertical="center" wrapText="1"/>
    </xf>
    <xf numFmtId="0" fontId="3" fillId="3" borderId="0" xfId="0" applyFont="1" applyFill="1"/>
    <xf numFmtId="165" fontId="3" fillId="3" borderId="0" xfId="0" applyNumberFormat="1" applyFont="1" applyFill="1"/>
    <xf numFmtId="167" fontId="3" fillId="3" borderId="0" xfId="0" applyNumberFormat="1" applyFont="1" applyFill="1"/>
    <xf numFmtId="0" fontId="9" fillId="2" borderId="0" xfId="0" applyFont="1" applyFill="1"/>
    <xf numFmtId="0" fontId="3" fillId="0" borderId="1" xfId="0" applyFont="1" applyBorder="1"/>
    <xf numFmtId="165" fontId="10" fillId="0" borderId="1" xfId="0" applyNumberFormat="1" applyFont="1" applyBorder="1" applyAlignment="1">
      <alignment horizontal="right"/>
    </xf>
    <xf numFmtId="0" fontId="4" fillId="0" borderId="1" xfId="0" applyFont="1" applyBorder="1"/>
    <xf numFmtId="165" fontId="7" fillId="0" borderId="1" xfId="0" applyNumberFormat="1" applyFont="1" applyBorder="1" applyAlignment="1">
      <alignment horizontal="right"/>
    </xf>
    <xf numFmtId="167" fontId="7" fillId="0" borderId="1" xfId="0" applyNumberFormat="1" applyFont="1" applyBorder="1" applyAlignment="1">
      <alignment horizontal="right"/>
    </xf>
    <xf numFmtId="167" fontId="10" fillId="0" borderId="1" xfId="0" applyNumberFormat="1" applyFont="1" applyBorder="1" applyAlignment="1">
      <alignment horizontal="right"/>
    </xf>
    <xf numFmtId="1" fontId="7" fillId="0" borderId="1" xfId="0" applyNumberFormat="1" applyFont="1" applyBorder="1" applyAlignment="1">
      <alignment horizontal="right"/>
    </xf>
    <xf numFmtId="49" fontId="7" fillId="0" borderId="1" xfId="0" applyNumberFormat="1" applyFont="1" applyBorder="1" applyAlignment="1">
      <alignment horizontal="right"/>
    </xf>
    <xf numFmtId="0" fontId="3" fillId="0" borderId="0" xfId="0" applyFont="1"/>
    <xf numFmtId="165" fontId="7" fillId="0" borderId="0" xfId="0" applyNumberFormat="1" applyFont="1"/>
    <xf numFmtId="167" fontId="6" fillId="0" borderId="0" xfId="0" applyNumberFormat="1" applyFont="1"/>
    <xf numFmtId="0" fontId="7" fillId="0" borderId="0" xfId="0" applyFont="1"/>
    <xf numFmtId="0" fontId="5" fillId="0" borderId="1" xfId="0" applyFont="1" applyFill="1" applyBorder="1"/>
    <xf numFmtId="14" fontId="2" fillId="0" borderId="0" xfId="0" applyNumberFormat="1" applyFont="1" applyAlignment="1">
      <alignment horizontal="left"/>
    </xf>
    <xf numFmtId="0" fontId="5" fillId="0" borderId="1" xfId="0" applyFont="1" applyFill="1" applyBorder="1" applyAlignment="1">
      <alignment horizontal="center"/>
    </xf>
    <xf numFmtId="164" fontId="5" fillId="0" borderId="1" xfId="0" applyNumberFormat="1" applyFont="1" applyFill="1" applyBorder="1" applyAlignment="1">
      <alignment horizontal="center"/>
    </xf>
    <xf numFmtId="165" fontId="5" fillId="0" borderId="1" xfId="0" applyNumberFormat="1" applyFont="1" applyFill="1" applyBorder="1" applyAlignment="1">
      <alignment horizontal="center"/>
    </xf>
    <xf numFmtId="165" fontId="6" fillId="0" borderId="1" xfId="0" applyNumberFormat="1" applyFont="1" applyBorder="1" applyAlignment="1">
      <alignment horizontal="center"/>
    </xf>
    <xf numFmtId="167" fontId="6" fillId="0" borderId="1" xfId="0" applyNumberFormat="1" applyFont="1" applyBorder="1" applyAlignment="1">
      <alignment horizontal="center"/>
    </xf>
    <xf numFmtId="168" fontId="0" fillId="0" borderId="0" xfId="0" applyNumberFormat="1"/>
    <xf numFmtId="0" fontId="4" fillId="0" borderId="1" xfId="0" applyFont="1" applyFill="1" applyBorder="1" applyAlignment="1">
      <alignment horizontal="center"/>
    </xf>
    <xf numFmtId="165" fontId="4" fillId="0" borderId="1" xfId="0" applyNumberFormat="1" applyFont="1" applyFill="1" applyBorder="1" applyAlignment="1">
      <alignment horizontal="center"/>
    </xf>
    <xf numFmtId="0" fontId="1" fillId="0" borderId="0" xfId="0" applyFont="1" applyAlignment="1">
      <alignment horizontal="left"/>
    </xf>
    <xf numFmtId="0" fontId="4" fillId="0" borderId="1" xfId="0" applyFont="1" applyFill="1" applyBorder="1" applyAlignment="1">
      <alignment horizontal="left"/>
    </xf>
    <xf numFmtId="165" fontId="4" fillId="0" borderId="1" xfId="0" applyNumberFormat="1" applyFont="1" applyBorder="1" applyAlignment="1">
      <alignment horizontal="center"/>
    </xf>
    <xf numFmtId="0" fontId="5" fillId="0" borderId="1" xfId="0" applyFont="1" applyBorder="1" applyAlignment="1">
      <alignment horizontal="left"/>
    </xf>
    <xf numFmtId="165" fontId="5" fillId="0" borderId="1" xfId="0" applyNumberFormat="1" applyFont="1" applyBorder="1" applyAlignment="1">
      <alignment horizontal="center"/>
    </xf>
    <xf numFmtId="169" fontId="5" fillId="0" borderId="1" xfId="0" applyNumberFormat="1" applyFont="1" applyBorder="1" applyAlignment="1">
      <alignment horizontal="center"/>
    </xf>
    <xf numFmtId="0" fontId="5" fillId="0" borderId="1" xfId="0" applyFont="1" applyBorder="1" applyAlignment="1">
      <alignment horizontal="center"/>
    </xf>
    <xf numFmtId="166" fontId="5" fillId="0" borderId="1" xfId="0" applyNumberFormat="1" applyFont="1" applyBorder="1" applyAlignment="1">
      <alignment horizontal="center"/>
    </xf>
    <xf numFmtId="169" fontId="6" fillId="0" borderId="1" xfId="0" applyNumberFormat="1" applyFont="1" applyBorder="1" applyAlignment="1">
      <alignment horizontal="center"/>
    </xf>
    <xf numFmtId="169" fontId="7" fillId="0" borderId="1" xfId="0" applyNumberFormat="1" applyFont="1" applyBorder="1" applyAlignment="1">
      <alignment horizontal="center"/>
    </xf>
    <xf numFmtId="0" fontId="7" fillId="0" borderId="1" xfId="0" applyFont="1" applyBorder="1" applyAlignment="1">
      <alignment horizontal="center"/>
    </xf>
    <xf numFmtId="166" fontId="5" fillId="0" borderId="2" xfId="0" applyNumberFormat="1" applyFont="1" applyBorder="1" applyAlignment="1">
      <alignment horizontal="center"/>
    </xf>
    <xf numFmtId="0" fontId="5" fillId="0" borderId="2" xfId="0" applyFont="1" applyBorder="1" applyAlignment="1">
      <alignment horizontal="center"/>
    </xf>
    <xf numFmtId="169" fontId="5" fillId="0" borderId="2" xfId="0" applyNumberFormat="1" applyFont="1" applyBorder="1" applyAlignment="1">
      <alignment horizontal="center"/>
    </xf>
    <xf numFmtId="165" fontId="5" fillId="0" borderId="2" xfId="0" applyNumberFormat="1" applyFont="1" applyBorder="1" applyAlignment="1">
      <alignment horizontal="center"/>
    </xf>
    <xf numFmtId="0" fontId="5" fillId="0" borderId="2" xfId="0" applyFont="1" applyBorder="1" applyAlignment="1">
      <alignment horizontal="left"/>
    </xf>
  </cellXfs>
  <cellStyles count="1">
    <cellStyle name="Normal" xfId="0" builtinId="0"/>
  </cellStyles>
  <dxfs count="5">
    <dxf>
      <font>
        <color rgb="FFB0432F"/>
        <name val="Arial"/>
        <charset val="1"/>
      </font>
    </dxf>
    <dxf>
      <font>
        <color rgb="FFB0432F"/>
        <name val="Arial"/>
        <charset val="1"/>
      </font>
    </dxf>
    <dxf>
      <font>
        <color rgb="FF1E7358"/>
        <name val="Arial"/>
        <charset val="1"/>
      </font>
    </dxf>
    <dxf>
      <font>
        <color rgb="FFB0432F"/>
        <name val="Arial"/>
        <charset val="1"/>
      </font>
    </dxf>
    <dxf>
      <font>
        <color rgb="FF1E7358"/>
        <name val="Arial"/>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7358"/>
      <rgbColor rgb="FFBFBFBF"/>
      <rgbColor rgb="FF878787"/>
      <rgbColor rgb="FF93A9CE"/>
      <rgbColor rgb="FFAB4744"/>
      <rgbColor rgb="FFFFFFCC"/>
      <rgbColor rgb="FFDDE4EA"/>
      <rgbColor rgb="FF660066"/>
      <rgbColor rgb="FFDC853E"/>
      <rgbColor rgb="FF4672A8"/>
      <rgbColor rgb="FFD9D9D9"/>
      <rgbColor rgb="FF000080"/>
      <rgbColor rgb="FFFF00FF"/>
      <rgbColor rgb="FFFFFF00"/>
      <rgbColor rgb="FF00FFFF"/>
      <rgbColor rgb="FF800080"/>
      <rgbColor rgb="FF800000"/>
      <rgbColor rgb="FF4F81BD"/>
      <rgbColor rgb="FF0000FF"/>
      <rgbColor rgb="FF00CCFF"/>
      <rgbColor rgb="FFCCFFFF"/>
      <rgbColor rgb="FFCCFFCC"/>
      <rgbColor rgb="FFFFFF99"/>
      <rgbColor rgb="FF99CCFF"/>
      <rgbColor rgb="FFFF99CC"/>
      <rgbColor rgb="FFCC99FF"/>
      <rgbColor rgb="FFFFCC99"/>
      <rgbColor rgb="FF4A7EBB"/>
      <rgbColor rgb="FF33CCCC"/>
      <rgbColor rgb="FF99CC00"/>
      <rgbColor rgb="FFFFCC00"/>
      <rgbColor rgb="FFFF9900"/>
      <rgbColor rgb="FFFF6600"/>
      <rgbColor rgb="FF725990"/>
      <rgbColor rgb="FF8AA64F"/>
      <rgbColor rgb="FF003366"/>
      <rgbColor rgb="FF4299B0"/>
      <rgbColor rgb="FF003300"/>
      <rgbColor rgb="FF333300"/>
      <rgbColor rgb="FFB0432F"/>
      <rgbColor rgb="FFBE4B48"/>
      <rgbColor rgb="FF595959"/>
      <rgbColor rgb="FF1F3A4D"/>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Allocation by Type</a:t>
            </a:r>
          </a:p>
        </c:rich>
      </c:tx>
      <c:overlay val="0"/>
      <c:spPr>
        <a:noFill/>
        <a:ln w="0">
          <a:noFill/>
        </a:ln>
      </c:spPr>
    </c:title>
    <c:autoTitleDeleted val="0"/>
    <c:plotArea>
      <c:layout/>
      <c:pieChart>
        <c:varyColors val="1"/>
        <c:ser>
          <c:idx val="0"/>
          <c:order val="0"/>
          <c:tx>
            <c:strRef>
              <c:f>Summary!$B$19</c:f>
              <c:strCache>
                <c:ptCount val="1"/>
                <c:pt idx="0">
                  <c:v>Market Value ($)</c:v>
                </c:pt>
              </c:strCache>
            </c:strRef>
          </c:tx>
          <c:spPr>
            <a:solidFill>
              <a:srgbClr val="4F81BD"/>
            </a:solidFill>
            <a:ln w="0">
              <a:noFill/>
            </a:ln>
          </c:spPr>
          <c:dPt>
            <c:idx val="0"/>
            <c:bubble3D val="0"/>
            <c:spPr>
              <a:solidFill>
                <a:srgbClr val="4672A8"/>
              </a:solidFill>
              <a:ln w="0">
                <a:noFill/>
              </a:ln>
            </c:spPr>
            <c:extLst>
              <c:ext xmlns:c16="http://schemas.microsoft.com/office/drawing/2014/chart" uri="{C3380CC4-5D6E-409C-BE32-E72D297353CC}">
                <c16:uniqueId val="{00000001-DE71-4334-8C02-C9503F9E13D2}"/>
              </c:ext>
            </c:extLst>
          </c:dPt>
          <c:dPt>
            <c:idx val="1"/>
            <c:bubble3D val="0"/>
            <c:spPr>
              <a:solidFill>
                <a:srgbClr val="AB4744"/>
              </a:solidFill>
              <a:ln w="0">
                <a:noFill/>
              </a:ln>
            </c:spPr>
            <c:extLst>
              <c:ext xmlns:c16="http://schemas.microsoft.com/office/drawing/2014/chart" uri="{C3380CC4-5D6E-409C-BE32-E72D297353CC}">
                <c16:uniqueId val="{00000003-DE71-4334-8C02-C9503F9E13D2}"/>
              </c:ext>
            </c:extLst>
          </c:dPt>
          <c:dPt>
            <c:idx val="2"/>
            <c:bubble3D val="0"/>
            <c:spPr>
              <a:solidFill>
                <a:srgbClr val="8AA64F"/>
              </a:solidFill>
              <a:ln w="0">
                <a:noFill/>
              </a:ln>
            </c:spPr>
            <c:extLst>
              <c:ext xmlns:c16="http://schemas.microsoft.com/office/drawing/2014/chart" uri="{C3380CC4-5D6E-409C-BE32-E72D297353CC}">
                <c16:uniqueId val="{00000005-DE71-4334-8C02-C9503F9E13D2}"/>
              </c:ext>
            </c:extLst>
          </c:dPt>
          <c:dPt>
            <c:idx val="3"/>
            <c:bubble3D val="0"/>
            <c:spPr>
              <a:solidFill>
                <a:srgbClr val="725990"/>
              </a:solidFill>
              <a:ln w="0">
                <a:noFill/>
              </a:ln>
            </c:spPr>
            <c:extLst>
              <c:ext xmlns:c16="http://schemas.microsoft.com/office/drawing/2014/chart" uri="{C3380CC4-5D6E-409C-BE32-E72D297353CC}">
                <c16:uniqueId val="{00000007-DE71-4334-8C02-C9503F9E13D2}"/>
              </c:ext>
            </c:extLst>
          </c:dPt>
          <c:dPt>
            <c:idx val="4"/>
            <c:bubble3D val="0"/>
            <c:spPr>
              <a:solidFill>
                <a:srgbClr val="4299B0"/>
              </a:solidFill>
              <a:ln w="0">
                <a:noFill/>
              </a:ln>
            </c:spPr>
            <c:extLst>
              <c:ext xmlns:c16="http://schemas.microsoft.com/office/drawing/2014/chart" uri="{C3380CC4-5D6E-409C-BE32-E72D297353CC}">
                <c16:uniqueId val="{00000009-DE71-4334-8C02-C9503F9E13D2}"/>
              </c:ext>
            </c:extLst>
          </c:dPt>
          <c:dPt>
            <c:idx val="5"/>
            <c:bubble3D val="0"/>
            <c:spPr>
              <a:solidFill>
                <a:srgbClr val="DC853E"/>
              </a:solidFill>
              <a:ln w="0">
                <a:noFill/>
              </a:ln>
            </c:spPr>
            <c:extLst>
              <c:ext xmlns:c16="http://schemas.microsoft.com/office/drawing/2014/chart" uri="{C3380CC4-5D6E-409C-BE32-E72D297353CC}">
                <c16:uniqueId val="{0000000B-DE71-4334-8C02-C9503F9E13D2}"/>
              </c:ext>
            </c:extLst>
          </c:dPt>
          <c:dPt>
            <c:idx val="6"/>
            <c:bubble3D val="0"/>
            <c:spPr>
              <a:solidFill>
                <a:srgbClr val="93A9CE"/>
              </a:solidFill>
              <a:ln w="0">
                <a:noFill/>
              </a:ln>
            </c:spPr>
            <c:extLst>
              <c:ext xmlns:c16="http://schemas.microsoft.com/office/drawing/2014/chart" uri="{C3380CC4-5D6E-409C-BE32-E72D297353CC}">
                <c16:uniqueId val="{0000000D-DE71-4334-8C02-C9503F9E13D2}"/>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DE71-4334-8C02-C9503F9E13D2}"/>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DE71-4334-8C02-C9503F9E13D2}"/>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DE71-4334-8C02-C9503F9E13D2}"/>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DE71-4334-8C02-C9503F9E13D2}"/>
                </c:ext>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DE71-4334-8C02-C9503F9E13D2}"/>
                </c:ext>
              </c:extLst>
            </c:dLbl>
            <c:dLbl>
              <c:idx val="5"/>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DE71-4334-8C02-C9503F9E13D2}"/>
                </c:ext>
              </c:extLst>
            </c:dLbl>
            <c:dLbl>
              <c:idx val="6"/>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DE71-4334-8C02-C9503F9E13D2}"/>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Summary!$A$20:$A$26</c:f>
              <c:strCache>
                <c:ptCount val="7"/>
                <c:pt idx="0">
                  <c:v>Stock</c:v>
                </c:pt>
                <c:pt idx="1">
                  <c:v>ETF</c:v>
                </c:pt>
                <c:pt idx="2">
                  <c:v>Mutual Fund</c:v>
                </c:pt>
                <c:pt idx="3">
                  <c:v>Bond</c:v>
                </c:pt>
                <c:pt idx="4">
                  <c:v>Crypto</c:v>
                </c:pt>
                <c:pt idx="5">
                  <c:v>Cash</c:v>
                </c:pt>
                <c:pt idx="6">
                  <c:v>Other</c:v>
                </c:pt>
              </c:strCache>
            </c:strRef>
          </c:cat>
          <c:val>
            <c:numRef>
              <c:f>Summary!$B$20:$B$26</c:f>
              <c:numCache>
                <c:formatCode>\$#,##0.00;"($"#,##0.00\);\-</c:formatCode>
                <c:ptCount val="7"/>
                <c:pt idx="0">
                  <c:v>1154.0571280747999</c:v>
                </c:pt>
                <c:pt idx="1">
                  <c:v>4128.5229727199994</c:v>
                </c:pt>
                <c:pt idx="2">
                  <c:v>0</c:v>
                </c:pt>
                <c:pt idx="3">
                  <c:v>0</c:v>
                </c:pt>
                <c:pt idx="4">
                  <c:v>0</c:v>
                </c:pt>
                <c:pt idx="5">
                  <c:v>1560.12</c:v>
                </c:pt>
                <c:pt idx="6">
                  <c:v>0</c:v>
                </c:pt>
              </c:numCache>
            </c:numRef>
          </c:val>
          <c:extLst>
            <c:ext xmlns:c16="http://schemas.microsoft.com/office/drawing/2014/chart" uri="{C3380CC4-5D6E-409C-BE32-E72D297353CC}">
              <c16:uniqueId val="{0000000E-DE71-4334-8C02-C9503F9E13D2}"/>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131040</xdr:rowOff>
    </xdr:from>
    <xdr:to>
      <xdr:col>12</xdr:col>
      <xdr:colOff>38880</xdr:colOff>
      <xdr:row>16</xdr:row>
      <xdr:rowOff>153000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2">
  <rv s="0">
    <v>https://www.bing.com/financeapi/forcetrigger?t=a23hqh&amp;q=ARCX%3aSPY&amp;form=skydnc</v>
    <v>Learn more on Bing</v>
  </rv>
  <rv s="1">
    <v>en-US</v>
    <v>a23hqh</v>
    <v>268435456</v>
    <v>1</v>
    <v>Powered by Refinitiv</v>
    <v>0</v>
    <v>State Street SPDR S&amp;P500 (ARCX:SPY)</v>
    <v>2</v>
    <v>3</v>
    <v>Finance</v>
    <v>4</v>
    <v>779.37</v>
    <v>629.28</v>
    <v>0.99880000000000002</v>
    <v>8.3800000000000008</v>
    <v>1.1113E-2</v>
    <v>USD</v>
    <v>NYSE Arca</v>
    <v>ARCX</v>
    <v>9.4499999999999998E-4</v>
    <v>763.41</v>
    <v>ETF</v>
    <v>46282.715024675781</v>
    <v>0</v>
    <v>759.96</v>
    <v>811937033817.45996</v>
    <v>State Street SPDR S&amp;P500</v>
    <v>763.4</v>
    <v>754.05</v>
    <v>762.43</v>
    <v>SPY</v>
    <v>State Street SPDR S&amp;P500 (ARCX:SPY)</v>
    <v>19749554</v>
    <v>37300271</v>
  </rv>
  <rv s="2">
    <v>1</v>
  </rv>
  <rv s="0">
    <v>https://www.bing.com/financeapi/forcetrigger?t=a21mim&amp;q=XNAS%3aQQQ&amp;form=skydnc</v>
    <v>Learn more on Bing</v>
  </rv>
  <rv s="1">
    <v>en-US</v>
    <v>a21mim</v>
    <v>268435456</v>
    <v>1</v>
    <v>Powered by Refinitiv</v>
    <v>0</v>
    <v>Invesco QQQ Trust 1 (XNAS:QQQ)</v>
    <v>2</v>
    <v>3</v>
    <v>Finance</v>
    <v>4</v>
    <v>748.65</v>
    <v>555.6</v>
    <v>1.0137</v>
    <v>12.11</v>
    <v>1.7183999999999998E-2</v>
    <v>USD</v>
    <v>Nasdaq Stock Market</v>
    <v>XNAS</v>
    <v>1.8E-3</v>
    <v>717.16</v>
    <v>ETF</v>
    <v>46282.715019455471</v>
    <v>3</v>
    <v>713.32</v>
    <v>488981000838.15997</v>
    <v>Invesco QQQ Trust 1</v>
    <v>716.11</v>
    <v>704.72</v>
    <v>716.83</v>
    <v>QQQ</v>
    <v>Invesco QQQ Trust 1 (XNAS:QQQ)</v>
    <v>17116724</v>
    <v>30840596</v>
  </rv>
  <rv s="2">
    <v>4</v>
  </rv>
  <rv s="0">
    <v>https://www.bing.com/financeapi/forcetrigger?t=a25gmw&amp;q=ARCX%3aVNQ&amp;form=skydnc</v>
    <v>Learn more on Bing</v>
  </rv>
  <rv s="1">
    <v>en-US</v>
    <v>a25gmw</v>
    <v>268435456</v>
    <v>1</v>
    <v>Powered by Refinitiv</v>
    <v>0</v>
    <v>Vanguard RE;ETF (ARCX:VNQ)</v>
    <v>2</v>
    <v>3</v>
    <v>Finance</v>
    <v>4</v>
    <v>101.8</v>
    <v>86.84</v>
    <v>0.99909999999999999</v>
    <v>0.52</v>
    <v>5.5630000000000002E-3</v>
    <v>USD</v>
    <v>NYSE Arca</v>
    <v>ARCX</v>
    <v>1.2999999999999999E-3</v>
    <v>94.27</v>
    <v>ETF</v>
    <v>46282.714883772656</v>
    <v>6</v>
    <v>93.61</v>
    <v>38085772930</v>
    <v>Vanguard RE;ETF</v>
    <v>94.22</v>
    <v>93.48</v>
    <v>94</v>
    <v>VNQ</v>
    <v>Vanguard RE;ETF (ARCX:VNQ)</v>
    <v>1442128</v>
    <v>3016729</v>
  </rv>
  <rv s="2">
    <v>7</v>
  </rv>
  <rv s="0">
    <v>https://www.bing.com/financeapi/forcetrigger?t=a1wyu2&amp;q=XNYS%3aLLY&amp;form=skydnc</v>
    <v>Learn more on Bing</v>
  </rv>
  <rv s="3">
    <v>en-US</v>
    <v>a1wyu2</v>
    <v>268435456</v>
    <v>1</v>
    <v>Powered by Refinitiv</v>
    <v>5</v>
    <v>ELI LILLY AND COMPANY (XNYS:LLY)</v>
    <v>6</v>
    <v>7</v>
    <v>Finance</v>
    <v>8</v>
    <v>1292.6500000000001</v>
    <v>712.05</v>
    <v>0.45860000000000001</v>
    <v>6.61</v>
    <v>5.8089999999999999E-3</v>
    <v>USD</v>
    <v>Eli Lilly and Company is a medicine company which discovers, develops, manufactures, and markets products in a single business segment called human pharmaceutical products. The Company manufactures and distributes its products through facilities in the United States, including Puerto Rico, and in Europe and Asia. Its Cardiometabolic Health products include Basaglar; Humalog, Humalog Mix 75/25, Humalog U-100, Humalog U-200, Humalog Mix 50/50, insulin lispro, and others; Humulin, and others; Jardiance; Mounjaro; Trulicity; Zepbound, and others. Its oncology products include Cyramza, Erbitux, Tyvyt, Verzenio, Retevmo, Jaypirca, and others. Its immunology products include Ebglyss, Olumiant, Omvoh, and Taltz. Its neuroscience products include Emgality and Kisunla. Its LillyDirect, a direct-to-patient digital health care platform, provides delivery of select Lilly medicines dispensed by third-party pharmacies to patients. The Company’s products are sold in approximately 90 countries.</v>
    <v>50000</v>
    <v>New York Stock Exchange</v>
    <v>XNYS</v>
    <v>XNYS</v>
    <v>Lilly Corporate Ctr, Drop Code 1094, INDIANAPOLIS, IN, 46285 US</v>
    <v>1159.75</v>
    <v>Pharmaceuticals</v>
    <v>Stock</v>
    <v>46282.714994733593</v>
    <v>9</v>
    <v>1138.26</v>
    <v>1077317305953</v>
    <v>ELI LILLY AND COMPANY</v>
    <v>ELI LILLY AND COMPANY</v>
    <v>1149.3399999999999</v>
    <v>38.4086</v>
    <v>1137.82</v>
    <v>1144.43</v>
    <v>941357100</v>
    <v>LLY</v>
    <v>ELI LILLY AND COMPANY (XNYS:LLY)</v>
    <v>632224</v>
    <v>2348314</v>
    <v>1901</v>
  </rv>
  <rv s="2">
    <v>10</v>
  </rv>
  <rv s="0">
    <v>http://en.wikipedia.org/wiki/Public_domain</v>
    <v>Public domain</v>
  </rv>
  <rv s="0">
    <v>http://es.wikipedia.org/wiki/Adobe_(empresa)</v>
    <v>Wikipedia</v>
  </rv>
  <rv s="4">
    <v>12</v>
    <v>13</v>
  </rv>
  <rv s="5">
    <v>13</v>
    <v>https://www.bing.com/th?id=AMMS_503c684ccc667ad525fe1d703881df2c&amp;qlt=95</v>
    <v>14</v>
    <v>0</v>
    <v>https://www.bing.com/images/search?form=xlimg&amp;q=adobe+systems</v>
    <v>Image of ADOBE INC.</v>
  </rv>
  <rv s="0">
    <v>https://www.bing.com/financeapi/forcetrigger?t=a1mv7w&amp;q=XNAS%3aADBE&amp;form=skydnc</v>
    <v>Learn more on Bing</v>
  </rv>
  <rv s="6">
    <v>en-US</v>
    <v>a1mv7w</v>
    <v>268435456</v>
    <v>1</v>
    <v>Powered by Refinitiv</v>
    <v>9</v>
    <v>ADOBE INC. (XNAS:ADBE)</v>
    <v>11</v>
    <v>12</v>
    <v>Finance</v>
    <v>8</v>
    <v>370.86</v>
    <v>190.12</v>
    <v>1.4188000000000001</v>
    <v>-0.2437</v>
    <v>-9.7290000000000007E-4</v>
    <v>USD</v>
    <v>Adobe Inc. is a global technology company. The Company's Solutions enable digital experiences, starting with the first creative spark, to the creation and development of all content and media, to the personalized delivery across every channel. Its segments include Digital Media, Digital Experience, and Publishing and Advertising. The Digital Media segment provides products and services that allow individuals, teams, businesses, and enterprises to create, publish, and promote content, and to work with documents and creative content across different workflows. The Digital Experience segment provides an integrated platform set of products, services and solutions that enable businesses to create, manage, execute, measure, monetize &amp; optimize customer experiences. The Publishing and Advertising segment contains legacy products and services that address diverse market opportunities, including eLearning solutions, technical document publishing, web conferencing, document and forms platforms.</v>
    <v>31360</v>
    <v>Nasdaq Stock Market</v>
    <v>XNAS</v>
    <v>XNAS</v>
    <v>345 Park Avenue, SAN JOSE, CA, 95110-2704 US</v>
    <v>251.99</v>
    <v>15</v>
    <v>Software &amp; IT Services</v>
    <v>Stock</v>
    <v>46282.715032534375</v>
    <v>16</v>
    <v>245.40100000000001</v>
    <v>99476879250</v>
    <v>ADOBE INC.</v>
    <v>ADOBE INC.</v>
    <v>250.05</v>
    <v>13.965</v>
    <v>250.5</v>
    <v>250.25630000000001</v>
    <v>397500000</v>
    <v>ADBE</v>
    <v>ADOBE INC. (XNAS:ADBE)</v>
    <v>2208297</v>
    <v>4945270</v>
    <v>1997</v>
  </rv>
  <rv s="2">
    <v>17</v>
  </rv>
  <rv s="0">
    <v>https://www.bing.com/financeapi/forcetrigger?t=bptw77&amp;q=XNYS%3aUBER&amp;form=skydnc</v>
    <v>Learn more on Bing</v>
  </rv>
  <rv s="3">
    <v>en-US</v>
    <v>bptw77</v>
    <v>268435456</v>
    <v>1</v>
    <v>Powered by Refinitiv</v>
    <v>5</v>
    <v>UBER TECHNOLOGIES, INC. (XNYS:UBER)</v>
    <v>6</v>
    <v>7</v>
    <v>Finance</v>
    <v>8</v>
    <v>101.99</v>
    <v>65.41</v>
    <v>1.2628999999999999</v>
    <v>-0.1</v>
    <v>-1.4089999999999999E-3</v>
    <v>USD</v>
    <v>Uber Technologies, Inc. operates a technology platform that uses network and technology to power movement from point A to point B. It develops and operates technology applications supporting a variety of offerings on its platform (platform(s)). Its segments include Mobility, Delivery and Freight. Mobility products connect consumers with drivers who provide rides in a variety of vehicles, such as cars, auto rickshaws, motorbikes, minibuses, or taxis. Delivery offerings allow consumers to search for and discover local restaurants, order a meal, and either pick-up at the restaurant or have the meal delivered. In certain markets, the Delivery segment provides offerings for grocery, alcohol, and convenience store delivery as well as select other goods. The Freight segment connects carriers with shippers on its platform, and gives carriers upfront, pricing and the ability to book a shipment. The Freight segment also includes transportation management and other logistics service offerings.</v>
    <v>34000</v>
    <v>New York Stock Exchange</v>
    <v>XNYS</v>
    <v>XNYS</v>
    <v>1725 3Rd Street, SAN FRANCISCO, CA, 94158 US</v>
    <v>71.641000000000005</v>
    <v>Software &amp; IT Services</v>
    <v>Stock</v>
    <v>46282.714998969532</v>
    <v>19</v>
    <v>70.239999999999995</v>
    <v>144756227200</v>
    <v>UBER TECHNOLOGIES, INC.</v>
    <v>UBER TECHNOLOGIES, INC.</v>
    <v>71.424999999999997</v>
    <v>15.556699999999999</v>
    <v>70.97</v>
    <v>70.87</v>
    <v>2042560000</v>
    <v>UBER</v>
    <v>UBER TECHNOLOGIES, INC. (XNYS:UBER)</v>
    <v>8823081</v>
    <v>16979144</v>
    <v>2010</v>
  </rv>
  <rv s="2">
    <v>20</v>
  </rv>
</rvData>
</file>

<file path=xl/richData/rdrichvaluestructure.xml><?xml version="1.0" encoding="utf-8"?>
<rvStructures xmlns="http://schemas.microsoft.com/office/spreadsheetml/2017/richdata" count="7">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3">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4">
    <spb s="0">
      <v>0</v>
      <v>Name</v>
      <v>LearnMoreOnLink</v>
    </spb>
    <spb s="1">
      <v>0</v>
      <v>0</v>
      <v>0</v>
    </spb>
    <spb s="2">
      <v>1</v>
      <v>1</v>
      <v>1</v>
    </spb>
    <spb s="3">
      <v>1</v>
      <v>2</v>
      <v>1</v>
      <v>3</v>
      <v>1</v>
      <v>1</v>
      <v>1</v>
      <v>4</v>
      <v>5</v>
      <v>6</v>
      <v>1</v>
      <v>1</v>
      <v>5</v>
      <v>1</v>
      <v>4</v>
      <v>7</v>
      <v>8</v>
    </spb>
    <spb s="4">
      <v>Real-Time Nasdaq Last Sale</v>
      <v>from previous close</v>
      <v>Source: Nasdaq Last Sale</v>
      <v>from previous close</v>
      <v>GMT</v>
    </spb>
    <spb s="0">
      <v>1</v>
      <v>Name</v>
      <v>LearnMoreOnLink</v>
    </spb>
    <spb s="5">
      <v>1</v>
      <v>1</v>
      <v>1</v>
      <v>1</v>
    </spb>
    <spb s="6">
      <v>1</v>
      <v>2</v>
      <v>2</v>
      <v>1</v>
      <v>3</v>
      <v>1</v>
      <v>1</v>
      <v>1</v>
      <v>4</v>
      <v>4</v>
      <v>5</v>
      <v>6</v>
      <v>1</v>
      <v>1</v>
      <v>1</v>
      <v>4</v>
      <v>7</v>
      <v>9</v>
      <v>8</v>
      <v>4</v>
    </spb>
    <spb s="7">
      <v>Real-Time Nasdaq Last Sale</v>
      <v>from previous close</v>
      <v>from previous close</v>
      <v>Source: Nasdaq Last Sale</v>
      <v>GMT</v>
    </spb>
    <spb s="0">
      <v>2</v>
      <v>Name</v>
      <v>LearnMoreOnLink</v>
    </spb>
    <spb s="8">
      <v>0</v>
      <v>0</v>
    </spb>
    <spb s="9">
      <v>10</v>
      <v>1</v>
      <v>1</v>
      <v>1</v>
      <v>1</v>
    </spb>
    <spb s="10">
      <v>1</v>
      <v>2</v>
      <v>2</v>
      <v>1</v>
      <v>3</v>
      <v>1</v>
      <v>10</v>
      <v>1</v>
      <v>1</v>
      <v>4</v>
      <v>4</v>
      <v>5</v>
      <v>6</v>
      <v>1</v>
      <v>1</v>
      <v>1</v>
      <v>4</v>
      <v>7</v>
      <v>9</v>
      <v>8</v>
      <v>4</v>
    </spb>
    <spb s="11">
      <v>Powered by Refinitiv</v>
    </spb>
  </spbData>
</supportingPropertyBags>
</file>

<file path=xl/richData/rdsupportingpropertybagstructure.xml><?xml version="1.0" encoding="utf-8"?>
<spbStructures xmlns="http://schemas.microsoft.com/office/spreadsheetml/2017/richdata2" count="12">
  <s>
    <k n="^Order" t="spba"/>
    <k n="TitleProperty" t="s"/>
    <k n="SubTitleProperty" t="s"/>
  </s>
  <s>
    <k n="ShowInCardView" t="b"/>
    <k n="ShowInDotNotation" t="b"/>
    <k n="ShowInAutoComplete" t="b"/>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0">
      <rpv i="0">0.00</rpv>
    </rSty>
    <rSty dxfid="6">
      <rpv i="0">0</rpv>
    </rSty>
    <rSty>
      <rpv i="2">1</rpv>
    </rSty>
  </richStyles>
</richStyleShee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E04CA01-BCDB-40D2-99E5-DF50DAB2EC60}">
  <we:reference id="wa200009404" version="1.0.0.8" store="en-US" storeType="OMEX"/>
  <we:alternateReferences>
    <we:reference id="wa200009404" version="1.0.0.8" store="WA200009404" storeType="OMEX"/>
  </we:alternateReferences>
  <we:properties>
    <we:property name="claude.fileId" value="&quot;0357ad15-74e9-48be-8514-fbb5ad925352&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
  <sheetViews>
    <sheetView showGridLines="0" zoomScaleNormal="100" workbookViewId="0">
      <selection activeCell="L15" sqref="L15"/>
    </sheetView>
  </sheetViews>
  <sheetFormatPr defaultColWidth="8.7109375" defaultRowHeight="15" x14ac:dyDescent="0.25"/>
  <cols>
    <col min="1" max="1" width="2.5703125" customWidth="1"/>
    <col min="2" max="2" width="14.85546875" bestFit="1" customWidth="1"/>
    <col min="3" max="3" width="28.85546875" customWidth="1"/>
    <col min="4" max="4" width="11" customWidth="1"/>
    <col min="5" max="5" width="22.140625" customWidth="1"/>
    <col min="6" max="6" width="12.85546875" customWidth="1"/>
    <col min="7" max="7" width="16.7109375" customWidth="1"/>
    <col min="8" max="8" width="14.85546875" customWidth="1"/>
    <col min="9" max="9" width="16.28515625" customWidth="1"/>
    <col min="10" max="10" width="19" customWidth="1"/>
    <col min="11" max="11" width="15.7109375" customWidth="1"/>
    <col min="12" max="12" width="13" customWidth="1"/>
    <col min="13" max="13" width="17" customWidth="1"/>
    <col min="14" max="14" width="13.85546875" customWidth="1"/>
  </cols>
  <sheetData>
    <row r="1" spans="1:17" ht="20.25" x14ac:dyDescent="0.3">
      <c r="B1" s="32" t="s">
        <v>0</v>
      </c>
      <c r="C1" s="23">
        <f ca="1">TODAY()</f>
        <v>46282</v>
      </c>
      <c r="E1" s="2"/>
      <c r="F1" s="2"/>
      <c r="G1" s="2"/>
      <c r="H1" s="2"/>
      <c r="I1" s="2"/>
      <c r="J1" s="2"/>
      <c r="K1" s="2"/>
      <c r="L1" s="2"/>
      <c r="M1" s="2"/>
      <c r="N1" s="2"/>
    </row>
    <row r="2" spans="1:17" ht="43.5" customHeight="1" x14ac:dyDescent="0.25">
      <c r="B2" s="5" t="s">
        <v>1</v>
      </c>
      <c r="C2" s="5" t="s">
        <v>2</v>
      </c>
      <c r="D2" s="5" t="s">
        <v>3</v>
      </c>
      <c r="E2" s="5" t="s">
        <v>6</v>
      </c>
      <c r="F2" s="5" t="s">
        <v>4</v>
      </c>
      <c r="G2" s="5" t="s">
        <v>5</v>
      </c>
      <c r="H2" s="5" t="s">
        <v>8</v>
      </c>
      <c r="I2" s="5" t="s">
        <v>7</v>
      </c>
      <c r="J2" s="5" t="s">
        <v>9</v>
      </c>
      <c r="K2" s="5" t="s">
        <v>10</v>
      </c>
      <c r="L2" s="5" t="s">
        <v>11</v>
      </c>
      <c r="M2" s="5" t="s">
        <v>46</v>
      </c>
      <c r="N2" s="5" t="s">
        <v>13</v>
      </c>
    </row>
    <row r="3" spans="1:17" x14ac:dyDescent="0.25">
      <c r="A3" s="22" t="e" vm="1">
        <v>#VALUE!</v>
      </c>
      <c r="B3" s="30" t="s">
        <v>40</v>
      </c>
      <c r="C3" s="33" t="s">
        <v>45</v>
      </c>
      <c r="D3" s="30" t="s">
        <v>14</v>
      </c>
      <c r="E3" s="34" cm="1">
        <f t="array" aca="1" ref="E3" ca="1">_FV(A3,"Price")</f>
        <v>762.43</v>
      </c>
      <c r="F3" s="25">
        <v>2.2848039999999998</v>
      </c>
      <c r="G3" s="26">
        <v>771.9</v>
      </c>
      <c r="H3" s="34">
        <f>IF(A3="","",F3*G3)</f>
        <v>1763.6402075999997</v>
      </c>
      <c r="I3" s="31">
        <v>3.37</v>
      </c>
      <c r="J3" s="34">
        <f ca="1">IF(A3="","",F3*E3)</f>
        <v>1742.0031137199996</v>
      </c>
      <c r="K3" s="27">
        <f ca="1">IF(A3="","",J3-H3)</f>
        <v>-21.637093880000066</v>
      </c>
      <c r="L3" s="28">
        <f ca="1">IF(OR(A3="",H3=0),"",K3/H3)</f>
        <v>-1.2268428552921403E-2</v>
      </c>
      <c r="M3" s="28">
        <f ca="1">IF(OR(A3="",H3=0),"",(K3+I3)/H3)</f>
        <v>-1.0357607975414853E-2</v>
      </c>
      <c r="N3" s="28">
        <f ca="1">IF(OR(A3="",$J$12=0),"",J3/$J$12)</f>
        <v>0.25457832260070273</v>
      </c>
      <c r="O3" s="29"/>
      <c r="P3" s="29"/>
      <c r="Q3" s="29"/>
    </row>
    <row r="4" spans="1:17" x14ac:dyDescent="0.25">
      <c r="A4" s="22" t="e" vm="2">
        <v>#VALUE!</v>
      </c>
      <c r="B4" s="30" t="s">
        <v>41</v>
      </c>
      <c r="C4" s="33" t="str" cm="1">
        <f t="array" aca="1" ref="C4" ca="1">_FV(A4,"Name")</f>
        <v>Invesco QQQ Trust 1</v>
      </c>
      <c r="D4" s="30" t="s">
        <v>14</v>
      </c>
      <c r="E4" s="34" cm="1">
        <f t="array" aca="1" ref="E4" ca="1">_FV(A4,"Price")</f>
        <v>716.83</v>
      </c>
      <c r="F4" s="25">
        <v>2.4565000000000001</v>
      </c>
      <c r="G4" s="26">
        <v>692.68</v>
      </c>
      <c r="H4" s="34">
        <f t="shared" ref="H4:H11" si="0">IF(B4="","",F4*G4)</f>
        <v>1701.5684200000001</v>
      </c>
      <c r="I4" s="31">
        <f>0.25+0.22+0.24+0.21+0.18+0.22+0.17+0.07</f>
        <v>1.5599999999999998</v>
      </c>
      <c r="J4" s="34">
        <f t="shared" ref="J4:J11" ca="1" si="1">IF(B4="","",F4*E4)</f>
        <v>1760.8928950000002</v>
      </c>
      <c r="K4" s="27">
        <f t="shared" ref="K4:K11" ca="1" si="2">IF(B4="","",J4-H4)</f>
        <v>59.32447500000012</v>
      </c>
      <c r="L4" s="28">
        <f t="shared" ref="L4:L11" ca="1" si="3">IF(OR(B4="",H4=0),"",K4/H4)</f>
        <v>3.4864583934861769E-2</v>
      </c>
      <c r="M4" s="28">
        <f t="shared" ref="M4:M11" ca="1" si="4">IF(OR(B4="",H4=0),"",(K4+I4)/H4)</f>
        <v>3.5781385152881554E-2</v>
      </c>
      <c r="N4" s="28">
        <f ca="1">IF(OR(B4="",$J$12=0),"",J4/$J$12)</f>
        <v>0.25733889678950961</v>
      </c>
    </row>
    <row r="5" spans="1:17" x14ac:dyDescent="0.25">
      <c r="A5" s="22" t="e" vm="3">
        <v>#VALUE!</v>
      </c>
      <c r="B5" s="30" t="s">
        <v>47</v>
      </c>
      <c r="C5" s="33" t="str" cm="1">
        <f t="array" aca="1" ref="C5" ca="1">_FV(A5,"Name")</f>
        <v>Vanguard RE;ETF</v>
      </c>
      <c r="D5" s="30" t="s">
        <v>14</v>
      </c>
      <c r="E5" s="34" cm="1">
        <f t="array" aca="1" ref="E5" ca="1">_FV(A5,"Price")</f>
        <v>94</v>
      </c>
      <c r="F5" s="25">
        <v>6.6556059999999997</v>
      </c>
      <c r="G5" s="26">
        <v>97.8</v>
      </c>
      <c r="H5" s="34">
        <f t="shared" si="0"/>
        <v>650.91826679999997</v>
      </c>
      <c r="I5" s="31">
        <v>0.92</v>
      </c>
      <c r="J5" s="34">
        <f t="shared" ca="1" si="1"/>
        <v>625.62696399999993</v>
      </c>
      <c r="K5" s="27">
        <f t="shared" ca="1" si="2"/>
        <v>-25.291302800000039</v>
      </c>
      <c r="L5" s="28">
        <f t="shared" ca="1" si="3"/>
        <v>-3.8854805725971435E-2</v>
      </c>
      <c r="M5" s="28">
        <f t="shared" ca="1" si="4"/>
        <v>-3.7441417829326834E-2</v>
      </c>
      <c r="N5" s="28">
        <f ca="1">IF(OR(B5="",$J$12=0),"",J5/$J$12)</f>
        <v>9.1429838336380034E-2</v>
      </c>
    </row>
    <row r="6" spans="1:17" x14ac:dyDescent="0.25">
      <c r="A6" s="22" t="e" vm="4">
        <v>#VALUE!</v>
      </c>
      <c r="B6" s="30" t="s">
        <v>42</v>
      </c>
      <c r="C6" s="33" t="str" cm="1">
        <f t="array" aca="1" ref="C6" ca="1">_FV(A6,"Name")</f>
        <v>ELI LILLY AND COMPANY</v>
      </c>
      <c r="D6" s="30" t="s">
        <v>33</v>
      </c>
      <c r="E6" s="34" cm="1">
        <f t="array" aca="1" ref="E6" ca="1">_FV(A6,"Price")</f>
        <v>1144.43</v>
      </c>
      <c r="F6" s="25">
        <v>0.204902</v>
      </c>
      <c r="G6" s="26">
        <v>867.59</v>
      </c>
      <c r="H6" s="34">
        <f t="shared" si="0"/>
        <v>177.77092618</v>
      </c>
      <c r="I6" s="31">
        <v>1.17</v>
      </c>
      <c r="J6" s="34">
        <f t="shared" ca="1" si="1"/>
        <v>234.49599586000002</v>
      </c>
      <c r="K6" s="27">
        <f t="shared" ca="1" si="2"/>
        <v>56.725069680000018</v>
      </c>
      <c r="L6" s="28">
        <f t="shared" ca="1" si="3"/>
        <v>0.31909081478578599</v>
      </c>
      <c r="M6" s="28">
        <f t="shared" ca="1" si="4"/>
        <v>0.32567231843849992</v>
      </c>
      <c r="N6" s="28">
        <f ca="1">IF(OR(B6="",$J$12=0),"",J6/$J$12)</f>
        <v>3.4269512386311159E-2</v>
      </c>
    </row>
    <row r="7" spans="1:17" x14ac:dyDescent="0.25">
      <c r="A7" s="22" t="e" vm="5">
        <v>#VALUE!</v>
      </c>
      <c r="B7" s="30" t="s">
        <v>43</v>
      </c>
      <c r="C7" s="33" t="str" cm="1">
        <f t="array" aca="1" ref="C7" ca="1">_FV(A7,"Name")</f>
        <v>ADOBE INC.</v>
      </c>
      <c r="D7" s="30" t="s">
        <v>33</v>
      </c>
      <c r="E7" s="34" cm="1">
        <f t="array" aca="1" ref="E7" ca="1">_FV(A7,"Price")</f>
        <v>250.25630000000001</v>
      </c>
      <c r="F7" s="25">
        <v>1.817496</v>
      </c>
      <c r="G7" s="26">
        <v>275.10000000000002</v>
      </c>
      <c r="H7" s="34">
        <f t="shared" si="0"/>
        <v>499.99314960000004</v>
      </c>
      <c r="I7" s="31">
        <v>0</v>
      </c>
      <c r="J7" s="34">
        <f t="shared" ca="1" si="1"/>
        <v>454.8398242248</v>
      </c>
      <c r="K7" s="27">
        <f t="shared" ca="1" si="2"/>
        <v>-45.153325375200041</v>
      </c>
      <c r="L7" s="28">
        <f t="shared" ca="1" si="3"/>
        <v>-9.0307888040712547E-2</v>
      </c>
      <c r="M7" s="28">
        <f t="shared" ca="1" si="4"/>
        <v>-9.0307888040712547E-2</v>
      </c>
      <c r="N7" s="28">
        <f ca="1">IF(OR(B7="",$J$12=0),"",J7/$J$12)</f>
        <v>6.6470810867769722E-2</v>
      </c>
    </row>
    <row r="8" spans="1:17" x14ac:dyDescent="0.25">
      <c r="A8" s="22" t="e" vm="6">
        <v>#VALUE!</v>
      </c>
      <c r="B8" s="30" t="s">
        <v>44</v>
      </c>
      <c r="C8" s="33" t="str" cm="1">
        <f t="array" aca="1" ref="C8" ca="1">_FV(A8,"Name")</f>
        <v>UBER TECHNOLOGIES, INC.</v>
      </c>
      <c r="D8" s="30" t="s">
        <v>33</v>
      </c>
      <c r="E8" s="34" cm="1">
        <f t="array" aca="1" ref="E8" ca="1">_FV(A8,"Price")</f>
        <v>70.87</v>
      </c>
      <c r="F8" s="25">
        <v>6.5573769999999998</v>
      </c>
      <c r="G8" s="26">
        <v>76.25</v>
      </c>
      <c r="H8" s="34">
        <f t="shared" si="0"/>
        <v>499.99999624999998</v>
      </c>
      <c r="I8" s="31">
        <v>0</v>
      </c>
      <c r="J8" s="34">
        <f t="shared" ca="1" si="1"/>
        <v>464.72130799000001</v>
      </c>
      <c r="K8" s="27">
        <f t="shared" ca="1" si="2"/>
        <v>-35.278688259999967</v>
      </c>
      <c r="L8" s="28">
        <f t="shared" ca="1" si="3"/>
        <v>-7.0557377049180262E-2</v>
      </c>
      <c r="M8" s="28">
        <f t="shared" ca="1" si="4"/>
        <v>-7.0557377049180262E-2</v>
      </c>
      <c r="N8" s="28">
        <f ca="1">IF(OR(B8="",$J$12=0),"",J8/$J$12)</f>
        <v>6.7914902179626618E-2</v>
      </c>
    </row>
    <row r="9" spans="1:17" x14ac:dyDescent="0.25">
      <c r="A9" s="22"/>
      <c r="B9" s="30"/>
      <c r="C9" s="33"/>
      <c r="D9" s="30"/>
      <c r="E9" s="34"/>
      <c r="F9" s="25"/>
      <c r="G9" s="26"/>
      <c r="H9" s="34"/>
      <c r="I9" s="31"/>
      <c r="J9" s="34"/>
      <c r="K9" s="27"/>
      <c r="L9" s="28"/>
      <c r="M9" s="28"/>
      <c r="N9" s="28"/>
    </row>
    <row r="10" spans="1:17" x14ac:dyDescent="0.25">
      <c r="A10" s="22" t="s">
        <v>66</v>
      </c>
      <c r="B10" s="30" t="s">
        <v>67</v>
      </c>
      <c r="C10" s="33" t="s">
        <v>37</v>
      </c>
      <c r="D10" s="30" t="s">
        <v>37</v>
      </c>
      <c r="E10" s="34">
        <f>G10</f>
        <v>1</v>
      </c>
      <c r="F10" s="25">
        <v>1560.12</v>
      </c>
      <c r="G10" s="26">
        <v>1</v>
      </c>
      <c r="H10" s="34">
        <f t="shared" ref="H10" si="5">IF(B10="","",F10*G10)</f>
        <v>1560.12</v>
      </c>
      <c r="I10" s="31"/>
      <c r="J10" s="34">
        <f t="shared" ref="J10" si="6">IF(B10="","",F10*E10)</f>
        <v>1560.12</v>
      </c>
      <c r="K10" s="27">
        <f t="shared" ref="K10" si="7">IF(B10="","",J10-H10)</f>
        <v>0</v>
      </c>
      <c r="L10" s="28">
        <f t="shared" ref="L10" si="8">IF(OR(B10="",H10=0),"",K10/H10)</f>
        <v>0</v>
      </c>
      <c r="M10" s="28">
        <f t="shared" ref="M10" si="9">IF(OR(B10="",H10=0),"",(K10+I10)/H10)</f>
        <v>0</v>
      </c>
      <c r="N10" s="28">
        <f ca="1">IF(OR(B10="",$J$12=0),"",J10/$J$12)</f>
        <v>0.22799771683970005</v>
      </c>
    </row>
    <row r="11" spans="1:17" x14ac:dyDescent="0.25">
      <c r="B11" s="22"/>
      <c r="C11" s="24"/>
      <c r="D11" s="24"/>
      <c r="E11" s="31"/>
      <c r="F11" s="25"/>
      <c r="G11" s="26"/>
      <c r="H11" s="34" t="str">
        <f t="shared" si="0"/>
        <v/>
      </c>
      <c r="I11" s="31"/>
      <c r="J11" s="34" t="str">
        <f t="shared" si="1"/>
        <v/>
      </c>
      <c r="K11" s="27" t="str">
        <f t="shared" si="2"/>
        <v/>
      </c>
      <c r="L11" s="28" t="str">
        <f t="shared" si="3"/>
        <v/>
      </c>
      <c r="M11" s="28" t="str">
        <f t="shared" si="4"/>
        <v/>
      </c>
      <c r="N11" s="28" t="str">
        <f ca="1">IF(OR(B11="",$J$12=0),"",J11/$J$12)</f>
        <v/>
      </c>
    </row>
    <row r="12" spans="1:17" x14ac:dyDescent="0.25">
      <c r="B12" s="6" t="s">
        <v>15</v>
      </c>
      <c r="C12" s="6"/>
      <c r="D12" s="6"/>
      <c r="E12" s="6"/>
      <c r="F12" s="6"/>
      <c r="G12" s="6"/>
      <c r="H12" s="7">
        <f>SUM(H3:H11)</f>
        <v>6854.0109664299998</v>
      </c>
      <c r="I12" s="7">
        <f>SUM(I3:I11)</f>
        <v>7.02</v>
      </c>
      <c r="J12" s="7">
        <f ca="1">SUM(J3:J11)</f>
        <v>6842.7001007948002</v>
      </c>
      <c r="K12" s="7">
        <f ca="1">J12-H12</f>
        <v>-11.310865635199661</v>
      </c>
      <c r="L12" s="8">
        <f ca="1">IF(H12=0,"",K12/H12)</f>
        <v>-1.6502549661211109E-3</v>
      </c>
      <c r="M12" s="8">
        <f ca="1">IF(H12=0,"",(K12+I12)/H12)</f>
        <v>-6.260371709668587E-4</v>
      </c>
      <c r="N12" s="8">
        <f ca="1">IF(J12=0,"",SUM(N3:N11))</f>
        <v>1</v>
      </c>
    </row>
  </sheetData>
  <conditionalFormatting sqref="K3:M12">
    <cfRule type="cellIs" dxfId="4" priority="2" operator="greaterThan">
      <formula>0</formula>
    </cfRule>
    <cfRule type="cellIs" dxfId="3" priority="3" operator="lessThan">
      <formula>0</formula>
    </cfRule>
  </conditionalFormatting>
  <dataValidations count="2">
    <dataValidation type="list" allowBlank="1" sqref="E11 D3:D11" xr:uid="{00000000-0002-0000-0100-000000000000}">
      <formula1>"Stock,ETF,Mutual Fund,Bond,Crypto,Cash,Other"</formula1>
      <formula2>0</formula2>
    </dataValidation>
    <dataValidation type="decimal" operator="greaterThanOrEqual" allowBlank="1" showErrorMessage="1" error="Enter a number of zero or more." sqref="E11 F3:F4 G3:I11 F7:F11" xr:uid="{00000000-0002-0000-0100-000001000000}">
      <formula1>0</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8"/>
  <sheetViews>
    <sheetView showGridLines="0" zoomScaleNormal="100" workbookViewId="0">
      <selection activeCell="D14" sqref="D14"/>
    </sheetView>
  </sheetViews>
  <sheetFormatPr defaultColWidth="8.7109375" defaultRowHeight="15" x14ac:dyDescent="0.25"/>
  <cols>
    <col min="1" max="1" width="34.28515625" customWidth="1"/>
    <col min="2" max="3" width="18" customWidth="1"/>
    <col min="4" max="4" width="11" customWidth="1"/>
  </cols>
  <sheetData>
    <row r="1" spans="1:4" ht="20.25" x14ac:dyDescent="0.3">
      <c r="A1" s="1" t="s">
        <v>16</v>
      </c>
      <c r="B1" s="2"/>
      <c r="C1" s="2"/>
      <c r="D1" s="2"/>
    </row>
    <row r="2" spans="1:4" x14ac:dyDescent="0.25">
      <c r="A2" s="2"/>
      <c r="B2" s="2"/>
      <c r="C2" s="2"/>
      <c r="D2" s="2"/>
    </row>
    <row r="3" spans="1:4" x14ac:dyDescent="0.25">
      <c r="A3" s="9" t="s">
        <v>17</v>
      </c>
      <c r="B3" s="9" t="s">
        <v>18</v>
      </c>
      <c r="C3" s="2"/>
      <c r="D3" s="2"/>
    </row>
    <row r="4" spans="1:4" x14ac:dyDescent="0.25">
      <c r="A4" s="10" t="s">
        <v>19</v>
      </c>
      <c r="B4" s="11">
        <f ca="1">Positions!J12</f>
        <v>6842.7001007948002</v>
      </c>
      <c r="C4" s="2"/>
      <c r="D4" s="2"/>
    </row>
    <row r="5" spans="1:4" x14ac:dyDescent="0.25">
      <c r="A5" s="12" t="s">
        <v>20</v>
      </c>
      <c r="B5" s="13">
        <f>Positions!H12</f>
        <v>6854.0109664299998</v>
      </c>
      <c r="C5" s="2"/>
      <c r="D5" s="2"/>
    </row>
    <row r="6" spans="1:4" x14ac:dyDescent="0.25">
      <c r="A6" s="10" t="s">
        <v>21</v>
      </c>
      <c r="B6" s="11">
        <f ca="1">Positions!K12</f>
        <v>-11.310865635199661</v>
      </c>
      <c r="C6" s="2"/>
      <c r="D6" s="2"/>
    </row>
    <row r="7" spans="1:4" x14ac:dyDescent="0.25">
      <c r="A7" s="12" t="s">
        <v>22</v>
      </c>
      <c r="B7" s="14">
        <f ca="1">Positions!L12</f>
        <v>-1.6502549661211109E-3</v>
      </c>
      <c r="C7" s="2"/>
      <c r="D7" s="2"/>
    </row>
    <row r="8" spans="1:4" x14ac:dyDescent="0.25">
      <c r="A8" s="12" t="s">
        <v>23</v>
      </c>
      <c r="B8" s="13">
        <f>Positions!I12</f>
        <v>7.02</v>
      </c>
      <c r="C8" s="2"/>
      <c r="D8" s="2"/>
    </row>
    <row r="9" spans="1:4" x14ac:dyDescent="0.25">
      <c r="A9" s="10" t="s">
        <v>12</v>
      </c>
      <c r="B9" s="15">
        <f ca="1">Positions!M12</f>
        <v>-6.260371709668587E-4</v>
      </c>
      <c r="C9" s="2"/>
      <c r="D9" s="2"/>
    </row>
    <row r="10" spans="1:4" x14ac:dyDescent="0.25">
      <c r="A10" s="12" t="s">
        <v>24</v>
      </c>
      <c r="B10" s="16">
        <f>COUNTA(Positions!$B$3:$B$11)</f>
        <v>7</v>
      </c>
      <c r="C10" s="2"/>
      <c r="D10" s="2"/>
    </row>
    <row r="11" spans="1:4" x14ac:dyDescent="0.25">
      <c r="A11" s="12" t="s">
        <v>25</v>
      </c>
      <c r="B11" s="17" t="str">
        <f ca="1">IF(COUNT(Positions!$J$3:$J$11)=0,"",INDEX(Positions!$B$3:$B$11,MATCH(MAX(Positions!$J$3:$J$11),Positions!$J$3:$J$11,0)))</f>
        <v>QQQ</v>
      </c>
      <c r="C11" s="2"/>
      <c r="D11" s="2"/>
    </row>
    <row r="12" spans="1:4" x14ac:dyDescent="0.25">
      <c r="A12" s="12" t="s">
        <v>26</v>
      </c>
      <c r="B12" s="14">
        <f ca="1">IF(COUNT(Positions!$N$3:$N$11)=0,"",MAX(Positions!$N$3:$N$11))</f>
        <v>0.25733889678950961</v>
      </c>
      <c r="C12" s="2"/>
      <c r="D12" s="2"/>
    </row>
    <row r="13" spans="1:4" x14ac:dyDescent="0.25">
      <c r="A13" s="12" t="s">
        <v>27</v>
      </c>
      <c r="B13" s="17" t="str">
        <f ca="1">IF(COUNT(Positions!$M$3:$M$11)=0,"",INDEX(Positions!$B$3:$B$11,MATCH(MAX(Positions!$M$3:$M$11),Positions!$M$3:$M$11,0)))</f>
        <v>LLY</v>
      </c>
      <c r="C13" s="2"/>
      <c r="D13" s="2"/>
    </row>
    <row r="14" spans="1:4" x14ac:dyDescent="0.25">
      <c r="A14" s="12" t="s">
        <v>28</v>
      </c>
      <c r="B14" s="14">
        <f ca="1">IF(COUNT(Positions!$M$3:$M$11)=0,"",MAX(Positions!$M$3:$M$11))</f>
        <v>0.32567231843849992</v>
      </c>
      <c r="C14" s="2"/>
      <c r="D14" s="2"/>
    </row>
    <row r="15" spans="1:4" x14ac:dyDescent="0.25">
      <c r="A15" s="12" t="s">
        <v>29</v>
      </c>
      <c r="B15" s="17" t="str">
        <f ca="1">IF(COUNT(Positions!$M$3:$M$11)=0,"",INDEX(Positions!$B$3:$B$11,MATCH(MIN(Positions!$M$3:$M$11),Positions!$M$3:$M$11,0)))</f>
        <v>ADBE</v>
      </c>
      <c r="C15" s="2"/>
      <c r="D15" s="2"/>
    </row>
    <row r="16" spans="1:4" x14ac:dyDescent="0.25">
      <c r="A16" s="12" t="s">
        <v>30</v>
      </c>
      <c r="B16" s="14">
        <f ca="1">IF(COUNT(Positions!$M$3:$M$11)=0,"",MIN(Positions!$M$3:$M$11))</f>
        <v>-9.0307888040712547E-2</v>
      </c>
      <c r="C16" s="2"/>
      <c r="D16" s="2"/>
    </row>
    <row r="17" spans="1:4" x14ac:dyDescent="0.25">
      <c r="A17" s="2"/>
      <c r="B17" s="2"/>
      <c r="C17" s="2"/>
      <c r="D17" s="2"/>
    </row>
    <row r="18" spans="1:4" x14ac:dyDescent="0.25">
      <c r="A18" s="18" t="s">
        <v>31</v>
      </c>
      <c r="B18" s="2"/>
      <c r="C18" s="2"/>
      <c r="D18" s="2"/>
    </row>
    <row r="19" spans="1:4" x14ac:dyDescent="0.25">
      <c r="A19" s="9" t="s">
        <v>3</v>
      </c>
      <c r="B19" s="9" t="s">
        <v>9</v>
      </c>
      <c r="C19" s="9" t="s">
        <v>32</v>
      </c>
      <c r="D19" s="9" t="s">
        <v>0</v>
      </c>
    </row>
    <row r="20" spans="1:4" x14ac:dyDescent="0.25">
      <c r="A20" s="3" t="s">
        <v>33</v>
      </c>
      <c r="B20" s="19">
        <f ca="1">SUMIF(Positions!$D$3:$D$11,A20,Positions!$J$3:$J$11)</f>
        <v>1154.0571280747999</v>
      </c>
      <c r="C20" s="20">
        <f t="shared" ref="C20:C26" ca="1" si="0">IF($B$27=0,"",B20/$B$27)</f>
        <v>0.16865522543370751</v>
      </c>
      <c r="D20" s="21">
        <f>COUNTIF(Positions!$D$3:$D$11,A20)</f>
        <v>3</v>
      </c>
    </row>
    <row r="21" spans="1:4" x14ac:dyDescent="0.25">
      <c r="A21" s="3" t="s">
        <v>14</v>
      </c>
      <c r="B21" s="19">
        <f ca="1">SUMIF(Positions!$D$3:$D$11,A21,Positions!$J$3:$J$11)</f>
        <v>4128.5229727199994</v>
      </c>
      <c r="C21" s="20">
        <f t="shared" ca="1" si="0"/>
        <v>0.60334705772659236</v>
      </c>
      <c r="D21" s="21">
        <f>COUNTIF(Positions!$D$3:$D$11,A21)</f>
        <v>3</v>
      </c>
    </row>
    <row r="22" spans="1:4" x14ac:dyDescent="0.25">
      <c r="A22" s="3" t="s">
        <v>34</v>
      </c>
      <c r="B22" s="19">
        <f>SUMIF(Positions!$D$3:$D$11,A22,Positions!$J$3:$J$11)</f>
        <v>0</v>
      </c>
      <c r="C22" s="20">
        <f t="shared" ca="1" si="0"/>
        <v>0</v>
      </c>
      <c r="D22" s="21">
        <f>COUNTIF(Positions!$D$3:$D$11,A22)</f>
        <v>0</v>
      </c>
    </row>
    <row r="23" spans="1:4" x14ac:dyDescent="0.25">
      <c r="A23" s="3" t="s">
        <v>35</v>
      </c>
      <c r="B23" s="19">
        <f>SUMIF(Positions!$D$3:$D$11,A23,Positions!$J$3:$J$11)</f>
        <v>0</v>
      </c>
      <c r="C23" s="20">
        <f t="shared" ca="1" si="0"/>
        <v>0</v>
      </c>
      <c r="D23" s="21">
        <f>COUNTIF(Positions!$D$3:$D$11,A23)</f>
        <v>0</v>
      </c>
    </row>
    <row r="24" spans="1:4" x14ac:dyDescent="0.25">
      <c r="A24" s="3" t="s">
        <v>36</v>
      </c>
      <c r="B24" s="19">
        <f>SUMIF(Positions!$D$3:$D$11,A24,Positions!$J$3:$J$11)</f>
        <v>0</v>
      </c>
      <c r="C24" s="20">
        <f t="shared" ca="1" si="0"/>
        <v>0</v>
      </c>
      <c r="D24" s="21">
        <f>COUNTIF(Positions!$D$3:$D$11,A24)</f>
        <v>0</v>
      </c>
    </row>
    <row r="25" spans="1:4" x14ac:dyDescent="0.25">
      <c r="A25" s="3" t="s">
        <v>37</v>
      </c>
      <c r="B25" s="19">
        <f>SUMIF(Positions!$D$3:$D$11,A25,Positions!$J$3:$J$11)</f>
        <v>1560.12</v>
      </c>
      <c r="C25" s="20">
        <f t="shared" ca="1" si="0"/>
        <v>0.22799771683970008</v>
      </c>
      <c r="D25" s="21">
        <f>COUNTIF(Positions!$D$3:$D$11,A25)</f>
        <v>1</v>
      </c>
    </row>
    <row r="26" spans="1:4" x14ac:dyDescent="0.25">
      <c r="A26" s="3" t="s">
        <v>38</v>
      </c>
      <c r="B26" s="19">
        <f>SUMIF(Positions!$D$3:$D$11,A26,Positions!$J$3:$J$11)</f>
        <v>0</v>
      </c>
      <c r="C26" s="20">
        <f t="shared" ca="1" si="0"/>
        <v>0</v>
      </c>
      <c r="D26" s="21">
        <f>COUNTIF(Positions!$D$3:$D$11,A26)</f>
        <v>0</v>
      </c>
    </row>
    <row r="27" spans="1:4" x14ac:dyDescent="0.25">
      <c r="A27" s="6" t="s">
        <v>15</v>
      </c>
      <c r="B27" s="7">
        <f ca="1">SUM(B20:B26)</f>
        <v>6842.7001007947993</v>
      </c>
      <c r="C27" s="8">
        <f ca="1">IF(B27=0,"",SUM(C20:C26))</f>
        <v>0.99999999999999989</v>
      </c>
      <c r="D27" s="6">
        <f>SUM(D20:D26)</f>
        <v>7</v>
      </c>
    </row>
    <row r="28" spans="1:4" x14ac:dyDescent="0.25">
      <c r="A28" s="4"/>
      <c r="B28" s="2"/>
      <c r="C28" s="2"/>
      <c r="D28" s="2"/>
    </row>
  </sheetData>
  <conditionalFormatting sqref="B6:B9">
    <cfRule type="cellIs" dxfId="2" priority="2" operator="greaterThan">
      <formula>0</formula>
    </cfRule>
    <cfRule type="cellIs" dxfId="1" priority="3" operator="lessThan">
      <formula>0</formula>
    </cfRule>
  </conditionalFormatting>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10F30-3DFC-4EFD-A968-C0359B0A229A}">
  <dimension ref="A1:O499"/>
  <sheetViews>
    <sheetView showGridLines="0" tabSelected="1" workbookViewId="0">
      <pane ySplit="3" topLeftCell="A4" activePane="bottomLeft" state="frozen"/>
      <selection pane="bottomLeft" activeCell="O13" sqref="O13"/>
    </sheetView>
  </sheetViews>
  <sheetFormatPr defaultRowHeight="15" x14ac:dyDescent="0.25"/>
  <cols>
    <col min="1" max="1" width="20" customWidth="1"/>
    <col min="2" max="2" width="12" customWidth="1"/>
    <col min="3" max="3" width="18" customWidth="1"/>
    <col min="4" max="4" width="12" customWidth="1"/>
    <col min="5" max="6" width="14" customWidth="1"/>
    <col min="7" max="7" width="30" customWidth="1"/>
    <col min="8" max="8" width="3" customWidth="1"/>
    <col min="9" max="9" width="10" customWidth="1"/>
    <col min="10" max="12" width="13" customWidth="1"/>
    <col min="13" max="15" width="14" customWidth="1"/>
  </cols>
  <sheetData>
    <row r="1" spans="1:15" ht="20.25" x14ac:dyDescent="0.3">
      <c r="A1" s="1" t="s">
        <v>63</v>
      </c>
    </row>
    <row r="2" spans="1:15" x14ac:dyDescent="0.25">
      <c r="I2" s="18" t="s">
        <v>64</v>
      </c>
    </row>
    <row r="3" spans="1:15" ht="31.5" customHeight="1" x14ac:dyDescent="0.25">
      <c r="A3" s="5" t="s">
        <v>39</v>
      </c>
      <c r="B3" s="5" t="s">
        <v>1</v>
      </c>
      <c r="C3" s="5" t="s">
        <v>63</v>
      </c>
      <c r="D3" s="5" t="s">
        <v>4</v>
      </c>
      <c r="E3" s="5" t="s">
        <v>62</v>
      </c>
      <c r="F3" s="5" t="s">
        <v>61</v>
      </c>
      <c r="G3" s="5" t="s">
        <v>54</v>
      </c>
      <c r="I3" s="5" t="s">
        <v>1</v>
      </c>
      <c r="J3" s="5" t="s">
        <v>60</v>
      </c>
      <c r="K3" s="5" t="s">
        <v>59</v>
      </c>
      <c r="L3" s="5" t="s">
        <v>58</v>
      </c>
      <c r="M3" s="5" t="s">
        <v>57</v>
      </c>
      <c r="N3" s="5" t="s">
        <v>56</v>
      </c>
      <c r="O3" s="5" t="s">
        <v>55</v>
      </c>
    </row>
    <row r="4" spans="1:15" x14ac:dyDescent="0.25">
      <c r="A4" s="39">
        <v>45492</v>
      </c>
      <c r="B4" s="38" t="s">
        <v>40</v>
      </c>
      <c r="C4" s="38" t="s">
        <v>48</v>
      </c>
      <c r="D4" s="37">
        <v>4.5429999999999998E-2</v>
      </c>
      <c r="E4" s="36">
        <v>550.17999999999995</v>
      </c>
      <c r="F4" s="36">
        <v>24.99</v>
      </c>
      <c r="G4" s="35"/>
      <c r="I4" s="42" t="str">
        <f>IF(Positions!B3="","",Positions!B3)</f>
        <v>SPY</v>
      </c>
      <c r="J4" s="40">
        <f t="shared" ref="J4:J10" si="0">IF(I4="","",SUMIF($B$4:$B$499,I4,$D$4:$D$499))</f>
        <v>2.2848039999999998</v>
      </c>
      <c r="K4" s="41">
        <f>IF(I4="","",INDEX(Positions!$F$3:$F$11,MATCH(I4,Positions!$B$3:$B$11,0)))</f>
        <v>2.2848039999999998</v>
      </c>
      <c r="L4" s="27">
        <f t="shared" ref="L4:L10" si="1">IF(I4="","",ROUND(J4-K4,6))</f>
        <v>0</v>
      </c>
      <c r="M4" s="27">
        <f t="shared" ref="M4:M10" si="2">IF($I4="","",SUMIFS($F$4:$F$499,$B$4:$B$499,$I4,$C$4:$C$499,"Buy"))</f>
        <v>2199.9899999999998</v>
      </c>
      <c r="N4" s="27">
        <f t="shared" ref="N4:N10" si="3">IF($I4="","",SUMIFS($F$4:$F$499,$B$4:$B$499,$I4,$C$4:$C$499,"Dividend"))</f>
        <v>3.37</v>
      </c>
      <c r="O4" s="27">
        <f t="shared" ref="O4:O10" si="4">IF($I4="","",SUMIFS($F$4:$F$499,$B$4:$B$499,$I4,$C$4:$C$499,"Sell"))</f>
        <v>500</v>
      </c>
    </row>
    <row r="5" spans="1:15" x14ac:dyDescent="0.25">
      <c r="A5" s="39">
        <v>45505</v>
      </c>
      <c r="B5" s="38" t="s">
        <v>41</v>
      </c>
      <c r="C5" s="38" t="s">
        <v>48</v>
      </c>
      <c r="D5" s="37">
        <v>5.3659999999999999E-2</v>
      </c>
      <c r="E5" s="36">
        <v>465.87</v>
      </c>
      <c r="F5" s="36">
        <v>25</v>
      </c>
      <c r="G5" s="35"/>
      <c r="I5" s="42" t="str">
        <f>IF(Positions!B4="","",Positions!B4)</f>
        <v>QQQ</v>
      </c>
      <c r="J5" s="40">
        <f t="shared" si="0"/>
        <v>2.4565000000000001</v>
      </c>
      <c r="K5" s="41">
        <f>IF(I5="","",INDEX(Positions!$F$3:$F$11,MATCH(I5,Positions!$B$3:$B$11,0)))</f>
        <v>2.4565000000000001</v>
      </c>
      <c r="L5" s="27">
        <f t="shared" si="1"/>
        <v>0</v>
      </c>
      <c r="M5" s="27">
        <f t="shared" si="2"/>
        <v>1700</v>
      </c>
      <c r="N5" s="27">
        <f t="shared" si="3"/>
        <v>1.5599999999999998</v>
      </c>
      <c r="O5" s="27">
        <f t="shared" si="4"/>
        <v>0</v>
      </c>
    </row>
    <row r="6" spans="1:15" x14ac:dyDescent="0.25">
      <c r="A6" s="39">
        <v>45513</v>
      </c>
      <c r="B6" s="38" t="s">
        <v>41</v>
      </c>
      <c r="C6" s="38" t="s">
        <v>48</v>
      </c>
      <c r="D6" s="37">
        <v>5.5965000000000001E-2</v>
      </c>
      <c r="E6" s="36">
        <v>446.71</v>
      </c>
      <c r="F6" s="36">
        <v>25</v>
      </c>
      <c r="G6" s="35" t="s">
        <v>53</v>
      </c>
      <c r="I6" s="42" t="str">
        <f>IF(Positions!B5="","",Positions!B5)</f>
        <v>VNQ</v>
      </c>
      <c r="J6" s="40">
        <f t="shared" si="0"/>
        <v>6.6556059999999997</v>
      </c>
      <c r="K6" s="41">
        <f>IF(I6="","",INDEX(Positions!$F$3:$F$11,MATCH(I6,Positions!$B$3:$B$11,0)))</f>
        <v>6.6556059999999997</v>
      </c>
      <c r="L6" s="27">
        <f t="shared" si="1"/>
        <v>0</v>
      </c>
      <c r="M6" s="27">
        <f t="shared" si="2"/>
        <v>650</v>
      </c>
      <c r="N6" s="27">
        <f t="shared" si="3"/>
        <v>0.92</v>
      </c>
      <c r="O6" s="27">
        <f t="shared" si="4"/>
        <v>0</v>
      </c>
    </row>
    <row r="7" spans="1:15" x14ac:dyDescent="0.25">
      <c r="A7" s="39">
        <v>45520</v>
      </c>
      <c r="B7" s="38" t="s">
        <v>40</v>
      </c>
      <c r="C7" s="38" t="s">
        <v>48</v>
      </c>
      <c r="D7" s="37">
        <v>4.5104999999999999E-2</v>
      </c>
      <c r="E7" s="36">
        <v>554.25</v>
      </c>
      <c r="F7" s="36">
        <v>25</v>
      </c>
      <c r="G7" s="35"/>
      <c r="I7" s="42" t="str">
        <f>IF(Positions!B6="","",Positions!B6)</f>
        <v>LLY</v>
      </c>
      <c r="J7" s="40">
        <f t="shared" si="0"/>
        <v>0.20490199999999997</v>
      </c>
      <c r="K7" s="41">
        <f>IF(I7="","",INDEX(Positions!$F$3:$F$11,MATCH(I7,Positions!$B$3:$B$11,0)))</f>
        <v>0.204902</v>
      </c>
      <c r="L7" s="27">
        <f t="shared" si="1"/>
        <v>0</v>
      </c>
      <c r="M7" s="27">
        <f t="shared" si="2"/>
        <v>176.6</v>
      </c>
      <c r="N7" s="27">
        <f t="shared" si="3"/>
        <v>1.17</v>
      </c>
      <c r="O7" s="27">
        <f t="shared" si="4"/>
        <v>0</v>
      </c>
    </row>
    <row r="8" spans="1:15" x14ac:dyDescent="0.25">
      <c r="A8" s="39">
        <v>45596</v>
      </c>
      <c r="B8" s="38" t="s">
        <v>40</v>
      </c>
      <c r="C8" s="38" t="s">
        <v>51</v>
      </c>
      <c r="D8" s="37"/>
      <c r="E8" s="36"/>
      <c r="F8" s="36">
        <v>0.16</v>
      </c>
      <c r="G8" s="35"/>
      <c r="I8" s="42" t="str">
        <f>IF(Positions!B7="","",Positions!B7)</f>
        <v>ADBE</v>
      </c>
      <c r="J8" s="40">
        <f t="shared" si="0"/>
        <v>1.8174960000000002</v>
      </c>
      <c r="K8" s="41">
        <f>IF(I8="","",INDEX(Positions!$F$3:$F$11,MATCH(I8,Positions!$B$3:$B$11,0)))</f>
        <v>1.817496</v>
      </c>
      <c r="L8" s="27">
        <f t="shared" si="1"/>
        <v>0</v>
      </c>
      <c r="M8" s="27">
        <f t="shared" si="2"/>
        <v>500</v>
      </c>
      <c r="N8" s="27">
        <f t="shared" si="3"/>
        <v>0</v>
      </c>
      <c r="O8" s="27">
        <f t="shared" si="4"/>
        <v>0</v>
      </c>
    </row>
    <row r="9" spans="1:15" x14ac:dyDescent="0.25">
      <c r="A9" s="39">
        <v>45596</v>
      </c>
      <c r="B9" s="38" t="s">
        <v>40</v>
      </c>
      <c r="C9" s="38" t="s">
        <v>49</v>
      </c>
      <c r="D9" s="37">
        <v>2.7799999999999998E-4</v>
      </c>
      <c r="E9" s="36">
        <v>575.01</v>
      </c>
      <c r="F9" s="36">
        <v>0.16</v>
      </c>
      <c r="G9" s="35"/>
      <c r="I9" s="42" t="str">
        <f>IF(Positions!B8="","",Positions!B8)</f>
        <v>UBER</v>
      </c>
      <c r="J9" s="40">
        <f t="shared" si="0"/>
        <v>6.5573769999999998</v>
      </c>
      <c r="K9" s="41">
        <f>IF(I9="","",INDEX(Positions!$F$3:$F$11,MATCH(I9,Positions!$B$3:$B$11,0)))</f>
        <v>6.5573769999999998</v>
      </c>
      <c r="L9" s="27">
        <f t="shared" si="1"/>
        <v>0</v>
      </c>
      <c r="M9" s="27">
        <f t="shared" si="2"/>
        <v>500</v>
      </c>
      <c r="N9" s="27">
        <f t="shared" si="3"/>
        <v>0</v>
      </c>
      <c r="O9" s="27">
        <f t="shared" si="4"/>
        <v>0</v>
      </c>
    </row>
    <row r="10" spans="1:15" x14ac:dyDescent="0.25">
      <c r="A10" s="39">
        <v>45596</v>
      </c>
      <c r="B10" s="38" t="s">
        <v>41</v>
      </c>
      <c r="C10" s="38" t="s">
        <v>51</v>
      </c>
      <c r="D10" s="37"/>
      <c r="E10" s="36"/>
      <c r="F10" s="36">
        <v>7.0000000000000007E-2</v>
      </c>
      <c r="G10" s="35"/>
      <c r="I10" s="42" t="s">
        <v>67</v>
      </c>
      <c r="J10" s="40">
        <f t="shared" ref="J10" si="5">IF(I10="","",SUMIF($B$4:$B$499,I10,$D$4:$D$499))</f>
        <v>1560.12</v>
      </c>
      <c r="K10" s="41">
        <f>IF(I10="","",INDEX(Positions!$F$3:$F$11,MATCH(I10,Positions!$B$3:$B$11,0)))</f>
        <v>1560.12</v>
      </c>
      <c r="L10" s="27">
        <f t="shared" ref="L10" si="6">IF(I10="","",ROUND(J10-K10,6))</f>
        <v>0</v>
      </c>
      <c r="M10" s="27">
        <f t="shared" si="2"/>
        <v>1560.12</v>
      </c>
      <c r="N10" s="27">
        <f t="shared" si="3"/>
        <v>0</v>
      </c>
      <c r="O10" s="27">
        <f t="shared" si="4"/>
        <v>0</v>
      </c>
    </row>
    <row r="11" spans="1:15" x14ac:dyDescent="0.25">
      <c r="A11" s="39">
        <v>45596</v>
      </c>
      <c r="B11" s="38" t="s">
        <v>41</v>
      </c>
      <c r="C11" s="38" t="s">
        <v>49</v>
      </c>
      <c r="D11" s="37">
        <v>1.4200000000000001E-4</v>
      </c>
      <c r="E11" s="36">
        <v>490.32</v>
      </c>
      <c r="F11" s="36">
        <v>7.0000000000000007E-2</v>
      </c>
      <c r="G11" s="35"/>
      <c r="I11" s="6" t="s">
        <v>15</v>
      </c>
      <c r="J11" s="6"/>
      <c r="K11" s="6"/>
      <c r="L11" s="6"/>
      <c r="M11" s="7">
        <f>SUM(M4:M10)</f>
        <v>7286.71</v>
      </c>
      <c r="N11" s="7">
        <f>SUM(N4:N10)</f>
        <v>7.02</v>
      </c>
      <c r="O11" s="7">
        <f>SUM(O4:O10)</f>
        <v>500</v>
      </c>
    </row>
    <row r="12" spans="1:15" x14ac:dyDescent="0.25">
      <c r="A12" s="39">
        <v>45618</v>
      </c>
      <c r="B12" s="38" t="s">
        <v>40</v>
      </c>
      <c r="C12" s="38" t="s">
        <v>48</v>
      </c>
      <c r="D12" s="37">
        <v>8.4225999999999995E-2</v>
      </c>
      <c r="E12" s="36">
        <v>593.64</v>
      </c>
      <c r="F12" s="36">
        <v>50</v>
      </c>
      <c r="G12" s="35"/>
    </row>
    <row r="13" spans="1:15" x14ac:dyDescent="0.25">
      <c r="A13" s="39">
        <v>45618</v>
      </c>
      <c r="B13" s="38" t="s">
        <v>41</v>
      </c>
      <c r="C13" s="38" t="s">
        <v>48</v>
      </c>
      <c r="D13" s="37">
        <v>9.9116999999999997E-2</v>
      </c>
      <c r="E13" s="36">
        <v>504.45</v>
      </c>
      <c r="F13" s="36">
        <v>50</v>
      </c>
      <c r="G13" s="35"/>
      <c r="I13" s="18"/>
    </row>
    <row r="14" spans="1:15" x14ac:dyDescent="0.25">
      <c r="A14" s="39">
        <v>45657</v>
      </c>
      <c r="B14" s="38" t="s">
        <v>41</v>
      </c>
      <c r="C14" s="38" t="s">
        <v>51</v>
      </c>
      <c r="D14" s="37"/>
      <c r="E14" s="36"/>
      <c r="F14" s="36">
        <v>0.17</v>
      </c>
      <c r="G14" s="35"/>
      <c r="I14" s="3"/>
    </row>
    <row r="15" spans="1:15" x14ac:dyDescent="0.25">
      <c r="A15" s="39">
        <v>45657</v>
      </c>
      <c r="B15" s="38" t="s">
        <v>41</v>
      </c>
      <c r="C15" s="38" t="s">
        <v>49</v>
      </c>
      <c r="D15" s="37">
        <v>3.3100000000000002E-4</v>
      </c>
      <c r="E15" s="36">
        <v>512.19000000000005</v>
      </c>
      <c r="F15" s="36">
        <v>0.17</v>
      </c>
      <c r="G15" s="35"/>
      <c r="I15" s="3"/>
    </row>
    <row r="16" spans="1:15" x14ac:dyDescent="0.25">
      <c r="A16" s="39">
        <v>45688</v>
      </c>
      <c r="B16" s="38" t="s">
        <v>40</v>
      </c>
      <c r="C16" s="38" t="s">
        <v>51</v>
      </c>
      <c r="D16" s="37"/>
      <c r="E16" s="36"/>
      <c r="F16" s="36">
        <v>0.34</v>
      </c>
      <c r="G16" s="35"/>
      <c r="I16" s="3"/>
    </row>
    <row r="17" spans="1:9" x14ac:dyDescent="0.25">
      <c r="A17" s="39">
        <v>45688</v>
      </c>
      <c r="B17" s="38" t="s">
        <v>40</v>
      </c>
      <c r="C17" s="38" t="s">
        <v>49</v>
      </c>
      <c r="D17" s="37">
        <v>5.6999999999999998E-4</v>
      </c>
      <c r="E17" s="36">
        <v>596.28</v>
      </c>
      <c r="F17" s="36">
        <v>0.34</v>
      </c>
      <c r="G17" s="35"/>
      <c r="I17" s="3"/>
    </row>
    <row r="18" spans="1:9" x14ac:dyDescent="0.25">
      <c r="A18" s="39">
        <v>45695</v>
      </c>
      <c r="B18" s="38" t="s">
        <v>40</v>
      </c>
      <c r="C18" s="38" t="s">
        <v>48</v>
      </c>
      <c r="D18" s="37">
        <v>8.3119999999999999E-2</v>
      </c>
      <c r="E18" s="36">
        <v>601.5</v>
      </c>
      <c r="F18" s="36">
        <v>50</v>
      </c>
      <c r="G18" s="35"/>
      <c r="I18" s="3"/>
    </row>
    <row r="19" spans="1:9" x14ac:dyDescent="0.25">
      <c r="A19" s="39">
        <v>45695</v>
      </c>
      <c r="B19" s="38" t="s">
        <v>41</v>
      </c>
      <c r="C19" s="38" t="s">
        <v>48</v>
      </c>
      <c r="D19" s="37">
        <v>9.5449999999999993E-2</v>
      </c>
      <c r="E19" s="36">
        <v>523.80999999999995</v>
      </c>
      <c r="F19" s="36">
        <v>50</v>
      </c>
      <c r="G19" s="35"/>
    </row>
    <row r="20" spans="1:9" x14ac:dyDescent="0.25">
      <c r="A20" s="39">
        <v>45777</v>
      </c>
      <c r="B20" s="38" t="s">
        <v>40</v>
      </c>
      <c r="C20" s="38" t="s">
        <v>51</v>
      </c>
      <c r="D20" s="37"/>
      <c r="E20" s="36"/>
      <c r="F20" s="36">
        <v>0.44</v>
      </c>
      <c r="G20" s="35"/>
    </row>
    <row r="21" spans="1:9" x14ac:dyDescent="0.25">
      <c r="A21" s="39">
        <v>45777</v>
      </c>
      <c r="B21" s="38" t="s">
        <v>40</v>
      </c>
      <c r="C21" s="38" t="s">
        <v>49</v>
      </c>
      <c r="D21" s="37">
        <v>7.8100000000000001E-4</v>
      </c>
      <c r="E21" s="36">
        <v>563.02</v>
      </c>
      <c r="F21" s="36">
        <v>0.44</v>
      </c>
      <c r="G21" s="35"/>
    </row>
    <row r="22" spans="1:9" x14ac:dyDescent="0.25">
      <c r="A22" s="39">
        <v>45777</v>
      </c>
      <c r="B22" s="38" t="s">
        <v>41</v>
      </c>
      <c r="C22" s="38" t="s">
        <v>51</v>
      </c>
      <c r="D22" s="37"/>
      <c r="E22" s="36"/>
      <c r="F22" s="36">
        <v>0.22</v>
      </c>
      <c r="G22" s="35"/>
    </row>
    <row r="23" spans="1:9" x14ac:dyDescent="0.25">
      <c r="A23" s="39">
        <v>45777</v>
      </c>
      <c r="B23" s="38" t="s">
        <v>41</v>
      </c>
      <c r="C23" s="38" t="s">
        <v>49</v>
      </c>
      <c r="D23" s="37">
        <v>4.5300000000000001E-4</v>
      </c>
      <c r="E23" s="36">
        <v>485.22</v>
      </c>
      <c r="F23" s="36">
        <v>0.22</v>
      </c>
      <c r="G23" s="35"/>
    </row>
    <row r="24" spans="1:9" x14ac:dyDescent="0.25">
      <c r="A24" s="39">
        <v>45869</v>
      </c>
      <c r="B24" s="38" t="s">
        <v>40</v>
      </c>
      <c r="C24" s="38" t="s">
        <v>51</v>
      </c>
      <c r="D24" s="37"/>
      <c r="E24" s="36"/>
      <c r="F24" s="36">
        <v>0.46</v>
      </c>
      <c r="G24" s="35"/>
    </row>
    <row r="25" spans="1:9" x14ac:dyDescent="0.25">
      <c r="A25" s="39">
        <v>45869</v>
      </c>
      <c r="B25" s="38" t="s">
        <v>40</v>
      </c>
      <c r="C25" s="38" t="s">
        <v>49</v>
      </c>
      <c r="D25" s="37">
        <v>7.3899999999999997E-4</v>
      </c>
      <c r="E25" s="36">
        <v>621.64</v>
      </c>
      <c r="F25" s="36">
        <v>0.46</v>
      </c>
      <c r="G25" s="35"/>
    </row>
    <row r="26" spans="1:9" x14ac:dyDescent="0.25">
      <c r="A26" s="39">
        <v>45869</v>
      </c>
      <c r="B26" s="38" t="s">
        <v>41</v>
      </c>
      <c r="C26" s="38" t="s">
        <v>51</v>
      </c>
      <c r="D26" s="37"/>
      <c r="E26" s="36"/>
      <c r="F26" s="36">
        <v>0.18</v>
      </c>
      <c r="G26" s="35"/>
    </row>
    <row r="27" spans="1:9" x14ac:dyDescent="0.25">
      <c r="A27" s="39">
        <v>45869</v>
      </c>
      <c r="B27" s="38" t="s">
        <v>41</v>
      </c>
      <c r="C27" s="38" t="s">
        <v>49</v>
      </c>
      <c r="D27" s="37">
        <v>3.2499999999999999E-4</v>
      </c>
      <c r="E27" s="36">
        <v>552.86</v>
      </c>
      <c r="F27" s="36">
        <v>0.18</v>
      </c>
      <c r="G27" s="35"/>
    </row>
    <row r="28" spans="1:9" x14ac:dyDescent="0.25">
      <c r="A28" s="39">
        <v>45876</v>
      </c>
      <c r="B28" s="38" t="s">
        <v>42</v>
      </c>
      <c r="C28" s="38" t="s">
        <v>48</v>
      </c>
      <c r="D28" s="37">
        <v>0.12595999999999999</v>
      </c>
      <c r="E28" s="36">
        <v>639.85</v>
      </c>
      <c r="F28" s="36">
        <v>80.599999999999994</v>
      </c>
      <c r="G28" s="35"/>
    </row>
    <row r="29" spans="1:9" x14ac:dyDescent="0.25">
      <c r="A29" s="39">
        <v>45910</v>
      </c>
      <c r="B29" s="38" t="s">
        <v>42</v>
      </c>
      <c r="C29" s="38" t="s">
        <v>51</v>
      </c>
      <c r="D29" s="37"/>
      <c r="E29" s="36"/>
      <c r="F29" s="36">
        <v>0.19</v>
      </c>
      <c r="G29" s="35"/>
    </row>
    <row r="30" spans="1:9" x14ac:dyDescent="0.25">
      <c r="A30" s="39">
        <v>45910</v>
      </c>
      <c r="B30" s="38" t="s">
        <v>42</v>
      </c>
      <c r="C30" s="38" t="s">
        <v>49</v>
      </c>
      <c r="D30" s="37">
        <v>2.52E-4</v>
      </c>
      <c r="E30" s="36">
        <v>753.96</v>
      </c>
      <c r="F30" s="36">
        <v>0.19</v>
      </c>
      <c r="G30" s="35"/>
    </row>
    <row r="31" spans="1:9" x14ac:dyDescent="0.25">
      <c r="A31" s="39">
        <v>45961</v>
      </c>
      <c r="B31" s="38" t="s">
        <v>40</v>
      </c>
      <c r="C31" s="38" t="s">
        <v>51</v>
      </c>
      <c r="D31" s="37"/>
      <c r="E31" s="36"/>
      <c r="F31" s="36">
        <v>0.48</v>
      </c>
      <c r="G31" s="35"/>
    </row>
    <row r="32" spans="1:9" x14ac:dyDescent="0.25">
      <c r="A32" s="39">
        <v>45961</v>
      </c>
      <c r="B32" s="38" t="s">
        <v>40</v>
      </c>
      <c r="C32" s="38" t="s">
        <v>49</v>
      </c>
      <c r="D32" s="37">
        <v>7.0299999999999996E-4</v>
      </c>
      <c r="E32" s="36">
        <v>682.74</v>
      </c>
      <c r="F32" s="36">
        <v>0.48</v>
      </c>
      <c r="G32" s="35"/>
    </row>
    <row r="33" spans="1:7" x14ac:dyDescent="0.25">
      <c r="A33" s="39">
        <v>45961</v>
      </c>
      <c r="B33" s="38" t="s">
        <v>41</v>
      </c>
      <c r="C33" s="38" t="s">
        <v>51</v>
      </c>
      <c r="D33" s="37"/>
      <c r="E33" s="36"/>
      <c r="F33" s="36">
        <v>0.21</v>
      </c>
      <c r="G33" s="35"/>
    </row>
    <row r="34" spans="1:7" x14ac:dyDescent="0.25">
      <c r="A34" s="39">
        <v>45961</v>
      </c>
      <c r="B34" s="38" t="s">
        <v>41</v>
      </c>
      <c r="C34" s="38" t="s">
        <v>49</v>
      </c>
      <c r="D34" s="37">
        <v>3.3199999999999999E-4</v>
      </c>
      <c r="E34" s="36">
        <v>631.85</v>
      </c>
      <c r="F34" s="36">
        <v>0.21</v>
      </c>
      <c r="G34" s="35"/>
    </row>
    <row r="35" spans="1:7" x14ac:dyDescent="0.25">
      <c r="A35" s="39">
        <v>46001</v>
      </c>
      <c r="B35" s="38" t="s">
        <v>42</v>
      </c>
      <c r="C35" s="38" t="s">
        <v>51</v>
      </c>
      <c r="D35" s="37"/>
      <c r="E35" s="36"/>
      <c r="F35" s="36">
        <v>0.19</v>
      </c>
      <c r="G35" s="35"/>
    </row>
    <row r="36" spans="1:7" x14ac:dyDescent="0.25">
      <c r="A36" s="39">
        <v>46001</v>
      </c>
      <c r="B36" s="38" t="s">
        <v>42</v>
      </c>
      <c r="C36" s="38" t="s">
        <v>49</v>
      </c>
      <c r="D36" s="37">
        <v>1.9100000000000001E-4</v>
      </c>
      <c r="E36" s="36">
        <v>992.13</v>
      </c>
      <c r="F36" s="36">
        <v>0.19</v>
      </c>
      <c r="G36" s="35"/>
    </row>
    <row r="37" spans="1:7" x14ac:dyDescent="0.25">
      <c r="A37" s="39">
        <v>46022</v>
      </c>
      <c r="B37" s="38" t="s">
        <v>41</v>
      </c>
      <c r="C37" s="38" t="s">
        <v>51</v>
      </c>
      <c r="D37" s="37"/>
      <c r="E37" s="36"/>
      <c r="F37" s="36">
        <v>0.24</v>
      </c>
      <c r="G37" s="35"/>
    </row>
    <row r="38" spans="1:7" x14ac:dyDescent="0.25">
      <c r="A38" s="39">
        <v>46022</v>
      </c>
      <c r="B38" s="38" t="s">
        <v>41</v>
      </c>
      <c r="C38" s="38" t="s">
        <v>49</v>
      </c>
      <c r="D38" s="37">
        <v>3.86E-4</v>
      </c>
      <c r="E38" s="36">
        <v>621.23</v>
      </c>
      <c r="F38" s="36">
        <v>0.24</v>
      </c>
      <c r="G38" s="35"/>
    </row>
    <row r="39" spans="1:7" x14ac:dyDescent="0.25">
      <c r="A39" s="39">
        <v>46052</v>
      </c>
      <c r="B39" s="38" t="s">
        <v>40</v>
      </c>
      <c r="C39" s="38" t="s">
        <v>51</v>
      </c>
      <c r="D39" s="37"/>
      <c r="E39" s="36"/>
      <c r="F39" s="36">
        <v>0.52</v>
      </c>
      <c r="G39" s="35"/>
    </row>
    <row r="40" spans="1:7" x14ac:dyDescent="0.25">
      <c r="A40" s="39">
        <v>46052</v>
      </c>
      <c r="B40" s="38" t="s">
        <v>40</v>
      </c>
      <c r="C40" s="38" t="s">
        <v>49</v>
      </c>
      <c r="D40" s="37">
        <v>7.5000000000000002E-4</v>
      </c>
      <c r="E40" s="36">
        <v>692.98</v>
      </c>
      <c r="F40" s="36">
        <v>0.52</v>
      </c>
      <c r="G40" s="35"/>
    </row>
    <row r="41" spans="1:7" x14ac:dyDescent="0.25">
      <c r="A41" s="39">
        <v>46091</v>
      </c>
      <c r="B41" s="38" t="s">
        <v>42</v>
      </c>
      <c r="C41" s="38" t="s">
        <v>51</v>
      </c>
      <c r="D41" s="37"/>
      <c r="E41" s="36"/>
      <c r="F41" s="36">
        <v>0.22</v>
      </c>
      <c r="G41" s="35"/>
    </row>
    <row r="42" spans="1:7" x14ac:dyDescent="0.25">
      <c r="A42" s="39">
        <v>46091</v>
      </c>
      <c r="B42" s="38" t="s">
        <v>42</v>
      </c>
      <c r="C42" s="38" t="s">
        <v>49</v>
      </c>
      <c r="D42" s="37">
        <v>2.2100000000000001E-4</v>
      </c>
      <c r="E42" s="36">
        <v>995.18</v>
      </c>
      <c r="F42" s="36">
        <v>0.22</v>
      </c>
      <c r="G42" s="35"/>
    </row>
    <row r="43" spans="1:7" x14ac:dyDescent="0.25">
      <c r="A43" s="39">
        <v>46108</v>
      </c>
      <c r="B43" s="38" t="s">
        <v>41</v>
      </c>
      <c r="C43" s="38" t="s">
        <v>51</v>
      </c>
      <c r="D43" s="37"/>
      <c r="E43" s="36"/>
      <c r="F43" s="36">
        <v>0.22</v>
      </c>
      <c r="G43" s="35"/>
    </row>
    <row r="44" spans="1:7" x14ac:dyDescent="0.25">
      <c r="A44" s="39">
        <v>46108</v>
      </c>
      <c r="B44" s="38" t="s">
        <v>41</v>
      </c>
      <c r="C44" s="38" t="s">
        <v>49</v>
      </c>
      <c r="D44" s="37">
        <v>3.9100000000000002E-4</v>
      </c>
      <c r="E44" s="36">
        <v>562.62</v>
      </c>
      <c r="F44" s="36">
        <v>0.22</v>
      </c>
      <c r="G44" s="35"/>
    </row>
    <row r="45" spans="1:7" x14ac:dyDescent="0.25">
      <c r="A45" s="39">
        <v>46142</v>
      </c>
      <c r="B45" s="38" t="s">
        <v>40</v>
      </c>
      <c r="C45" s="38" t="s">
        <v>51</v>
      </c>
      <c r="D45" s="37"/>
      <c r="E45" s="36"/>
      <c r="F45" s="36">
        <v>0.47</v>
      </c>
      <c r="G45" s="35"/>
    </row>
    <row r="46" spans="1:7" x14ac:dyDescent="0.25">
      <c r="A46" s="39">
        <v>46142</v>
      </c>
      <c r="B46" s="38" t="s">
        <v>40</v>
      </c>
      <c r="C46" s="38" t="s">
        <v>49</v>
      </c>
      <c r="D46" s="37">
        <v>6.4800000000000003E-4</v>
      </c>
      <c r="E46" s="36">
        <v>724.37</v>
      </c>
      <c r="F46" s="36">
        <v>0.47</v>
      </c>
      <c r="G46" s="35"/>
    </row>
    <row r="47" spans="1:7" x14ac:dyDescent="0.25">
      <c r="A47" s="39">
        <v>46161</v>
      </c>
      <c r="B47" s="38" t="s">
        <v>42</v>
      </c>
      <c r="C47" s="38" t="s">
        <v>51</v>
      </c>
      <c r="D47" s="37"/>
      <c r="E47" s="36"/>
      <c r="F47" s="36">
        <v>0.22</v>
      </c>
      <c r="G47" s="35" t="s">
        <v>50</v>
      </c>
    </row>
    <row r="48" spans="1:7" x14ac:dyDescent="0.25">
      <c r="A48" s="39">
        <v>46161</v>
      </c>
      <c r="B48" s="38" t="s">
        <v>42</v>
      </c>
      <c r="C48" s="38" t="s">
        <v>49</v>
      </c>
      <c r="D48" s="37">
        <v>2.12E-4</v>
      </c>
      <c r="E48" s="36">
        <v>1033.8800000000001</v>
      </c>
      <c r="F48" s="36">
        <v>0.22</v>
      </c>
      <c r="G48" s="35"/>
    </row>
    <row r="49" spans="1:7" x14ac:dyDescent="0.25">
      <c r="A49" s="39">
        <v>46195</v>
      </c>
      <c r="B49" s="38" t="s">
        <v>47</v>
      </c>
      <c r="C49" s="38" t="s">
        <v>48</v>
      </c>
      <c r="D49" s="37">
        <v>1.043296</v>
      </c>
      <c r="E49" s="36">
        <v>95.85</v>
      </c>
      <c r="F49" s="36">
        <v>100</v>
      </c>
      <c r="G49" s="35"/>
    </row>
    <row r="50" spans="1:7" x14ac:dyDescent="0.25">
      <c r="A50" s="39">
        <v>46199</v>
      </c>
      <c r="B50" s="38" t="s">
        <v>47</v>
      </c>
      <c r="C50" s="38" t="s">
        <v>51</v>
      </c>
      <c r="D50" s="37"/>
      <c r="E50" s="36"/>
      <c r="F50" s="36">
        <v>0.89</v>
      </c>
      <c r="G50" s="35"/>
    </row>
    <row r="51" spans="1:7" x14ac:dyDescent="0.25">
      <c r="A51" s="39">
        <v>46199</v>
      </c>
      <c r="B51" s="38" t="s">
        <v>47</v>
      </c>
      <c r="C51" s="38" t="s">
        <v>49</v>
      </c>
      <c r="D51" s="37">
        <v>9.0480000000000005E-3</v>
      </c>
      <c r="E51" s="36">
        <v>98.36</v>
      </c>
      <c r="F51" s="36">
        <v>0.89</v>
      </c>
      <c r="G51" s="35"/>
    </row>
    <row r="52" spans="1:7" x14ac:dyDescent="0.25">
      <c r="A52" s="39">
        <v>46202</v>
      </c>
      <c r="B52" s="38" t="s">
        <v>42</v>
      </c>
      <c r="C52" s="38" t="s">
        <v>48</v>
      </c>
      <c r="D52" s="37">
        <v>7.7795000000000003E-2</v>
      </c>
      <c r="E52" s="36">
        <v>1234</v>
      </c>
      <c r="F52" s="36">
        <v>96</v>
      </c>
      <c r="G52" s="35" t="s">
        <v>53</v>
      </c>
    </row>
    <row r="53" spans="1:7" x14ac:dyDescent="0.25">
      <c r="A53" s="39">
        <v>46210</v>
      </c>
      <c r="B53" s="38" t="s">
        <v>43</v>
      </c>
      <c r="C53" s="38" t="s">
        <v>48</v>
      </c>
      <c r="D53" s="37">
        <v>0.44814900000000002</v>
      </c>
      <c r="E53" s="36">
        <v>223.14</v>
      </c>
      <c r="F53" s="36">
        <v>100</v>
      </c>
      <c r="G53" s="35"/>
    </row>
    <row r="54" spans="1:7" x14ac:dyDescent="0.25">
      <c r="A54" s="39">
        <v>46211</v>
      </c>
      <c r="B54" s="38" t="s">
        <v>47</v>
      </c>
      <c r="C54" s="38" t="s">
        <v>51</v>
      </c>
      <c r="D54" s="37"/>
      <c r="E54" s="36"/>
      <c r="F54" s="36">
        <v>0.01</v>
      </c>
      <c r="G54" s="35"/>
    </row>
    <row r="55" spans="1:7" x14ac:dyDescent="0.25">
      <c r="A55" s="39">
        <v>46213</v>
      </c>
      <c r="B55" s="38" t="s">
        <v>41</v>
      </c>
      <c r="C55" s="38" t="s">
        <v>51</v>
      </c>
      <c r="D55" s="37"/>
      <c r="E55" s="36"/>
      <c r="F55" s="36">
        <v>0.25</v>
      </c>
      <c r="G55" s="35"/>
    </row>
    <row r="56" spans="1:7" x14ac:dyDescent="0.25">
      <c r="A56" s="39">
        <v>46213</v>
      </c>
      <c r="B56" s="38" t="s">
        <v>41</v>
      </c>
      <c r="C56" s="38" t="s">
        <v>49</v>
      </c>
      <c r="D56" s="37">
        <v>3.5E-4</v>
      </c>
      <c r="E56" s="36">
        <v>713.31</v>
      </c>
      <c r="F56" s="36">
        <v>0.25</v>
      </c>
      <c r="G56" s="35"/>
    </row>
    <row r="57" spans="1:7" x14ac:dyDescent="0.25">
      <c r="A57" s="39">
        <v>46225</v>
      </c>
      <c r="B57" s="38" t="s">
        <v>40</v>
      </c>
      <c r="C57" s="38" t="s">
        <v>48</v>
      </c>
      <c r="D57" s="37">
        <v>0.401476</v>
      </c>
      <c r="E57" s="36">
        <v>747.24</v>
      </c>
      <c r="F57" s="36">
        <v>300</v>
      </c>
      <c r="G57" s="35"/>
    </row>
    <row r="58" spans="1:7" x14ac:dyDescent="0.25">
      <c r="A58" s="39">
        <v>46225</v>
      </c>
      <c r="B58" s="38" t="s">
        <v>41</v>
      </c>
      <c r="C58" s="38" t="s">
        <v>48</v>
      </c>
      <c r="D58" s="37">
        <v>0.42531999999999998</v>
      </c>
      <c r="E58" s="36">
        <v>705.35</v>
      </c>
      <c r="F58" s="36">
        <v>300</v>
      </c>
      <c r="G58" s="35"/>
    </row>
    <row r="59" spans="1:7" x14ac:dyDescent="0.25">
      <c r="A59" s="39">
        <v>46234</v>
      </c>
      <c r="B59" s="38" t="s">
        <v>40</v>
      </c>
      <c r="C59" s="38" t="s">
        <v>51</v>
      </c>
      <c r="D59" s="37"/>
      <c r="E59" s="36"/>
      <c r="F59" s="36">
        <v>0.5</v>
      </c>
      <c r="G59" s="35"/>
    </row>
    <row r="60" spans="1:7" x14ac:dyDescent="0.25">
      <c r="A60" s="39">
        <v>46234</v>
      </c>
      <c r="B60" s="38" t="s">
        <v>40</v>
      </c>
      <c r="C60" s="38" t="s">
        <v>49</v>
      </c>
      <c r="D60" s="37">
        <v>6.6399999999999999E-4</v>
      </c>
      <c r="E60" s="36">
        <v>752.77</v>
      </c>
      <c r="F60" s="36">
        <v>0.5</v>
      </c>
      <c r="G60" s="35"/>
    </row>
    <row r="61" spans="1:7" x14ac:dyDescent="0.25">
      <c r="A61" s="39">
        <v>46241</v>
      </c>
      <c r="B61" s="38" t="s">
        <v>40</v>
      </c>
      <c r="C61" s="38" t="s">
        <v>48</v>
      </c>
      <c r="D61" s="37">
        <v>0.64829800000000004</v>
      </c>
      <c r="E61" s="36">
        <v>771.25</v>
      </c>
      <c r="F61" s="36">
        <v>500</v>
      </c>
      <c r="G61" s="35"/>
    </row>
    <row r="62" spans="1:7" x14ac:dyDescent="0.25">
      <c r="A62" s="39">
        <v>46241</v>
      </c>
      <c r="B62" s="38" t="s">
        <v>41</v>
      </c>
      <c r="C62" s="38" t="s">
        <v>48</v>
      </c>
      <c r="D62" s="37">
        <v>0.69216999999999995</v>
      </c>
      <c r="E62" s="36">
        <v>722.37</v>
      </c>
      <c r="F62" s="36">
        <v>500</v>
      </c>
      <c r="G62" s="35"/>
    </row>
    <row r="63" spans="1:7" x14ac:dyDescent="0.25">
      <c r="A63" s="39">
        <v>46241</v>
      </c>
      <c r="B63" s="38" t="s">
        <v>47</v>
      </c>
      <c r="C63" s="38" t="s">
        <v>51</v>
      </c>
      <c r="D63" s="37"/>
      <c r="E63" s="36"/>
      <c r="F63" s="36">
        <v>0.01</v>
      </c>
      <c r="G63" s="35"/>
    </row>
    <row r="64" spans="1:7" x14ac:dyDescent="0.25">
      <c r="A64" s="39">
        <v>46248</v>
      </c>
      <c r="B64" s="38" t="s">
        <v>47</v>
      </c>
      <c r="C64" s="38" t="s">
        <v>48</v>
      </c>
      <c r="D64" s="37">
        <v>4.0453070000000002</v>
      </c>
      <c r="E64" s="36">
        <v>98.88</v>
      </c>
      <c r="F64" s="36">
        <v>400</v>
      </c>
      <c r="G64" s="35"/>
    </row>
    <row r="65" spans="1:7" x14ac:dyDescent="0.25">
      <c r="A65" s="39">
        <v>46248</v>
      </c>
      <c r="B65" s="38" t="s">
        <v>44</v>
      </c>
      <c r="C65" s="38" t="s">
        <v>48</v>
      </c>
      <c r="D65" s="37">
        <v>6.5573769999999998</v>
      </c>
      <c r="E65" s="36">
        <v>76.25</v>
      </c>
      <c r="F65" s="36">
        <v>500</v>
      </c>
      <c r="G65" s="35"/>
    </row>
    <row r="66" spans="1:7" x14ac:dyDescent="0.25">
      <c r="A66" s="39">
        <v>46251</v>
      </c>
      <c r="B66" s="38" t="s">
        <v>40</v>
      </c>
      <c r="C66" s="38" t="s">
        <v>52</v>
      </c>
      <c r="D66" s="37">
        <v>-0.64624899999999996</v>
      </c>
      <c r="E66" s="36">
        <v>773.7</v>
      </c>
      <c r="F66" s="36">
        <v>500</v>
      </c>
      <c r="G66" s="35" t="s">
        <v>65</v>
      </c>
    </row>
    <row r="67" spans="1:7" x14ac:dyDescent="0.25">
      <c r="A67" s="39">
        <v>46251</v>
      </c>
      <c r="B67" s="38" t="s">
        <v>40</v>
      </c>
      <c r="C67" s="38" t="s">
        <v>48</v>
      </c>
      <c r="D67" s="37">
        <v>1.292632</v>
      </c>
      <c r="E67" s="36">
        <v>773.62</v>
      </c>
      <c r="F67" s="36">
        <v>1000</v>
      </c>
      <c r="G67" s="35"/>
    </row>
    <row r="68" spans="1:7" x14ac:dyDescent="0.25">
      <c r="A68" s="39">
        <v>46251</v>
      </c>
      <c r="B68" s="38" t="s">
        <v>41</v>
      </c>
      <c r="C68" s="38" t="s">
        <v>48</v>
      </c>
      <c r="D68" s="37">
        <v>0.68442000000000003</v>
      </c>
      <c r="E68" s="36">
        <v>730.55</v>
      </c>
      <c r="F68" s="36">
        <v>500</v>
      </c>
      <c r="G68" s="35"/>
    </row>
    <row r="69" spans="1:7" x14ac:dyDescent="0.25">
      <c r="A69" s="39">
        <v>46252</v>
      </c>
      <c r="B69" s="38" t="s">
        <v>42</v>
      </c>
      <c r="C69" s="38" t="s">
        <v>51</v>
      </c>
      <c r="D69" s="37"/>
      <c r="E69" s="36"/>
      <c r="F69" s="36">
        <v>0.35</v>
      </c>
      <c r="G69" s="35" t="s">
        <v>50</v>
      </c>
    </row>
    <row r="70" spans="1:7" x14ac:dyDescent="0.25">
      <c r="A70" s="39">
        <v>46252</v>
      </c>
      <c r="B70" s="38" t="s">
        <v>42</v>
      </c>
      <c r="C70" s="38" t="s">
        <v>49</v>
      </c>
      <c r="D70" s="37">
        <v>2.7099999999999997E-4</v>
      </c>
      <c r="E70" s="36">
        <v>1287.18</v>
      </c>
      <c r="F70" s="36">
        <v>0.35</v>
      </c>
      <c r="G70" s="35"/>
    </row>
    <row r="71" spans="1:7" x14ac:dyDescent="0.25">
      <c r="A71" s="39">
        <v>46262</v>
      </c>
      <c r="B71" s="38" t="s">
        <v>43</v>
      </c>
      <c r="C71" s="38" t="s">
        <v>48</v>
      </c>
      <c r="D71" s="37">
        <v>1.3693470000000001</v>
      </c>
      <c r="E71" s="36">
        <v>292.11</v>
      </c>
      <c r="F71" s="36">
        <v>400</v>
      </c>
      <c r="G71" s="35"/>
    </row>
    <row r="72" spans="1:7" x14ac:dyDescent="0.25">
      <c r="A72" s="39">
        <v>46273</v>
      </c>
      <c r="B72" s="38" t="s">
        <v>40</v>
      </c>
      <c r="C72" s="38" t="s">
        <v>48</v>
      </c>
      <c r="D72" s="37">
        <v>0.32563300000000001</v>
      </c>
      <c r="E72" s="36">
        <v>767.73</v>
      </c>
      <c r="F72" s="36">
        <v>250</v>
      </c>
      <c r="G72" s="35"/>
    </row>
    <row r="73" spans="1:7" x14ac:dyDescent="0.25">
      <c r="A73" s="39">
        <v>46273</v>
      </c>
      <c r="B73" s="38" t="s">
        <v>41</v>
      </c>
      <c r="C73" s="38" t="s">
        <v>48</v>
      </c>
      <c r="D73" s="37">
        <v>0.347688</v>
      </c>
      <c r="E73" s="36">
        <v>719.04</v>
      </c>
      <c r="F73" s="36">
        <v>250</v>
      </c>
      <c r="G73" s="35"/>
    </row>
    <row r="74" spans="1:7" x14ac:dyDescent="0.25">
      <c r="A74" s="39">
        <v>46273</v>
      </c>
      <c r="B74" s="38" t="s">
        <v>47</v>
      </c>
      <c r="C74" s="38" t="s">
        <v>48</v>
      </c>
      <c r="D74" s="37">
        <v>1.557955</v>
      </c>
      <c r="E74" s="36">
        <v>96.28</v>
      </c>
      <c r="F74" s="36">
        <v>150</v>
      </c>
      <c r="G74" s="35"/>
    </row>
    <row r="75" spans="1:7" x14ac:dyDescent="0.25">
      <c r="A75" s="39">
        <v>46273</v>
      </c>
      <c r="B75" s="38" t="s">
        <v>47</v>
      </c>
      <c r="C75" s="38" t="s">
        <v>51</v>
      </c>
      <c r="D75" s="37"/>
      <c r="E75" s="36"/>
      <c r="F75" s="36">
        <v>0.01</v>
      </c>
      <c r="G75" s="35"/>
    </row>
    <row r="76" spans="1:7" x14ac:dyDescent="0.25">
      <c r="A76" s="43">
        <v>46282</v>
      </c>
      <c r="B76" s="44" t="s">
        <v>67</v>
      </c>
      <c r="C76" s="44" t="s">
        <v>48</v>
      </c>
      <c r="D76" s="45">
        <v>1560.12</v>
      </c>
      <c r="E76" s="46">
        <v>1</v>
      </c>
      <c r="F76" s="46">
        <v>1560.12</v>
      </c>
      <c r="G76" s="47"/>
    </row>
    <row r="77" spans="1:7" x14ac:dyDescent="0.25">
      <c r="A77" s="39"/>
      <c r="B77" s="38"/>
      <c r="C77" s="38"/>
      <c r="D77" s="37"/>
      <c r="E77" s="36"/>
      <c r="F77" s="36"/>
      <c r="G77" s="35"/>
    </row>
    <row r="78" spans="1:7" x14ac:dyDescent="0.25">
      <c r="A78" s="39"/>
      <c r="B78" s="38"/>
      <c r="C78" s="38"/>
      <c r="D78" s="37"/>
      <c r="E78" s="36"/>
      <c r="F78" s="36"/>
      <c r="G78" s="35"/>
    </row>
    <row r="79" spans="1:7" x14ac:dyDescent="0.25">
      <c r="A79" s="39"/>
      <c r="B79" s="38"/>
      <c r="C79" s="38"/>
      <c r="D79" s="37"/>
      <c r="E79" s="36"/>
      <c r="F79" s="36"/>
      <c r="G79" s="35"/>
    </row>
    <row r="80" spans="1:7" x14ac:dyDescent="0.25">
      <c r="A80" s="39"/>
      <c r="B80" s="38"/>
      <c r="C80" s="38"/>
      <c r="D80" s="37"/>
      <c r="E80" s="36"/>
      <c r="F80" s="36"/>
      <c r="G80" s="35"/>
    </row>
    <row r="81" spans="1:7" x14ac:dyDescent="0.25">
      <c r="A81" s="39"/>
      <c r="B81" s="38"/>
      <c r="C81" s="38"/>
      <c r="D81" s="37"/>
      <c r="E81" s="36"/>
      <c r="F81" s="36"/>
      <c r="G81" s="35"/>
    </row>
    <row r="82" spans="1:7" x14ac:dyDescent="0.25">
      <c r="A82" s="39"/>
      <c r="B82" s="38"/>
      <c r="C82" s="38"/>
      <c r="D82" s="37"/>
      <c r="E82" s="36"/>
      <c r="F82" s="36"/>
      <c r="G82" s="35"/>
    </row>
    <row r="83" spans="1:7" x14ac:dyDescent="0.25">
      <c r="A83" s="39"/>
      <c r="B83" s="38"/>
      <c r="C83" s="38"/>
      <c r="D83" s="37"/>
      <c r="E83" s="36"/>
      <c r="F83" s="36"/>
      <c r="G83" s="35"/>
    </row>
    <row r="84" spans="1:7" x14ac:dyDescent="0.25">
      <c r="A84" s="39"/>
      <c r="B84" s="38"/>
      <c r="C84" s="38"/>
      <c r="D84" s="37"/>
      <c r="E84" s="36"/>
      <c r="F84" s="36"/>
      <c r="G84" s="35"/>
    </row>
    <row r="85" spans="1:7" x14ac:dyDescent="0.25">
      <c r="A85" s="39"/>
      <c r="B85" s="38"/>
      <c r="C85" s="38"/>
      <c r="D85" s="37"/>
      <c r="E85" s="36"/>
      <c r="F85" s="36"/>
      <c r="G85" s="35"/>
    </row>
    <row r="86" spans="1:7" x14ac:dyDescent="0.25">
      <c r="A86" s="39"/>
      <c r="B86" s="38"/>
      <c r="C86" s="38"/>
      <c r="D86" s="37"/>
      <c r="E86" s="36"/>
      <c r="F86" s="36"/>
      <c r="G86" s="35"/>
    </row>
    <row r="87" spans="1:7" x14ac:dyDescent="0.25">
      <c r="A87" s="39"/>
      <c r="B87" s="38"/>
      <c r="C87" s="38"/>
      <c r="D87" s="37"/>
      <c r="E87" s="36"/>
      <c r="F87" s="36"/>
      <c r="G87" s="35"/>
    </row>
    <row r="88" spans="1:7" x14ac:dyDescent="0.25">
      <c r="A88" s="39"/>
      <c r="B88" s="38"/>
      <c r="C88" s="38"/>
      <c r="D88" s="37"/>
      <c r="E88" s="36"/>
      <c r="F88" s="36"/>
      <c r="G88" s="35"/>
    </row>
    <row r="89" spans="1:7" x14ac:dyDescent="0.25">
      <c r="A89" s="39"/>
      <c r="B89" s="38"/>
      <c r="C89" s="38"/>
      <c r="D89" s="37"/>
      <c r="E89" s="36"/>
      <c r="F89" s="36"/>
      <c r="G89" s="35"/>
    </row>
    <row r="90" spans="1:7" x14ac:dyDescent="0.25">
      <c r="A90" s="39"/>
      <c r="B90" s="38"/>
      <c r="C90" s="38"/>
      <c r="D90" s="37"/>
      <c r="E90" s="36"/>
      <c r="F90" s="36"/>
      <c r="G90" s="35"/>
    </row>
    <row r="91" spans="1:7" x14ac:dyDescent="0.25">
      <c r="A91" s="39"/>
      <c r="B91" s="38"/>
      <c r="C91" s="38"/>
      <c r="D91" s="37"/>
      <c r="E91" s="36"/>
      <c r="F91" s="36"/>
      <c r="G91" s="35"/>
    </row>
    <row r="92" spans="1:7" x14ac:dyDescent="0.25">
      <c r="A92" s="39"/>
      <c r="B92" s="38"/>
      <c r="C92" s="38"/>
      <c r="D92" s="37"/>
      <c r="E92" s="36"/>
      <c r="F92" s="36"/>
      <c r="G92" s="35"/>
    </row>
    <row r="93" spans="1:7" x14ac:dyDescent="0.25">
      <c r="A93" s="39"/>
      <c r="B93" s="38"/>
      <c r="C93" s="38"/>
      <c r="D93" s="37"/>
      <c r="E93" s="36"/>
      <c r="F93" s="36"/>
      <c r="G93" s="35"/>
    </row>
    <row r="94" spans="1:7" x14ac:dyDescent="0.25">
      <c r="A94" s="39"/>
      <c r="B94" s="38"/>
      <c r="C94" s="38"/>
      <c r="D94" s="37"/>
      <c r="E94" s="36"/>
      <c r="F94" s="36"/>
      <c r="G94" s="35"/>
    </row>
    <row r="95" spans="1:7" x14ac:dyDescent="0.25">
      <c r="A95" s="39"/>
      <c r="B95" s="38"/>
      <c r="C95" s="38"/>
      <c r="D95" s="37"/>
      <c r="E95" s="36"/>
      <c r="F95" s="36"/>
      <c r="G95" s="35"/>
    </row>
    <row r="96" spans="1:7" x14ac:dyDescent="0.25">
      <c r="A96" s="39"/>
      <c r="B96" s="38"/>
      <c r="C96" s="38"/>
      <c r="D96" s="37"/>
      <c r="E96" s="36"/>
      <c r="F96" s="36"/>
      <c r="G96" s="35"/>
    </row>
    <row r="97" spans="1:7" x14ac:dyDescent="0.25">
      <c r="A97" s="39"/>
      <c r="B97" s="38"/>
      <c r="C97" s="38"/>
      <c r="D97" s="37"/>
      <c r="E97" s="36"/>
      <c r="F97" s="36"/>
      <c r="G97" s="35"/>
    </row>
    <row r="98" spans="1:7" x14ac:dyDescent="0.25">
      <c r="A98" s="39"/>
      <c r="B98" s="38"/>
      <c r="C98" s="38"/>
      <c r="D98" s="37"/>
      <c r="E98" s="36"/>
      <c r="F98" s="36"/>
      <c r="G98" s="35"/>
    </row>
    <row r="99" spans="1:7" x14ac:dyDescent="0.25">
      <c r="A99" s="39"/>
      <c r="B99" s="38"/>
      <c r="C99" s="38"/>
      <c r="D99" s="37"/>
      <c r="E99" s="36"/>
      <c r="F99" s="36"/>
      <c r="G99" s="35"/>
    </row>
    <row r="100" spans="1:7" x14ac:dyDescent="0.25">
      <c r="A100" s="39"/>
      <c r="B100" s="38"/>
      <c r="C100" s="38"/>
      <c r="D100" s="37"/>
      <c r="E100" s="36"/>
      <c r="F100" s="36"/>
      <c r="G100" s="35"/>
    </row>
    <row r="101" spans="1:7" x14ac:dyDescent="0.25">
      <c r="A101" s="39"/>
      <c r="B101" s="38"/>
      <c r="C101" s="38"/>
      <c r="D101" s="37"/>
      <c r="E101" s="36"/>
      <c r="F101" s="36"/>
      <c r="G101" s="35"/>
    </row>
    <row r="102" spans="1:7" x14ac:dyDescent="0.25">
      <c r="A102" s="39"/>
      <c r="B102" s="38"/>
      <c r="C102" s="38"/>
      <c r="D102" s="37"/>
      <c r="E102" s="36"/>
      <c r="F102" s="36"/>
      <c r="G102" s="35"/>
    </row>
    <row r="103" spans="1:7" x14ac:dyDescent="0.25">
      <c r="A103" s="39"/>
      <c r="B103" s="38"/>
      <c r="C103" s="38"/>
      <c r="D103" s="37"/>
      <c r="E103" s="36"/>
      <c r="F103" s="36"/>
      <c r="G103" s="35"/>
    </row>
    <row r="104" spans="1:7" x14ac:dyDescent="0.25">
      <c r="A104" s="39"/>
      <c r="B104" s="38"/>
      <c r="C104" s="38"/>
      <c r="D104" s="37"/>
      <c r="E104" s="36"/>
      <c r="F104" s="36"/>
      <c r="G104" s="35"/>
    </row>
    <row r="105" spans="1:7" x14ac:dyDescent="0.25">
      <c r="A105" s="39"/>
      <c r="B105" s="38"/>
      <c r="C105" s="38"/>
      <c r="D105" s="37"/>
      <c r="E105" s="36"/>
      <c r="F105" s="36"/>
      <c r="G105" s="35"/>
    </row>
    <row r="106" spans="1:7" x14ac:dyDescent="0.25">
      <c r="A106" s="39"/>
      <c r="B106" s="38"/>
      <c r="C106" s="38"/>
      <c r="D106" s="37"/>
      <c r="E106" s="36"/>
      <c r="F106" s="36"/>
      <c r="G106" s="35"/>
    </row>
    <row r="107" spans="1:7" x14ac:dyDescent="0.25">
      <c r="A107" s="39"/>
      <c r="B107" s="38"/>
      <c r="C107" s="38"/>
      <c r="D107" s="37"/>
      <c r="E107" s="36"/>
      <c r="F107" s="36"/>
      <c r="G107" s="35"/>
    </row>
    <row r="108" spans="1:7" x14ac:dyDescent="0.25">
      <c r="A108" s="39"/>
      <c r="B108" s="38"/>
      <c r="C108" s="38"/>
      <c r="D108" s="37"/>
      <c r="E108" s="36"/>
      <c r="F108" s="36"/>
      <c r="G108" s="35"/>
    </row>
    <row r="109" spans="1:7" x14ac:dyDescent="0.25">
      <c r="A109" s="39"/>
      <c r="B109" s="38"/>
      <c r="C109" s="38"/>
      <c r="D109" s="37"/>
      <c r="E109" s="36"/>
      <c r="F109" s="36"/>
      <c r="G109" s="35"/>
    </row>
    <row r="110" spans="1:7" x14ac:dyDescent="0.25">
      <c r="A110" s="39"/>
      <c r="B110" s="38"/>
      <c r="C110" s="38"/>
      <c r="D110" s="37"/>
      <c r="E110" s="36"/>
      <c r="F110" s="36"/>
      <c r="G110" s="35"/>
    </row>
    <row r="111" spans="1:7" x14ac:dyDescent="0.25">
      <c r="A111" s="39"/>
      <c r="B111" s="38"/>
      <c r="C111" s="38"/>
      <c r="D111" s="37"/>
      <c r="E111" s="36"/>
      <c r="F111" s="36"/>
      <c r="G111" s="35"/>
    </row>
    <row r="112" spans="1:7" x14ac:dyDescent="0.25">
      <c r="A112" s="39"/>
      <c r="B112" s="38"/>
      <c r="C112" s="38"/>
      <c r="D112" s="37"/>
      <c r="E112" s="36"/>
      <c r="F112" s="36"/>
      <c r="G112" s="35"/>
    </row>
    <row r="113" spans="1:7" x14ac:dyDescent="0.25">
      <c r="A113" s="39"/>
      <c r="B113" s="38"/>
      <c r="C113" s="38"/>
      <c r="D113" s="37"/>
      <c r="E113" s="36"/>
      <c r="F113" s="36"/>
      <c r="G113" s="35"/>
    </row>
    <row r="114" spans="1:7" x14ac:dyDescent="0.25">
      <c r="A114" s="39"/>
      <c r="B114" s="38"/>
      <c r="C114" s="38"/>
      <c r="D114" s="37"/>
      <c r="E114" s="36"/>
      <c r="F114" s="36"/>
      <c r="G114" s="35"/>
    </row>
    <row r="115" spans="1:7" x14ac:dyDescent="0.25">
      <c r="A115" s="39"/>
      <c r="B115" s="38"/>
      <c r="C115" s="38"/>
      <c r="D115" s="37"/>
      <c r="E115" s="36"/>
      <c r="F115" s="36"/>
      <c r="G115" s="35"/>
    </row>
    <row r="116" spans="1:7" x14ac:dyDescent="0.25">
      <c r="A116" s="39"/>
      <c r="B116" s="38"/>
      <c r="C116" s="38"/>
      <c r="D116" s="37"/>
      <c r="E116" s="36"/>
      <c r="F116" s="36"/>
      <c r="G116" s="35"/>
    </row>
    <row r="117" spans="1:7" x14ac:dyDescent="0.25">
      <c r="A117" s="39"/>
      <c r="B117" s="38"/>
      <c r="C117" s="38"/>
      <c r="D117" s="37"/>
      <c r="E117" s="36"/>
      <c r="F117" s="36"/>
      <c r="G117" s="35"/>
    </row>
    <row r="118" spans="1:7" x14ac:dyDescent="0.25">
      <c r="A118" s="39"/>
      <c r="B118" s="38"/>
      <c r="C118" s="38"/>
      <c r="D118" s="37"/>
      <c r="E118" s="36"/>
      <c r="F118" s="36"/>
      <c r="G118" s="35"/>
    </row>
    <row r="119" spans="1:7" x14ac:dyDescent="0.25">
      <c r="A119" s="39"/>
      <c r="B119" s="38"/>
      <c r="C119" s="38"/>
      <c r="D119" s="37"/>
      <c r="E119" s="36"/>
      <c r="F119" s="36"/>
      <c r="G119" s="35"/>
    </row>
    <row r="120" spans="1:7" x14ac:dyDescent="0.25">
      <c r="A120" s="39"/>
      <c r="B120" s="38"/>
      <c r="C120" s="38"/>
      <c r="D120" s="37"/>
      <c r="E120" s="36"/>
      <c r="F120" s="36"/>
      <c r="G120" s="35"/>
    </row>
    <row r="121" spans="1:7" x14ac:dyDescent="0.25">
      <c r="A121" s="39"/>
      <c r="B121" s="38"/>
      <c r="C121" s="38"/>
      <c r="D121" s="37"/>
      <c r="E121" s="36"/>
      <c r="F121" s="36"/>
      <c r="G121" s="35"/>
    </row>
    <row r="122" spans="1:7" x14ac:dyDescent="0.25">
      <c r="A122" s="39"/>
      <c r="B122" s="38"/>
      <c r="C122" s="38"/>
      <c r="D122" s="37"/>
      <c r="E122" s="36"/>
      <c r="F122" s="36"/>
      <c r="G122" s="35"/>
    </row>
    <row r="123" spans="1:7" x14ac:dyDescent="0.25">
      <c r="A123" s="39"/>
      <c r="B123" s="38"/>
      <c r="C123" s="38"/>
      <c r="D123" s="37"/>
      <c r="E123" s="36"/>
      <c r="F123" s="36"/>
      <c r="G123" s="35"/>
    </row>
    <row r="124" spans="1:7" x14ac:dyDescent="0.25">
      <c r="A124" s="39"/>
      <c r="B124" s="38"/>
      <c r="C124" s="38"/>
      <c r="D124" s="37"/>
      <c r="E124" s="36"/>
      <c r="F124" s="36"/>
      <c r="G124" s="35"/>
    </row>
    <row r="125" spans="1:7" x14ac:dyDescent="0.25">
      <c r="A125" s="39"/>
      <c r="B125" s="38"/>
      <c r="C125" s="38"/>
      <c r="D125" s="37"/>
      <c r="E125" s="36"/>
      <c r="F125" s="36"/>
      <c r="G125" s="35"/>
    </row>
    <row r="126" spans="1:7" x14ac:dyDescent="0.25">
      <c r="A126" s="39"/>
      <c r="B126" s="38"/>
      <c r="C126" s="38"/>
      <c r="D126" s="37"/>
      <c r="E126" s="36"/>
      <c r="F126" s="36"/>
      <c r="G126" s="35"/>
    </row>
    <row r="127" spans="1:7" x14ac:dyDescent="0.25">
      <c r="A127" s="39"/>
      <c r="B127" s="38"/>
      <c r="C127" s="38"/>
      <c r="D127" s="37"/>
      <c r="E127" s="36"/>
      <c r="F127" s="36"/>
      <c r="G127" s="35"/>
    </row>
    <row r="128" spans="1:7" x14ac:dyDescent="0.25">
      <c r="A128" s="39"/>
      <c r="B128" s="38"/>
      <c r="C128" s="38"/>
      <c r="D128" s="37"/>
      <c r="E128" s="36"/>
      <c r="F128" s="36"/>
      <c r="G128" s="35"/>
    </row>
    <row r="129" spans="1:7" x14ac:dyDescent="0.25">
      <c r="A129" s="39"/>
      <c r="B129" s="38"/>
      <c r="C129" s="38"/>
      <c r="D129" s="37"/>
      <c r="E129" s="36"/>
      <c r="F129" s="36"/>
      <c r="G129" s="35"/>
    </row>
    <row r="130" spans="1:7" x14ac:dyDescent="0.25">
      <c r="A130" s="39"/>
      <c r="B130" s="38"/>
      <c r="C130" s="38"/>
      <c r="D130" s="37"/>
      <c r="E130" s="36"/>
      <c r="F130" s="36"/>
      <c r="G130" s="35"/>
    </row>
    <row r="131" spans="1:7" x14ac:dyDescent="0.25">
      <c r="A131" s="39"/>
      <c r="B131" s="38"/>
      <c r="C131" s="38"/>
      <c r="D131" s="37"/>
      <c r="E131" s="36"/>
      <c r="F131" s="36"/>
      <c r="G131" s="35"/>
    </row>
    <row r="132" spans="1:7" x14ac:dyDescent="0.25">
      <c r="A132" s="39"/>
      <c r="B132" s="38"/>
      <c r="C132" s="38"/>
      <c r="D132" s="37"/>
      <c r="E132" s="36"/>
      <c r="F132" s="36"/>
      <c r="G132" s="35"/>
    </row>
    <row r="133" spans="1:7" x14ac:dyDescent="0.25">
      <c r="A133" s="39"/>
      <c r="B133" s="38"/>
      <c r="C133" s="38"/>
      <c r="D133" s="37"/>
      <c r="E133" s="36"/>
      <c r="F133" s="36"/>
      <c r="G133" s="35"/>
    </row>
    <row r="134" spans="1:7" x14ac:dyDescent="0.25">
      <c r="A134" s="39"/>
      <c r="B134" s="38"/>
      <c r="C134" s="38"/>
      <c r="D134" s="37"/>
      <c r="E134" s="36"/>
      <c r="F134" s="36"/>
      <c r="G134" s="35"/>
    </row>
    <row r="135" spans="1:7" x14ac:dyDescent="0.25">
      <c r="A135" s="39"/>
      <c r="B135" s="38"/>
      <c r="C135" s="38"/>
      <c r="D135" s="37"/>
      <c r="E135" s="36"/>
      <c r="F135" s="36"/>
      <c r="G135" s="35"/>
    </row>
    <row r="136" spans="1:7" x14ac:dyDescent="0.25">
      <c r="A136" s="39"/>
      <c r="B136" s="38"/>
      <c r="C136" s="38"/>
      <c r="D136" s="37"/>
      <c r="E136" s="36"/>
      <c r="F136" s="36"/>
      <c r="G136" s="35"/>
    </row>
    <row r="137" spans="1:7" x14ac:dyDescent="0.25">
      <c r="A137" s="39"/>
      <c r="B137" s="38"/>
      <c r="C137" s="38"/>
      <c r="D137" s="37"/>
      <c r="E137" s="36"/>
      <c r="F137" s="36"/>
      <c r="G137" s="35"/>
    </row>
    <row r="138" spans="1:7" x14ac:dyDescent="0.25">
      <c r="A138" s="39"/>
      <c r="B138" s="38"/>
      <c r="C138" s="38"/>
      <c r="D138" s="37"/>
      <c r="E138" s="36"/>
      <c r="F138" s="36"/>
      <c r="G138" s="35"/>
    </row>
    <row r="139" spans="1:7" x14ac:dyDescent="0.25">
      <c r="A139" s="39"/>
      <c r="B139" s="38"/>
      <c r="C139" s="38"/>
      <c r="D139" s="37"/>
      <c r="E139" s="36"/>
      <c r="F139" s="36"/>
      <c r="G139" s="35"/>
    </row>
    <row r="140" spans="1:7" x14ac:dyDescent="0.25">
      <c r="A140" s="39"/>
      <c r="B140" s="38"/>
      <c r="C140" s="38"/>
      <c r="D140" s="37"/>
      <c r="E140" s="36"/>
      <c r="F140" s="36"/>
      <c r="G140" s="35"/>
    </row>
    <row r="141" spans="1:7" x14ac:dyDescent="0.25">
      <c r="A141" s="39"/>
      <c r="B141" s="38"/>
      <c r="C141" s="38"/>
      <c r="D141" s="37"/>
      <c r="E141" s="36"/>
      <c r="F141" s="36"/>
      <c r="G141" s="35"/>
    </row>
    <row r="142" spans="1:7" x14ac:dyDescent="0.25">
      <c r="A142" s="39"/>
      <c r="B142" s="38"/>
      <c r="C142" s="38"/>
      <c r="D142" s="37"/>
      <c r="E142" s="36"/>
      <c r="F142" s="36"/>
      <c r="G142" s="35"/>
    </row>
    <row r="143" spans="1:7" x14ac:dyDescent="0.25">
      <c r="A143" s="39"/>
      <c r="B143" s="38"/>
      <c r="C143" s="38"/>
      <c r="D143" s="37"/>
      <c r="E143" s="36"/>
      <c r="F143" s="36"/>
      <c r="G143" s="35"/>
    </row>
    <row r="144" spans="1:7" x14ac:dyDescent="0.25">
      <c r="A144" s="39"/>
      <c r="B144" s="38"/>
      <c r="C144" s="38"/>
      <c r="D144" s="37"/>
      <c r="E144" s="36"/>
      <c r="F144" s="36"/>
      <c r="G144" s="35"/>
    </row>
    <row r="145" spans="1:7" x14ac:dyDescent="0.25">
      <c r="A145" s="39"/>
      <c r="B145" s="38"/>
      <c r="C145" s="38"/>
      <c r="D145" s="37"/>
      <c r="E145" s="36"/>
      <c r="F145" s="36"/>
      <c r="G145" s="35"/>
    </row>
    <row r="146" spans="1:7" x14ac:dyDescent="0.25">
      <c r="A146" s="39"/>
      <c r="B146" s="38"/>
      <c r="C146" s="38"/>
      <c r="D146" s="37"/>
      <c r="E146" s="36"/>
      <c r="F146" s="36"/>
      <c r="G146" s="35"/>
    </row>
    <row r="147" spans="1:7" x14ac:dyDescent="0.25">
      <c r="A147" s="39"/>
      <c r="B147" s="38"/>
      <c r="C147" s="38"/>
      <c r="D147" s="37"/>
      <c r="E147" s="36"/>
      <c r="F147" s="36"/>
      <c r="G147" s="35"/>
    </row>
    <row r="148" spans="1:7" x14ac:dyDescent="0.25">
      <c r="A148" s="39"/>
      <c r="B148" s="38"/>
      <c r="C148" s="38"/>
      <c r="D148" s="37"/>
      <c r="E148" s="36"/>
      <c r="F148" s="36"/>
      <c r="G148" s="35"/>
    </row>
    <row r="149" spans="1:7" x14ac:dyDescent="0.25">
      <c r="A149" s="39"/>
      <c r="B149" s="38"/>
      <c r="C149" s="38"/>
      <c r="D149" s="37"/>
      <c r="E149" s="36"/>
      <c r="F149" s="36"/>
      <c r="G149" s="35"/>
    </row>
    <row r="150" spans="1:7" x14ac:dyDescent="0.25">
      <c r="A150" s="39"/>
      <c r="B150" s="38"/>
      <c r="C150" s="38"/>
      <c r="D150" s="37"/>
      <c r="E150" s="36"/>
      <c r="F150" s="36"/>
      <c r="G150" s="35"/>
    </row>
    <row r="151" spans="1:7" x14ac:dyDescent="0.25">
      <c r="A151" s="39"/>
      <c r="B151" s="38"/>
      <c r="C151" s="38"/>
      <c r="D151" s="37"/>
      <c r="E151" s="36"/>
      <c r="F151" s="36"/>
      <c r="G151" s="35"/>
    </row>
    <row r="152" spans="1:7" x14ac:dyDescent="0.25">
      <c r="A152" s="39"/>
      <c r="B152" s="38"/>
      <c r="C152" s="38"/>
      <c r="D152" s="37"/>
      <c r="E152" s="36"/>
      <c r="F152" s="36"/>
      <c r="G152" s="35"/>
    </row>
    <row r="153" spans="1:7" x14ac:dyDescent="0.25">
      <c r="A153" s="39"/>
      <c r="B153" s="38"/>
      <c r="C153" s="38"/>
      <c r="D153" s="37"/>
      <c r="E153" s="36"/>
      <c r="F153" s="36"/>
      <c r="G153" s="35"/>
    </row>
    <row r="154" spans="1:7" x14ac:dyDescent="0.25">
      <c r="A154" s="39"/>
      <c r="B154" s="38"/>
      <c r="C154" s="38"/>
      <c r="D154" s="37"/>
      <c r="E154" s="36"/>
      <c r="F154" s="36"/>
      <c r="G154" s="35"/>
    </row>
    <row r="155" spans="1:7" x14ac:dyDescent="0.25">
      <c r="A155" s="39"/>
      <c r="B155" s="38"/>
      <c r="C155" s="38"/>
      <c r="D155" s="37"/>
      <c r="E155" s="36"/>
      <c r="F155" s="36"/>
      <c r="G155" s="35"/>
    </row>
    <row r="156" spans="1:7" x14ac:dyDescent="0.25">
      <c r="A156" s="39"/>
      <c r="B156" s="38"/>
      <c r="C156" s="38"/>
      <c r="D156" s="37"/>
      <c r="E156" s="36"/>
      <c r="F156" s="36"/>
      <c r="G156" s="35"/>
    </row>
    <row r="157" spans="1:7" x14ac:dyDescent="0.25">
      <c r="A157" s="39"/>
      <c r="B157" s="38"/>
      <c r="C157" s="38"/>
      <c r="D157" s="37"/>
      <c r="E157" s="36"/>
      <c r="F157" s="36"/>
      <c r="G157" s="35"/>
    </row>
    <row r="158" spans="1:7" x14ac:dyDescent="0.25">
      <c r="A158" s="39"/>
      <c r="B158" s="38"/>
      <c r="C158" s="38"/>
      <c r="D158" s="37"/>
      <c r="E158" s="36"/>
      <c r="F158" s="36"/>
      <c r="G158" s="35"/>
    </row>
    <row r="159" spans="1:7" x14ac:dyDescent="0.25">
      <c r="A159" s="39"/>
      <c r="B159" s="38"/>
      <c r="C159" s="38"/>
      <c r="D159" s="37"/>
      <c r="E159" s="36"/>
      <c r="F159" s="36"/>
      <c r="G159" s="35"/>
    </row>
    <row r="160" spans="1:7" x14ac:dyDescent="0.25">
      <c r="A160" s="39"/>
      <c r="B160" s="38"/>
      <c r="C160" s="38"/>
      <c r="D160" s="37"/>
      <c r="E160" s="36"/>
      <c r="F160" s="36"/>
      <c r="G160" s="35"/>
    </row>
    <row r="161" spans="1:7" x14ac:dyDescent="0.25">
      <c r="A161" s="39"/>
      <c r="B161" s="38"/>
      <c r="C161" s="38"/>
      <c r="D161" s="37"/>
      <c r="E161" s="36"/>
      <c r="F161" s="36"/>
      <c r="G161" s="35"/>
    </row>
    <row r="162" spans="1:7" x14ac:dyDescent="0.25">
      <c r="A162" s="39"/>
      <c r="B162" s="38"/>
      <c r="C162" s="38"/>
      <c r="D162" s="37"/>
      <c r="E162" s="36"/>
      <c r="F162" s="36"/>
      <c r="G162" s="35"/>
    </row>
    <row r="163" spans="1:7" x14ac:dyDescent="0.25">
      <c r="A163" s="39"/>
      <c r="B163" s="38"/>
      <c r="C163" s="38"/>
      <c r="D163" s="37"/>
      <c r="E163" s="36"/>
      <c r="F163" s="36"/>
      <c r="G163" s="35"/>
    </row>
    <row r="164" spans="1:7" x14ac:dyDescent="0.25">
      <c r="A164" s="39"/>
      <c r="B164" s="38"/>
      <c r="C164" s="38"/>
      <c r="D164" s="37"/>
      <c r="E164" s="36"/>
      <c r="F164" s="36"/>
      <c r="G164" s="35"/>
    </row>
    <row r="165" spans="1:7" x14ac:dyDescent="0.25">
      <c r="A165" s="39"/>
      <c r="B165" s="38"/>
      <c r="C165" s="38"/>
      <c r="D165" s="37"/>
      <c r="E165" s="36"/>
      <c r="F165" s="36"/>
      <c r="G165" s="35"/>
    </row>
    <row r="166" spans="1:7" x14ac:dyDescent="0.25">
      <c r="A166" s="39"/>
      <c r="B166" s="38"/>
      <c r="C166" s="38"/>
      <c r="D166" s="37"/>
      <c r="E166" s="36"/>
      <c r="F166" s="36"/>
      <c r="G166" s="35"/>
    </row>
    <row r="167" spans="1:7" x14ac:dyDescent="0.25">
      <c r="A167" s="39"/>
      <c r="B167" s="38"/>
      <c r="C167" s="38"/>
      <c r="D167" s="37"/>
      <c r="E167" s="36"/>
      <c r="F167" s="36"/>
      <c r="G167" s="35"/>
    </row>
    <row r="168" spans="1:7" x14ac:dyDescent="0.25">
      <c r="A168" s="39"/>
      <c r="B168" s="38"/>
      <c r="C168" s="38"/>
      <c r="D168" s="37"/>
      <c r="E168" s="36"/>
      <c r="F168" s="36"/>
      <c r="G168" s="35"/>
    </row>
    <row r="169" spans="1:7" x14ac:dyDescent="0.25">
      <c r="A169" s="39"/>
      <c r="B169" s="38"/>
      <c r="C169" s="38"/>
      <c r="D169" s="37"/>
      <c r="E169" s="36"/>
      <c r="F169" s="36"/>
      <c r="G169" s="35"/>
    </row>
    <row r="170" spans="1:7" x14ac:dyDescent="0.25">
      <c r="A170" s="39"/>
      <c r="B170" s="38"/>
      <c r="C170" s="38"/>
      <c r="D170" s="37"/>
      <c r="E170" s="36"/>
      <c r="F170" s="36"/>
      <c r="G170" s="35"/>
    </row>
    <row r="171" spans="1:7" x14ac:dyDescent="0.25">
      <c r="A171" s="39"/>
      <c r="B171" s="38"/>
      <c r="C171" s="38"/>
      <c r="D171" s="37"/>
      <c r="E171" s="36"/>
      <c r="F171" s="36"/>
      <c r="G171" s="35"/>
    </row>
    <row r="172" spans="1:7" x14ac:dyDescent="0.25">
      <c r="A172" s="39"/>
      <c r="B172" s="38"/>
      <c r="C172" s="38"/>
      <c r="D172" s="37"/>
      <c r="E172" s="36"/>
      <c r="F172" s="36"/>
      <c r="G172" s="35"/>
    </row>
    <row r="173" spans="1:7" x14ac:dyDescent="0.25">
      <c r="A173" s="39"/>
      <c r="B173" s="38"/>
      <c r="C173" s="38"/>
      <c r="D173" s="37"/>
      <c r="E173" s="36"/>
      <c r="F173" s="36"/>
      <c r="G173" s="35"/>
    </row>
    <row r="174" spans="1:7" x14ac:dyDescent="0.25">
      <c r="A174" s="39"/>
      <c r="B174" s="38"/>
      <c r="C174" s="38"/>
      <c r="D174" s="37"/>
      <c r="E174" s="36"/>
      <c r="F174" s="36"/>
      <c r="G174" s="35"/>
    </row>
    <row r="175" spans="1:7" x14ac:dyDescent="0.25">
      <c r="A175" s="39"/>
      <c r="B175" s="38"/>
      <c r="C175" s="38"/>
      <c r="D175" s="37"/>
      <c r="E175" s="36"/>
      <c r="F175" s="36"/>
      <c r="G175" s="35"/>
    </row>
    <row r="176" spans="1:7" x14ac:dyDescent="0.25">
      <c r="A176" s="39"/>
      <c r="B176" s="38"/>
      <c r="C176" s="38"/>
      <c r="D176" s="37"/>
      <c r="E176" s="36"/>
      <c r="F176" s="36"/>
      <c r="G176" s="35"/>
    </row>
    <row r="177" spans="1:7" x14ac:dyDescent="0.25">
      <c r="A177" s="39"/>
      <c r="B177" s="38"/>
      <c r="C177" s="38"/>
      <c r="D177" s="37"/>
      <c r="E177" s="36"/>
      <c r="F177" s="36"/>
      <c r="G177" s="35"/>
    </row>
    <row r="178" spans="1:7" x14ac:dyDescent="0.25">
      <c r="A178" s="39"/>
      <c r="B178" s="38"/>
      <c r="C178" s="38"/>
      <c r="D178" s="37"/>
      <c r="E178" s="36"/>
      <c r="F178" s="36"/>
      <c r="G178" s="35"/>
    </row>
    <row r="179" spans="1:7" x14ac:dyDescent="0.25">
      <c r="A179" s="39"/>
      <c r="B179" s="38"/>
      <c r="C179" s="38"/>
      <c r="D179" s="37"/>
      <c r="E179" s="36"/>
      <c r="F179" s="36"/>
      <c r="G179" s="35"/>
    </row>
    <row r="180" spans="1:7" x14ac:dyDescent="0.25">
      <c r="A180" s="39"/>
      <c r="B180" s="38"/>
      <c r="C180" s="38"/>
      <c r="D180" s="37"/>
      <c r="E180" s="36"/>
      <c r="F180" s="36"/>
      <c r="G180" s="35"/>
    </row>
    <row r="181" spans="1:7" x14ac:dyDescent="0.25">
      <c r="A181" s="39"/>
      <c r="B181" s="38"/>
      <c r="C181" s="38"/>
      <c r="D181" s="37"/>
      <c r="E181" s="36"/>
      <c r="F181" s="36"/>
      <c r="G181" s="35"/>
    </row>
    <row r="182" spans="1:7" x14ac:dyDescent="0.25">
      <c r="A182" s="39"/>
      <c r="B182" s="38"/>
      <c r="C182" s="38"/>
      <c r="D182" s="37"/>
      <c r="E182" s="36"/>
      <c r="F182" s="36"/>
      <c r="G182" s="35"/>
    </row>
    <row r="183" spans="1:7" x14ac:dyDescent="0.25">
      <c r="A183" s="39"/>
      <c r="B183" s="38"/>
      <c r="C183" s="38"/>
      <c r="D183" s="37"/>
      <c r="E183" s="36"/>
      <c r="F183" s="36"/>
      <c r="G183" s="35"/>
    </row>
    <row r="184" spans="1:7" x14ac:dyDescent="0.25">
      <c r="A184" s="39"/>
      <c r="B184" s="38"/>
      <c r="C184" s="38"/>
      <c r="D184" s="37"/>
      <c r="E184" s="36"/>
      <c r="F184" s="36"/>
      <c r="G184" s="35"/>
    </row>
    <row r="185" spans="1:7" x14ac:dyDescent="0.25">
      <c r="A185" s="39"/>
      <c r="B185" s="38"/>
      <c r="C185" s="38"/>
      <c r="D185" s="37"/>
      <c r="E185" s="36"/>
      <c r="F185" s="36"/>
      <c r="G185" s="35"/>
    </row>
    <row r="186" spans="1:7" x14ac:dyDescent="0.25">
      <c r="A186" s="39"/>
      <c r="B186" s="38"/>
      <c r="C186" s="38"/>
      <c r="D186" s="37"/>
      <c r="E186" s="36"/>
      <c r="F186" s="36"/>
      <c r="G186" s="35"/>
    </row>
    <row r="187" spans="1:7" x14ac:dyDescent="0.25">
      <c r="A187" s="39"/>
      <c r="B187" s="38"/>
      <c r="C187" s="38"/>
      <c r="D187" s="37"/>
      <c r="E187" s="36"/>
      <c r="F187" s="36"/>
      <c r="G187" s="35"/>
    </row>
    <row r="188" spans="1:7" x14ac:dyDescent="0.25">
      <c r="A188" s="39"/>
      <c r="B188" s="38"/>
      <c r="C188" s="38"/>
      <c r="D188" s="37"/>
      <c r="E188" s="36"/>
      <c r="F188" s="36"/>
      <c r="G188" s="35"/>
    </row>
    <row r="189" spans="1:7" x14ac:dyDescent="0.25">
      <c r="A189" s="39"/>
      <c r="B189" s="38"/>
      <c r="C189" s="38"/>
      <c r="D189" s="37"/>
      <c r="E189" s="36"/>
      <c r="F189" s="36"/>
      <c r="G189" s="35"/>
    </row>
    <row r="190" spans="1:7" x14ac:dyDescent="0.25">
      <c r="A190" s="39"/>
      <c r="B190" s="38"/>
      <c r="C190" s="38"/>
      <c r="D190" s="37"/>
      <c r="E190" s="36"/>
      <c r="F190" s="36"/>
      <c r="G190" s="35"/>
    </row>
    <row r="191" spans="1:7" x14ac:dyDescent="0.25">
      <c r="A191" s="39"/>
      <c r="B191" s="38"/>
      <c r="C191" s="38"/>
      <c r="D191" s="37"/>
      <c r="E191" s="36"/>
      <c r="F191" s="36"/>
      <c r="G191" s="35"/>
    </row>
    <row r="192" spans="1:7" x14ac:dyDescent="0.25">
      <c r="A192" s="39"/>
      <c r="B192" s="38"/>
      <c r="C192" s="38"/>
      <c r="D192" s="37"/>
      <c r="E192" s="36"/>
      <c r="F192" s="36"/>
      <c r="G192" s="35"/>
    </row>
    <row r="193" spans="1:7" x14ac:dyDescent="0.25">
      <c r="A193" s="39"/>
      <c r="B193" s="38"/>
      <c r="C193" s="38"/>
      <c r="D193" s="37"/>
      <c r="E193" s="36"/>
      <c r="F193" s="36"/>
      <c r="G193" s="35"/>
    </row>
    <row r="194" spans="1:7" x14ac:dyDescent="0.25">
      <c r="A194" s="39"/>
      <c r="B194" s="38"/>
      <c r="C194" s="38"/>
      <c r="D194" s="37"/>
      <c r="E194" s="36"/>
      <c r="F194" s="36"/>
      <c r="G194" s="35"/>
    </row>
    <row r="195" spans="1:7" x14ac:dyDescent="0.25">
      <c r="A195" s="39"/>
      <c r="B195" s="38"/>
      <c r="C195" s="38"/>
      <c r="D195" s="37"/>
      <c r="E195" s="36"/>
      <c r="F195" s="36"/>
      <c r="G195" s="35"/>
    </row>
    <row r="196" spans="1:7" x14ac:dyDescent="0.25">
      <c r="A196" s="39"/>
      <c r="B196" s="38"/>
      <c r="C196" s="38"/>
      <c r="D196" s="37"/>
      <c r="E196" s="36"/>
      <c r="F196" s="36"/>
      <c r="G196" s="35"/>
    </row>
    <row r="197" spans="1:7" x14ac:dyDescent="0.25">
      <c r="A197" s="39"/>
      <c r="B197" s="38"/>
      <c r="C197" s="38"/>
      <c r="D197" s="37"/>
      <c r="E197" s="36"/>
      <c r="F197" s="36"/>
      <c r="G197" s="35"/>
    </row>
    <row r="198" spans="1:7" x14ac:dyDescent="0.25">
      <c r="A198" s="39"/>
      <c r="B198" s="38"/>
      <c r="C198" s="38"/>
      <c r="D198" s="37"/>
      <c r="E198" s="36"/>
      <c r="F198" s="36"/>
      <c r="G198" s="35"/>
    </row>
    <row r="199" spans="1:7" x14ac:dyDescent="0.25">
      <c r="A199" s="39"/>
      <c r="B199" s="38"/>
      <c r="C199" s="38"/>
      <c r="D199" s="37"/>
      <c r="E199" s="36"/>
      <c r="F199" s="36"/>
      <c r="G199" s="35"/>
    </row>
    <row r="200" spans="1:7" x14ac:dyDescent="0.25">
      <c r="A200" s="39"/>
      <c r="B200" s="38"/>
      <c r="C200" s="38"/>
      <c r="D200" s="37"/>
      <c r="E200" s="36"/>
      <c r="F200" s="36"/>
      <c r="G200" s="35"/>
    </row>
    <row r="201" spans="1:7" x14ac:dyDescent="0.25">
      <c r="A201" s="39"/>
      <c r="B201" s="38"/>
      <c r="C201" s="38"/>
      <c r="D201" s="37"/>
      <c r="E201" s="36"/>
      <c r="F201" s="36"/>
      <c r="G201" s="35"/>
    </row>
    <row r="202" spans="1:7" x14ac:dyDescent="0.25">
      <c r="A202" s="39"/>
      <c r="B202" s="38"/>
      <c r="C202" s="38"/>
      <c r="D202" s="37"/>
      <c r="E202" s="36"/>
      <c r="F202" s="36"/>
      <c r="G202" s="35"/>
    </row>
    <row r="203" spans="1:7" x14ac:dyDescent="0.25">
      <c r="A203" s="39"/>
      <c r="B203" s="38"/>
      <c r="C203" s="38"/>
      <c r="D203" s="37"/>
      <c r="E203" s="36"/>
      <c r="F203" s="36"/>
      <c r="G203" s="35"/>
    </row>
    <row r="204" spans="1:7" x14ac:dyDescent="0.25">
      <c r="A204" s="39"/>
      <c r="B204" s="38"/>
      <c r="C204" s="38"/>
      <c r="D204" s="37"/>
      <c r="E204" s="36"/>
      <c r="F204" s="36"/>
      <c r="G204" s="35"/>
    </row>
    <row r="205" spans="1:7" x14ac:dyDescent="0.25">
      <c r="A205" s="39"/>
      <c r="B205" s="38"/>
      <c r="C205" s="38"/>
      <c r="D205" s="37"/>
      <c r="E205" s="36"/>
      <c r="F205" s="36"/>
      <c r="G205" s="35"/>
    </row>
    <row r="206" spans="1:7" x14ac:dyDescent="0.25">
      <c r="A206" s="39"/>
      <c r="B206" s="38"/>
      <c r="C206" s="38"/>
      <c r="D206" s="37"/>
      <c r="E206" s="36"/>
      <c r="F206" s="36"/>
      <c r="G206" s="35"/>
    </row>
    <row r="207" spans="1:7" x14ac:dyDescent="0.25">
      <c r="A207" s="39"/>
      <c r="B207" s="38"/>
      <c r="C207" s="38"/>
      <c r="D207" s="37"/>
      <c r="E207" s="36"/>
      <c r="F207" s="36"/>
      <c r="G207" s="35"/>
    </row>
    <row r="208" spans="1:7" x14ac:dyDescent="0.25">
      <c r="A208" s="39"/>
      <c r="B208" s="38"/>
      <c r="C208" s="38"/>
      <c r="D208" s="37"/>
      <c r="E208" s="36"/>
      <c r="F208" s="36"/>
      <c r="G208" s="35"/>
    </row>
    <row r="209" spans="1:7" x14ac:dyDescent="0.25">
      <c r="A209" s="39"/>
      <c r="B209" s="38"/>
      <c r="C209" s="38"/>
      <c r="D209" s="37"/>
      <c r="E209" s="36"/>
      <c r="F209" s="36"/>
      <c r="G209" s="35"/>
    </row>
    <row r="210" spans="1:7" x14ac:dyDescent="0.25">
      <c r="A210" s="39"/>
      <c r="B210" s="38"/>
      <c r="C210" s="38"/>
      <c r="D210" s="37"/>
      <c r="E210" s="36"/>
      <c r="F210" s="36"/>
      <c r="G210" s="35"/>
    </row>
    <row r="211" spans="1:7" x14ac:dyDescent="0.25">
      <c r="A211" s="39"/>
      <c r="B211" s="38"/>
      <c r="C211" s="38"/>
      <c r="D211" s="37"/>
      <c r="E211" s="36"/>
      <c r="F211" s="36"/>
      <c r="G211" s="35"/>
    </row>
    <row r="212" spans="1:7" x14ac:dyDescent="0.25">
      <c r="A212" s="39"/>
      <c r="B212" s="38"/>
      <c r="C212" s="38"/>
      <c r="D212" s="37"/>
      <c r="E212" s="36"/>
      <c r="F212" s="36"/>
      <c r="G212" s="35"/>
    </row>
    <row r="213" spans="1:7" x14ac:dyDescent="0.25">
      <c r="A213" s="39"/>
      <c r="B213" s="38"/>
      <c r="C213" s="38"/>
      <c r="D213" s="37"/>
      <c r="E213" s="36"/>
      <c r="F213" s="36"/>
      <c r="G213" s="35"/>
    </row>
    <row r="214" spans="1:7" x14ac:dyDescent="0.25">
      <c r="A214" s="39"/>
      <c r="B214" s="38"/>
      <c r="C214" s="38"/>
      <c r="D214" s="37"/>
      <c r="E214" s="36"/>
      <c r="F214" s="36"/>
      <c r="G214" s="35"/>
    </row>
    <row r="215" spans="1:7" x14ac:dyDescent="0.25">
      <c r="A215" s="39"/>
      <c r="B215" s="38"/>
      <c r="C215" s="38"/>
      <c r="D215" s="37"/>
      <c r="E215" s="36"/>
      <c r="F215" s="36"/>
      <c r="G215" s="35"/>
    </row>
    <row r="216" spans="1:7" x14ac:dyDescent="0.25">
      <c r="A216" s="39"/>
      <c r="B216" s="38"/>
      <c r="C216" s="38"/>
      <c r="D216" s="37"/>
      <c r="E216" s="36"/>
      <c r="F216" s="36"/>
      <c r="G216" s="35"/>
    </row>
    <row r="217" spans="1:7" x14ac:dyDescent="0.25">
      <c r="A217" s="39"/>
      <c r="B217" s="38"/>
      <c r="C217" s="38"/>
      <c r="D217" s="37"/>
      <c r="E217" s="36"/>
      <c r="F217" s="36"/>
      <c r="G217" s="35"/>
    </row>
    <row r="218" spans="1:7" x14ac:dyDescent="0.25">
      <c r="A218" s="39"/>
      <c r="B218" s="38"/>
      <c r="C218" s="38"/>
      <c r="D218" s="37"/>
      <c r="E218" s="36"/>
      <c r="F218" s="36"/>
      <c r="G218" s="35"/>
    </row>
    <row r="219" spans="1:7" x14ac:dyDescent="0.25">
      <c r="A219" s="39"/>
      <c r="B219" s="38"/>
      <c r="C219" s="38"/>
      <c r="D219" s="37"/>
      <c r="E219" s="36"/>
      <c r="F219" s="36"/>
      <c r="G219" s="35"/>
    </row>
    <row r="220" spans="1:7" x14ac:dyDescent="0.25">
      <c r="A220" s="39"/>
      <c r="B220" s="38"/>
      <c r="C220" s="38"/>
      <c r="D220" s="37"/>
      <c r="E220" s="36"/>
      <c r="F220" s="36"/>
      <c r="G220" s="35"/>
    </row>
    <row r="221" spans="1:7" x14ac:dyDescent="0.25">
      <c r="A221" s="39"/>
      <c r="B221" s="38"/>
      <c r="C221" s="38"/>
      <c r="D221" s="37"/>
      <c r="E221" s="36"/>
      <c r="F221" s="36"/>
      <c r="G221" s="35"/>
    </row>
    <row r="222" spans="1:7" x14ac:dyDescent="0.25">
      <c r="A222" s="39"/>
      <c r="B222" s="38"/>
      <c r="C222" s="38"/>
      <c r="D222" s="37"/>
      <c r="E222" s="36"/>
      <c r="F222" s="36"/>
      <c r="G222" s="35"/>
    </row>
    <row r="223" spans="1:7" x14ac:dyDescent="0.25">
      <c r="A223" s="39"/>
      <c r="B223" s="38"/>
      <c r="C223" s="38"/>
      <c r="D223" s="37"/>
      <c r="E223" s="36"/>
      <c r="F223" s="36"/>
      <c r="G223" s="35"/>
    </row>
    <row r="224" spans="1:7" x14ac:dyDescent="0.25">
      <c r="A224" s="39"/>
      <c r="B224" s="38"/>
      <c r="C224" s="38"/>
      <c r="D224" s="37"/>
      <c r="E224" s="36"/>
      <c r="F224" s="36"/>
      <c r="G224" s="35"/>
    </row>
    <row r="225" spans="1:7" x14ac:dyDescent="0.25">
      <c r="A225" s="39"/>
      <c r="B225" s="38"/>
      <c r="C225" s="38"/>
      <c r="D225" s="37"/>
      <c r="E225" s="36"/>
      <c r="F225" s="36"/>
      <c r="G225" s="35"/>
    </row>
    <row r="226" spans="1:7" x14ac:dyDescent="0.25">
      <c r="A226" s="39"/>
      <c r="B226" s="38"/>
      <c r="C226" s="38"/>
      <c r="D226" s="37"/>
      <c r="E226" s="36"/>
      <c r="F226" s="36"/>
      <c r="G226" s="35"/>
    </row>
    <row r="227" spans="1:7" x14ac:dyDescent="0.25">
      <c r="A227" s="39"/>
      <c r="B227" s="38"/>
      <c r="C227" s="38"/>
      <c r="D227" s="37"/>
      <c r="E227" s="36"/>
      <c r="F227" s="36"/>
      <c r="G227" s="35"/>
    </row>
    <row r="228" spans="1:7" x14ac:dyDescent="0.25">
      <c r="A228" s="39"/>
      <c r="B228" s="38"/>
      <c r="C228" s="38"/>
      <c r="D228" s="37"/>
      <c r="E228" s="36"/>
      <c r="F228" s="36"/>
      <c r="G228" s="35"/>
    </row>
    <row r="229" spans="1:7" x14ac:dyDescent="0.25">
      <c r="A229" s="39"/>
      <c r="B229" s="38"/>
      <c r="C229" s="38"/>
      <c r="D229" s="37"/>
      <c r="E229" s="36"/>
      <c r="F229" s="36"/>
      <c r="G229" s="35"/>
    </row>
    <row r="230" spans="1:7" x14ac:dyDescent="0.25">
      <c r="A230" s="39"/>
      <c r="B230" s="38"/>
      <c r="C230" s="38"/>
      <c r="D230" s="37"/>
      <c r="E230" s="36"/>
      <c r="F230" s="36"/>
      <c r="G230" s="35"/>
    </row>
    <row r="231" spans="1:7" x14ac:dyDescent="0.25">
      <c r="A231" s="39"/>
      <c r="B231" s="38"/>
      <c r="C231" s="38"/>
      <c r="D231" s="37"/>
      <c r="E231" s="36"/>
      <c r="F231" s="36"/>
      <c r="G231" s="35"/>
    </row>
    <row r="232" spans="1:7" x14ac:dyDescent="0.25">
      <c r="A232" s="39"/>
      <c r="B232" s="38"/>
      <c r="C232" s="38"/>
      <c r="D232" s="37"/>
      <c r="E232" s="36"/>
      <c r="F232" s="36"/>
      <c r="G232" s="35"/>
    </row>
    <row r="233" spans="1:7" x14ac:dyDescent="0.25">
      <c r="A233" s="39"/>
      <c r="B233" s="38"/>
      <c r="C233" s="38"/>
      <c r="D233" s="37"/>
      <c r="E233" s="36"/>
      <c r="F233" s="36"/>
      <c r="G233" s="35"/>
    </row>
    <row r="234" spans="1:7" x14ac:dyDescent="0.25">
      <c r="A234" s="39"/>
      <c r="B234" s="38"/>
      <c r="C234" s="38"/>
      <c r="D234" s="37"/>
      <c r="E234" s="36"/>
      <c r="F234" s="36"/>
      <c r="G234" s="35"/>
    </row>
    <row r="235" spans="1:7" x14ac:dyDescent="0.25">
      <c r="A235" s="39"/>
      <c r="B235" s="38"/>
      <c r="C235" s="38"/>
      <c r="D235" s="37"/>
      <c r="E235" s="36"/>
      <c r="F235" s="36"/>
      <c r="G235" s="35"/>
    </row>
    <row r="236" spans="1:7" x14ac:dyDescent="0.25">
      <c r="A236" s="39"/>
      <c r="B236" s="38"/>
      <c r="C236" s="38"/>
      <c r="D236" s="37"/>
      <c r="E236" s="36"/>
      <c r="F236" s="36"/>
      <c r="G236" s="35"/>
    </row>
    <row r="237" spans="1:7" x14ac:dyDescent="0.25">
      <c r="A237" s="39"/>
      <c r="B237" s="38"/>
      <c r="C237" s="38"/>
      <c r="D237" s="37"/>
      <c r="E237" s="36"/>
      <c r="F237" s="36"/>
      <c r="G237" s="35"/>
    </row>
    <row r="238" spans="1:7" x14ac:dyDescent="0.25">
      <c r="A238" s="39"/>
      <c r="B238" s="38"/>
      <c r="C238" s="38"/>
      <c r="D238" s="37"/>
      <c r="E238" s="36"/>
      <c r="F238" s="36"/>
      <c r="G238" s="35"/>
    </row>
    <row r="239" spans="1:7" x14ac:dyDescent="0.25">
      <c r="A239" s="39"/>
      <c r="B239" s="38"/>
      <c r="C239" s="38"/>
      <c r="D239" s="37"/>
      <c r="E239" s="36"/>
      <c r="F239" s="36"/>
      <c r="G239" s="35"/>
    </row>
    <row r="240" spans="1:7" x14ac:dyDescent="0.25">
      <c r="A240" s="39"/>
      <c r="B240" s="38"/>
      <c r="C240" s="38"/>
      <c r="D240" s="37"/>
      <c r="E240" s="36"/>
      <c r="F240" s="36"/>
      <c r="G240" s="35"/>
    </row>
    <row r="241" spans="1:7" x14ac:dyDescent="0.25">
      <c r="A241" s="39"/>
      <c r="B241" s="38"/>
      <c r="C241" s="38"/>
      <c r="D241" s="37"/>
      <c r="E241" s="36"/>
      <c r="F241" s="36"/>
      <c r="G241" s="35"/>
    </row>
    <row r="242" spans="1:7" x14ac:dyDescent="0.25">
      <c r="A242" s="39"/>
      <c r="B242" s="38"/>
      <c r="C242" s="38"/>
      <c r="D242" s="37"/>
      <c r="E242" s="36"/>
      <c r="F242" s="36"/>
      <c r="G242" s="35"/>
    </row>
    <row r="243" spans="1:7" x14ac:dyDescent="0.25">
      <c r="A243" s="39"/>
      <c r="B243" s="38"/>
      <c r="C243" s="38"/>
      <c r="D243" s="37"/>
      <c r="E243" s="36"/>
      <c r="F243" s="36"/>
      <c r="G243" s="35"/>
    </row>
    <row r="244" spans="1:7" x14ac:dyDescent="0.25">
      <c r="A244" s="39"/>
      <c r="B244" s="38"/>
      <c r="C244" s="38"/>
      <c r="D244" s="37"/>
      <c r="E244" s="36"/>
      <c r="F244" s="36"/>
      <c r="G244" s="35"/>
    </row>
    <row r="245" spans="1:7" x14ac:dyDescent="0.25">
      <c r="A245" s="39"/>
      <c r="B245" s="38"/>
      <c r="C245" s="38"/>
      <c r="D245" s="37"/>
      <c r="E245" s="36"/>
      <c r="F245" s="36"/>
      <c r="G245" s="35"/>
    </row>
    <row r="246" spans="1:7" x14ac:dyDescent="0.25">
      <c r="A246" s="39"/>
      <c r="B246" s="38"/>
      <c r="C246" s="38"/>
      <c r="D246" s="37"/>
      <c r="E246" s="36"/>
      <c r="F246" s="36"/>
      <c r="G246" s="35"/>
    </row>
    <row r="247" spans="1:7" x14ac:dyDescent="0.25">
      <c r="A247" s="39"/>
      <c r="B247" s="38"/>
      <c r="C247" s="38"/>
      <c r="D247" s="37"/>
      <c r="E247" s="36"/>
      <c r="F247" s="36"/>
      <c r="G247" s="35"/>
    </row>
    <row r="248" spans="1:7" x14ac:dyDescent="0.25">
      <c r="A248" s="39"/>
      <c r="B248" s="38"/>
      <c r="C248" s="38"/>
      <c r="D248" s="37"/>
      <c r="E248" s="36"/>
      <c r="F248" s="36"/>
      <c r="G248" s="35"/>
    </row>
    <row r="249" spans="1:7" x14ac:dyDescent="0.25">
      <c r="A249" s="39"/>
      <c r="B249" s="38"/>
      <c r="C249" s="38"/>
      <c r="D249" s="37"/>
      <c r="E249" s="36"/>
      <c r="F249" s="36"/>
      <c r="G249" s="35"/>
    </row>
    <row r="250" spans="1:7" x14ac:dyDescent="0.25">
      <c r="A250" s="39"/>
      <c r="B250" s="38"/>
      <c r="C250" s="38"/>
      <c r="D250" s="37"/>
      <c r="E250" s="36"/>
      <c r="F250" s="36"/>
      <c r="G250" s="35"/>
    </row>
    <row r="251" spans="1:7" x14ac:dyDescent="0.25">
      <c r="A251" s="39"/>
      <c r="B251" s="38"/>
      <c r="C251" s="38"/>
      <c r="D251" s="37"/>
      <c r="E251" s="36"/>
      <c r="F251" s="36"/>
      <c r="G251" s="35"/>
    </row>
    <row r="252" spans="1:7" x14ac:dyDescent="0.25">
      <c r="A252" s="39"/>
      <c r="B252" s="38"/>
      <c r="C252" s="38"/>
      <c r="D252" s="37"/>
      <c r="E252" s="36"/>
      <c r="F252" s="36"/>
      <c r="G252" s="35"/>
    </row>
    <row r="253" spans="1:7" x14ac:dyDescent="0.25">
      <c r="A253" s="39"/>
      <c r="B253" s="38"/>
      <c r="C253" s="38"/>
      <c r="D253" s="37"/>
      <c r="E253" s="36"/>
      <c r="F253" s="36"/>
      <c r="G253" s="35"/>
    </row>
    <row r="254" spans="1:7" x14ac:dyDescent="0.25">
      <c r="A254" s="39"/>
      <c r="B254" s="38"/>
      <c r="C254" s="38"/>
      <c r="D254" s="37"/>
      <c r="E254" s="36"/>
      <c r="F254" s="36"/>
      <c r="G254" s="35"/>
    </row>
    <row r="255" spans="1:7" x14ac:dyDescent="0.25">
      <c r="A255" s="39"/>
      <c r="B255" s="38"/>
      <c r="C255" s="38"/>
      <c r="D255" s="37"/>
      <c r="E255" s="36"/>
      <c r="F255" s="36"/>
      <c r="G255" s="35"/>
    </row>
    <row r="256" spans="1:7" x14ac:dyDescent="0.25">
      <c r="A256" s="39"/>
      <c r="B256" s="38"/>
      <c r="C256" s="38"/>
      <c r="D256" s="37"/>
      <c r="E256" s="36"/>
      <c r="F256" s="36"/>
      <c r="G256" s="35"/>
    </row>
    <row r="257" spans="1:7" x14ac:dyDescent="0.25">
      <c r="A257" s="39"/>
      <c r="B257" s="38"/>
      <c r="C257" s="38"/>
      <c r="D257" s="37"/>
      <c r="E257" s="36"/>
      <c r="F257" s="36"/>
      <c r="G257" s="35"/>
    </row>
    <row r="258" spans="1:7" x14ac:dyDescent="0.25">
      <c r="A258" s="39"/>
      <c r="B258" s="38"/>
      <c r="C258" s="38"/>
      <c r="D258" s="37"/>
      <c r="E258" s="36"/>
      <c r="F258" s="36"/>
      <c r="G258" s="35"/>
    </row>
    <row r="259" spans="1:7" x14ac:dyDescent="0.25">
      <c r="A259" s="39"/>
      <c r="B259" s="38"/>
      <c r="C259" s="38"/>
      <c r="D259" s="37"/>
      <c r="E259" s="36"/>
      <c r="F259" s="36"/>
      <c r="G259" s="35"/>
    </row>
    <row r="260" spans="1:7" x14ac:dyDescent="0.25">
      <c r="A260" s="39"/>
      <c r="B260" s="38"/>
      <c r="C260" s="38"/>
      <c r="D260" s="37"/>
      <c r="E260" s="36"/>
      <c r="F260" s="36"/>
      <c r="G260" s="35"/>
    </row>
    <row r="261" spans="1:7" x14ac:dyDescent="0.25">
      <c r="A261" s="39"/>
      <c r="B261" s="38"/>
      <c r="C261" s="38"/>
      <c r="D261" s="37"/>
      <c r="E261" s="36"/>
      <c r="F261" s="36"/>
      <c r="G261" s="35"/>
    </row>
    <row r="262" spans="1:7" x14ac:dyDescent="0.25">
      <c r="A262" s="39"/>
      <c r="B262" s="38"/>
      <c r="C262" s="38"/>
      <c r="D262" s="37"/>
      <c r="E262" s="36"/>
      <c r="F262" s="36"/>
      <c r="G262" s="35"/>
    </row>
    <row r="263" spans="1:7" x14ac:dyDescent="0.25">
      <c r="A263" s="39"/>
      <c r="B263" s="38"/>
      <c r="C263" s="38"/>
      <c r="D263" s="37"/>
      <c r="E263" s="36"/>
      <c r="F263" s="36"/>
      <c r="G263" s="35"/>
    </row>
    <row r="264" spans="1:7" x14ac:dyDescent="0.25">
      <c r="A264" s="39"/>
      <c r="B264" s="38"/>
      <c r="C264" s="38"/>
      <c r="D264" s="37"/>
      <c r="E264" s="36"/>
      <c r="F264" s="36"/>
      <c r="G264" s="35"/>
    </row>
    <row r="265" spans="1:7" x14ac:dyDescent="0.25">
      <c r="A265" s="39"/>
      <c r="B265" s="38"/>
      <c r="C265" s="38"/>
      <c r="D265" s="37"/>
      <c r="E265" s="36"/>
      <c r="F265" s="36"/>
      <c r="G265" s="35"/>
    </row>
    <row r="266" spans="1:7" x14ac:dyDescent="0.25">
      <c r="A266" s="39"/>
      <c r="B266" s="38"/>
      <c r="C266" s="38"/>
      <c r="D266" s="37"/>
      <c r="E266" s="36"/>
      <c r="F266" s="36"/>
      <c r="G266" s="35"/>
    </row>
    <row r="267" spans="1:7" x14ac:dyDescent="0.25">
      <c r="A267" s="39"/>
      <c r="B267" s="38"/>
      <c r="C267" s="38"/>
      <c r="D267" s="37"/>
      <c r="E267" s="36"/>
      <c r="F267" s="36"/>
      <c r="G267" s="35"/>
    </row>
    <row r="268" spans="1:7" x14ac:dyDescent="0.25">
      <c r="A268" s="39"/>
      <c r="B268" s="38"/>
      <c r="C268" s="38"/>
      <c r="D268" s="37"/>
      <c r="E268" s="36"/>
      <c r="F268" s="36"/>
      <c r="G268" s="35"/>
    </row>
    <row r="269" spans="1:7" x14ac:dyDescent="0.25">
      <c r="A269" s="39"/>
      <c r="B269" s="38"/>
      <c r="C269" s="38"/>
      <c r="D269" s="37"/>
      <c r="E269" s="36"/>
      <c r="F269" s="36"/>
      <c r="G269" s="35"/>
    </row>
    <row r="270" spans="1:7" x14ac:dyDescent="0.25">
      <c r="A270" s="39"/>
      <c r="B270" s="38"/>
      <c r="C270" s="38"/>
      <c r="D270" s="37"/>
      <c r="E270" s="36"/>
      <c r="F270" s="36"/>
      <c r="G270" s="35"/>
    </row>
    <row r="271" spans="1:7" x14ac:dyDescent="0.25">
      <c r="A271" s="39"/>
      <c r="B271" s="38"/>
      <c r="C271" s="38"/>
      <c r="D271" s="37"/>
      <c r="E271" s="36"/>
      <c r="F271" s="36"/>
      <c r="G271" s="35"/>
    </row>
    <row r="272" spans="1:7" x14ac:dyDescent="0.25">
      <c r="A272" s="39"/>
      <c r="B272" s="38"/>
      <c r="C272" s="38"/>
      <c r="D272" s="37"/>
      <c r="E272" s="36"/>
      <c r="F272" s="36"/>
      <c r="G272" s="35"/>
    </row>
    <row r="273" spans="1:7" x14ac:dyDescent="0.25">
      <c r="A273" s="39"/>
      <c r="B273" s="38"/>
      <c r="C273" s="38"/>
      <c r="D273" s="37"/>
      <c r="E273" s="36"/>
      <c r="F273" s="36"/>
      <c r="G273" s="35"/>
    </row>
    <row r="274" spans="1:7" x14ac:dyDescent="0.25">
      <c r="A274" s="39"/>
      <c r="B274" s="38"/>
      <c r="C274" s="38"/>
      <c r="D274" s="37"/>
      <c r="E274" s="36"/>
      <c r="F274" s="36"/>
      <c r="G274" s="35"/>
    </row>
    <row r="275" spans="1:7" x14ac:dyDescent="0.25">
      <c r="A275" s="39"/>
      <c r="B275" s="38"/>
      <c r="C275" s="38"/>
      <c r="D275" s="37"/>
      <c r="E275" s="36"/>
      <c r="F275" s="36"/>
      <c r="G275" s="35"/>
    </row>
    <row r="276" spans="1:7" x14ac:dyDescent="0.25">
      <c r="A276" s="39"/>
      <c r="B276" s="38"/>
      <c r="C276" s="38"/>
      <c r="D276" s="37"/>
      <c r="E276" s="36"/>
      <c r="F276" s="36"/>
      <c r="G276" s="35"/>
    </row>
    <row r="277" spans="1:7" x14ac:dyDescent="0.25">
      <c r="A277" s="39"/>
      <c r="B277" s="38"/>
      <c r="C277" s="38"/>
      <c r="D277" s="37"/>
      <c r="E277" s="36"/>
      <c r="F277" s="36"/>
      <c r="G277" s="35"/>
    </row>
    <row r="278" spans="1:7" x14ac:dyDescent="0.25">
      <c r="A278" s="39"/>
      <c r="B278" s="38"/>
      <c r="C278" s="38"/>
      <c r="D278" s="37"/>
      <c r="E278" s="36"/>
      <c r="F278" s="36"/>
      <c r="G278" s="35"/>
    </row>
    <row r="279" spans="1:7" x14ac:dyDescent="0.25">
      <c r="A279" s="39"/>
      <c r="B279" s="38"/>
      <c r="C279" s="38"/>
      <c r="D279" s="37"/>
      <c r="E279" s="36"/>
      <c r="F279" s="36"/>
      <c r="G279" s="35"/>
    </row>
    <row r="280" spans="1:7" x14ac:dyDescent="0.25">
      <c r="A280" s="39"/>
      <c r="B280" s="38"/>
      <c r="C280" s="38"/>
      <c r="D280" s="37"/>
      <c r="E280" s="36"/>
      <c r="F280" s="36"/>
      <c r="G280" s="35"/>
    </row>
    <row r="281" spans="1:7" x14ac:dyDescent="0.25">
      <c r="A281" s="39"/>
      <c r="B281" s="38"/>
      <c r="C281" s="38"/>
      <c r="D281" s="37"/>
      <c r="E281" s="36"/>
      <c r="F281" s="36"/>
      <c r="G281" s="35"/>
    </row>
    <row r="282" spans="1:7" x14ac:dyDescent="0.25">
      <c r="A282" s="39"/>
      <c r="B282" s="38"/>
      <c r="C282" s="38"/>
      <c r="D282" s="37"/>
      <c r="E282" s="36"/>
      <c r="F282" s="36"/>
      <c r="G282" s="35"/>
    </row>
    <row r="283" spans="1:7" x14ac:dyDescent="0.25">
      <c r="A283" s="39"/>
      <c r="B283" s="38"/>
      <c r="C283" s="38"/>
      <c r="D283" s="37"/>
      <c r="E283" s="36"/>
      <c r="F283" s="36"/>
      <c r="G283" s="35"/>
    </row>
    <row r="284" spans="1:7" x14ac:dyDescent="0.25">
      <c r="A284" s="39"/>
      <c r="B284" s="38"/>
      <c r="C284" s="38"/>
      <c r="D284" s="37"/>
      <c r="E284" s="36"/>
      <c r="F284" s="36"/>
      <c r="G284" s="35"/>
    </row>
    <row r="285" spans="1:7" x14ac:dyDescent="0.25">
      <c r="A285" s="39"/>
      <c r="B285" s="38"/>
      <c r="C285" s="38"/>
      <c r="D285" s="37"/>
      <c r="E285" s="36"/>
      <c r="F285" s="36"/>
      <c r="G285" s="35"/>
    </row>
    <row r="286" spans="1:7" x14ac:dyDescent="0.25">
      <c r="A286" s="39"/>
      <c r="B286" s="38"/>
      <c r="C286" s="38"/>
      <c r="D286" s="37"/>
      <c r="E286" s="36"/>
      <c r="F286" s="36"/>
      <c r="G286" s="35"/>
    </row>
    <row r="287" spans="1:7" x14ac:dyDescent="0.25">
      <c r="A287" s="39"/>
      <c r="B287" s="38"/>
      <c r="C287" s="38"/>
      <c r="D287" s="37"/>
      <c r="E287" s="36"/>
      <c r="F287" s="36"/>
      <c r="G287" s="35"/>
    </row>
    <row r="288" spans="1:7" x14ac:dyDescent="0.25">
      <c r="A288" s="39"/>
      <c r="B288" s="38"/>
      <c r="C288" s="38"/>
      <c r="D288" s="37"/>
      <c r="E288" s="36"/>
      <c r="F288" s="36"/>
      <c r="G288" s="35"/>
    </row>
    <row r="289" spans="1:7" x14ac:dyDescent="0.25">
      <c r="A289" s="39"/>
      <c r="B289" s="38"/>
      <c r="C289" s="38"/>
      <c r="D289" s="37"/>
      <c r="E289" s="36"/>
      <c r="F289" s="36"/>
      <c r="G289" s="35"/>
    </row>
    <row r="290" spans="1:7" x14ac:dyDescent="0.25">
      <c r="A290" s="39"/>
      <c r="B290" s="38"/>
      <c r="C290" s="38"/>
      <c r="D290" s="37"/>
      <c r="E290" s="36"/>
      <c r="F290" s="36"/>
      <c r="G290" s="35"/>
    </row>
    <row r="291" spans="1:7" x14ac:dyDescent="0.25">
      <c r="A291" s="39"/>
      <c r="B291" s="38"/>
      <c r="C291" s="38"/>
      <c r="D291" s="37"/>
      <c r="E291" s="36"/>
      <c r="F291" s="36"/>
      <c r="G291" s="35"/>
    </row>
    <row r="292" spans="1:7" x14ac:dyDescent="0.25">
      <c r="A292" s="39"/>
      <c r="B292" s="38"/>
      <c r="C292" s="38"/>
      <c r="D292" s="37"/>
      <c r="E292" s="36"/>
      <c r="F292" s="36"/>
      <c r="G292" s="35"/>
    </row>
    <row r="293" spans="1:7" x14ac:dyDescent="0.25">
      <c r="A293" s="39"/>
      <c r="B293" s="38"/>
      <c r="C293" s="38"/>
      <c r="D293" s="37"/>
      <c r="E293" s="36"/>
      <c r="F293" s="36"/>
      <c r="G293" s="35"/>
    </row>
    <row r="294" spans="1:7" x14ac:dyDescent="0.25">
      <c r="A294" s="39"/>
      <c r="B294" s="38"/>
      <c r="C294" s="38"/>
      <c r="D294" s="37"/>
      <c r="E294" s="36"/>
      <c r="F294" s="36"/>
      <c r="G294" s="35"/>
    </row>
    <row r="295" spans="1:7" x14ac:dyDescent="0.25">
      <c r="A295" s="39"/>
      <c r="B295" s="38"/>
      <c r="C295" s="38"/>
      <c r="D295" s="37"/>
      <c r="E295" s="36"/>
      <c r="F295" s="36"/>
      <c r="G295" s="35"/>
    </row>
    <row r="296" spans="1:7" x14ac:dyDescent="0.25">
      <c r="A296" s="39"/>
      <c r="B296" s="38"/>
      <c r="C296" s="38"/>
      <c r="D296" s="37"/>
      <c r="E296" s="36"/>
      <c r="F296" s="36"/>
      <c r="G296" s="35"/>
    </row>
    <row r="297" spans="1:7" x14ac:dyDescent="0.25">
      <c r="A297" s="39"/>
      <c r="B297" s="38"/>
      <c r="C297" s="38"/>
      <c r="D297" s="37"/>
      <c r="E297" s="36"/>
      <c r="F297" s="36"/>
      <c r="G297" s="35"/>
    </row>
    <row r="298" spans="1:7" x14ac:dyDescent="0.25">
      <c r="A298" s="39"/>
      <c r="B298" s="38"/>
      <c r="C298" s="38"/>
      <c r="D298" s="37"/>
      <c r="E298" s="36"/>
      <c r="F298" s="36"/>
      <c r="G298" s="35"/>
    </row>
    <row r="299" spans="1:7" x14ac:dyDescent="0.25">
      <c r="A299" s="39"/>
      <c r="B299" s="38"/>
      <c r="C299" s="38"/>
      <c r="D299" s="37"/>
      <c r="E299" s="36"/>
      <c r="F299" s="36"/>
      <c r="G299" s="35"/>
    </row>
    <row r="300" spans="1:7" x14ac:dyDescent="0.25">
      <c r="A300" s="39"/>
      <c r="B300" s="38"/>
      <c r="C300" s="38"/>
      <c r="D300" s="37"/>
      <c r="E300" s="36"/>
      <c r="F300" s="36"/>
      <c r="G300" s="35"/>
    </row>
    <row r="301" spans="1:7" x14ac:dyDescent="0.25">
      <c r="A301" s="39"/>
      <c r="B301" s="38"/>
      <c r="C301" s="38"/>
      <c r="D301" s="37"/>
      <c r="E301" s="36"/>
      <c r="F301" s="36"/>
      <c r="G301" s="35"/>
    </row>
    <row r="302" spans="1:7" x14ac:dyDescent="0.25">
      <c r="A302" s="39"/>
      <c r="B302" s="38"/>
      <c r="C302" s="38"/>
      <c r="D302" s="37"/>
      <c r="E302" s="36"/>
      <c r="F302" s="36"/>
      <c r="G302" s="35"/>
    </row>
    <row r="303" spans="1:7" x14ac:dyDescent="0.25">
      <c r="A303" s="39"/>
      <c r="B303" s="38"/>
      <c r="C303" s="38"/>
      <c r="D303" s="37"/>
      <c r="E303" s="36"/>
      <c r="F303" s="36"/>
      <c r="G303" s="35"/>
    </row>
    <row r="304" spans="1:7" x14ac:dyDescent="0.25">
      <c r="A304" s="39"/>
      <c r="B304" s="38"/>
      <c r="C304" s="38"/>
      <c r="D304" s="37"/>
      <c r="E304" s="36"/>
      <c r="F304" s="36"/>
      <c r="G304" s="35"/>
    </row>
    <row r="305" spans="1:7" x14ac:dyDescent="0.25">
      <c r="A305" s="39"/>
      <c r="B305" s="38"/>
      <c r="C305" s="38"/>
      <c r="D305" s="37"/>
      <c r="E305" s="36"/>
      <c r="F305" s="36"/>
      <c r="G305" s="35"/>
    </row>
    <row r="306" spans="1:7" x14ac:dyDescent="0.25">
      <c r="A306" s="39"/>
      <c r="B306" s="38"/>
      <c r="C306" s="38"/>
      <c r="D306" s="37"/>
      <c r="E306" s="36"/>
      <c r="F306" s="36"/>
      <c r="G306" s="35"/>
    </row>
    <row r="307" spans="1:7" x14ac:dyDescent="0.25">
      <c r="A307" s="39"/>
      <c r="B307" s="38"/>
      <c r="C307" s="38"/>
      <c r="D307" s="37"/>
      <c r="E307" s="36"/>
      <c r="F307" s="36"/>
      <c r="G307" s="35"/>
    </row>
    <row r="308" spans="1:7" x14ac:dyDescent="0.25">
      <c r="A308" s="39"/>
      <c r="B308" s="38"/>
      <c r="C308" s="38"/>
      <c r="D308" s="37"/>
      <c r="E308" s="36"/>
      <c r="F308" s="36"/>
      <c r="G308" s="35"/>
    </row>
    <row r="309" spans="1:7" x14ac:dyDescent="0.25">
      <c r="A309" s="39"/>
      <c r="B309" s="38"/>
      <c r="C309" s="38"/>
      <c r="D309" s="37"/>
      <c r="E309" s="36"/>
      <c r="F309" s="36"/>
      <c r="G309" s="35"/>
    </row>
    <row r="310" spans="1:7" x14ac:dyDescent="0.25">
      <c r="A310" s="39"/>
      <c r="B310" s="38"/>
      <c r="C310" s="38"/>
      <c r="D310" s="37"/>
      <c r="E310" s="36"/>
      <c r="F310" s="36"/>
      <c r="G310" s="35"/>
    </row>
    <row r="311" spans="1:7" x14ac:dyDescent="0.25">
      <c r="A311" s="39"/>
      <c r="B311" s="38"/>
      <c r="C311" s="38"/>
      <c r="D311" s="37"/>
      <c r="E311" s="36"/>
      <c r="F311" s="36"/>
      <c r="G311" s="35"/>
    </row>
    <row r="312" spans="1:7" x14ac:dyDescent="0.25">
      <c r="A312" s="39"/>
      <c r="B312" s="38"/>
      <c r="C312" s="38"/>
      <c r="D312" s="37"/>
      <c r="E312" s="36"/>
      <c r="F312" s="36"/>
      <c r="G312" s="35"/>
    </row>
    <row r="313" spans="1:7" x14ac:dyDescent="0.25">
      <c r="A313" s="39"/>
      <c r="B313" s="38"/>
      <c r="C313" s="38"/>
      <c r="D313" s="37"/>
      <c r="E313" s="36"/>
      <c r="F313" s="36"/>
      <c r="G313" s="35"/>
    </row>
    <row r="314" spans="1:7" x14ac:dyDescent="0.25">
      <c r="A314" s="39"/>
      <c r="B314" s="38"/>
      <c r="C314" s="38"/>
      <c r="D314" s="37"/>
      <c r="E314" s="36"/>
      <c r="F314" s="36"/>
      <c r="G314" s="35"/>
    </row>
    <row r="315" spans="1:7" x14ac:dyDescent="0.25">
      <c r="A315" s="39"/>
      <c r="B315" s="38"/>
      <c r="C315" s="38"/>
      <c r="D315" s="37"/>
      <c r="E315" s="36"/>
      <c r="F315" s="36"/>
      <c r="G315" s="35"/>
    </row>
    <row r="316" spans="1:7" x14ac:dyDescent="0.25">
      <c r="A316" s="39"/>
      <c r="B316" s="38"/>
      <c r="C316" s="38"/>
      <c r="D316" s="37"/>
      <c r="E316" s="36"/>
      <c r="F316" s="36"/>
      <c r="G316" s="35"/>
    </row>
    <row r="317" spans="1:7" x14ac:dyDescent="0.25">
      <c r="A317" s="39"/>
      <c r="B317" s="38"/>
      <c r="C317" s="38"/>
      <c r="D317" s="37"/>
      <c r="E317" s="36"/>
      <c r="F317" s="36"/>
      <c r="G317" s="35"/>
    </row>
    <row r="318" spans="1:7" x14ac:dyDescent="0.25">
      <c r="A318" s="39"/>
      <c r="B318" s="38"/>
      <c r="C318" s="38"/>
      <c r="D318" s="37"/>
      <c r="E318" s="36"/>
      <c r="F318" s="36"/>
      <c r="G318" s="35"/>
    </row>
    <row r="319" spans="1:7" x14ac:dyDescent="0.25">
      <c r="A319" s="39"/>
      <c r="B319" s="38"/>
      <c r="C319" s="38"/>
      <c r="D319" s="37"/>
      <c r="E319" s="36"/>
      <c r="F319" s="36"/>
      <c r="G319" s="35"/>
    </row>
    <row r="320" spans="1:7" x14ac:dyDescent="0.25">
      <c r="A320" s="39"/>
      <c r="B320" s="38"/>
      <c r="C320" s="38"/>
      <c r="D320" s="37"/>
      <c r="E320" s="36"/>
      <c r="F320" s="36"/>
      <c r="G320" s="35"/>
    </row>
    <row r="321" spans="1:7" x14ac:dyDescent="0.25">
      <c r="A321" s="39"/>
      <c r="B321" s="38"/>
      <c r="C321" s="38"/>
      <c r="D321" s="37"/>
      <c r="E321" s="36"/>
      <c r="F321" s="36"/>
      <c r="G321" s="35"/>
    </row>
    <row r="322" spans="1:7" x14ac:dyDescent="0.25">
      <c r="A322" s="39"/>
      <c r="B322" s="38"/>
      <c r="C322" s="38"/>
      <c r="D322" s="37"/>
      <c r="E322" s="36"/>
      <c r="F322" s="36"/>
      <c r="G322" s="35"/>
    </row>
    <row r="323" spans="1:7" x14ac:dyDescent="0.25">
      <c r="A323" s="39"/>
      <c r="B323" s="38"/>
      <c r="C323" s="38"/>
      <c r="D323" s="37"/>
      <c r="E323" s="36"/>
      <c r="F323" s="36"/>
      <c r="G323" s="35"/>
    </row>
    <row r="324" spans="1:7" x14ac:dyDescent="0.25">
      <c r="A324" s="39"/>
      <c r="B324" s="38"/>
      <c r="C324" s="38"/>
      <c r="D324" s="37"/>
      <c r="E324" s="36"/>
      <c r="F324" s="36"/>
      <c r="G324" s="35"/>
    </row>
    <row r="325" spans="1:7" x14ac:dyDescent="0.25">
      <c r="A325" s="39"/>
      <c r="B325" s="38"/>
      <c r="C325" s="38"/>
      <c r="D325" s="37"/>
      <c r="E325" s="36"/>
      <c r="F325" s="36"/>
      <c r="G325" s="35"/>
    </row>
    <row r="326" spans="1:7" x14ac:dyDescent="0.25">
      <c r="A326" s="39"/>
      <c r="B326" s="38"/>
      <c r="C326" s="38"/>
      <c r="D326" s="37"/>
      <c r="E326" s="36"/>
      <c r="F326" s="36"/>
      <c r="G326" s="35"/>
    </row>
    <row r="327" spans="1:7" x14ac:dyDescent="0.25">
      <c r="A327" s="39"/>
      <c r="B327" s="38"/>
      <c r="C327" s="38"/>
      <c r="D327" s="37"/>
      <c r="E327" s="36"/>
      <c r="F327" s="36"/>
      <c r="G327" s="35"/>
    </row>
    <row r="328" spans="1:7" x14ac:dyDescent="0.25">
      <c r="A328" s="39"/>
      <c r="B328" s="38"/>
      <c r="C328" s="38"/>
      <c r="D328" s="37"/>
      <c r="E328" s="36"/>
      <c r="F328" s="36"/>
      <c r="G328" s="35"/>
    </row>
    <row r="329" spans="1:7" x14ac:dyDescent="0.25">
      <c r="A329" s="39"/>
      <c r="B329" s="38"/>
      <c r="C329" s="38"/>
      <c r="D329" s="37"/>
      <c r="E329" s="36"/>
      <c r="F329" s="36"/>
      <c r="G329" s="35"/>
    </row>
    <row r="330" spans="1:7" x14ac:dyDescent="0.25">
      <c r="A330" s="39"/>
      <c r="B330" s="38"/>
      <c r="C330" s="38"/>
      <c r="D330" s="37"/>
      <c r="E330" s="36"/>
      <c r="F330" s="36"/>
      <c r="G330" s="35"/>
    </row>
    <row r="331" spans="1:7" x14ac:dyDescent="0.25">
      <c r="A331" s="39"/>
      <c r="B331" s="38"/>
      <c r="C331" s="38"/>
      <c r="D331" s="37"/>
      <c r="E331" s="36"/>
      <c r="F331" s="36"/>
      <c r="G331" s="35"/>
    </row>
    <row r="332" spans="1:7" x14ac:dyDescent="0.25">
      <c r="A332" s="39"/>
      <c r="B332" s="38"/>
      <c r="C332" s="38"/>
      <c r="D332" s="37"/>
      <c r="E332" s="36"/>
      <c r="F332" s="36"/>
      <c r="G332" s="35"/>
    </row>
    <row r="333" spans="1:7" x14ac:dyDescent="0.25">
      <c r="A333" s="39"/>
      <c r="B333" s="38"/>
      <c r="C333" s="38"/>
      <c r="D333" s="37"/>
      <c r="E333" s="36"/>
      <c r="F333" s="36"/>
      <c r="G333" s="35"/>
    </row>
    <row r="334" spans="1:7" x14ac:dyDescent="0.25">
      <c r="A334" s="39"/>
      <c r="B334" s="38"/>
      <c r="C334" s="38"/>
      <c r="D334" s="37"/>
      <c r="E334" s="36"/>
      <c r="F334" s="36"/>
      <c r="G334" s="35"/>
    </row>
    <row r="335" spans="1:7" x14ac:dyDescent="0.25">
      <c r="A335" s="39"/>
      <c r="B335" s="38"/>
      <c r="C335" s="38"/>
      <c r="D335" s="37"/>
      <c r="E335" s="36"/>
      <c r="F335" s="36"/>
      <c r="G335" s="35"/>
    </row>
    <row r="336" spans="1:7" x14ac:dyDescent="0.25">
      <c r="A336" s="39"/>
      <c r="B336" s="38"/>
      <c r="C336" s="38"/>
      <c r="D336" s="37"/>
      <c r="E336" s="36"/>
      <c r="F336" s="36"/>
      <c r="G336" s="35"/>
    </row>
    <row r="337" spans="1:7" x14ac:dyDescent="0.25">
      <c r="A337" s="39"/>
      <c r="B337" s="38"/>
      <c r="C337" s="38"/>
      <c r="D337" s="37"/>
      <c r="E337" s="36"/>
      <c r="F337" s="36"/>
      <c r="G337" s="35"/>
    </row>
    <row r="338" spans="1:7" x14ac:dyDescent="0.25">
      <c r="A338" s="39"/>
      <c r="B338" s="38"/>
      <c r="C338" s="38"/>
      <c r="D338" s="37"/>
      <c r="E338" s="36"/>
      <c r="F338" s="36"/>
      <c r="G338" s="35"/>
    </row>
    <row r="339" spans="1:7" x14ac:dyDescent="0.25">
      <c r="A339" s="39"/>
      <c r="B339" s="38"/>
      <c r="C339" s="38"/>
      <c r="D339" s="37"/>
      <c r="E339" s="36"/>
      <c r="F339" s="36"/>
      <c r="G339" s="35"/>
    </row>
    <row r="340" spans="1:7" x14ac:dyDescent="0.25">
      <c r="A340" s="39"/>
      <c r="B340" s="38"/>
      <c r="C340" s="38"/>
      <c r="D340" s="37"/>
      <c r="E340" s="36"/>
      <c r="F340" s="36"/>
      <c r="G340" s="35"/>
    </row>
    <row r="341" spans="1:7" x14ac:dyDescent="0.25">
      <c r="A341" s="39"/>
      <c r="B341" s="38"/>
      <c r="C341" s="38"/>
      <c r="D341" s="37"/>
      <c r="E341" s="36"/>
      <c r="F341" s="36"/>
      <c r="G341" s="35"/>
    </row>
    <row r="342" spans="1:7" x14ac:dyDescent="0.25">
      <c r="A342" s="39"/>
      <c r="B342" s="38"/>
      <c r="C342" s="38"/>
      <c r="D342" s="37"/>
      <c r="E342" s="36"/>
      <c r="F342" s="36"/>
      <c r="G342" s="35"/>
    </row>
    <row r="343" spans="1:7" x14ac:dyDescent="0.25">
      <c r="A343" s="39"/>
      <c r="B343" s="38"/>
      <c r="C343" s="38"/>
      <c r="D343" s="37"/>
      <c r="E343" s="36"/>
      <c r="F343" s="36"/>
      <c r="G343" s="35"/>
    </row>
    <row r="344" spans="1:7" x14ac:dyDescent="0.25">
      <c r="A344" s="39"/>
      <c r="B344" s="38"/>
      <c r="C344" s="38"/>
      <c r="D344" s="37"/>
      <c r="E344" s="36"/>
      <c r="F344" s="36"/>
      <c r="G344" s="35"/>
    </row>
    <row r="345" spans="1:7" x14ac:dyDescent="0.25">
      <c r="A345" s="39"/>
      <c r="B345" s="38"/>
      <c r="C345" s="38"/>
      <c r="D345" s="37"/>
      <c r="E345" s="36"/>
      <c r="F345" s="36"/>
      <c r="G345" s="35"/>
    </row>
    <row r="346" spans="1:7" x14ac:dyDescent="0.25">
      <c r="A346" s="39"/>
      <c r="B346" s="38"/>
      <c r="C346" s="38"/>
      <c r="D346" s="37"/>
      <c r="E346" s="36"/>
      <c r="F346" s="36"/>
      <c r="G346" s="35"/>
    </row>
    <row r="347" spans="1:7" x14ac:dyDescent="0.25">
      <c r="A347" s="39"/>
      <c r="B347" s="38"/>
      <c r="C347" s="38"/>
      <c r="D347" s="37"/>
      <c r="E347" s="36"/>
      <c r="F347" s="36"/>
      <c r="G347" s="35"/>
    </row>
    <row r="348" spans="1:7" x14ac:dyDescent="0.25">
      <c r="A348" s="39"/>
      <c r="B348" s="38"/>
      <c r="C348" s="38"/>
      <c r="D348" s="37"/>
      <c r="E348" s="36"/>
      <c r="F348" s="36"/>
      <c r="G348" s="35"/>
    </row>
    <row r="349" spans="1:7" x14ac:dyDescent="0.25">
      <c r="A349" s="39"/>
      <c r="B349" s="38"/>
      <c r="C349" s="38"/>
      <c r="D349" s="37"/>
      <c r="E349" s="36"/>
      <c r="F349" s="36"/>
      <c r="G349" s="35"/>
    </row>
    <row r="350" spans="1:7" x14ac:dyDescent="0.25">
      <c r="A350" s="39"/>
      <c r="B350" s="38"/>
      <c r="C350" s="38"/>
      <c r="D350" s="37"/>
      <c r="E350" s="36"/>
      <c r="F350" s="36"/>
      <c r="G350" s="35"/>
    </row>
    <row r="351" spans="1:7" x14ac:dyDescent="0.25">
      <c r="A351" s="39"/>
      <c r="B351" s="38"/>
      <c r="C351" s="38"/>
      <c r="D351" s="37"/>
      <c r="E351" s="36"/>
      <c r="F351" s="36"/>
      <c r="G351" s="35"/>
    </row>
    <row r="352" spans="1:7" x14ac:dyDescent="0.25">
      <c r="A352" s="39"/>
      <c r="B352" s="38"/>
      <c r="C352" s="38"/>
      <c r="D352" s="37"/>
      <c r="E352" s="36"/>
      <c r="F352" s="36"/>
      <c r="G352" s="35"/>
    </row>
    <row r="353" spans="1:7" x14ac:dyDescent="0.25">
      <c r="A353" s="39"/>
      <c r="B353" s="38"/>
      <c r="C353" s="38"/>
      <c r="D353" s="37"/>
      <c r="E353" s="36"/>
      <c r="F353" s="36"/>
      <c r="G353" s="35"/>
    </row>
    <row r="354" spans="1:7" x14ac:dyDescent="0.25">
      <c r="A354" s="39"/>
      <c r="B354" s="38"/>
      <c r="C354" s="38"/>
      <c r="D354" s="37"/>
      <c r="E354" s="36"/>
      <c r="F354" s="36"/>
      <c r="G354" s="35"/>
    </row>
    <row r="355" spans="1:7" x14ac:dyDescent="0.25">
      <c r="A355" s="39"/>
      <c r="B355" s="38"/>
      <c r="C355" s="38"/>
      <c r="D355" s="37"/>
      <c r="E355" s="36"/>
      <c r="F355" s="36"/>
      <c r="G355" s="35"/>
    </row>
    <row r="356" spans="1:7" x14ac:dyDescent="0.25">
      <c r="A356" s="39"/>
      <c r="B356" s="38"/>
      <c r="C356" s="38"/>
      <c r="D356" s="37"/>
      <c r="E356" s="36"/>
      <c r="F356" s="36"/>
      <c r="G356" s="35"/>
    </row>
    <row r="357" spans="1:7" x14ac:dyDescent="0.25">
      <c r="A357" s="39"/>
      <c r="B357" s="38"/>
      <c r="C357" s="38"/>
      <c r="D357" s="37"/>
      <c r="E357" s="36"/>
      <c r="F357" s="36"/>
      <c r="G357" s="35"/>
    </row>
    <row r="358" spans="1:7" x14ac:dyDescent="0.25">
      <c r="A358" s="39"/>
      <c r="B358" s="38"/>
      <c r="C358" s="38"/>
      <c r="D358" s="37"/>
      <c r="E358" s="36"/>
      <c r="F358" s="36"/>
      <c r="G358" s="35"/>
    </row>
    <row r="359" spans="1:7" x14ac:dyDescent="0.25">
      <c r="A359" s="39"/>
      <c r="B359" s="38"/>
      <c r="C359" s="38"/>
      <c r="D359" s="37"/>
      <c r="E359" s="36"/>
      <c r="F359" s="36"/>
      <c r="G359" s="35"/>
    </row>
    <row r="360" spans="1:7" x14ac:dyDescent="0.25">
      <c r="A360" s="39"/>
      <c r="B360" s="38"/>
      <c r="C360" s="38"/>
      <c r="D360" s="37"/>
      <c r="E360" s="36"/>
      <c r="F360" s="36"/>
      <c r="G360" s="35"/>
    </row>
    <row r="361" spans="1:7" x14ac:dyDescent="0.25">
      <c r="A361" s="39"/>
      <c r="B361" s="38"/>
      <c r="C361" s="38"/>
      <c r="D361" s="37"/>
      <c r="E361" s="36"/>
      <c r="F361" s="36"/>
      <c r="G361" s="35"/>
    </row>
    <row r="362" spans="1:7" x14ac:dyDescent="0.25">
      <c r="A362" s="39"/>
      <c r="B362" s="38"/>
      <c r="C362" s="38"/>
      <c r="D362" s="37"/>
      <c r="E362" s="36"/>
      <c r="F362" s="36"/>
      <c r="G362" s="35"/>
    </row>
    <row r="363" spans="1:7" x14ac:dyDescent="0.25">
      <c r="A363" s="39"/>
      <c r="B363" s="38"/>
      <c r="C363" s="38"/>
      <c r="D363" s="37"/>
      <c r="E363" s="36"/>
      <c r="F363" s="36"/>
      <c r="G363" s="35"/>
    </row>
    <row r="364" spans="1:7" x14ac:dyDescent="0.25">
      <c r="A364" s="39"/>
      <c r="B364" s="38"/>
      <c r="C364" s="38"/>
      <c r="D364" s="37"/>
      <c r="E364" s="36"/>
      <c r="F364" s="36"/>
      <c r="G364" s="35"/>
    </row>
    <row r="365" spans="1:7" x14ac:dyDescent="0.25">
      <c r="A365" s="39"/>
      <c r="B365" s="38"/>
      <c r="C365" s="38"/>
      <c r="D365" s="37"/>
      <c r="E365" s="36"/>
      <c r="F365" s="36"/>
      <c r="G365" s="35"/>
    </row>
    <row r="366" spans="1:7" x14ac:dyDescent="0.25">
      <c r="A366" s="39"/>
      <c r="B366" s="38"/>
      <c r="C366" s="38"/>
      <c r="D366" s="37"/>
      <c r="E366" s="36"/>
      <c r="F366" s="36"/>
      <c r="G366" s="35"/>
    </row>
    <row r="367" spans="1:7" x14ac:dyDescent="0.25">
      <c r="A367" s="39"/>
      <c r="B367" s="38"/>
      <c r="C367" s="38"/>
      <c r="D367" s="37"/>
      <c r="E367" s="36"/>
      <c r="F367" s="36"/>
      <c r="G367" s="35"/>
    </row>
    <row r="368" spans="1:7" x14ac:dyDescent="0.25">
      <c r="A368" s="39"/>
      <c r="B368" s="38"/>
      <c r="C368" s="38"/>
      <c r="D368" s="37"/>
      <c r="E368" s="36"/>
      <c r="F368" s="36"/>
      <c r="G368" s="35"/>
    </row>
    <row r="369" spans="1:7" x14ac:dyDescent="0.25">
      <c r="A369" s="39"/>
      <c r="B369" s="38"/>
      <c r="C369" s="38"/>
      <c r="D369" s="37"/>
      <c r="E369" s="36"/>
      <c r="F369" s="36"/>
      <c r="G369" s="35"/>
    </row>
    <row r="370" spans="1:7" x14ac:dyDescent="0.25">
      <c r="A370" s="39"/>
      <c r="B370" s="38"/>
      <c r="C370" s="38"/>
      <c r="D370" s="37"/>
      <c r="E370" s="36"/>
      <c r="F370" s="36"/>
      <c r="G370" s="35"/>
    </row>
    <row r="371" spans="1:7" x14ac:dyDescent="0.25">
      <c r="A371" s="39"/>
      <c r="B371" s="38"/>
      <c r="C371" s="38"/>
      <c r="D371" s="37"/>
      <c r="E371" s="36"/>
      <c r="F371" s="36"/>
      <c r="G371" s="35"/>
    </row>
    <row r="372" spans="1:7" x14ac:dyDescent="0.25">
      <c r="A372" s="39"/>
      <c r="B372" s="38"/>
      <c r="C372" s="38"/>
      <c r="D372" s="37"/>
      <c r="E372" s="36"/>
      <c r="F372" s="36"/>
      <c r="G372" s="35"/>
    </row>
    <row r="373" spans="1:7" x14ac:dyDescent="0.25">
      <c r="A373" s="39"/>
      <c r="B373" s="38"/>
      <c r="C373" s="38"/>
      <c r="D373" s="37"/>
      <c r="E373" s="36"/>
      <c r="F373" s="36"/>
      <c r="G373" s="35"/>
    </row>
    <row r="374" spans="1:7" x14ac:dyDescent="0.25">
      <c r="A374" s="39"/>
      <c r="B374" s="38"/>
      <c r="C374" s="38"/>
      <c r="D374" s="37"/>
      <c r="E374" s="36"/>
      <c r="F374" s="36"/>
      <c r="G374" s="35"/>
    </row>
    <row r="375" spans="1:7" x14ac:dyDescent="0.25">
      <c r="A375" s="39"/>
      <c r="B375" s="38"/>
      <c r="C375" s="38"/>
      <c r="D375" s="37"/>
      <c r="E375" s="36"/>
      <c r="F375" s="36"/>
      <c r="G375" s="35"/>
    </row>
    <row r="376" spans="1:7" x14ac:dyDescent="0.25">
      <c r="A376" s="39"/>
      <c r="B376" s="38"/>
      <c r="C376" s="38"/>
      <c r="D376" s="37"/>
      <c r="E376" s="36"/>
      <c r="F376" s="36"/>
      <c r="G376" s="35"/>
    </row>
    <row r="377" spans="1:7" x14ac:dyDescent="0.25">
      <c r="A377" s="39"/>
      <c r="B377" s="38"/>
      <c r="C377" s="38"/>
      <c r="D377" s="37"/>
      <c r="E377" s="36"/>
      <c r="F377" s="36"/>
      <c r="G377" s="35"/>
    </row>
    <row r="378" spans="1:7" x14ac:dyDescent="0.25">
      <c r="A378" s="39"/>
      <c r="B378" s="38"/>
      <c r="C378" s="38"/>
      <c r="D378" s="37"/>
      <c r="E378" s="36"/>
      <c r="F378" s="36"/>
      <c r="G378" s="35"/>
    </row>
    <row r="379" spans="1:7" x14ac:dyDescent="0.25">
      <c r="A379" s="39"/>
      <c r="B379" s="38"/>
      <c r="C379" s="38"/>
      <c r="D379" s="37"/>
      <c r="E379" s="36"/>
      <c r="F379" s="36"/>
      <c r="G379" s="35"/>
    </row>
    <row r="380" spans="1:7" x14ac:dyDescent="0.25">
      <c r="A380" s="39"/>
      <c r="B380" s="38"/>
      <c r="C380" s="38"/>
      <c r="D380" s="37"/>
      <c r="E380" s="36"/>
      <c r="F380" s="36"/>
      <c r="G380" s="35"/>
    </row>
    <row r="381" spans="1:7" x14ac:dyDescent="0.25">
      <c r="A381" s="39"/>
      <c r="B381" s="38"/>
      <c r="C381" s="38"/>
      <c r="D381" s="37"/>
      <c r="E381" s="36"/>
      <c r="F381" s="36"/>
      <c r="G381" s="35"/>
    </row>
    <row r="382" spans="1:7" x14ac:dyDescent="0.25">
      <c r="A382" s="39"/>
      <c r="B382" s="38"/>
      <c r="C382" s="38"/>
      <c r="D382" s="37"/>
      <c r="E382" s="36"/>
      <c r="F382" s="36"/>
      <c r="G382" s="35"/>
    </row>
    <row r="383" spans="1:7" x14ac:dyDescent="0.25">
      <c r="A383" s="39"/>
      <c r="B383" s="38"/>
      <c r="C383" s="38"/>
      <c r="D383" s="37"/>
      <c r="E383" s="36"/>
      <c r="F383" s="36"/>
      <c r="G383" s="35"/>
    </row>
    <row r="384" spans="1:7" x14ac:dyDescent="0.25">
      <c r="A384" s="39"/>
      <c r="B384" s="38"/>
      <c r="C384" s="38"/>
      <c r="D384" s="37"/>
      <c r="E384" s="36"/>
      <c r="F384" s="36"/>
      <c r="G384" s="35"/>
    </row>
    <row r="385" spans="1:7" x14ac:dyDescent="0.25">
      <c r="A385" s="39"/>
      <c r="B385" s="38"/>
      <c r="C385" s="38"/>
      <c r="D385" s="37"/>
      <c r="E385" s="36"/>
      <c r="F385" s="36"/>
      <c r="G385" s="35"/>
    </row>
    <row r="386" spans="1:7" x14ac:dyDescent="0.25">
      <c r="A386" s="39"/>
      <c r="B386" s="38"/>
      <c r="C386" s="38"/>
      <c r="D386" s="37"/>
      <c r="E386" s="36"/>
      <c r="F386" s="36"/>
      <c r="G386" s="35"/>
    </row>
    <row r="387" spans="1:7" x14ac:dyDescent="0.25">
      <c r="A387" s="39"/>
      <c r="B387" s="38"/>
      <c r="C387" s="38"/>
      <c r="D387" s="37"/>
      <c r="E387" s="36"/>
      <c r="F387" s="36"/>
      <c r="G387" s="35"/>
    </row>
    <row r="388" spans="1:7" x14ac:dyDescent="0.25">
      <c r="A388" s="39"/>
      <c r="B388" s="38"/>
      <c r="C388" s="38"/>
      <c r="D388" s="37"/>
      <c r="E388" s="36"/>
      <c r="F388" s="36"/>
      <c r="G388" s="35"/>
    </row>
    <row r="389" spans="1:7" x14ac:dyDescent="0.25">
      <c r="A389" s="39"/>
      <c r="B389" s="38"/>
      <c r="C389" s="38"/>
      <c r="D389" s="37"/>
      <c r="E389" s="36"/>
      <c r="F389" s="36"/>
      <c r="G389" s="35"/>
    </row>
    <row r="390" spans="1:7" x14ac:dyDescent="0.25">
      <c r="A390" s="39"/>
      <c r="B390" s="38"/>
      <c r="C390" s="38"/>
      <c r="D390" s="37"/>
      <c r="E390" s="36"/>
      <c r="F390" s="36"/>
      <c r="G390" s="35"/>
    </row>
    <row r="391" spans="1:7" x14ac:dyDescent="0.25">
      <c r="A391" s="39"/>
      <c r="B391" s="38"/>
      <c r="C391" s="38"/>
      <c r="D391" s="37"/>
      <c r="E391" s="36"/>
      <c r="F391" s="36"/>
      <c r="G391" s="35"/>
    </row>
    <row r="392" spans="1:7" x14ac:dyDescent="0.25">
      <c r="A392" s="39"/>
      <c r="B392" s="38"/>
      <c r="C392" s="38"/>
      <c r="D392" s="37"/>
      <c r="E392" s="36"/>
      <c r="F392" s="36"/>
      <c r="G392" s="35"/>
    </row>
    <row r="393" spans="1:7" x14ac:dyDescent="0.25">
      <c r="A393" s="39"/>
      <c r="B393" s="38"/>
      <c r="C393" s="38"/>
      <c r="D393" s="37"/>
      <c r="E393" s="36"/>
      <c r="F393" s="36"/>
      <c r="G393" s="35"/>
    </row>
    <row r="394" spans="1:7" x14ac:dyDescent="0.25">
      <c r="A394" s="39"/>
      <c r="B394" s="38"/>
      <c r="C394" s="38"/>
      <c r="D394" s="37"/>
      <c r="E394" s="36"/>
      <c r="F394" s="36"/>
      <c r="G394" s="35"/>
    </row>
    <row r="395" spans="1:7" x14ac:dyDescent="0.25">
      <c r="A395" s="39"/>
      <c r="B395" s="38"/>
      <c r="C395" s="38"/>
      <c r="D395" s="37"/>
      <c r="E395" s="36"/>
      <c r="F395" s="36"/>
      <c r="G395" s="35"/>
    </row>
    <row r="396" spans="1:7" x14ac:dyDescent="0.25">
      <c r="A396" s="39"/>
      <c r="B396" s="38"/>
      <c r="C396" s="38"/>
      <c r="D396" s="37"/>
      <c r="E396" s="36"/>
      <c r="F396" s="36"/>
      <c r="G396" s="35"/>
    </row>
    <row r="397" spans="1:7" x14ac:dyDescent="0.25">
      <c r="A397" s="39"/>
      <c r="B397" s="38"/>
      <c r="C397" s="38"/>
      <c r="D397" s="37"/>
      <c r="E397" s="36"/>
      <c r="F397" s="36"/>
      <c r="G397" s="35"/>
    </row>
    <row r="398" spans="1:7" x14ac:dyDescent="0.25">
      <c r="A398" s="39"/>
      <c r="B398" s="38"/>
      <c r="C398" s="38"/>
      <c r="D398" s="37"/>
      <c r="E398" s="36"/>
      <c r="F398" s="36"/>
      <c r="G398" s="35"/>
    </row>
    <row r="399" spans="1:7" x14ac:dyDescent="0.25">
      <c r="A399" s="39"/>
      <c r="B399" s="38"/>
      <c r="C399" s="38"/>
      <c r="D399" s="37"/>
      <c r="E399" s="36"/>
      <c r="F399" s="36"/>
      <c r="G399" s="35"/>
    </row>
    <row r="400" spans="1:7" x14ac:dyDescent="0.25">
      <c r="A400" s="39"/>
      <c r="B400" s="38"/>
      <c r="C400" s="38"/>
      <c r="D400" s="37"/>
      <c r="E400" s="36"/>
      <c r="F400" s="36"/>
      <c r="G400" s="35"/>
    </row>
    <row r="401" spans="1:7" x14ac:dyDescent="0.25">
      <c r="A401" s="39"/>
      <c r="B401" s="38"/>
      <c r="C401" s="38"/>
      <c r="D401" s="37"/>
      <c r="E401" s="36"/>
      <c r="F401" s="36"/>
      <c r="G401" s="35"/>
    </row>
    <row r="402" spans="1:7" x14ac:dyDescent="0.25">
      <c r="A402" s="39"/>
      <c r="B402" s="38"/>
      <c r="C402" s="38"/>
      <c r="D402" s="37"/>
      <c r="E402" s="36"/>
      <c r="F402" s="36"/>
      <c r="G402" s="35"/>
    </row>
    <row r="403" spans="1:7" x14ac:dyDescent="0.25">
      <c r="A403" s="39"/>
      <c r="B403" s="38"/>
      <c r="C403" s="38"/>
      <c r="D403" s="37"/>
      <c r="E403" s="36"/>
      <c r="F403" s="36"/>
      <c r="G403" s="35"/>
    </row>
    <row r="404" spans="1:7" x14ac:dyDescent="0.25">
      <c r="A404" s="39"/>
      <c r="B404" s="38"/>
      <c r="C404" s="38"/>
      <c r="D404" s="37"/>
      <c r="E404" s="36"/>
      <c r="F404" s="36"/>
      <c r="G404" s="35"/>
    </row>
    <row r="405" spans="1:7" x14ac:dyDescent="0.25">
      <c r="A405" s="39"/>
      <c r="B405" s="38"/>
      <c r="C405" s="38"/>
      <c r="D405" s="37"/>
      <c r="E405" s="36"/>
      <c r="F405" s="36"/>
      <c r="G405" s="35"/>
    </row>
    <row r="406" spans="1:7" x14ac:dyDescent="0.25">
      <c r="A406" s="39"/>
      <c r="B406" s="38"/>
      <c r="C406" s="38"/>
      <c r="D406" s="37"/>
      <c r="E406" s="36"/>
      <c r="F406" s="36"/>
      <c r="G406" s="35"/>
    </row>
    <row r="407" spans="1:7" x14ac:dyDescent="0.25">
      <c r="A407" s="39"/>
      <c r="B407" s="38"/>
      <c r="C407" s="38"/>
      <c r="D407" s="37"/>
      <c r="E407" s="36"/>
      <c r="F407" s="36"/>
      <c r="G407" s="35"/>
    </row>
    <row r="408" spans="1:7" x14ac:dyDescent="0.25">
      <c r="A408" s="39"/>
      <c r="B408" s="38"/>
      <c r="C408" s="38"/>
      <c r="D408" s="37"/>
      <c r="E408" s="36"/>
      <c r="F408" s="36"/>
      <c r="G408" s="35"/>
    </row>
    <row r="409" spans="1:7" x14ac:dyDescent="0.25">
      <c r="A409" s="39"/>
      <c r="B409" s="38"/>
      <c r="C409" s="38"/>
      <c r="D409" s="37"/>
      <c r="E409" s="36"/>
      <c r="F409" s="36"/>
      <c r="G409" s="35"/>
    </row>
    <row r="410" spans="1:7" x14ac:dyDescent="0.25">
      <c r="A410" s="39"/>
      <c r="B410" s="38"/>
      <c r="C410" s="38"/>
      <c r="D410" s="37"/>
      <c r="E410" s="36"/>
      <c r="F410" s="36"/>
      <c r="G410" s="35"/>
    </row>
    <row r="411" spans="1:7" x14ac:dyDescent="0.25">
      <c r="A411" s="39"/>
      <c r="B411" s="38"/>
      <c r="C411" s="38"/>
      <c r="D411" s="37"/>
      <c r="E411" s="36"/>
      <c r="F411" s="36"/>
      <c r="G411" s="35"/>
    </row>
    <row r="412" spans="1:7" x14ac:dyDescent="0.25">
      <c r="A412" s="39"/>
      <c r="B412" s="38"/>
      <c r="C412" s="38"/>
      <c r="D412" s="37"/>
      <c r="E412" s="36"/>
      <c r="F412" s="36"/>
      <c r="G412" s="35"/>
    </row>
    <row r="413" spans="1:7" x14ac:dyDescent="0.25">
      <c r="A413" s="39"/>
      <c r="B413" s="38"/>
      <c r="C413" s="38"/>
      <c r="D413" s="37"/>
      <c r="E413" s="36"/>
      <c r="F413" s="36"/>
      <c r="G413" s="35"/>
    </row>
    <row r="414" spans="1:7" x14ac:dyDescent="0.25">
      <c r="A414" s="39"/>
      <c r="B414" s="38"/>
      <c r="C414" s="38"/>
      <c r="D414" s="37"/>
      <c r="E414" s="36"/>
      <c r="F414" s="36"/>
      <c r="G414" s="35"/>
    </row>
    <row r="415" spans="1:7" x14ac:dyDescent="0.25">
      <c r="A415" s="39"/>
      <c r="B415" s="38"/>
      <c r="C415" s="38"/>
      <c r="D415" s="37"/>
      <c r="E415" s="36"/>
      <c r="F415" s="36"/>
      <c r="G415" s="35"/>
    </row>
    <row r="416" spans="1:7" x14ac:dyDescent="0.25">
      <c r="A416" s="39"/>
      <c r="B416" s="38"/>
      <c r="C416" s="38"/>
      <c r="D416" s="37"/>
      <c r="E416" s="36"/>
      <c r="F416" s="36"/>
      <c r="G416" s="35"/>
    </row>
    <row r="417" spans="1:7" x14ac:dyDescent="0.25">
      <c r="A417" s="39"/>
      <c r="B417" s="38"/>
      <c r="C417" s="38"/>
      <c r="D417" s="37"/>
      <c r="E417" s="36"/>
      <c r="F417" s="36"/>
      <c r="G417" s="35"/>
    </row>
    <row r="418" spans="1:7" x14ac:dyDescent="0.25">
      <c r="A418" s="39"/>
      <c r="B418" s="38"/>
      <c r="C418" s="38"/>
      <c r="D418" s="37"/>
      <c r="E418" s="36"/>
      <c r="F418" s="36"/>
      <c r="G418" s="35"/>
    </row>
    <row r="419" spans="1:7" x14ac:dyDescent="0.25">
      <c r="A419" s="39"/>
      <c r="B419" s="38"/>
      <c r="C419" s="38"/>
      <c r="D419" s="37"/>
      <c r="E419" s="36"/>
      <c r="F419" s="36"/>
      <c r="G419" s="35"/>
    </row>
    <row r="420" spans="1:7" x14ac:dyDescent="0.25">
      <c r="A420" s="39"/>
      <c r="B420" s="38"/>
      <c r="C420" s="38"/>
      <c r="D420" s="37"/>
      <c r="E420" s="36"/>
      <c r="F420" s="36"/>
      <c r="G420" s="35"/>
    </row>
    <row r="421" spans="1:7" x14ac:dyDescent="0.25">
      <c r="A421" s="39"/>
      <c r="B421" s="38"/>
      <c r="C421" s="38"/>
      <c r="D421" s="37"/>
      <c r="E421" s="36"/>
      <c r="F421" s="36"/>
      <c r="G421" s="35"/>
    </row>
    <row r="422" spans="1:7" x14ac:dyDescent="0.25">
      <c r="A422" s="39"/>
      <c r="B422" s="38"/>
      <c r="C422" s="38"/>
      <c r="D422" s="37"/>
      <c r="E422" s="36"/>
      <c r="F422" s="36"/>
      <c r="G422" s="35"/>
    </row>
    <row r="423" spans="1:7" x14ac:dyDescent="0.25">
      <c r="A423" s="39"/>
      <c r="B423" s="38"/>
      <c r="C423" s="38"/>
      <c r="D423" s="37"/>
      <c r="E423" s="36"/>
      <c r="F423" s="36"/>
      <c r="G423" s="35"/>
    </row>
    <row r="424" spans="1:7" x14ac:dyDescent="0.25">
      <c r="A424" s="39"/>
      <c r="B424" s="38"/>
      <c r="C424" s="38"/>
      <c r="D424" s="37"/>
      <c r="E424" s="36"/>
      <c r="F424" s="36"/>
      <c r="G424" s="35"/>
    </row>
    <row r="425" spans="1:7" x14ac:dyDescent="0.25">
      <c r="A425" s="39"/>
      <c r="B425" s="38"/>
      <c r="C425" s="38"/>
      <c r="D425" s="37"/>
      <c r="E425" s="36"/>
      <c r="F425" s="36"/>
      <c r="G425" s="35"/>
    </row>
    <row r="426" spans="1:7" x14ac:dyDescent="0.25">
      <c r="A426" s="39"/>
      <c r="B426" s="38"/>
      <c r="C426" s="38"/>
      <c r="D426" s="37"/>
      <c r="E426" s="36"/>
      <c r="F426" s="36"/>
      <c r="G426" s="35"/>
    </row>
    <row r="427" spans="1:7" x14ac:dyDescent="0.25">
      <c r="A427" s="39"/>
      <c r="B427" s="38"/>
      <c r="C427" s="38"/>
      <c r="D427" s="37"/>
      <c r="E427" s="36"/>
      <c r="F427" s="36"/>
      <c r="G427" s="35"/>
    </row>
    <row r="428" spans="1:7" x14ac:dyDescent="0.25">
      <c r="A428" s="39"/>
      <c r="B428" s="38"/>
      <c r="C428" s="38"/>
      <c r="D428" s="37"/>
      <c r="E428" s="36"/>
      <c r="F428" s="36"/>
      <c r="G428" s="35"/>
    </row>
    <row r="429" spans="1:7" x14ac:dyDescent="0.25">
      <c r="A429" s="39"/>
      <c r="B429" s="38"/>
      <c r="C429" s="38"/>
      <c r="D429" s="37"/>
      <c r="E429" s="36"/>
      <c r="F429" s="36"/>
      <c r="G429" s="35"/>
    </row>
    <row r="430" spans="1:7" x14ac:dyDescent="0.25">
      <c r="A430" s="39"/>
      <c r="B430" s="38"/>
      <c r="C430" s="38"/>
      <c r="D430" s="37"/>
      <c r="E430" s="36"/>
      <c r="F430" s="36"/>
      <c r="G430" s="35"/>
    </row>
    <row r="431" spans="1:7" x14ac:dyDescent="0.25">
      <c r="A431" s="39"/>
      <c r="B431" s="38"/>
      <c r="C431" s="38"/>
      <c r="D431" s="37"/>
      <c r="E431" s="36"/>
      <c r="F431" s="36"/>
      <c r="G431" s="35"/>
    </row>
    <row r="432" spans="1:7" x14ac:dyDescent="0.25">
      <c r="A432" s="39"/>
      <c r="B432" s="38"/>
      <c r="C432" s="38"/>
      <c r="D432" s="37"/>
      <c r="E432" s="36"/>
      <c r="F432" s="36"/>
      <c r="G432" s="35"/>
    </row>
    <row r="433" spans="1:7" x14ac:dyDescent="0.25">
      <c r="A433" s="39"/>
      <c r="B433" s="38"/>
      <c r="C433" s="38"/>
      <c r="D433" s="37"/>
      <c r="E433" s="36"/>
      <c r="F433" s="36"/>
      <c r="G433" s="35"/>
    </row>
    <row r="434" spans="1:7" x14ac:dyDescent="0.25">
      <c r="A434" s="39"/>
      <c r="B434" s="38"/>
      <c r="C434" s="38"/>
      <c r="D434" s="37"/>
      <c r="E434" s="36"/>
      <c r="F434" s="36"/>
      <c r="G434" s="35"/>
    </row>
    <row r="435" spans="1:7" x14ac:dyDescent="0.25">
      <c r="A435" s="39"/>
      <c r="B435" s="38"/>
      <c r="C435" s="38"/>
      <c r="D435" s="37"/>
      <c r="E435" s="36"/>
      <c r="F435" s="36"/>
      <c r="G435" s="35"/>
    </row>
    <row r="436" spans="1:7" x14ac:dyDescent="0.25">
      <c r="A436" s="39"/>
      <c r="B436" s="38"/>
      <c r="C436" s="38"/>
      <c r="D436" s="37"/>
      <c r="E436" s="36"/>
      <c r="F436" s="36"/>
      <c r="G436" s="35"/>
    </row>
    <row r="437" spans="1:7" x14ac:dyDescent="0.25">
      <c r="A437" s="39"/>
      <c r="B437" s="38"/>
      <c r="C437" s="38"/>
      <c r="D437" s="37"/>
      <c r="E437" s="36"/>
      <c r="F437" s="36"/>
      <c r="G437" s="35"/>
    </row>
    <row r="438" spans="1:7" x14ac:dyDescent="0.25">
      <c r="A438" s="39"/>
      <c r="B438" s="38"/>
      <c r="C438" s="38"/>
      <c r="D438" s="37"/>
      <c r="E438" s="36"/>
      <c r="F438" s="36"/>
      <c r="G438" s="35"/>
    </row>
    <row r="439" spans="1:7" x14ac:dyDescent="0.25">
      <c r="A439" s="39"/>
      <c r="B439" s="38"/>
      <c r="C439" s="38"/>
      <c r="D439" s="37"/>
      <c r="E439" s="36"/>
      <c r="F439" s="36"/>
      <c r="G439" s="35"/>
    </row>
    <row r="440" spans="1:7" x14ac:dyDescent="0.25">
      <c r="A440" s="39"/>
      <c r="B440" s="38"/>
      <c r="C440" s="38"/>
      <c r="D440" s="37"/>
      <c r="E440" s="36"/>
      <c r="F440" s="36"/>
      <c r="G440" s="35"/>
    </row>
    <row r="441" spans="1:7" x14ac:dyDescent="0.25">
      <c r="A441" s="39"/>
      <c r="B441" s="38"/>
      <c r="C441" s="38"/>
      <c r="D441" s="37"/>
      <c r="E441" s="36"/>
      <c r="F441" s="36"/>
      <c r="G441" s="35"/>
    </row>
    <row r="442" spans="1:7" x14ac:dyDescent="0.25">
      <c r="A442" s="39"/>
      <c r="B442" s="38"/>
      <c r="C442" s="38"/>
      <c r="D442" s="37"/>
      <c r="E442" s="36"/>
      <c r="F442" s="36"/>
      <c r="G442" s="35"/>
    </row>
    <row r="443" spans="1:7" x14ac:dyDescent="0.25">
      <c r="A443" s="39"/>
      <c r="B443" s="38"/>
      <c r="C443" s="38"/>
      <c r="D443" s="37"/>
      <c r="E443" s="36"/>
      <c r="F443" s="36"/>
      <c r="G443" s="35"/>
    </row>
    <row r="444" spans="1:7" x14ac:dyDescent="0.25">
      <c r="A444" s="39"/>
      <c r="B444" s="38"/>
      <c r="C444" s="38"/>
      <c r="D444" s="37"/>
      <c r="E444" s="36"/>
      <c r="F444" s="36"/>
      <c r="G444" s="35"/>
    </row>
    <row r="445" spans="1:7" x14ac:dyDescent="0.25">
      <c r="A445" s="39"/>
      <c r="B445" s="38"/>
      <c r="C445" s="38"/>
      <c r="D445" s="37"/>
      <c r="E445" s="36"/>
      <c r="F445" s="36"/>
      <c r="G445" s="35"/>
    </row>
    <row r="446" spans="1:7" x14ac:dyDescent="0.25">
      <c r="A446" s="39"/>
      <c r="B446" s="38"/>
      <c r="C446" s="38"/>
      <c r="D446" s="37"/>
      <c r="E446" s="36"/>
      <c r="F446" s="36"/>
      <c r="G446" s="35"/>
    </row>
    <row r="447" spans="1:7" x14ac:dyDescent="0.25">
      <c r="A447" s="39"/>
      <c r="B447" s="38"/>
      <c r="C447" s="38"/>
      <c r="D447" s="37"/>
      <c r="E447" s="36"/>
      <c r="F447" s="36"/>
      <c r="G447" s="35"/>
    </row>
    <row r="448" spans="1:7" x14ac:dyDescent="0.25">
      <c r="A448" s="39"/>
      <c r="B448" s="38"/>
      <c r="C448" s="38"/>
      <c r="D448" s="37"/>
      <c r="E448" s="36"/>
      <c r="F448" s="36"/>
      <c r="G448" s="35"/>
    </row>
    <row r="449" spans="1:7" x14ac:dyDescent="0.25">
      <c r="A449" s="39"/>
      <c r="B449" s="38"/>
      <c r="C449" s="38"/>
      <c r="D449" s="37"/>
      <c r="E449" s="36"/>
      <c r="F449" s="36"/>
      <c r="G449" s="35"/>
    </row>
    <row r="450" spans="1:7" x14ac:dyDescent="0.25">
      <c r="A450" s="39"/>
      <c r="B450" s="38"/>
      <c r="C450" s="38"/>
      <c r="D450" s="37"/>
      <c r="E450" s="36"/>
      <c r="F450" s="36"/>
      <c r="G450" s="35"/>
    </row>
    <row r="451" spans="1:7" x14ac:dyDescent="0.25">
      <c r="A451" s="39"/>
      <c r="B451" s="38"/>
      <c r="C451" s="38"/>
      <c r="D451" s="37"/>
      <c r="E451" s="36"/>
      <c r="F451" s="36"/>
      <c r="G451" s="35"/>
    </row>
    <row r="452" spans="1:7" x14ac:dyDescent="0.25">
      <c r="A452" s="39"/>
      <c r="B452" s="38"/>
      <c r="C452" s="38"/>
      <c r="D452" s="37"/>
      <c r="E452" s="36"/>
      <c r="F452" s="36"/>
      <c r="G452" s="35"/>
    </row>
    <row r="453" spans="1:7" x14ac:dyDescent="0.25">
      <c r="A453" s="39"/>
      <c r="B453" s="38"/>
      <c r="C453" s="38"/>
      <c r="D453" s="37"/>
      <c r="E453" s="36"/>
      <c r="F453" s="36"/>
      <c r="G453" s="35"/>
    </row>
    <row r="454" spans="1:7" x14ac:dyDescent="0.25">
      <c r="A454" s="39"/>
      <c r="B454" s="38"/>
      <c r="C454" s="38"/>
      <c r="D454" s="37"/>
      <c r="E454" s="36"/>
      <c r="F454" s="36"/>
      <c r="G454" s="35"/>
    </row>
    <row r="455" spans="1:7" x14ac:dyDescent="0.25">
      <c r="A455" s="39"/>
      <c r="B455" s="38"/>
      <c r="C455" s="38"/>
      <c r="D455" s="37"/>
      <c r="E455" s="36"/>
      <c r="F455" s="36"/>
      <c r="G455" s="35"/>
    </row>
    <row r="456" spans="1:7" x14ac:dyDescent="0.25">
      <c r="A456" s="39"/>
      <c r="B456" s="38"/>
      <c r="C456" s="38"/>
      <c r="D456" s="37"/>
      <c r="E456" s="36"/>
      <c r="F456" s="36"/>
      <c r="G456" s="35"/>
    </row>
    <row r="457" spans="1:7" x14ac:dyDescent="0.25">
      <c r="A457" s="39"/>
      <c r="B457" s="38"/>
      <c r="C457" s="38"/>
      <c r="D457" s="37"/>
      <c r="E457" s="36"/>
      <c r="F457" s="36"/>
      <c r="G457" s="35"/>
    </row>
    <row r="458" spans="1:7" x14ac:dyDescent="0.25">
      <c r="A458" s="39"/>
      <c r="B458" s="38"/>
      <c r="C458" s="38"/>
      <c r="D458" s="37"/>
      <c r="E458" s="36"/>
      <c r="F458" s="36"/>
      <c r="G458" s="35"/>
    </row>
    <row r="459" spans="1:7" x14ac:dyDescent="0.25">
      <c r="A459" s="39"/>
      <c r="B459" s="38"/>
      <c r="C459" s="38"/>
      <c r="D459" s="37"/>
      <c r="E459" s="36"/>
      <c r="F459" s="36"/>
      <c r="G459" s="35"/>
    </row>
    <row r="460" spans="1:7" x14ac:dyDescent="0.25">
      <c r="A460" s="39"/>
      <c r="B460" s="38"/>
      <c r="C460" s="38"/>
      <c r="D460" s="37"/>
      <c r="E460" s="36"/>
      <c r="F460" s="36"/>
      <c r="G460" s="35"/>
    </row>
    <row r="461" spans="1:7" x14ac:dyDescent="0.25">
      <c r="A461" s="39"/>
      <c r="B461" s="38"/>
      <c r="C461" s="38"/>
      <c r="D461" s="37"/>
      <c r="E461" s="36"/>
      <c r="F461" s="36"/>
      <c r="G461" s="35"/>
    </row>
    <row r="462" spans="1:7" x14ac:dyDescent="0.25">
      <c r="A462" s="39"/>
      <c r="B462" s="38"/>
      <c r="C462" s="38"/>
      <c r="D462" s="37"/>
      <c r="E462" s="36"/>
      <c r="F462" s="36"/>
      <c r="G462" s="35"/>
    </row>
    <row r="463" spans="1:7" x14ac:dyDescent="0.25">
      <c r="A463" s="39"/>
      <c r="B463" s="38"/>
      <c r="C463" s="38"/>
      <c r="D463" s="37"/>
      <c r="E463" s="36"/>
      <c r="F463" s="36"/>
      <c r="G463" s="35"/>
    </row>
    <row r="464" spans="1:7" x14ac:dyDescent="0.25">
      <c r="A464" s="39"/>
      <c r="B464" s="38"/>
      <c r="C464" s="38"/>
      <c r="D464" s="37"/>
      <c r="E464" s="36"/>
      <c r="F464" s="36"/>
      <c r="G464" s="35"/>
    </row>
    <row r="465" spans="1:7" x14ac:dyDescent="0.25">
      <c r="A465" s="39"/>
      <c r="B465" s="38"/>
      <c r="C465" s="38"/>
      <c r="D465" s="37"/>
      <c r="E465" s="36"/>
      <c r="F465" s="36"/>
      <c r="G465" s="35"/>
    </row>
    <row r="466" spans="1:7" x14ac:dyDescent="0.25">
      <c r="A466" s="39"/>
      <c r="B466" s="38"/>
      <c r="C466" s="38"/>
      <c r="D466" s="37"/>
      <c r="E466" s="36"/>
      <c r="F466" s="36"/>
      <c r="G466" s="35"/>
    </row>
    <row r="467" spans="1:7" x14ac:dyDescent="0.25">
      <c r="A467" s="39"/>
      <c r="B467" s="38"/>
      <c r="C467" s="38"/>
      <c r="D467" s="37"/>
      <c r="E467" s="36"/>
      <c r="F467" s="36"/>
      <c r="G467" s="35"/>
    </row>
    <row r="468" spans="1:7" x14ac:dyDescent="0.25">
      <c r="A468" s="39"/>
      <c r="B468" s="38"/>
      <c r="C468" s="38"/>
      <c r="D468" s="37"/>
      <c r="E468" s="36"/>
      <c r="F468" s="36"/>
      <c r="G468" s="35"/>
    </row>
    <row r="469" spans="1:7" x14ac:dyDescent="0.25">
      <c r="A469" s="39"/>
      <c r="B469" s="38"/>
      <c r="C469" s="38"/>
      <c r="D469" s="37"/>
      <c r="E469" s="36"/>
      <c r="F469" s="36"/>
      <c r="G469" s="35"/>
    </row>
    <row r="470" spans="1:7" x14ac:dyDescent="0.25">
      <c r="A470" s="39"/>
      <c r="B470" s="38"/>
      <c r="C470" s="38"/>
      <c r="D470" s="37"/>
      <c r="E470" s="36"/>
      <c r="F470" s="36"/>
      <c r="G470" s="35"/>
    </row>
    <row r="471" spans="1:7" x14ac:dyDescent="0.25">
      <c r="A471" s="39"/>
      <c r="B471" s="38"/>
      <c r="C471" s="38"/>
      <c r="D471" s="37"/>
      <c r="E471" s="36"/>
      <c r="F471" s="36"/>
      <c r="G471" s="35"/>
    </row>
    <row r="472" spans="1:7" x14ac:dyDescent="0.25">
      <c r="A472" s="39"/>
      <c r="B472" s="38"/>
      <c r="C472" s="38"/>
      <c r="D472" s="37"/>
      <c r="E472" s="36"/>
      <c r="F472" s="36"/>
      <c r="G472" s="35"/>
    </row>
    <row r="473" spans="1:7" x14ac:dyDescent="0.25">
      <c r="A473" s="39"/>
      <c r="B473" s="38"/>
      <c r="C473" s="38"/>
      <c r="D473" s="37"/>
      <c r="E473" s="36"/>
      <c r="F473" s="36"/>
      <c r="G473" s="35"/>
    </row>
    <row r="474" spans="1:7" x14ac:dyDescent="0.25">
      <c r="A474" s="39"/>
      <c r="B474" s="38"/>
      <c r="C474" s="38"/>
      <c r="D474" s="37"/>
      <c r="E474" s="36"/>
      <c r="F474" s="36"/>
      <c r="G474" s="35"/>
    </row>
    <row r="475" spans="1:7" x14ac:dyDescent="0.25">
      <c r="A475" s="39"/>
      <c r="B475" s="38"/>
      <c r="C475" s="38"/>
      <c r="D475" s="37"/>
      <c r="E475" s="36"/>
      <c r="F475" s="36"/>
      <c r="G475" s="35"/>
    </row>
    <row r="476" spans="1:7" x14ac:dyDescent="0.25">
      <c r="A476" s="39"/>
      <c r="B476" s="38"/>
      <c r="C476" s="38"/>
      <c r="D476" s="37"/>
      <c r="E476" s="36"/>
      <c r="F476" s="36"/>
      <c r="G476" s="35"/>
    </row>
    <row r="477" spans="1:7" x14ac:dyDescent="0.25">
      <c r="A477" s="39"/>
      <c r="B477" s="38"/>
      <c r="C477" s="38"/>
      <c r="D477" s="37"/>
      <c r="E477" s="36"/>
      <c r="F477" s="36"/>
      <c r="G477" s="35"/>
    </row>
    <row r="478" spans="1:7" x14ac:dyDescent="0.25">
      <c r="A478" s="39"/>
      <c r="B478" s="38"/>
      <c r="C478" s="38"/>
      <c r="D478" s="37"/>
      <c r="E478" s="36"/>
      <c r="F478" s="36"/>
      <c r="G478" s="35"/>
    </row>
    <row r="479" spans="1:7" x14ac:dyDescent="0.25">
      <c r="A479" s="39"/>
      <c r="B479" s="38"/>
      <c r="C479" s="38"/>
      <c r="D479" s="37"/>
      <c r="E479" s="36"/>
      <c r="F479" s="36"/>
      <c r="G479" s="35"/>
    </row>
    <row r="480" spans="1:7" x14ac:dyDescent="0.25">
      <c r="A480" s="39"/>
      <c r="B480" s="38"/>
      <c r="C480" s="38"/>
      <c r="D480" s="37"/>
      <c r="E480" s="36"/>
      <c r="F480" s="36"/>
      <c r="G480" s="35"/>
    </row>
    <row r="481" spans="1:7" x14ac:dyDescent="0.25">
      <c r="A481" s="39"/>
      <c r="B481" s="38"/>
      <c r="C481" s="38"/>
      <c r="D481" s="37"/>
      <c r="E481" s="36"/>
      <c r="F481" s="36"/>
      <c r="G481" s="35"/>
    </row>
    <row r="482" spans="1:7" x14ac:dyDescent="0.25">
      <c r="A482" s="39"/>
      <c r="B482" s="38"/>
      <c r="C482" s="38"/>
      <c r="D482" s="37"/>
      <c r="E482" s="36"/>
      <c r="F482" s="36"/>
      <c r="G482" s="35"/>
    </row>
    <row r="483" spans="1:7" x14ac:dyDescent="0.25">
      <c r="A483" s="39"/>
      <c r="B483" s="38"/>
      <c r="C483" s="38"/>
      <c r="D483" s="37"/>
      <c r="E483" s="36"/>
      <c r="F483" s="36"/>
      <c r="G483" s="35"/>
    </row>
    <row r="484" spans="1:7" x14ac:dyDescent="0.25">
      <c r="A484" s="39"/>
      <c r="B484" s="38"/>
      <c r="C484" s="38"/>
      <c r="D484" s="37"/>
      <c r="E484" s="36"/>
      <c r="F484" s="36"/>
      <c r="G484" s="35"/>
    </row>
    <row r="485" spans="1:7" x14ac:dyDescent="0.25">
      <c r="A485" s="39"/>
      <c r="B485" s="38"/>
      <c r="C485" s="38"/>
      <c r="D485" s="37"/>
      <c r="E485" s="36"/>
      <c r="F485" s="36"/>
      <c r="G485" s="35"/>
    </row>
    <row r="486" spans="1:7" x14ac:dyDescent="0.25">
      <c r="A486" s="39"/>
      <c r="B486" s="38"/>
      <c r="C486" s="38"/>
      <c r="D486" s="37"/>
      <c r="E486" s="36"/>
      <c r="F486" s="36"/>
      <c r="G486" s="35"/>
    </row>
    <row r="487" spans="1:7" x14ac:dyDescent="0.25">
      <c r="A487" s="39"/>
      <c r="B487" s="38"/>
      <c r="C487" s="38"/>
      <c r="D487" s="37"/>
      <c r="E487" s="36"/>
      <c r="F487" s="36"/>
      <c r="G487" s="35"/>
    </row>
    <row r="488" spans="1:7" x14ac:dyDescent="0.25">
      <c r="A488" s="39"/>
      <c r="B488" s="38"/>
      <c r="C488" s="38"/>
      <c r="D488" s="37"/>
      <c r="E488" s="36"/>
      <c r="F488" s="36"/>
      <c r="G488" s="35"/>
    </row>
    <row r="489" spans="1:7" x14ac:dyDescent="0.25">
      <c r="A489" s="39"/>
      <c r="B489" s="38"/>
      <c r="C489" s="38"/>
      <c r="D489" s="37"/>
      <c r="E489" s="36"/>
      <c r="F489" s="36"/>
      <c r="G489" s="35"/>
    </row>
    <row r="490" spans="1:7" x14ac:dyDescent="0.25">
      <c r="A490" s="39"/>
      <c r="B490" s="38"/>
      <c r="C490" s="38"/>
      <c r="D490" s="37"/>
      <c r="E490" s="36"/>
      <c r="F490" s="36"/>
      <c r="G490" s="35"/>
    </row>
    <row r="491" spans="1:7" x14ac:dyDescent="0.25">
      <c r="A491" s="39"/>
      <c r="B491" s="38"/>
      <c r="C491" s="38"/>
      <c r="D491" s="37"/>
      <c r="E491" s="36"/>
      <c r="F491" s="36"/>
      <c r="G491" s="35"/>
    </row>
    <row r="492" spans="1:7" x14ac:dyDescent="0.25">
      <c r="A492" s="39"/>
      <c r="B492" s="38"/>
      <c r="C492" s="38"/>
      <c r="D492" s="37"/>
      <c r="E492" s="36"/>
      <c r="F492" s="36"/>
      <c r="G492" s="35"/>
    </row>
    <row r="493" spans="1:7" x14ac:dyDescent="0.25">
      <c r="A493" s="39"/>
      <c r="B493" s="38"/>
      <c r="C493" s="38"/>
      <c r="D493" s="37"/>
      <c r="E493" s="36"/>
      <c r="F493" s="36"/>
      <c r="G493" s="35"/>
    </row>
    <row r="494" spans="1:7" x14ac:dyDescent="0.25">
      <c r="A494" s="39"/>
      <c r="B494" s="38"/>
      <c r="C494" s="38"/>
      <c r="D494" s="37"/>
      <c r="E494" s="36"/>
      <c r="F494" s="36"/>
      <c r="G494" s="35"/>
    </row>
    <row r="495" spans="1:7" x14ac:dyDescent="0.25">
      <c r="A495" s="39"/>
      <c r="B495" s="38"/>
      <c r="C495" s="38"/>
      <c r="D495" s="37"/>
      <c r="E495" s="36"/>
      <c r="F495" s="36"/>
      <c r="G495" s="35"/>
    </row>
    <row r="496" spans="1:7" x14ac:dyDescent="0.25">
      <c r="A496" s="39"/>
      <c r="B496" s="38"/>
      <c r="C496" s="38"/>
      <c r="D496" s="37"/>
      <c r="E496" s="36"/>
      <c r="F496" s="36"/>
      <c r="G496" s="35"/>
    </row>
    <row r="497" spans="1:7" x14ac:dyDescent="0.25">
      <c r="A497" s="39"/>
      <c r="B497" s="38"/>
      <c r="C497" s="38"/>
      <c r="D497" s="37"/>
      <c r="E497" s="36"/>
      <c r="F497" s="36"/>
      <c r="G497" s="35"/>
    </row>
    <row r="498" spans="1:7" x14ac:dyDescent="0.25">
      <c r="A498" s="39"/>
      <c r="B498" s="38"/>
      <c r="C498" s="38"/>
      <c r="D498" s="37"/>
      <c r="E498" s="36"/>
      <c r="F498" s="36"/>
      <c r="G498" s="35"/>
    </row>
    <row r="499" spans="1:7" x14ac:dyDescent="0.25">
      <c r="A499" s="39"/>
      <c r="B499" s="38"/>
      <c r="C499" s="38"/>
      <c r="D499" s="37"/>
      <c r="E499" s="36"/>
      <c r="F499" s="36"/>
      <c r="G499" s="35"/>
    </row>
  </sheetData>
  <autoFilter ref="A3:G75" xr:uid="{00000000-0009-0000-0000-000002000000}"/>
  <dataValidations count="1">
    <dataValidation type="list" allowBlank="1" showErrorMessage="1" error="Choose Buy, Sell, Dividend, Dividend Reinvest, or Stock Lending." sqref="C4:C499" xr:uid="{00000000-0002-0000-0200-000000000000}">
      <formula1>"Buy,Sell,Dividend,Dividend Reinvest,Stock Lending"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Positions</vt:lpstr>
      <vt:lpstr>Summary</vt:lpstr>
      <vt:lpstr>Activity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Samuel Heier</cp:lastModifiedBy>
  <cp:revision>1</cp:revision>
  <dcterms:created xsi:type="dcterms:W3CDTF">2026-09-17T15:38:37Z</dcterms:created>
  <dcterms:modified xsi:type="dcterms:W3CDTF">2026-09-17T17:11:30Z</dcterms:modified>
  <dc:language>en-US</dc:language>
</cp:coreProperties>
</file>
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U:\Models\"/>
    </mc:Choice>
  </mc:AlternateContent>
  <xr:revisionPtr revIDLastSave="0" documentId="13_ncr:1_{98BC6E7A-2845-436A-BEE9-0EE1C20967C3}" xr6:coauthVersionLast="47" xr6:coauthVersionMax="47" xr10:uidLastSave="{00000000-0000-0000-0000-000000000000}"/>
  <bookViews>
    <workbookView xWindow="-120" yWindow="-120" windowWidth="29040" windowHeight="15720" tabRatio="500" activeTab="5" xr2:uid="{00000000-000D-0000-FFFF-FFFF00000000}"/>
  </bookViews>
  <sheets>
    <sheet name="Main" sheetId="1" r:id="rId1"/>
    <sheet name="10QIS" sheetId="2" r:id="rId2"/>
    <sheet name="IS" sheetId="3" r:id="rId3"/>
    <sheet name="BS" sheetId="4" r:id="rId4"/>
    <sheet name="CFS" sheetId="5" r:id="rId5"/>
    <sheet name="DCF" sheetId="6" r:id="rId6"/>
    <sheet name="Digital Media" sheetId="7" r:id="rId7"/>
    <sheet name="Digital Experience" sheetId="8" r:id="rId8"/>
    <sheet name="Publishing and Advertising" sheetId="9" r:id="rId9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AC34" i="2" l="1"/>
  <c r="C5" i="1"/>
  <c r="F4" i="6"/>
  <c r="I89" i="6"/>
  <c r="I88" i="6"/>
  <c r="D87" i="6"/>
  <c r="E76" i="6"/>
  <c r="K75" i="6"/>
  <c r="E74" i="6"/>
  <c r="H28" i="6"/>
  <c r="G28" i="6"/>
  <c r="F28" i="6"/>
  <c r="E28" i="6"/>
  <c r="D28" i="6"/>
  <c r="C28" i="6"/>
  <c r="H26" i="6"/>
  <c r="G26" i="6"/>
  <c r="F26" i="6"/>
  <c r="E26" i="6"/>
  <c r="D26" i="6"/>
  <c r="C26" i="6"/>
  <c r="H24" i="6"/>
  <c r="G24" i="6"/>
  <c r="F24" i="6"/>
  <c r="E24" i="6"/>
  <c r="D24" i="6"/>
  <c r="C24" i="6"/>
  <c r="H22" i="6"/>
  <c r="G22" i="6"/>
  <c r="F22" i="6"/>
  <c r="E22" i="6"/>
  <c r="D22" i="6"/>
  <c r="C22" i="6"/>
  <c r="H21" i="6"/>
  <c r="G21" i="6"/>
  <c r="F21" i="6"/>
  <c r="E21" i="6"/>
  <c r="D21" i="6"/>
  <c r="C21" i="6"/>
  <c r="H15" i="6"/>
  <c r="G15" i="6"/>
  <c r="F15" i="6"/>
  <c r="E15" i="6"/>
  <c r="D15" i="6"/>
  <c r="C15" i="6"/>
  <c r="F6" i="6"/>
  <c r="F5" i="6"/>
  <c r="E69" i="6" s="1"/>
  <c r="F7" i="6"/>
  <c r="I34" i="5"/>
  <c r="H34" i="5"/>
  <c r="G34" i="5"/>
  <c r="F34" i="5"/>
  <c r="E34" i="5"/>
  <c r="D34" i="5"/>
  <c r="C34" i="5"/>
  <c r="I26" i="5"/>
  <c r="H26" i="5"/>
  <c r="G26" i="5"/>
  <c r="F26" i="5"/>
  <c r="E26" i="5"/>
  <c r="D26" i="5"/>
  <c r="C26" i="5"/>
  <c r="I17" i="5"/>
  <c r="I37" i="5" s="1"/>
  <c r="I39" i="5" s="1"/>
  <c r="H17" i="5"/>
  <c r="H37" i="5" s="1"/>
  <c r="H39" i="5" s="1"/>
  <c r="G17" i="5"/>
  <c r="G37" i="5" s="1"/>
  <c r="G39" i="5" s="1"/>
  <c r="F17" i="5"/>
  <c r="F37" i="5" s="1"/>
  <c r="F39" i="5" s="1"/>
  <c r="E17" i="5"/>
  <c r="E37" i="5" s="1"/>
  <c r="E39" i="5" s="1"/>
  <c r="D17" i="5"/>
  <c r="D37" i="5" s="1"/>
  <c r="D39" i="5" s="1"/>
  <c r="C17" i="5"/>
  <c r="C37" i="5" s="1"/>
  <c r="C39" i="5" s="1"/>
  <c r="H35" i="4"/>
  <c r="G35" i="4"/>
  <c r="F35" i="4"/>
  <c r="E35" i="4"/>
  <c r="D35" i="4"/>
  <c r="C35" i="4"/>
  <c r="H22" i="4"/>
  <c r="H29" i="4" s="1"/>
  <c r="H36" i="4" s="1"/>
  <c r="G22" i="4"/>
  <c r="G29" i="4" s="1"/>
  <c r="G36" i="4" s="1"/>
  <c r="F22" i="4"/>
  <c r="F29" i="4" s="1"/>
  <c r="F36" i="4" s="1"/>
  <c r="E22" i="4"/>
  <c r="E29" i="4" s="1"/>
  <c r="E36" i="4" s="1"/>
  <c r="D22" i="4"/>
  <c r="D29" i="4" s="1"/>
  <c r="D36" i="4" s="1"/>
  <c r="C22" i="4"/>
  <c r="C29" i="4" s="1"/>
  <c r="C36" i="4" s="1"/>
  <c r="H7" i="4"/>
  <c r="H14" i="4" s="1"/>
  <c r="H37" i="4" s="1"/>
  <c r="G7" i="4"/>
  <c r="G14" i="4" s="1"/>
  <c r="G37" i="4" s="1"/>
  <c r="F7" i="4"/>
  <c r="F14" i="4" s="1"/>
  <c r="F37" i="4" s="1"/>
  <c r="E7" i="4"/>
  <c r="E14" i="4" s="1"/>
  <c r="E37" i="4" s="1"/>
  <c r="D7" i="4"/>
  <c r="D14" i="4" s="1"/>
  <c r="D37" i="4" s="1"/>
  <c r="C7" i="4"/>
  <c r="C14" i="4" s="1"/>
  <c r="C37" i="4" s="1"/>
  <c r="N34" i="3"/>
  <c r="M34" i="3"/>
  <c r="L34" i="3"/>
  <c r="K34" i="3"/>
  <c r="J34" i="3"/>
  <c r="G31" i="3"/>
  <c r="G29" i="3"/>
  <c r="C27" i="3"/>
  <c r="G26" i="3"/>
  <c r="G25" i="3"/>
  <c r="G24" i="3"/>
  <c r="G23" i="3"/>
  <c r="G22" i="3"/>
  <c r="G27" i="3" s="1"/>
  <c r="G20" i="3"/>
  <c r="C19" i="3"/>
  <c r="C21" i="3" s="1"/>
  <c r="C28" i="3" s="1"/>
  <c r="C30" i="3" s="1"/>
  <c r="C32" i="3" s="1"/>
  <c r="C33" i="3" s="1"/>
  <c r="G18" i="3"/>
  <c r="G17" i="3"/>
  <c r="G16" i="3"/>
  <c r="G19" i="3" s="1"/>
  <c r="K12" i="3"/>
  <c r="L12" i="3" s="1"/>
  <c r="M12" i="3" s="1"/>
  <c r="N12" i="3" s="1"/>
  <c r="C12" i="3"/>
  <c r="K11" i="3"/>
  <c r="G11" i="3"/>
  <c r="C11" i="3"/>
  <c r="K10" i="3"/>
  <c r="L10" i="3" s="1"/>
  <c r="M10" i="3" s="1"/>
  <c r="N10" i="3" s="1"/>
  <c r="G10" i="3"/>
  <c r="C10" i="3"/>
  <c r="K9" i="3"/>
  <c r="L9" i="3" s="1"/>
  <c r="M9" i="3" s="1"/>
  <c r="N9" i="3" s="1"/>
  <c r="G9" i="3"/>
  <c r="C9" i="3"/>
  <c r="K8" i="3"/>
  <c r="L8" i="3" s="1"/>
  <c r="M8" i="3" s="1"/>
  <c r="N8" i="3" s="1"/>
  <c r="G8" i="3"/>
  <c r="C8" i="3"/>
  <c r="C7" i="3"/>
  <c r="K5" i="3"/>
  <c r="L5" i="3" s="1"/>
  <c r="M5" i="3" s="1"/>
  <c r="N5" i="3" s="1"/>
  <c r="K4" i="3"/>
  <c r="L4" i="3" s="1"/>
  <c r="M4" i="3" s="1"/>
  <c r="N4" i="3" s="1"/>
  <c r="K3" i="3"/>
  <c r="L3" i="3" s="1"/>
  <c r="M3" i="3" s="1"/>
  <c r="N3" i="3" s="1"/>
  <c r="N2" i="3"/>
  <c r="M2" i="3"/>
  <c r="L2" i="3"/>
  <c r="K2" i="3"/>
  <c r="J2" i="3"/>
  <c r="I2" i="3"/>
  <c r="H2" i="3"/>
  <c r="G2" i="3"/>
  <c r="F2" i="3"/>
  <c r="E2" i="3"/>
  <c r="D2" i="3"/>
  <c r="C2" i="3"/>
  <c r="AC28" i="2"/>
  <c r="AB28" i="2"/>
  <c r="AA28" i="2"/>
  <c r="Y28" i="2"/>
  <c r="X28" i="2"/>
  <c r="W28" i="2"/>
  <c r="U28" i="2"/>
  <c r="T28" i="2"/>
  <c r="S28" i="2"/>
  <c r="Q28" i="2"/>
  <c r="P28" i="2"/>
  <c r="O28" i="2"/>
  <c r="M28" i="2"/>
  <c r="L28" i="2"/>
  <c r="K28" i="2"/>
  <c r="I28" i="2"/>
  <c r="H28" i="2"/>
  <c r="G28" i="2"/>
  <c r="AC27" i="2"/>
  <c r="AB27" i="2"/>
  <c r="AA27" i="2"/>
  <c r="Y27" i="2"/>
  <c r="X27" i="2"/>
  <c r="W27" i="2"/>
  <c r="U27" i="2"/>
  <c r="T27" i="2"/>
  <c r="S27" i="2"/>
  <c r="Q27" i="2"/>
  <c r="P27" i="2"/>
  <c r="O27" i="2"/>
  <c r="M27" i="2"/>
  <c r="L27" i="2"/>
  <c r="K27" i="2"/>
  <c r="I27" i="2"/>
  <c r="H27" i="2"/>
  <c r="G27" i="2"/>
  <c r="AC26" i="2"/>
  <c r="AB26" i="2"/>
  <c r="AA26" i="2"/>
  <c r="Y26" i="2"/>
  <c r="X26" i="2"/>
  <c r="W26" i="2"/>
  <c r="U26" i="2"/>
  <c r="T26" i="2"/>
  <c r="S26" i="2"/>
  <c r="Q26" i="2"/>
  <c r="P26" i="2"/>
  <c r="O26" i="2"/>
  <c r="M26" i="2"/>
  <c r="L26" i="2"/>
  <c r="K26" i="2"/>
  <c r="I26" i="2"/>
  <c r="H26" i="2"/>
  <c r="G26" i="2"/>
  <c r="Z20" i="2"/>
  <c r="V20" i="2"/>
  <c r="N20" i="2"/>
  <c r="J20" i="2"/>
  <c r="F20" i="2"/>
  <c r="Z18" i="2"/>
  <c r="I29" i="3" s="1"/>
  <c r="V18" i="2"/>
  <c r="H29" i="3" s="1"/>
  <c r="N18" i="2"/>
  <c r="F29" i="3" s="1"/>
  <c r="J18" i="2"/>
  <c r="E29" i="3" s="1"/>
  <c r="F18" i="2"/>
  <c r="D29" i="3" s="1"/>
  <c r="AC16" i="2"/>
  <c r="AB16" i="2"/>
  <c r="AA16" i="2"/>
  <c r="Y16" i="2"/>
  <c r="X16" i="2"/>
  <c r="W16" i="2"/>
  <c r="U16" i="2"/>
  <c r="T16" i="2"/>
  <c r="S16" i="2"/>
  <c r="R16" i="2"/>
  <c r="Q16" i="2"/>
  <c r="P16" i="2"/>
  <c r="O16" i="2"/>
  <c r="M16" i="2"/>
  <c r="L16" i="2"/>
  <c r="K16" i="2"/>
  <c r="I16" i="2"/>
  <c r="H16" i="2"/>
  <c r="G16" i="2"/>
  <c r="E16" i="2"/>
  <c r="D16" i="2"/>
  <c r="C16" i="2"/>
  <c r="Z15" i="2"/>
  <c r="I26" i="3" s="1"/>
  <c r="V15" i="2"/>
  <c r="H26" i="3" s="1"/>
  <c r="N15" i="2"/>
  <c r="F26" i="3" s="1"/>
  <c r="J15" i="2"/>
  <c r="E26" i="3" s="1"/>
  <c r="F15" i="2"/>
  <c r="D26" i="3" s="1"/>
  <c r="Z14" i="2"/>
  <c r="I25" i="3" s="1"/>
  <c r="V14" i="2"/>
  <c r="H25" i="3" s="1"/>
  <c r="N14" i="2"/>
  <c r="F25" i="3" s="1"/>
  <c r="J14" i="2"/>
  <c r="E25" i="3" s="1"/>
  <c r="F14" i="2"/>
  <c r="D25" i="3" s="1"/>
  <c r="Z13" i="2"/>
  <c r="V13" i="2"/>
  <c r="N13" i="2"/>
  <c r="J13" i="2"/>
  <c r="F13" i="2"/>
  <c r="Z12" i="2"/>
  <c r="V12" i="2"/>
  <c r="N12" i="2"/>
  <c r="J12" i="2"/>
  <c r="F12" i="2"/>
  <c r="Z11" i="2"/>
  <c r="V11" i="2"/>
  <c r="N11" i="2"/>
  <c r="J11" i="2"/>
  <c r="F11" i="2"/>
  <c r="Z9" i="2"/>
  <c r="I20" i="3" s="1"/>
  <c r="V9" i="2"/>
  <c r="H20" i="3" s="1"/>
  <c r="N9" i="2"/>
  <c r="F20" i="3" s="1"/>
  <c r="J9" i="2"/>
  <c r="E20" i="3" s="1"/>
  <c r="F9" i="2"/>
  <c r="D20" i="3" s="1"/>
  <c r="AC8" i="2"/>
  <c r="AB8" i="2"/>
  <c r="AA8" i="2"/>
  <c r="Y8" i="2"/>
  <c r="X8" i="2"/>
  <c r="W8" i="2"/>
  <c r="U8" i="2"/>
  <c r="T8" i="2"/>
  <c r="S8" i="2"/>
  <c r="R8" i="2"/>
  <c r="Q8" i="2"/>
  <c r="P8" i="2"/>
  <c r="O8" i="2"/>
  <c r="M8" i="2"/>
  <c r="L8" i="2"/>
  <c r="K8" i="2"/>
  <c r="I8" i="2"/>
  <c r="H8" i="2"/>
  <c r="G8" i="2"/>
  <c r="E8" i="2"/>
  <c r="D8" i="2"/>
  <c r="C8" i="2"/>
  <c r="Z7" i="2"/>
  <c r="V7" i="2"/>
  <c r="N7" i="2"/>
  <c r="J7" i="2"/>
  <c r="F7" i="2"/>
  <c r="D18" i="3" s="1"/>
  <c r="D5" i="3" s="1"/>
  <c r="Z6" i="2"/>
  <c r="V6" i="2"/>
  <c r="N6" i="2"/>
  <c r="J6" i="2"/>
  <c r="F6" i="2"/>
  <c r="D17" i="3" s="1"/>
  <c r="D4" i="3" s="1"/>
  <c r="Z5" i="2"/>
  <c r="V5" i="2"/>
  <c r="N5" i="2"/>
  <c r="J5" i="2"/>
  <c r="F5" i="2"/>
  <c r="C17" i="1"/>
  <c r="B17" i="1"/>
  <c r="C16" i="1"/>
  <c r="B16" i="1"/>
  <c r="C15" i="1"/>
  <c r="B15" i="1"/>
  <c r="E77" i="6" l="1"/>
  <c r="C8" i="1"/>
  <c r="D16" i="3"/>
  <c r="F8" i="2"/>
  <c r="F10" i="2" s="1"/>
  <c r="E16" i="3"/>
  <c r="J26" i="2"/>
  <c r="J8" i="2"/>
  <c r="F16" i="3"/>
  <c r="R26" i="2"/>
  <c r="N26" i="2"/>
  <c r="N8" i="2"/>
  <c r="H16" i="3"/>
  <c r="V26" i="2"/>
  <c r="V8" i="2"/>
  <c r="I16" i="3"/>
  <c r="Z26" i="2"/>
  <c r="Z8" i="2"/>
  <c r="E17" i="3"/>
  <c r="E4" i="3" s="1"/>
  <c r="J27" i="2"/>
  <c r="F17" i="3"/>
  <c r="R27" i="2"/>
  <c r="N27" i="2"/>
  <c r="H17" i="3"/>
  <c r="H4" i="3" s="1"/>
  <c r="V27" i="2"/>
  <c r="I17" i="3"/>
  <c r="Z27" i="2"/>
  <c r="E18" i="3"/>
  <c r="E5" i="3" s="1"/>
  <c r="J28" i="2"/>
  <c r="F18" i="3"/>
  <c r="R28" i="2"/>
  <c r="N28" i="2"/>
  <c r="H18" i="3"/>
  <c r="H5" i="3" s="1"/>
  <c r="V28" i="2"/>
  <c r="I18" i="3"/>
  <c r="Z28" i="2"/>
  <c r="C33" i="2"/>
  <c r="C32" i="2"/>
  <c r="C31" i="2"/>
  <c r="C10" i="2"/>
  <c r="D33" i="2"/>
  <c r="D32" i="2"/>
  <c r="D31" i="2"/>
  <c r="D10" i="2"/>
  <c r="E33" i="2"/>
  <c r="E32" i="2"/>
  <c r="E31" i="2"/>
  <c r="E10" i="2"/>
  <c r="G33" i="2"/>
  <c r="G32" i="2"/>
  <c r="G31" i="2"/>
  <c r="G29" i="2"/>
  <c r="G10" i="2"/>
  <c r="H33" i="2"/>
  <c r="H32" i="2"/>
  <c r="H31" i="2"/>
  <c r="H29" i="2"/>
  <c r="H10" i="2"/>
  <c r="I33" i="2"/>
  <c r="I32" i="2"/>
  <c r="I31" i="2"/>
  <c r="I29" i="2"/>
  <c r="I10" i="2"/>
  <c r="K33" i="2"/>
  <c r="K32" i="2"/>
  <c r="K31" i="2"/>
  <c r="K29" i="2"/>
  <c r="K10" i="2"/>
  <c r="L33" i="2"/>
  <c r="L32" i="2"/>
  <c r="L31" i="2"/>
  <c r="L29" i="2"/>
  <c r="L10" i="2"/>
  <c r="M33" i="2"/>
  <c r="M32" i="2"/>
  <c r="M31" i="2"/>
  <c r="M29" i="2"/>
  <c r="M10" i="2"/>
  <c r="O33" i="2"/>
  <c r="O32" i="2"/>
  <c r="O31" i="2"/>
  <c r="O29" i="2"/>
  <c r="O10" i="2"/>
  <c r="P33" i="2"/>
  <c r="P32" i="2"/>
  <c r="P31" i="2"/>
  <c r="P29" i="2"/>
  <c r="P10" i="2"/>
  <c r="Q33" i="2"/>
  <c r="Q32" i="2"/>
  <c r="Q31" i="2"/>
  <c r="Q29" i="2"/>
  <c r="Q10" i="2"/>
  <c r="R33" i="2"/>
  <c r="R32" i="2"/>
  <c r="R31" i="2"/>
  <c r="R29" i="2"/>
  <c r="R10" i="2"/>
  <c r="S33" i="2"/>
  <c r="S32" i="2"/>
  <c r="S31" i="2"/>
  <c r="S29" i="2"/>
  <c r="S10" i="2"/>
  <c r="T33" i="2"/>
  <c r="T32" i="2"/>
  <c r="T31" i="2"/>
  <c r="T29" i="2"/>
  <c r="T10" i="2"/>
  <c r="U33" i="2"/>
  <c r="U32" i="2"/>
  <c r="U31" i="2"/>
  <c r="U29" i="2"/>
  <c r="U10" i="2"/>
  <c r="W33" i="2"/>
  <c r="W32" i="2"/>
  <c r="W31" i="2"/>
  <c r="W29" i="2"/>
  <c r="W10" i="2"/>
  <c r="X33" i="2"/>
  <c r="X32" i="2"/>
  <c r="X31" i="2"/>
  <c r="X29" i="2"/>
  <c r="X10" i="2"/>
  <c r="Y33" i="2"/>
  <c r="Y32" i="2"/>
  <c r="Y31" i="2"/>
  <c r="Y29" i="2"/>
  <c r="Y10" i="2"/>
  <c r="AA33" i="2"/>
  <c r="AA32" i="2"/>
  <c r="AA31" i="2"/>
  <c r="AA29" i="2"/>
  <c r="AA10" i="2"/>
  <c r="AB33" i="2"/>
  <c r="AB32" i="2"/>
  <c r="AB31" i="2"/>
  <c r="AB29" i="2"/>
  <c r="AB10" i="2"/>
  <c r="AC33" i="2"/>
  <c r="AC32" i="2"/>
  <c r="AC31" i="2"/>
  <c r="AC29" i="2"/>
  <c r="AC10" i="2"/>
  <c r="D22" i="3"/>
  <c r="F31" i="2"/>
  <c r="F16" i="2"/>
  <c r="E22" i="3"/>
  <c r="J31" i="2"/>
  <c r="J16" i="2"/>
  <c r="F22" i="3"/>
  <c r="N31" i="2"/>
  <c r="N16" i="2"/>
  <c r="H22" i="3"/>
  <c r="V31" i="2"/>
  <c r="V16" i="2"/>
  <c r="I22" i="3"/>
  <c r="Z31" i="2"/>
  <c r="Z16" i="2"/>
  <c r="D23" i="3"/>
  <c r="F32" i="2"/>
  <c r="E23" i="3"/>
  <c r="J32" i="2"/>
  <c r="F23" i="3"/>
  <c r="N32" i="2"/>
  <c r="H23" i="3"/>
  <c r="V32" i="2"/>
  <c r="I23" i="3"/>
  <c r="Z32" i="2"/>
  <c r="D24" i="3"/>
  <c r="F33" i="2"/>
  <c r="E24" i="3"/>
  <c r="J33" i="2"/>
  <c r="F24" i="3"/>
  <c r="N33" i="2"/>
  <c r="H24" i="3"/>
  <c r="V33" i="2"/>
  <c r="I24" i="3"/>
  <c r="Z33" i="2"/>
  <c r="D31" i="3"/>
  <c r="E31" i="3"/>
  <c r="F31" i="3"/>
  <c r="H31" i="3"/>
  <c r="I31" i="3"/>
  <c r="F11" i="6"/>
  <c r="F44" i="6" s="1"/>
  <c r="G21" i="3"/>
  <c r="C66" i="6"/>
  <c r="M43" i="6"/>
  <c r="L43" i="6"/>
  <c r="K43" i="6"/>
  <c r="J43" i="6"/>
  <c r="I43" i="6"/>
  <c r="D89" i="6"/>
  <c r="E70" i="6"/>
  <c r="C48" i="6"/>
  <c r="D48" i="6"/>
  <c r="E48" i="6"/>
  <c r="F48" i="6"/>
  <c r="F16" i="6"/>
  <c r="G48" i="6"/>
  <c r="H48" i="6"/>
  <c r="D49" i="6"/>
  <c r="D34" i="6"/>
  <c r="E49" i="6"/>
  <c r="E34" i="6"/>
  <c r="F49" i="6"/>
  <c r="F34" i="6"/>
  <c r="F30" i="6"/>
  <c r="G49" i="6"/>
  <c r="G34" i="6"/>
  <c r="H49" i="6"/>
  <c r="H34" i="6"/>
  <c r="D50" i="6"/>
  <c r="D35" i="6"/>
  <c r="E50" i="6"/>
  <c r="E35" i="6"/>
  <c r="F50" i="6"/>
  <c r="F35" i="6"/>
  <c r="F31" i="6"/>
  <c r="G50" i="6"/>
  <c r="G35" i="6"/>
  <c r="H50" i="6"/>
  <c r="H35" i="6"/>
  <c r="D51" i="6"/>
  <c r="D36" i="6"/>
  <c r="E51" i="6"/>
  <c r="E36" i="6"/>
  <c r="F51" i="6"/>
  <c r="F36" i="6"/>
  <c r="F32" i="6"/>
  <c r="G51" i="6"/>
  <c r="G36" i="6"/>
  <c r="H51" i="6"/>
  <c r="H36" i="6"/>
  <c r="C52" i="6"/>
  <c r="D52" i="6"/>
  <c r="D38" i="6"/>
  <c r="E52" i="6"/>
  <c r="E38" i="6"/>
  <c r="F52" i="6"/>
  <c r="F38" i="6"/>
  <c r="F33" i="6"/>
  <c r="G52" i="6"/>
  <c r="G38" i="6"/>
  <c r="H52" i="6"/>
  <c r="H38" i="6"/>
  <c r="E78" i="6"/>
  <c r="E80" i="6" s="1"/>
  <c r="G28" i="3" l="1"/>
  <c r="G7" i="3"/>
  <c r="I27" i="3"/>
  <c r="H27" i="3"/>
  <c r="F27" i="3"/>
  <c r="E27" i="3"/>
  <c r="D27" i="3"/>
  <c r="AC30" i="2"/>
  <c r="AC17" i="2"/>
  <c r="AC19" i="2" s="1"/>
  <c r="AC21" i="2" s="1"/>
  <c r="AB30" i="2"/>
  <c r="AB17" i="2"/>
  <c r="AB19" i="2" s="1"/>
  <c r="AA30" i="2"/>
  <c r="AA17" i="2"/>
  <c r="AA19" i="2" s="1"/>
  <c r="Y30" i="2"/>
  <c r="Y17" i="2"/>
  <c r="Y19" i="2" s="1"/>
  <c r="X30" i="2"/>
  <c r="X17" i="2"/>
  <c r="X19" i="2" s="1"/>
  <c r="W30" i="2"/>
  <c r="W17" i="2"/>
  <c r="W19" i="2" s="1"/>
  <c r="U30" i="2"/>
  <c r="U17" i="2"/>
  <c r="U19" i="2" s="1"/>
  <c r="T30" i="2"/>
  <c r="T17" i="2"/>
  <c r="T19" i="2" s="1"/>
  <c r="S30" i="2"/>
  <c r="S17" i="2"/>
  <c r="S19" i="2" s="1"/>
  <c r="R30" i="2"/>
  <c r="R17" i="2"/>
  <c r="R19" i="2" s="1"/>
  <c r="Q30" i="2"/>
  <c r="Q17" i="2"/>
  <c r="Q19" i="2" s="1"/>
  <c r="P30" i="2"/>
  <c r="P17" i="2"/>
  <c r="P19" i="2" s="1"/>
  <c r="O30" i="2"/>
  <c r="O17" i="2"/>
  <c r="O19" i="2" s="1"/>
  <c r="M30" i="2"/>
  <c r="M17" i="2"/>
  <c r="M19" i="2" s="1"/>
  <c r="L30" i="2"/>
  <c r="L17" i="2"/>
  <c r="L19" i="2" s="1"/>
  <c r="K30" i="2"/>
  <c r="K17" i="2"/>
  <c r="K19" i="2" s="1"/>
  <c r="I30" i="2"/>
  <c r="I17" i="2"/>
  <c r="I19" i="2" s="1"/>
  <c r="H30" i="2"/>
  <c r="H17" i="2"/>
  <c r="H19" i="2" s="1"/>
  <c r="G30" i="2"/>
  <c r="G17" i="2"/>
  <c r="G19" i="2" s="1"/>
  <c r="E30" i="2"/>
  <c r="E17" i="2"/>
  <c r="E19" i="2" s="1"/>
  <c r="D30" i="2"/>
  <c r="D17" i="2"/>
  <c r="D19" i="2" s="1"/>
  <c r="C30" i="2"/>
  <c r="C17" i="2"/>
  <c r="C19" i="2" s="1"/>
  <c r="J18" i="3"/>
  <c r="K18" i="3" s="1"/>
  <c r="L18" i="3" s="1"/>
  <c r="M18" i="3" s="1"/>
  <c r="N18" i="3" s="1"/>
  <c r="I5" i="3"/>
  <c r="G5" i="3"/>
  <c r="F5" i="3"/>
  <c r="J17" i="3"/>
  <c r="K17" i="3" s="1"/>
  <c r="L17" i="3" s="1"/>
  <c r="M17" i="3" s="1"/>
  <c r="N17" i="3" s="1"/>
  <c r="I4" i="3"/>
  <c r="G4" i="3"/>
  <c r="F4" i="3"/>
  <c r="Z29" i="2"/>
  <c r="Z10" i="2"/>
  <c r="I19" i="3"/>
  <c r="J16" i="3"/>
  <c r="I3" i="3"/>
  <c r="V29" i="2"/>
  <c r="V10" i="2"/>
  <c r="H19" i="3"/>
  <c r="H3" i="3"/>
  <c r="N29" i="2"/>
  <c r="N10" i="2"/>
  <c r="F19" i="3"/>
  <c r="G3" i="3"/>
  <c r="F3" i="3"/>
  <c r="J29" i="2"/>
  <c r="J10" i="2"/>
  <c r="E19" i="3"/>
  <c r="E3" i="3"/>
  <c r="F30" i="2"/>
  <c r="F17" i="2"/>
  <c r="F19" i="2" s="1"/>
  <c r="D19" i="3"/>
  <c r="D3" i="3"/>
  <c r="E81" i="6"/>
  <c r="C11" i="6" l="1"/>
  <c r="D21" i="3"/>
  <c r="D6" i="3"/>
  <c r="D11" i="3"/>
  <c r="D10" i="3"/>
  <c r="D9" i="3"/>
  <c r="D8" i="3"/>
  <c r="F21" i="2"/>
  <c r="F34" i="2"/>
  <c r="D11" i="6"/>
  <c r="E21" i="3"/>
  <c r="E6" i="3"/>
  <c r="E11" i="3"/>
  <c r="E10" i="3"/>
  <c r="E9" i="3"/>
  <c r="E8" i="3"/>
  <c r="J30" i="2"/>
  <c r="J17" i="2"/>
  <c r="J19" i="2" s="1"/>
  <c r="E11" i="6"/>
  <c r="F21" i="3"/>
  <c r="G6" i="3"/>
  <c r="F6" i="3"/>
  <c r="F11" i="3"/>
  <c r="F10" i="3"/>
  <c r="F9" i="3"/>
  <c r="F8" i="3"/>
  <c r="N30" i="2"/>
  <c r="N17" i="2"/>
  <c r="N19" i="2" s="1"/>
  <c r="G11" i="6"/>
  <c r="H21" i="3"/>
  <c r="H6" i="3"/>
  <c r="H11" i="3"/>
  <c r="H10" i="3"/>
  <c r="H9" i="3"/>
  <c r="H8" i="3"/>
  <c r="V30" i="2"/>
  <c r="V17" i="2"/>
  <c r="V19" i="2" s="1"/>
  <c r="J19" i="3"/>
  <c r="K16" i="3"/>
  <c r="H11" i="6"/>
  <c r="I21" i="3"/>
  <c r="I6" i="3"/>
  <c r="I11" i="3"/>
  <c r="I10" i="3"/>
  <c r="I9" i="3"/>
  <c r="I8" i="3"/>
  <c r="Z30" i="2"/>
  <c r="Z17" i="2"/>
  <c r="Z19" i="2" s="1"/>
  <c r="C34" i="2"/>
  <c r="C21" i="2"/>
  <c r="D34" i="2"/>
  <c r="D21" i="2"/>
  <c r="E34" i="2"/>
  <c r="E21" i="2"/>
  <c r="G34" i="2"/>
  <c r="G21" i="2"/>
  <c r="H34" i="2"/>
  <c r="H21" i="2"/>
  <c r="I34" i="2"/>
  <c r="I21" i="2"/>
  <c r="K34" i="2"/>
  <c r="K21" i="2"/>
  <c r="L34" i="2"/>
  <c r="L21" i="2"/>
  <c r="M34" i="2"/>
  <c r="M21" i="2"/>
  <c r="O34" i="2"/>
  <c r="O21" i="2"/>
  <c r="P34" i="2"/>
  <c r="P21" i="2"/>
  <c r="Q34" i="2"/>
  <c r="Q21" i="2"/>
  <c r="R34" i="2"/>
  <c r="R21" i="2"/>
  <c r="S34" i="2"/>
  <c r="S21" i="2"/>
  <c r="T34" i="2"/>
  <c r="T21" i="2"/>
  <c r="U34" i="2"/>
  <c r="U21" i="2"/>
  <c r="W34" i="2"/>
  <c r="W21" i="2"/>
  <c r="X34" i="2"/>
  <c r="X21" i="2"/>
  <c r="Y34" i="2"/>
  <c r="Y21" i="2"/>
  <c r="AA34" i="2"/>
  <c r="AA21" i="2"/>
  <c r="AB34" i="2"/>
  <c r="AB21" i="2"/>
  <c r="F13" i="6"/>
  <c r="F45" i="6" s="1"/>
  <c r="G30" i="3"/>
  <c r="G32" i="3" l="1"/>
  <c r="G33" i="3" s="1"/>
  <c r="G12" i="3"/>
  <c r="F46" i="6" s="1"/>
  <c r="F47" i="6"/>
  <c r="F53" i="6" s="1"/>
  <c r="Z21" i="2"/>
  <c r="Z34" i="2"/>
  <c r="I28" i="3"/>
  <c r="I7" i="3"/>
  <c r="H44" i="6"/>
  <c r="H16" i="6"/>
  <c r="I16" i="6" s="1"/>
  <c r="J16" i="6" s="1"/>
  <c r="K16" i="6" s="1"/>
  <c r="L16" i="6" s="1"/>
  <c r="M16" i="6" s="1"/>
  <c r="H33" i="6"/>
  <c r="I33" i="6" s="1"/>
  <c r="K19" i="3"/>
  <c r="L16" i="3"/>
  <c r="I11" i="6"/>
  <c r="J26" i="3"/>
  <c r="J24" i="3"/>
  <c r="J23" i="3"/>
  <c r="J22" i="3"/>
  <c r="J27" i="3" s="1"/>
  <c r="J21" i="3"/>
  <c r="J28" i="3" s="1"/>
  <c r="J20" i="3"/>
  <c r="V21" i="2"/>
  <c r="V34" i="2"/>
  <c r="H28" i="3"/>
  <c r="H7" i="3"/>
  <c r="G44" i="6"/>
  <c r="G16" i="6"/>
  <c r="G30" i="6"/>
  <c r="G31" i="6"/>
  <c r="G32" i="6"/>
  <c r="G33" i="6"/>
  <c r="N21" i="2"/>
  <c r="N34" i="2"/>
  <c r="F28" i="3"/>
  <c r="F7" i="3"/>
  <c r="E44" i="6"/>
  <c r="E16" i="6"/>
  <c r="E30" i="6"/>
  <c r="E31" i="6"/>
  <c r="E32" i="6"/>
  <c r="E33" i="6"/>
  <c r="J21" i="2"/>
  <c r="J34" i="2"/>
  <c r="E28" i="3"/>
  <c r="E7" i="3"/>
  <c r="D44" i="6"/>
  <c r="D16" i="6"/>
  <c r="D30" i="6"/>
  <c r="D31" i="6"/>
  <c r="D32" i="6"/>
  <c r="D33" i="6"/>
  <c r="D28" i="3"/>
  <c r="D7" i="3"/>
  <c r="C44" i="6"/>
  <c r="C16" i="6"/>
  <c r="C30" i="6"/>
  <c r="C31" i="6"/>
  <c r="C32" i="6"/>
  <c r="C33" i="6"/>
  <c r="P16" i="6" l="1"/>
  <c r="O16" i="6"/>
  <c r="C13" i="6"/>
  <c r="C45" i="6" s="1"/>
  <c r="D30" i="3"/>
  <c r="P33" i="6"/>
  <c r="O33" i="6"/>
  <c r="P32" i="6"/>
  <c r="O32" i="6"/>
  <c r="P31" i="6"/>
  <c r="O31" i="6"/>
  <c r="P30" i="6"/>
  <c r="O30" i="6"/>
  <c r="D13" i="6"/>
  <c r="D45" i="6" s="1"/>
  <c r="E30" i="3"/>
  <c r="E13" i="6"/>
  <c r="E45" i="6" s="1"/>
  <c r="F30" i="3"/>
  <c r="G13" i="6"/>
  <c r="G45" i="6" s="1"/>
  <c r="H30" i="3"/>
  <c r="I13" i="6"/>
  <c r="I45" i="6" s="1"/>
  <c r="J30" i="3"/>
  <c r="I44" i="6"/>
  <c r="I15" i="6"/>
  <c r="I48" i="6" s="1"/>
  <c r="L19" i="3"/>
  <c r="M16" i="3"/>
  <c r="J11" i="6"/>
  <c r="K26" i="3"/>
  <c r="K24" i="3"/>
  <c r="K23" i="3"/>
  <c r="K22" i="3"/>
  <c r="K27" i="3" s="1"/>
  <c r="K21" i="3"/>
  <c r="K28" i="3" s="1"/>
  <c r="K20" i="3"/>
  <c r="J33" i="6"/>
  <c r="I28" i="6"/>
  <c r="I52" i="6" s="1"/>
  <c r="H13" i="6"/>
  <c r="H45" i="6" s="1"/>
  <c r="I30" i="3"/>
  <c r="I32" i="3" l="1"/>
  <c r="I33" i="3" s="1"/>
  <c r="I12" i="3"/>
  <c r="H46" i="6" s="1"/>
  <c r="H47" i="6"/>
  <c r="H53" i="6" s="1"/>
  <c r="K33" i="6"/>
  <c r="J28" i="6"/>
  <c r="J52" i="6" s="1"/>
  <c r="J13" i="6"/>
  <c r="J45" i="6" s="1"/>
  <c r="K30" i="3"/>
  <c r="J44" i="6"/>
  <c r="J15" i="6"/>
  <c r="J48" i="6" s="1"/>
  <c r="M19" i="3"/>
  <c r="N16" i="3"/>
  <c r="N19" i="3" s="1"/>
  <c r="K11" i="6"/>
  <c r="L26" i="3"/>
  <c r="L24" i="3"/>
  <c r="L23" i="3"/>
  <c r="L22" i="3"/>
  <c r="L27" i="3" s="1"/>
  <c r="L21" i="3"/>
  <c r="L28" i="3" s="1"/>
  <c r="L20" i="3"/>
  <c r="J31" i="3"/>
  <c r="J32" i="3" s="1"/>
  <c r="J33" i="3" s="1"/>
  <c r="H32" i="3"/>
  <c r="H33" i="3" s="1"/>
  <c r="H12" i="3"/>
  <c r="G46" i="6" s="1"/>
  <c r="G47" i="6"/>
  <c r="G53" i="6" s="1"/>
  <c r="F32" i="3"/>
  <c r="F33" i="3" s="1"/>
  <c r="F12" i="3"/>
  <c r="E46" i="6" s="1"/>
  <c r="E47" i="6"/>
  <c r="E53" i="6" s="1"/>
  <c r="E32" i="3"/>
  <c r="E33" i="3" s="1"/>
  <c r="E12" i="3"/>
  <c r="D46" i="6" s="1"/>
  <c r="D47" i="6"/>
  <c r="D53" i="6" s="1"/>
  <c r="M30" i="6"/>
  <c r="L30" i="6"/>
  <c r="K30" i="6"/>
  <c r="K21" i="6" s="1"/>
  <c r="J30" i="6"/>
  <c r="J21" i="6" s="1"/>
  <c r="I30" i="6"/>
  <c r="I21" i="6" s="1"/>
  <c r="I49" i="6" s="1"/>
  <c r="H30" i="6"/>
  <c r="M31" i="6"/>
  <c r="L31" i="6"/>
  <c r="K31" i="6"/>
  <c r="K22" i="6" s="1"/>
  <c r="J31" i="6"/>
  <c r="J22" i="6" s="1"/>
  <c r="I31" i="6"/>
  <c r="I22" i="6" s="1"/>
  <c r="I50" i="6" s="1"/>
  <c r="H31" i="6"/>
  <c r="M32" i="6"/>
  <c r="L32" i="6"/>
  <c r="K32" i="6"/>
  <c r="K24" i="6" s="1"/>
  <c r="J32" i="6"/>
  <c r="J24" i="6" s="1"/>
  <c r="I32" i="6"/>
  <c r="I24" i="6" s="1"/>
  <c r="I51" i="6" s="1"/>
  <c r="H32" i="6"/>
  <c r="D32" i="3"/>
  <c r="D33" i="3" s="1"/>
  <c r="D12" i="3"/>
  <c r="C46" i="6" s="1"/>
  <c r="C47" i="6"/>
  <c r="C53" i="6" s="1"/>
  <c r="J51" i="6" l="1"/>
  <c r="K51" i="6"/>
  <c r="J50" i="6"/>
  <c r="K50" i="6"/>
  <c r="J49" i="6"/>
  <c r="K49" i="6"/>
  <c r="K13" i="6"/>
  <c r="K45" i="6" s="1"/>
  <c r="L30" i="3"/>
  <c r="K44" i="6"/>
  <c r="K15" i="6"/>
  <c r="K48" i="6" s="1"/>
  <c r="M11" i="6"/>
  <c r="N26" i="3"/>
  <c r="N24" i="3"/>
  <c r="N23" i="3"/>
  <c r="N22" i="3"/>
  <c r="N27" i="3" s="1"/>
  <c r="N21" i="3"/>
  <c r="N28" i="3" s="1"/>
  <c r="N20" i="3"/>
  <c r="L11" i="6"/>
  <c r="M26" i="3"/>
  <c r="M24" i="3"/>
  <c r="M23" i="3"/>
  <c r="M22" i="3"/>
  <c r="M27" i="3" s="1"/>
  <c r="M21" i="3"/>
  <c r="M28" i="3" s="1"/>
  <c r="M20" i="3"/>
  <c r="K31" i="3"/>
  <c r="K32" i="3" s="1"/>
  <c r="K33" i="3" s="1"/>
  <c r="L33" i="6"/>
  <c r="K28" i="6"/>
  <c r="K52" i="6" s="1"/>
  <c r="E72" i="6"/>
  <c r="E73" i="6" s="1"/>
  <c r="E83" i="6" s="1"/>
  <c r="M46" i="6"/>
  <c r="L46" i="6"/>
  <c r="K46" i="6"/>
  <c r="J46" i="6"/>
  <c r="J47" i="6" s="1"/>
  <c r="J53" i="6" s="1"/>
  <c r="I46" i="6"/>
  <c r="I47" i="6" s="1"/>
  <c r="I53" i="6" s="1"/>
  <c r="C62" i="6" l="1"/>
  <c r="M55" i="6"/>
  <c r="L55" i="6"/>
  <c r="K55" i="6"/>
  <c r="J55" i="6"/>
  <c r="J56" i="6" s="1"/>
  <c r="I55" i="6"/>
  <c r="I56" i="6" s="1"/>
  <c r="M33" i="6"/>
  <c r="M28" i="6" s="1"/>
  <c r="M52" i="6" s="1"/>
  <c r="L28" i="6"/>
  <c r="L52" i="6" s="1"/>
  <c r="L13" i="6"/>
  <c r="L45" i="6" s="1"/>
  <c r="L47" i="6" s="1"/>
  <c r="M30" i="3"/>
  <c r="L44" i="6"/>
  <c r="L15" i="6"/>
  <c r="L48" i="6" s="1"/>
  <c r="L24" i="6"/>
  <c r="L51" i="6" s="1"/>
  <c r="L22" i="6"/>
  <c r="L50" i="6" s="1"/>
  <c r="L21" i="6"/>
  <c r="L49" i="6" s="1"/>
  <c r="M13" i="6"/>
  <c r="M45" i="6" s="1"/>
  <c r="M47" i="6" s="1"/>
  <c r="N30" i="3"/>
  <c r="M44" i="6"/>
  <c r="M15" i="6"/>
  <c r="M48" i="6" s="1"/>
  <c r="M24" i="6"/>
  <c r="M51" i="6" s="1"/>
  <c r="M22" i="6"/>
  <c r="M50" i="6" s="1"/>
  <c r="M21" i="6"/>
  <c r="M49" i="6" s="1"/>
  <c r="L31" i="3"/>
  <c r="L32" i="3" s="1"/>
  <c r="L33" i="3" s="1"/>
  <c r="K47" i="6"/>
  <c r="K53" i="6" s="1"/>
  <c r="K56" i="6" s="1"/>
  <c r="N31" i="3" l="1"/>
  <c r="N32" i="3" s="1"/>
  <c r="N33" i="3" s="1"/>
  <c r="M53" i="6"/>
  <c r="M31" i="3"/>
  <c r="M32" i="3" s="1"/>
  <c r="M33" i="3" s="1"/>
  <c r="L53" i="6"/>
  <c r="L56" i="6" s="1"/>
  <c r="C63" i="6" l="1"/>
  <c r="C64" i="6" s="1"/>
  <c r="C65" i="6" s="1"/>
  <c r="M56" i="6"/>
  <c r="C57" i="6" s="1"/>
  <c r="D86" i="6" l="1"/>
  <c r="D88" i="6" s="1"/>
  <c r="D90" i="6" s="1"/>
  <c r="D92" i="6" s="1"/>
</calcChain>
</file>

<file path=xl/sharedStrings.xml><?xml version="1.0" encoding="utf-8"?>
<sst xmlns="http://schemas.openxmlformats.org/spreadsheetml/2006/main" count="329" uniqueCount="237">
  <si>
    <t>ADBE</t>
  </si>
  <si>
    <t>Statements as of Q3 FY26 (8/28/26)</t>
  </si>
  <si>
    <t xml:space="preserve">Price </t>
  </si>
  <si>
    <t>Shares</t>
  </si>
  <si>
    <t>Market Cap</t>
  </si>
  <si>
    <t>Cash</t>
  </si>
  <si>
    <t>Debt</t>
  </si>
  <si>
    <t>EV</t>
  </si>
  <si>
    <t>Chair &amp; CEO:</t>
  </si>
  <si>
    <t>Shantanu Narayen</t>
  </si>
  <si>
    <t xml:space="preserve">Interim CFO: </t>
  </si>
  <si>
    <t xml:space="preserve">Steve Day </t>
  </si>
  <si>
    <t>Segments</t>
  </si>
  <si>
    <t>Segment</t>
  </si>
  <si>
    <t>Description</t>
  </si>
  <si>
    <t>Adobe Inc. (ADBE)</t>
  </si>
  <si>
    <t>Historic Quarterly Income Statement</t>
  </si>
  <si>
    <t>Q1'20</t>
  </si>
  <si>
    <t>Q2'20</t>
  </si>
  <si>
    <t>Q3'20</t>
  </si>
  <si>
    <t>Q4'20</t>
  </si>
  <si>
    <t>Q1'21</t>
  </si>
  <si>
    <t>Q2'21</t>
  </si>
  <si>
    <t>Q3'21</t>
  </si>
  <si>
    <t>Q4'21</t>
  </si>
  <si>
    <t>Q1'22</t>
  </si>
  <si>
    <t>Q2'22</t>
  </si>
  <si>
    <t>Q3'22</t>
  </si>
  <si>
    <t>Q4'22</t>
  </si>
  <si>
    <t>Q1'23</t>
  </si>
  <si>
    <t>Q2'23</t>
  </si>
  <si>
    <t>Q3'23</t>
  </si>
  <si>
    <t>Q4'23</t>
  </si>
  <si>
    <t>Q1'24</t>
  </si>
  <si>
    <t>Q2'24</t>
  </si>
  <si>
    <t>Q3'24</t>
  </si>
  <si>
    <t>Q4'24</t>
  </si>
  <si>
    <t>Q1'25</t>
  </si>
  <si>
    <t>Q2'25</t>
  </si>
  <si>
    <t>Q3'25</t>
  </si>
  <si>
    <t>Q4'25</t>
  </si>
  <si>
    <t>Q1'26</t>
  </si>
  <si>
    <t>Q2'26</t>
  </si>
  <si>
    <t>Q3'26</t>
  </si>
  <si>
    <t>Subscription Revenue</t>
  </si>
  <si>
    <t>Product Revenue</t>
  </si>
  <si>
    <t>Services and Other Revenue</t>
  </si>
  <si>
    <t>Total Revenue</t>
  </si>
  <si>
    <t>Total Cost of Revenue</t>
  </si>
  <si>
    <t>Gross Profit</t>
  </si>
  <si>
    <t>Research and Development</t>
  </si>
  <si>
    <t>Sales and Marketing</t>
  </si>
  <si>
    <t>General and Administrative</t>
  </si>
  <si>
    <t>Acquisition Termination Fee</t>
  </si>
  <si>
    <t>Amortization of Intangibles</t>
  </si>
  <si>
    <t>Total Operating Expenses</t>
  </si>
  <si>
    <t>Operating Income</t>
  </si>
  <si>
    <t>Total Non-Operating Income (Expense), net</t>
  </si>
  <si>
    <t>Income Before Income Taxes</t>
  </si>
  <si>
    <t>Provision for Income Taxes</t>
  </si>
  <si>
    <t>Net Income</t>
  </si>
  <si>
    <t>Diluted Shares</t>
  </si>
  <si>
    <t>Diluted EPS</t>
  </si>
  <si>
    <t>Historic Drivers</t>
  </si>
  <si>
    <t>Subscription Revenue Growth Rate</t>
  </si>
  <si>
    <t>Product Revenue Growth Rate</t>
  </si>
  <si>
    <t>Service and Other Revenue Growth Rate</t>
  </si>
  <si>
    <t>Total Revenue Growth Rate (YoY)</t>
  </si>
  <si>
    <t>Gross Margin %</t>
  </si>
  <si>
    <t>R&amp;D % of Revenue</t>
  </si>
  <si>
    <t>S&amp;M % of Revenue</t>
  </si>
  <si>
    <t>G&amp;A % of Revenue</t>
  </si>
  <si>
    <t>Effective Tax Rate</t>
  </si>
  <si>
    <t xml:space="preserve"> IS Assumptions</t>
  </si>
  <si>
    <t>Services and Other Revenue Growth Rate</t>
  </si>
  <si>
    <t>Total Revenue Growth Rate</t>
  </si>
  <si>
    <t>Amortization of Intangibles % of Revenue</t>
  </si>
  <si>
    <t>Annual Income Statement</t>
  </si>
  <si>
    <t>FY'19</t>
  </si>
  <si>
    <t>FY'20</t>
  </si>
  <si>
    <t>FY'21</t>
  </si>
  <si>
    <t>FY'22</t>
  </si>
  <si>
    <t>FY'23</t>
  </si>
  <si>
    <t>FY'24</t>
  </si>
  <si>
    <t>FY'25</t>
  </si>
  <si>
    <t>FY'26</t>
  </si>
  <si>
    <t>FY'27</t>
  </si>
  <si>
    <t>FY'28</t>
  </si>
  <si>
    <t>FY'29</t>
  </si>
  <si>
    <t>FY'30</t>
  </si>
  <si>
    <t>Balance Sheet</t>
  </si>
  <si>
    <t>Cash and cash equivalents</t>
  </si>
  <si>
    <t>Short-term investments</t>
  </si>
  <si>
    <t>Trade receivables, net</t>
  </si>
  <si>
    <t>Prepaid expenses and other current assets</t>
  </si>
  <si>
    <t>Total current assets</t>
  </si>
  <si>
    <t>Property and equipment, net</t>
  </si>
  <si>
    <t>Operating lease right-of-use assets, net</t>
  </si>
  <si>
    <t>Goodwill</t>
  </si>
  <si>
    <t>Other intangibles, net</t>
  </si>
  <si>
    <t>Deferred income taxes (asset)</t>
  </si>
  <si>
    <t>Other assets</t>
  </si>
  <si>
    <t>Total assets</t>
  </si>
  <si>
    <t>Trade payables</t>
  </si>
  <si>
    <t>Accrued expenses</t>
  </si>
  <si>
    <t>Debt (current)</t>
  </si>
  <si>
    <t>Deferred revenue (current)</t>
  </si>
  <si>
    <t>Income taxes payable (current)</t>
  </si>
  <si>
    <t>Operating lease liabilities (current)</t>
  </si>
  <si>
    <t>Total current liabilities</t>
  </si>
  <si>
    <t>Debt (long-term)</t>
  </si>
  <si>
    <t>Deferred revenue (long-term)</t>
  </si>
  <si>
    <t>Income taxes payable (long-term)</t>
  </si>
  <si>
    <t>Deferred income taxes (long-term liability)</t>
  </si>
  <si>
    <t>Operating lease liabilities (long-term)</t>
  </si>
  <si>
    <t>Other liabilities</t>
  </si>
  <si>
    <t>Total liabilities</t>
  </si>
  <si>
    <t>Additional paid-in capital</t>
  </si>
  <si>
    <t>Retained earnings</t>
  </si>
  <si>
    <t>Accumulated other comprehensive income (loss)</t>
  </si>
  <si>
    <t>Treasury stock, at cost</t>
  </si>
  <si>
    <t>Total stockholders' equity</t>
  </si>
  <si>
    <t>Total liabilities and stockholders' equity</t>
  </si>
  <si>
    <t>Check (Assets less Liab. &amp; Equity)</t>
  </si>
  <si>
    <t>Cash Flow Statement</t>
  </si>
  <si>
    <t>Net income</t>
  </si>
  <si>
    <t>Depreciation, amortization and accretion</t>
  </si>
  <si>
    <t>Stock-based compensation</t>
  </si>
  <si>
    <t>Reduction of operating lease right-of-use assets</t>
  </si>
  <si>
    <t>Lease-related asset impairments</t>
  </si>
  <si>
    <t>Deferred income taxes</t>
  </si>
  <si>
    <t>Unrealized losses (gains) on investments, net</t>
  </si>
  <si>
    <t>Other non-cash items</t>
  </si>
  <si>
    <t>Prepaid expenses and other assets</t>
  </si>
  <si>
    <t>Accrued expenses and other liabilities</t>
  </si>
  <si>
    <t>Income taxes payable</t>
  </si>
  <si>
    <t>Deferred revenue</t>
  </si>
  <si>
    <t>Net cash provided by operating activities</t>
  </si>
  <si>
    <t>Purchases of short-term investments</t>
  </si>
  <si>
    <t>Maturities of short-term investments</t>
  </si>
  <si>
    <t>Proceeds from sales of short-term investments</t>
  </si>
  <si>
    <t>Acquisitions, net of cash acquired</t>
  </si>
  <si>
    <t>Purchases of property and equipment</t>
  </si>
  <si>
    <t>Purchases of long-term investments, intangibles and other assets</t>
  </si>
  <si>
    <t>Proceeds from sales of long-term investments and other assets</t>
  </si>
  <si>
    <t>Net cash provided by (used for) investing activities</t>
  </si>
  <si>
    <t>Repurchases of common stock</t>
  </si>
  <si>
    <t>Proceeds from re-issuance of treasury stock</t>
  </si>
  <si>
    <t>Taxes paid related to net share settlement of equity awards</t>
  </si>
  <si>
    <t>Proceeds from issuance of debt</t>
  </si>
  <si>
    <t>Repayment of debt</t>
  </si>
  <si>
    <t>Other financing activities, net</t>
  </si>
  <si>
    <t>Net cash used for financing activities</t>
  </si>
  <si>
    <t>Effect of foreign currency exchange rates on cash</t>
  </si>
  <si>
    <t>Net increase (decrease) in cash and cash equivalents</t>
  </si>
  <si>
    <t>Cash and cash equivalents at beginning of year</t>
  </si>
  <si>
    <t>Cash and cash equivalents at end of year</t>
  </si>
  <si>
    <t>Valuation Date:</t>
  </si>
  <si>
    <t>Share Price on Valuation Date:</t>
  </si>
  <si>
    <t>Diluted Shares Outstanding</t>
  </si>
  <si>
    <t>Stub Period to FY26 Year-End (yrs)</t>
  </si>
  <si>
    <t>Select Operating Data</t>
  </si>
  <si>
    <t>Projected Annual Forecast</t>
  </si>
  <si>
    <t>Revenue</t>
  </si>
  <si>
    <t>EBIT (Operating Income)</t>
  </si>
  <si>
    <t>Depreciation &amp; Amortization (total, incl. PP&amp;E)</t>
  </si>
  <si>
    <t>Arithmetic Avg</t>
  </si>
  <si>
    <t>Geometric Avg</t>
  </si>
  <si>
    <t>D&amp;A as % of Revenue</t>
  </si>
  <si>
    <t>Select Balance Sheet And Other Data</t>
  </si>
  <si>
    <t>Trade Receivables</t>
  </si>
  <si>
    <t>Prepaid Expenses and Other Current Assets</t>
  </si>
  <si>
    <t>Trade Payables and Accrued Expenses</t>
  </si>
  <si>
    <t>Capital Expenditures</t>
  </si>
  <si>
    <t>Arithmetic Mean</t>
  </si>
  <si>
    <t>Geometric Mean</t>
  </si>
  <si>
    <t>Trade Receivables as a % of revenue</t>
  </si>
  <si>
    <t>Prepaid Expenses as a % of revenue</t>
  </si>
  <si>
    <t>Trade Payables/Accrued as a % of revenue</t>
  </si>
  <si>
    <t>Capital Expenditures as a % of revenue</t>
  </si>
  <si>
    <t>Trade Receivables Growth (%)</t>
  </si>
  <si>
    <t>Prepaid Expenses Growth (%)</t>
  </si>
  <si>
    <t>Trade Payables/Accrued Growth (%)</t>
  </si>
  <si>
    <t>Capital Expenditures Growth (%)</t>
  </si>
  <si>
    <t>Free Cash Flow Buildup</t>
  </si>
  <si>
    <t>$mm</t>
  </si>
  <si>
    <t>Period</t>
  </si>
  <si>
    <t>Total Revenues</t>
  </si>
  <si>
    <t>EBIT</t>
  </si>
  <si>
    <t>EBIAT = EBIT x (1-T) = NOPAT</t>
  </si>
  <si>
    <t>Depreciation &amp; Amortization</t>
  </si>
  <si>
    <t>Chg in Trade Receivables</t>
  </si>
  <si>
    <t>Chg in Prepaid Expenses</t>
  </si>
  <si>
    <t>Chg in Trade Payables/Accrued</t>
  </si>
  <si>
    <t>Unlevered Free Cash Flows</t>
  </si>
  <si>
    <t>Discount Rate (WACC)</t>
  </si>
  <si>
    <t>Present Value of Free Cash Flows</t>
  </si>
  <si>
    <t>Sum of Present Values of FCFs</t>
  </si>
  <si>
    <t>Terminal Value</t>
  </si>
  <si>
    <t>Growth in perpetuity method:</t>
  </si>
  <si>
    <t>Long-term growth rate</t>
  </si>
  <si>
    <t>WACC</t>
  </si>
  <si>
    <t>Free cash flow (t+1)</t>
  </si>
  <si>
    <t>Present Value of Terminal Value</t>
  </si>
  <si>
    <t>Terminal Value Discount Period (yrs, year-end)</t>
  </si>
  <si>
    <t>Share Price</t>
  </si>
  <si>
    <t>Cost of Debt</t>
  </si>
  <si>
    <t>ERP</t>
  </si>
  <si>
    <t>Equity Risk Premium (user input)</t>
  </si>
  <si>
    <t>Tax Rate</t>
  </si>
  <si>
    <t>RFR</t>
  </si>
  <si>
    <t>Risk-free rate, e.g. 10-yr Treasury (user input)</t>
  </si>
  <si>
    <t>After-tax Cost of Debt</t>
  </si>
  <si>
    <t>Beta</t>
  </si>
  <si>
    <t>Levered beta (user input)</t>
  </si>
  <si>
    <t>Cost of Equity</t>
  </si>
  <si>
    <t>CAPM</t>
  </si>
  <si>
    <t>Total Debt ($)</t>
  </si>
  <si>
    <t>capm = risk-free + beta * equity risk premium</t>
  </si>
  <si>
    <t>Total Equity ($)</t>
  </si>
  <si>
    <t>Total Capital</t>
  </si>
  <si>
    <t>Debt Weighting</t>
  </si>
  <si>
    <t>Equity Weighting</t>
  </si>
  <si>
    <t>WACC =</t>
  </si>
  <si>
    <t>Enterprise Value to Equity Value</t>
  </si>
  <si>
    <t>Enterprise Value</t>
  </si>
  <si>
    <t>Less: Net Debt</t>
  </si>
  <si>
    <t>ST and LT debt minus cash</t>
  </si>
  <si>
    <t>Equity Value</t>
  </si>
  <si>
    <t>Equity Value Per Share</t>
  </si>
  <si>
    <t>Upside</t>
  </si>
  <si>
    <t>Digital Media</t>
  </si>
  <si>
    <t>Adobe's largest segment: Creative Cloud (Photoshop, Illustrator, Premiere Pro, Firefly, etc.) and Document Cloud (Acrobat, Acrobat Sign).</t>
  </si>
  <si>
    <t>Digital Experience</t>
  </si>
  <si>
    <t>Adobe Experience Cloud: enterprise platform and applications for customer experience management, analytics, and commerce.</t>
  </si>
  <si>
    <t>Publishing and Advertising</t>
  </si>
  <si>
    <t>Legacy products/services: eLearning, technical document publishing, web conferencing, and (through FY23) Adobe Advertising Cloud.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</si>
</sst>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164" formatCode="_(\$* #,##0.00_);_(\$* \(#,##0.00\);_(\$* \-??_);_(@_)"/>
    <numFmt numFmtId="165" formatCode="_(* #,##0.00_);_(* \(#,##0.00\);_(* \-??_);_(@_)"/>
    <numFmt numFmtId="166" formatCode="_(\$* #,##0_);_(\$* \(#,##0\);_(\$* \-??_);_(@_)"/>
    <numFmt numFmtId="167" formatCode="0.0%"/>
    <numFmt numFmtId="168" formatCode="#,##0.00_);\(#,##0.00\);@_)"/>
    <numFmt numFmtId="169" formatCode="yyyy\A"/>
    <numFmt numFmtId="170" formatCode="yyyy\P"/>
    <numFmt numFmtId="171" formatCode="\$#,##0.0_);&quot;($&quot;#,##0.0\)"/>
    <numFmt numFmtId="172" formatCode="\$#,##0.00_);&quot;($&quot;#,##0.00\)"/>
    <numFmt numFmtId="173" formatCode="\$#,##0.0_);&quot;($&quot;#,##0.0\);@_)"/>
    <numFmt numFmtId="174" formatCode="\$#,##0.0"/>
    <numFmt numFmtId="175" formatCode="0.0"/>
    <numFmt numFmtId="176" formatCode="#,##0.0_);\(#,##0.0\)"/>
    <numFmt numFmtId="177" formatCode="#,##0.0_);\(#,##0.0\);@_)"/>
    <numFmt numFmtId="178" formatCode="0.000%"/>
    <numFmt numFmtId="179" formatCode="_(\$* #,##0.0_);_(\$* \(#,##0.0\);_(\$* \-??_);_(@_)"/>
    <numFmt numFmtId="180" formatCode="\$#,##0.00_);&quot;($&quot;#,##0.00\);@_)"/>
    <numFmt numFmtId="181" formatCode="0.0%_);\(0.0%\);@_)"/>
    <numFmt numFmtId="182" formatCode="_(* #,##0.0_);_(* \(#,##0.0\);_(* \-?_);_(@_)"/>
    <numFmt numFmtId="183" formatCode="\$#,##0.00_);[Red]&quot;($&quot;#,##0.00\)"/>
  </numFmts>
  <fonts count="30" x14ac:knownFonts="1">
    <font>
      <sz val="12"/>
      <color theme="1"/>
      <name val="Aptos Narrow"/>
      <family val="2"/>
      <charset val="1"/>
    </font>
    <font>
      <b/>
      <sz val="12"/>
      <color theme="1"/>
      <name val="Aptos Narrow"/>
      <family val="2"/>
      <charset val="1"/>
    </font>
    <font>
      <i/>
      <sz val="12"/>
      <color theme="1"/>
      <name val="Aptos Narrow"/>
      <family val="2"/>
      <charset val="1"/>
    </font>
    <font>
      <sz val="12"/>
      <color rgb="FF0000FF"/>
      <name val="Aptos Narrow"/>
      <family val="2"/>
      <charset val="1"/>
    </font>
    <font>
      <b/>
      <sz val="12"/>
      <name val="Aptos Narrow"/>
      <family val="2"/>
      <charset val="1"/>
    </font>
    <font>
      <sz val="12"/>
      <name val="Aptos Narrow"/>
      <family val="2"/>
      <charset val="1"/>
    </font>
    <font>
      <b/>
      <sz val="18"/>
      <color theme="1"/>
      <name val="Aptos Narrow"/>
      <family val="2"/>
      <charset val="1"/>
    </font>
    <font>
      <sz val="10"/>
      <name val="Aptos Narrow"/>
      <family val="2"/>
      <charset val="1"/>
    </font>
    <font>
      <i/>
      <sz val="12"/>
      <name val="Aptos Narrow"/>
      <family val="2"/>
      <charset val="1"/>
    </font>
    <font>
      <sz val="10"/>
      <color rgb="FF0000FF"/>
      <name val="Aptos Narrow"/>
      <family val="2"/>
      <charset val="1"/>
    </font>
    <font>
      <sz val="10"/>
      <color rgb="FF0000FF"/>
      <name val="Arial"/>
      <family val="2"/>
      <charset val="1"/>
    </font>
    <font>
      <sz val="10"/>
      <name val="Arial"/>
      <family val="2"/>
      <charset val="1"/>
    </font>
    <font>
      <sz val="12"/>
      <color rgb="FF000000"/>
      <name val="Aptos Narrow"/>
      <family val="2"/>
      <charset val="1"/>
    </font>
    <font>
      <sz val="18"/>
      <color theme="1"/>
      <name val="Calibri"/>
      <family val="2"/>
      <charset val="1"/>
    </font>
    <font>
      <sz val="11"/>
      <color rgb="FF000000"/>
      <name val="Calibri"/>
      <family val="2"/>
      <charset val="1"/>
    </font>
    <font>
      <sz val="10"/>
      <color rgb="FF0000FF"/>
      <name val="Calibri"/>
      <family val="2"/>
      <charset val="1"/>
    </font>
    <font>
      <sz val="11"/>
      <color theme="1"/>
      <name val="Calibri"/>
      <family val="2"/>
      <charset val="1"/>
    </font>
    <font>
      <sz val="14"/>
      <name val="Aptos Narrow"/>
      <family val="2"/>
      <charset val="1"/>
    </font>
    <font>
      <sz val="14"/>
      <color rgb="FF000000"/>
      <name val="Aptos Narrow"/>
      <family val="2"/>
      <charset val="1"/>
    </font>
    <font>
      <b/>
      <sz val="11"/>
      <color theme="1"/>
      <name val="Calibri"/>
      <family val="2"/>
      <charset val="1"/>
    </font>
    <font>
      <sz val="11"/>
      <color rgb="FF0000FF"/>
      <name val="Calibri"/>
      <family val="2"/>
      <charset val="1"/>
    </font>
    <font>
      <sz val="11"/>
      <color rgb="FF008000"/>
      <name val="Calibri"/>
      <family val="2"/>
      <charset val="1"/>
    </font>
    <font>
      <i/>
      <sz val="11"/>
      <color theme="1"/>
      <name val="Calibri"/>
      <family val="2"/>
      <charset val="1"/>
    </font>
    <font>
      <i/>
      <sz val="11"/>
      <color rgb="FF000000"/>
      <name val="Calibri"/>
      <family val="2"/>
      <charset val="1"/>
    </font>
    <font>
      <b/>
      <sz val="11"/>
      <color rgb="FF0000FF"/>
      <name val="Calibri"/>
      <family val="2"/>
      <charset val="1"/>
    </font>
    <font>
      <sz val="10"/>
      <color theme="1"/>
      <name val="Calibri"/>
      <family val="2"/>
      <charset val="1"/>
    </font>
    <font>
      <b/>
      <sz val="10"/>
      <color theme="1"/>
      <name val="Calibri"/>
      <family val="2"/>
      <charset val="1"/>
    </font>
    <font>
      <sz val="11"/>
      <color theme="1"/>
      <name val="Arial"/>
      <family val="2"/>
      <charset val="1"/>
    </font>
    <font>
      <sz val="10"/>
      <color theme="1"/>
      <name val="Arial"/>
      <family val="2"/>
      <charset val="1"/>
    </font>
    <font>
      <sz val="10"/>
      <color theme="1"/>
      <name val="Aptos Narrow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  <fill>
      <patternFill patternType="solid">
        <fgColor theme="0" tint="-0.34998626667073579"/>
        <bgColor rgb="FFC0C0C0"/>
      </patternFill>
    </fill>
    <fill>
      <patternFill patternType="solid">
        <fgColor theme="4" tint="0.79979857783745845"/>
        <bgColor rgb="FFCCFFFF"/>
      </patternFill>
    </fill>
    <fill>
      <patternFill patternType="solid">
        <fgColor rgb="FFFFFFFF"/>
        <bgColor rgb="FFFFFFCC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3">
    <xf numFmtId="0" fontId="0" fillId="0" borderId="0"/>
    <xf numFmtId="164" fontId="11" fillId="0" borderId="0"/>
    <xf numFmtId="9" fontId="11" fillId="0" borderId="0"/>
  </cellStyleXfs>
  <cellXfs count="168">
    <xf numFmtId="0" fontId="0" fillId="0" borderId="0" xfId="0"/>
    <xf numFmtId="0" fontId="19" fillId="4" borderId="13" xfId="0" applyFont="1" applyFill="1" applyBorder="1" applyAlignment="1">
      <alignment horizontal="center"/>
    </xf>
    <xf numFmtId="0" fontId="1" fillId="0" borderId="1" xfId="0" applyFont="1" applyBorder="1"/>
    <xf numFmtId="0" fontId="2" fillId="0" borderId="2" xfId="0" applyFont="1" applyBorder="1" applyAlignment="1">
      <alignment horizontal="right" wrapText="1"/>
    </xf>
    <xf numFmtId="164" fontId="3" fillId="2" borderId="0" xfId="0" applyNumberFormat="1" applyFont="1" applyFill="1"/>
    <xf numFmtId="165" fontId="3" fillId="2" borderId="0" xfId="0" applyNumberFormat="1" applyFont="1" applyFill="1"/>
    <xf numFmtId="164" fontId="0" fillId="0" borderId="0" xfId="0" applyNumberFormat="1"/>
    <xf numFmtId="0" fontId="3" fillId="0" borderId="0" xfId="0" applyFont="1" applyAlignment="1">
      <alignment horizontal="right"/>
    </xf>
    <xf numFmtId="0" fontId="0" fillId="0" borderId="0" xfId="0" applyAlignment="1">
      <alignment horizontal="right"/>
    </xf>
    <xf numFmtId="0" fontId="4" fillId="0" borderId="0" xfId="0" applyFont="1"/>
    <xf numFmtId="0" fontId="5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0" borderId="3" xfId="0" applyFont="1" applyBorder="1"/>
    <xf numFmtId="0" fontId="6" fillId="0" borderId="0" xfId="0" applyFont="1"/>
    <xf numFmtId="0" fontId="1" fillId="0" borderId="4" xfId="0" applyFont="1" applyBorder="1"/>
    <xf numFmtId="0" fontId="0" fillId="0" borderId="4" xfId="0" applyFont="1" applyBorder="1" applyAlignment="1">
      <alignment horizontal="center"/>
    </xf>
    <xf numFmtId="0" fontId="0" fillId="0" borderId="3" xfId="0" applyFont="1" applyBorder="1"/>
    <xf numFmtId="166" fontId="7" fillId="0" borderId="3" xfId="0" applyNumberFormat="1" applyFont="1" applyBorder="1"/>
    <xf numFmtId="0" fontId="1" fillId="0" borderId="3" xfId="0" applyFont="1" applyBorder="1"/>
    <xf numFmtId="166" fontId="4" fillId="0" borderId="5" xfId="0" applyNumberFormat="1" applyFont="1" applyBorder="1" applyAlignment="1">
      <alignment horizontal="center"/>
    </xf>
    <xf numFmtId="166" fontId="5" fillId="0" borderId="0" xfId="0" applyNumberFormat="1" applyFont="1"/>
    <xf numFmtId="0" fontId="1" fillId="0" borderId="0" xfId="0" applyFont="1"/>
    <xf numFmtId="166" fontId="4" fillId="0" borderId="0" xfId="0" applyNumberFormat="1" applyFont="1"/>
    <xf numFmtId="166" fontId="0" fillId="0" borderId="0" xfId="0" applyNumberFormat="1"/>
    <xf numFmtId="166" fontId="1" fillId="0" borderId="0" xfId="0" applyNumberFormat="1" applyFont="1"/>
    <xf numFmtId="164" fontId="5" fillId="0" borderId="0" xfId="0" applyNumberFormat="1" applyFont="1"/>
    <xf numFmtId="0" fontId="1" fillId="0" borderId="6" xfId="0" applyFont="1" applyBorder="1"/>
    <xf numFmtId="166" fontId="4" fillId="0" borderId="6" xfId="0" applyNumberFormat="1" applyFont="1" applyBorder="1"/>
    <xf numFmtId="165" fontId="0" fillId="0" borderId="0" xfId="0" applyNumberFormat="1"/>
    <xf numFmtId="164" fontId="4" fillId="0" borderId="0" xfId="0" applyNumberFormat="1" applyFont="1"/>
    <xf numFmtId="0" fontId="2" fillId="0" borderId="0" xfId="0" applyFont="1"/>
    <xf numFmtId="9" fontId="2" fillId="0" borderId="0" xfId="0" applyNumberFormat="1" applyFont="1"/>
    <xf numFmtId="9" fontId="2" fillId="3" borderId="0" xfId="0" applyNumberFormat="1" applyFont="1" applyFill="1"/>
    <xf numFmtId="167" fontId="2" fillId="3" borderId="0" xfId="0" applyNumberFormat="1" applyFont="1" applyFill="1"/>
    <xf numFmtId="167" fontId="0" fillId="0" borderId="0" xfId="0" applyNumberFormat="1"/>
    <xf numFmtId="167" fontId="2" fillId="0" borderId="0" xfId="0" applyNumberFormat="1" applyFont="1"/>
    <xf numFmtId="167" fontId="5" fillId="0" borderId="0" xfId="0" applyNumberFormat="1" applyFont="1"/>
    <xf numFmtId="0" fontId="8" fillId="0" borderId="0" xfId="0" applyFont="1"/>
    <xf numFmtId="0" fontId="0" fillId="0" borderId="7" xfId="0" applyBorder="1" applyAlignment="1">
      <alignment horizontal="center"/>
    </xf>
    <xf numFmtId="0" fontId="0" fillId="3" borderId="0" xfId="0" applyFill="1" applyAlignment="1">
      <alignment horizontal="center"/>
    </xf>
    <xf numFmtId="167" fontId="7" fillId="0" borderId="0" xfId="0" applyNumberFormat="1" applyFont="1" applyAlignment="1">
      <alignment horizontal="right"/>
    </xf>
    <xf numFmtId="167" fontId="7" fillId="0" borderId="8" xfId="0" applyNumberFormat="1" applyFont="1" applyBorder="1" applyAlignment="1">
      <alignment horizontal="right"/>
    </xf>
    <xf numFmtId="167" fontId="9" fillId="0" borderId="0" xfId="0" applyNumberFormat="1" applyFont="1" applyAlignment="1">
      <alignment horizontal="right"/>
    </xf>
    <xf numFmtId="0" fontId="2" fillId="3" borderId="0" xfId="0" applyFont="1" applyFill="1"/>
    <xf numFmtId="167" fontId="10" fillId="0" borderId="0" xfId="0" applyNumberFormat="1" applyFont="1" applyAlignment="1">
      <alignment horizontal="right"/>
    </xf>
    <xf numFmtId="167" fontId="7" fillId="0" borderId="0" xfId="0" applyNumberFormat="1" applyFont="1"/>
    <xf numFmtId="167" fontId="7" fillId="0" borderId="8" xfId="0" applyNumberFormat="1" applyFont="1" applyBorder="1"/>
    <xf numFmtId="167" fontId="11" fillId="0" borderId="0" xfId="0" applyNumberFormat="1" applyFont="1"/>
    <xf numFmtId="167" fontId="11" fillId="0" borderId="8" xfId="0" applyNumberFormat="1" applyFont="1" applyBorder="1"/>
    <xf numFmtId="10" fontId="11" fillId="0" borderId="4" xfId="2" applyNumberFormat="1" applyFont="1" applyBorder="1" applyAlignment="1">
      <alignment horizontal="center"/>
    </xf>
    <xf numFmtId="166" fontId="0" fillId="0" borderId="9" xfId="0" applyNumberFormat="1" applyFont="1" applyBorder="1"/>
    <xf numFmtId="166" fontId="12" fillId="0" borderId="9" xfId="0" applyNumberFormat="1" applyFont="1" applyBorder="1"/>
    <xf numFmtId="166" fontId="0" fillId="0" borderId="10" xfId="0" applyNumberFormat="1" applyFont="1" applyBorder="1"/>
    <xf numFmtId="166" fontId="5" fillId="0" borderId="3" xfId="0" applyNumberFormat="1" applyFont="1" applyBorder="1"/>
    <xf numFmtId="166" fontId="5" fillId="0" borderId="5" xfId="0" applyNumberFormat="1" applyFont="1" applyBorder="1"/>
    <xf numFmtId="166" fontId="5" fillId="0" borderId="2" xfId="0" applyNumberFormat="1" applyFont="1" applyBorder="1"/>
    <xf numFmtId="166" fontId="0" fillId="0" borderId="5" xfId="0" applyNumberFormat="1" applyBorder="1"/>
    <xf numFmtId="166" fontId="4" fillId="0" borderId="8" xfId="0" applyNumberFormat="1" applyFont="1" applyBorder="1"/>
    <xf numFmtId="166" fontId="5" fillId="0" borderId="8" xfId="0" applyNumberFormat="1" applyFont="1" applyBorder="1"/>
    <xf numFmtId="164" fontId="5" fillId="0" borderId="8" xfId="0" applyNumberFormat="1" applyFont="1" applyBorder="1"/>
    <xf numFmtId="0" fontId="4" fillId="0" borderId="4" xfId="0" applyFont="1" applyBorder="1"/>
    <xf numFmtId="0" fontId="13" fillId="0" borderId="3" xfId="0" applyFont="1" applyBorder="1"/>
    <xf numFmtId="0" fontId="13" fillId="0" borderId="0" xfId="0" applyFont="1"/>
    <xf numFmtId="15" fontId="14" fillId="0" borderId="0" xfId="0" applyNumberFormat="1" applyFont="1" applyAlignment="1">
      <alignment horizontal="right" vertical="top" readingOrder="1"/>
    </xf>
    <xf numFmtId="14" fontId="15" fillId="2" borderId="0" xfId="0" applyNumberFormat="1" applyFont="1" applyFill="1" applyAlignment="1">
      <alignment horizontal="right" vertical="top" readingOrder="1"/>
    </xf>
    <xf numFmtId="0" fontId="16" fillId="0" borderId="0" xfId="0" applyFont="1" applyAlignment="1">
      <alignment horizontal="left" readingOrder="1"/>
    </xf>
    <xf numFmtId="164" fontId="15" fillId="2" borderId="0" xfId="0" applyNumberFormat="1" applyFont="1" applyFill="1" applyAlignment="1">
      <alignment horizontal="right" vertical="top" readingOrder="1"/>
    </xf>
    <xf numFmtId="168" fontId="15" fillId="2" borderId="0" xfId="0" applyNumberFormat="1" applyFont="1" applyFill="1" applyAlignment="1">
      <alignment horizontal="right" vertical="top" readingOrder="1"/>
    </xf>
    <xf numFmtId="0" fontId="17" fillId="4" borderId="0" xfId="0" applyFont="1" applyFill="1"/>
    <xf numFmtId="0" fontId="0" fillId="4" borderId="0" xfId="0" applyFill="1"/>
    <xf numFmtId="0" fontId="18" fillId="4" borderId="0" xfId="0" applyFont="1" applyFill="1"/>
    <xf numFmtId="0" fontId="14" fillId="0" borderId="0" xfId="0" applyFont="1" applyAlignment="1">
      <alignment horizontal="left" vertical="top" readingOrder="1"/>
    </xf>
    <xf numFmtId="0" fontId="19" fillId="0" borderId="11" xfId="0" applyFont="1" applyBorder="1" applyAlignment="1">
      <alignment horizontal="center"/>
    </xf>
    <xf numFmtId="0" fontId="19" fillId="0" borderId="0" xfId="0" applyFont="1" applyAlignment="1">
      <alignment horizontal="center"/>
    </xf>
    <xf numFmtId="0" fontId="0" fillId="0" borderId="12" xfId="0" applyBorder="1"/>
    <xf numFmtId="169" fontId="19" fillId="0" borderId="5" xfId="0" applyNumberFormat="1" applyFont="1" applyBorder="1"/>
    <xf numFmtId="170" fontId="19" fillId="0" borderId="5" xfId="0" applyNumberFormat="1" applyFont="1" applyBorder="1"/>
    <xf numFmtId="170" fontId="19" fillId="0" borderId="2" xfId="0" applyNumberFormat="1" applyFont="1" applyBorder="1"/>
    <xf numFmtId="10" fontId="16" fillId="0" borderId="0" xfId="0" applyNumberFormat="1" applyFont="1" applyAlignment="1">
      <alignment horizontal="left" readingOrder="1"/>
    </xf>
    <xf numFmtId="171" fontId="20" fillId="2" borderId="0" xfId="0" applyNumberFormat="1" applyFont="1" applyFill="1"/>
    <xf numFmtId="172" fontId="16" fillId="0" borderId="0" xfId="0" applyNumberFormat="1" applyFont="1" applyAlignment="1">
      <alignment horizontal="right" readingOrder="1"/>
    </xf>
    <xf numFmtId="14" fontId="21" fillId="0" borderId="0" xfId="0" applyNumberFormat="1" applyFont="1" applyAlignment="1">
      <alignment horizontal="right" vertical="top" readingOrder="1"/>
    </xf>
    <xf numFmtId="0" fontId="16" fillId="0" borderId="0" xfId="0" applyFont="1" applyAlignment="1">
      <alignment horizontal="right" readingOrder="1"/>
    </xf>
    <xf numFmtId="173" fontId="20" fillId="2" borderId="0" xfId="0" applyNumberFormat="1" applyFont="1" applyFill="1"/>
    <xf numFmtId="0" fontId="16" fillId="0" borderId="0" xfId="0" applyFont="1" applyAlignment="1">
      <alignment horizontal="center" readingOrder="1"/>
    </xf>
    <xf numFmtId="10" fontId="14" fillId="0" borderId="0" xfId="0" applyNumberFormat="1" applyFont="1" applyAlignment="1">
      <alignment horizontal="right" vertical="top" readingOrder="1"/>
    </xf>
    <xf numFmtId="10" fontId="20" fillId="2" borderId="0" xfId="0" applyNumberFormat="1" applyFont="1" applyFill="1"/>
    <xf numFmtId="10" fontId="16" fillId="0" borderId="0" xfId="0" applyNumberFormat="1" applyFont="1" applyAlignment="1">
      <alignment horizontal="center" readingOrder="1"/>
    </xf>
    <xf numFmtId="170" fontId="19" fillId="0" borderId="3" xfId="0" applyNumberFormat="1" applyFont="1" applyBorder="1"/>
    <xf numFmtId="0" fontId="16" fillId="0" borderId="0" xfId="0" applyFont="1" applyAlignment="1">
      <alignment horizontal="left"/>
    </xf>
    <xf numFmtId="174" fontId="16" fillId="0" borderId="0" xfId="0" applyNumberFormat="1" applyFont="1" applyAlignment="1">
      <alignment horizontal="right" readingOrder="1"/>
    </xf>
    <xf numFmtId="175" fontId="14" fillId="0" borderId="0" xfId="0" applyNumberFormat="1" applyFont="1" applyAlignment="1">
      <alignment horizontal="right" vertical="center"/>
    </xf>
    <xf numFmtId="174" fontId="20" fillId="2" borderId="0" xfId="0" applyNumberFormat="1" applyFont="1" applyFill="1" applyAlignment="1">
      <alignment horizontal="right" vertical="center"/>
    </xf>
    <xf numFmtId="172" fontId="20" fillId="2" borderId="0" xfId="0" applyNumberFormat="1" applyFont="1" applyFill="1" applyAlignment="1">
      <alignment horizontal="right" readingOrder="1"/>
    </xf>
    <xf numFmtId="0" fontId="16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10" fontId="22" fillId="0" borderId="0" xfId="0" applyNumberFormat="1" applyFont="1" applyAlignment="1">
      <alignment horizontal="right"/>
    </xf>
    <xf numFmtId="10" fontId="20" fillId="2" borderId="0" xfId="0" applyNumberFormat="1" applyFont="1" applyFill="1" applyAlignment="1">
      <alignment horizontal="right" readingOrder="1"/>
    </xf>
    <xf numFmtId="0" fontId="23" fillId="0" borderId="0" xfId="0" applyFont="1" applyAlignment="1">
      <alignment horizontal="left" vertical="top" readingOrder="1"/>
    </xf>
    <xf numFmtId="10" fontId="23" fillId="0" borderId="0" xfId="0" applyNumberFormat="1" applyFont="1" applyAlignment="1">
      <alignment horizontal="right" vertical="top" readingOrder="1"/>
    </xf>
    <xf numFmtId="0" fontId="23" fillId="0" borderId="0" xfId="0" applyFont="1" applyAlignment="1">
      <alignment vertical="top"/>
    </xf>
    <xf numFmtId="10" fontId="23" fillId="3" borderId="0" xfId="0" applyNumberFormat="1" applyFont="1" applyFill="1" applyAlignment="1">
      <alignment horizontal="right" vertical="top" readingOrder="1"/>
    </xf>
    <xf numFmtId="0" fontId="16" fillId="0" borderId="0" xfId="0" applyFont="1"/>
    <xf numFmtId="0" fontId="22" fillId="0" borderId="0" xfId="0" applyFont="1"/>
    <xf numFmtId="0" fontId="19" fillId="0" borderId="3" xfId="0" applyFont="1" applyBorder="1" applyAlignment="1">
      <alignment horizontal="center"/>
    </xf>
    <xf numFmtId="0" fontId="19" fillId="0" borderId="0" xfId="0" applyFont="1"/>
    <xf numFmtId="0" fontId="19" fillId="0" borderId="3" xfId="0" applyFont="1" applyBorder="1"/>
    <xf numFmtId="0" fontId="16" fillId="0" borderId="5" xfId="0" applyFont="1" applyBorder="1"/>
    <xf numFmtId="0" fontId="16" fillId="0" borderId="3" xfId="0" applyFont="1" applyBorder="1"/>
    <xf numFmtId="171" fontId="16" fillId="0" borderId="0" xfId="0" applyNumberFormat="1" applyFont="1"/>
    <xf numFmtId="173" fontId="16" fillId="0" borderId="0" xfId="0" applyNumberFormat="1" applyFont="1"/>
    <xf numFmtId="167" fontId="24" fillId="2" borderId="0" xfId="0" applyNumberFormat="1" applyFont="1" applyFill="1"/>
    <xf numFmtId="174" fontId="19" fillId="0" borderId="0" xfId="0" applyNumberFormat="1" applyFont="1"/>
    <xf numFmtId="173" fontId="19" fillId="0" borderId="14" xfId="0" applyNumberFormat="1" applyFont="1" applyBorder="1"/>
    <xf numFmtId="176" fontId="16" fillId="0" borderId="0" xfId="0" applyNumberFormat="1" applyFont="1" applyAlignment="1">
      <alignment horizontal="left"/>
    </xf>
    <xf numFmtId="176" fontId="16" fillId="0" borderId="0" xfId="0" applyNumberFormat="1" applyFont="1" applyAlignment="1">
      <alignment horizontal="right"/>
    </xf>
    <xf numFmtId="177" fontId="14" fillId="0" borderId="0" xfId="0" applyNumberFormat="1" applyFont="1"/>
    <xf numFmtId="177" fontId="14" fillId="0" borderId="3" xfId="0" applyNumberFormat="1" applyFont="1" applyBorder="1"/>
    <xf numFmtId="173" fontId="19" fillId="0" borderId="0" xfId="0" applyNumberFormat="1" applyFont="1"/>
    <xf numFmtId="10" fontId="11" fillId="0" borderId="0" xfId="2" applyNumberFormat="1" applyFont="1"/>
    <xf numFmtId="178" fontId="16" fillId="0" borderId="0" xfId="0" applyNumberFormat="1" applyFont="1"/>
    <xf numFmtId="10" fontId="14" fillId="0" borderId="0" xfId="0" applyNumberFormat="1" applyFont="1"/>
    <xf numFmtId="167" fontId="14" fillId="0" borderId="0" xfId="0" applyNumberFormat="1" applyFont="1"/>
    <xf numFmtId="167" fontId="22" fillId="0" borderId="0" xfId="0" applyNumberFormat="1" applyFont="1"/>
    <xf numFmtId="10" fontId="16" fillId="0" borderId="0" xfId="0" applyNumberFormat="1" applyFont="1"/>
    <xf numFmtId="164" fontId="11" fillId="0" borderId="0" xfId="1" applyFont="1"/>
    <xf numFmtId="179" fontId="22" fillId="0" borderId="0" xfId="0" applyNumberFormat="1" applyFont="1"/>
    <xf numFmtId="10" fontId="20" fillId="2" borderId="0" xfId="0" applyNumberFormat="1" applyFont="1" applyFill="1" applyAlignment="1">
      <alignment horizontal="right"/>
    </xf>
    <xf numFmtId="176" fontId="25" fillId="0" borderId="0" xfId="0" applyNumberFormat="1" applyFont="1"/>
    <xf numFmtId="0" fontId="25" fillId="0" borderId="0" xfId="0" applyFont="1"/>
    <xf numFmtId="3" fontId="25" fillId="0" borderId="0" xfId="0" applyNumberFormat="1" applyFont="1"/>
    <xf numFmtId="0" fontId="26" fillId="0" borderId="0" xfId="0" applyFont="1"/>
    <xf numFmtId="167" fontId="25" fillId="0" borderId="0" xfId="0" applyNumberFormat="1" applyFont="1"/>
    <xf numFmtId="170" fontId="26" fillId="0" borderId="0" xfId="0" applyNumberFormat="1" applyFont="1"/>
    <xf numFmtId="170" fontId="26" fillId="0" borderId="0" xfId="0" applyNumberFormat="1" applyFont="1" applyAlignment="1">
      <alignment horizontal="center"/>
    </xf>
    <xf numFmtId="2" fontId="25" fillId="0" borderId="0" xfId="0" applyNumberFormat="1" applyFont="1"/>
    <xf numFmtId="39" fontId="25" fillId="0" borderId="0" xfId="0" applyNumberFormat="1" applyFont="1"/>
    <xf numFmtId="173" fontId="25" fillId="0" borderId="0" xfId="0" applyNumberFormat="1" applyFont="1"/>
    <xf numFmtId="39" fontId="16" fillId="0" borderId="0" xfId="0" applyNumberFormat="1" applyFont="1" applyAlignment="1">
      <alignment horizontal="right"/>
    </xf>
    <xf numFmtId="0" fontId="27" fillId="0" borderId="0" xfId="0" applyFont="1"/>
    <xf numFmtId="180" fontId="14" fillId="0" borderId="0" xfId="0" applyNumberFormat="1" applyFont="1"/>
    <xf numFmtId="168" fontId="14" fillId="0" borderId="0" xfId="0" applyNumberFormat="1" applyFont="1"/>
    <xf numFmtId="167" fontId="20" fillId="2" borderId="0" xfId="0" applyNumberFormat="1" applyFont="1" applyFill="1" applyAlignment="1">
      <alignment horizontal="right"/>
    </xf>
    <xf numFmtId="181" fontId="14" fillId="0" borderId="0" xfId="0" applyNumberFormat="1" applyFont="1"/>
    <xf numFmtId="2" fontId="20" fillId="2" borderId="0" xfId="0" applyNumberFormat="1" applyFont="1" applyFill="1"/>
    <xf numFmtId="180" fontId="16" fillId="2" borderId="0" xfId="0" applyNumberFormat="1" applyFont="1" applyFill="1"/>
    <xf numFmtId="0" fontId="14" fillId="5" borderId="0" xfId="0" applyFont="1" applyFill="1" applyAlignment="1">
      <alignment horizontal="left"/>
    </xf>
    <xf numFmtId="0" fontId="19" fillId="0" borderId="0" xfId="0" applyFont="1" applyAlignment="1">
      <alignment horizontal="left"/>
    </xf>
    <xf numFmtId="182" fontId="16" fillId="0" borderId="0" xfId="0" applyNumberFormat="1" applyFont="1"/>
    <xf numFmtId="181" fontId="16" fillId="0" borderId="0" xfId="0" applyNumberFormat="1" applyFont="1"/>
    <xf numFmtId="10" fontId="19" fillId="0" borderId="0" xfId="0" applyNumberFormat="1" applyFont="1"/>
    <xf numFmtId="173" fontId="16" fillId="0" borderId="0" xfId="0" applyNumberFormat="1" applyFont="1" applyAlignment="1">
      <alignment horizontal="right"/>
    </xf>
    <xf numFmtId="176" fontId="21" fillId="0" borderId="0" xfId="0" applyNumberFormat="1" applyFont="1" applyAlignment="1">
      <alignment horizontal="right"/>
    </xf>
    <xf numFmtId="177" fontId="16" fillId="0" borderId="0" xfId="0" applyNumberFormat="1" applyFont="1"/>
    <xf numFmtId="164" fontId="16" fillId="2" borderId="0" xfId="0" applyNumberFormat="1" applyFont="1" applyFill="1"/>
    <xf numFmtId="177" fontId="16" fillId="0" borderId="0" xfId="0" applyNumberFormat="1" applyFont="1" applyAlignment="1">
      <alignment horizontal="right"/>
    </xf>
    <xf numFmtId="173" fontId="19" fillId="0" borderId="0" xfId="0" applyNumberFormat="1" applyFont="1" applyAlignment="1">
      <alignment horizontal="right"/>
    </xf>
    <xf numFmtId="0" fontId="16" fillId="0" borderId="1" xfId="0" applyFont="1" applyBorder="1"/>
    <xf numFmtId="183" fontId="19" fillId="0" borderId="2" xfId="0" applyNumberFormat="1" applyFont="1" applyBorder="1" applyAlignment="1">
      <alignment horizontal="right"/>
    </xf>
    <xf numFmtId="0" fontId="16" fillId="0" borderId="11" xfId="0" applyFont="1" applyBorder="1" applyAlignment="1">
      <alignment horizontal="left"/>
    </xf>
    <xf numFmtId="175" fontId="16" fillId="0" borderId="0" xfId="0" applyNumberFormat="1" applyFont="1" applyAlignment="1">
      <alignment horizontal="right"/>
    </xf>
    <xf numFmtId="164" fontId="28" fillId="0" borderId="0" xfId="0" applyNumberFormat="1" applyFont="1"/>
    <xf numFmtId="0" fontId="29" fillId="0" borderId="0" xfId="0" applyFont="1"/>
    <xf numFmtId="0" fontId="28" fillId="0" borderId="0" xfId="0" applyFont="1"/>
    <xf numFmtId="10" fontId="29" fillId="0" borderId="0" xfId="0" applyNumberFormat="1" applyFont="1"/>
    <xf numFmtId="173" fontId="29" fillId="0" borderId="0" xfId="0" applyNumberFormat="1" applyFont="1"/>
    <xf numFmtId="172" fontId="29" fillId="0" borderId="0" xfId="0" applyNumberFormat="1" applyFo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1E5F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</a:majorFont>
      <a:minorFont>
        <a:latin typeface="Aptos Narrow" panose="0211000402020202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G30"/>
  <sheetViews>
    <sheetView zoomScale="130" zoomScaleNormal="130" workbookViewId="0">
      <selection activeCell="C19" sqref="C19"/>
    </sheetView>
  </sheetViews>
  <sheetFormatPr defaultColWidth="11" defaultRowHeight="15.75" x14ac:dyDescent="0.25"/>
  <cols>
    <col min="1" max="1" width="1.875" customWidth="1"/>
    <col min="2" max="2" width="24" customWidth="1"/>
    <col min="3" max="3" width="21.75" customWidth="1"/>
    <col min="4" max="4" width="2.875" customWidth="1"/>
    <col min="5" max="7" width="12.625" customWidth="1"/>
    <col min="8" max="10" width="13.375" customWidth="1"/>
  </cols>
  <sheetData>
    <row r="1" spans="2:3" ht="9" customHeight="1" x14ac:dyDescent="0.25"/>
    <row r="2" spans="2:3" ht="31.5" customHeight="1" x14ac:dyDescent="0.25">
      <c r="B2" s="2" t="s">
        <v>0</v>
      </c>
      <c r="C2" s="3" t="s">
        <v>1</v>
      </c>
    </row>
    <row r="3" spans="2:3" ht="15.75" customHeight="1" x14ac:dyDescent="0.25">
      <c r="B3" t="s">
        <v>2</v>
      </c>
      <c r="C3" s="4">
        <v>293.12</v>
      </c>
    </row>
    <row r="4" spans="2:3" ht="15.75" customHeight="1" x14ac:dyDescent="0.25">
      <c r="B4" t="s">
        <v>3</v>
      </c>
      <c r="C4" s="5">
        <v>395</v>
      </c>
    </row>
    <row r="5" spans="2:3" ht="15.75" customHeight="1" x14ac:dyDescent="0.25">
      <c r="B5" t="s">
        <v>4</v>
      </c>
      <c r="C5" s="6">
        <f>C3*C4</f>
        <v>115782.40000000001</v>
      </c>
    </row>
    <row r="6" spans="2:3" ht="15.75" customHeight="1" x14ac:dyDescent="0.25">
      <c r="B6" t="s">
        <v>5</v>
      </c>
      <c r="C6" s="4">
        <v>5639</v>
      </c>
    </row>
    <row r="7" spans="2:3" ht="15.75" customHeight="1" x14ac:dyDescent="0.25">
      <c r="B7" t="s">
        <v>6</v>
      </c>
      <c r="C7" s="4">
        <v>6363</v>
      </c>
    </row>
    <row r="8" spans="2:3" ht="15.75" customHeight="1" x14ac:dyDescent="0.25">
      <c r="B8" t="s">
        <v>7</v>
      </c>
      <c r="C8" s="6">
        <f>C5+C7-C6</f>
        <v>116506.40000000001</v>
      </c>
    </row>
    <row r="9" spans="2:3" ht="15.75" customHeight="1" x14ac:dyDescent="0.25"/>
    <row r="10" spans="2:3" ht="15.75" customHeight="1" x14ac:dyDescent="0.25">
      <c r="B10" t="s">
        <v>8</v>
      </c>
      <c r="C10" s="7" t="s">
        <v>9</v>
      </c>
    </row>
    <row r="11" spans="2:3" ht="15.75" customHeight="1" x14ac:dyDescent="0.25">
      <c r="B11" t="s">
        <v>10</v>
      </c>
      <c r="C11" s="7" t="s">
        <v>11</v>
      </c>
    </row>
    <row r="12" spans="2:3" ht="15.75" customHeight="1" x14ac:dyDescent="0.25">
      <c r="C12" s="8"/>
    </row>
    <row r="13" spans="2:3" ht="15.75" customHeight="1" x14ac:dyDescent="0.25">
      <c r="B13" s="9" t="s">
        <v>12</v>
      </c>
      <c r="C13" s="8"/>
    </row>
    <row r="14" spans="2:3" ht="15.75" customHeight="1" x14ac:dyDescent="0.25">
      <c r="B14" s="9" t="s">
        <v>13</v>
      </c>
      <c r="C14" s="9" t="s">
        <v>14</v>
      </c>
    </row>
    <row r="15" spans="2:3" ht="15.75" customHeight="1" x14ac:dyDescent="0.25">
      <c r="B15" s="10" t="str">
        <f>'Digital Media'!C2</f>
        <v>Digital Media</v>
      </c>
      <c r="C15" s="10" t="str">
        <f>'Digital Media'!C3</f>
        <v>Adobe's largest segment: Creative Cloud (Photoshop, Illustrator, Premiere Pro, Firefly, etc.) and Document Cloud (Acrobat, Acrobat Sign).</v>
      </c>
    </row>
    <row r="16" spans="2:3" ht="15.75" customHeight="1" x14ac:dyDescent="0.25">
      <c r="B16" s="10" t="str">
        <f>'Digital Experience'!C2</f>
        <v>Digital Experience</v>
      </c>
      <c r="C16" s="10" t="str">
        <f>'Digital Experience'!C3</f>
        <v>Adobe Experience Cloud: enterprise platform and applications for customer experience management, analytics, and commerce.</v>
      </c>
    </row>
    <row r="17" spans="2:7" ht="15.75" customHeight="1" x14ac:dyDescent="0.25">
      <c r="B17" s="10" t="str">
        <f>'Publishing and Advertising'!C2</f>
        <v>Publishing and Advertising</v>
      </c>
      <c r="C17" s="10" t="str">
        <f>'Publishing and Advertising'!C3</f>
        <v>Legacy products/services: eLearning, technical document publishing, web conferencing, and (through FY23) Adobe Advertising Cloud.</v>
      </c>
    </row>
    <row r="18" spans="2:7" ht="15.75" customHeight="1" x14ac:dyDescent="0.25"/>
    <row r="19" spans="2:7" ht="15.75" customHeight="1" x14ac:dyDescent="0.25"/>
    <row r="20" spans="2:7" ht="15.75" customHeight="1" x14ac:dyDescent="0.25"/>
    <row r="21" spans="2:7" ht="15.75" customHeight="1" x14ac:dyDescent="0.25"/>
    <row r="22" spans="2:7" ht="15.75" customHeight="1" x14ac:dyDescent="0.25"/>
    <row r="23" spans="2:7" ht="15.75" customHeight="1" x14ac:dyDescent="0.25"/>
    <row r="24" spans="2:7" ht="15.75" customHeight="1" x14ac:dyDescent="0.25"/>
    <row r="25" spans="2:7" ht="15.75" customHeight="1" x14ac:dyDescent="0.25"/>
    <row r="27" spans="2:7" ht="15.75" customHeight="1" x14ac:dyDescent="0.25">
      <c r="E27" s="11"/>
      <c r="F27" s="12"/>
      <c r="G27" s="12"/>
    </row>
    <row r="29" spans="2:7" ht="15.75" customHeight="1" x14ac:dyDescent="0.25">
      <c r="D29" s="12"/>
    </row>
    <row r="30" spans="2:7" ht="15.75" customHeight="1" x14ac:dyDescent="0.25">
      <c r="D30" s="12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CP234"/>
  <sheetViews>
    <sheetView zoomScale="90" zoomScaleNormal="90" workbookViewId="0">
      <pane xSplit="2" topLeftCell="W1" activePane="topRight" state="frozen"/>
      <selection pane="topRight" activeCell="AC28" sqref="AC28"/>
    </sheetView>
  </sheetViews>
  <sheetFormatPr defaultColWidth="11" defaultRowHeight="15.75" x14ac:dyDescent="0.25"/>
  <cols>
    <col min="1" max="1" width="2.375" customWidth="1"/>
    <col min="2" max="2" width="47.125" customWidth="1"/>
    <col min="3" max="24" width="12.625" customWidth="1"/>
    <col min="25" max="25" width="13.5" customWidth="1"/>
    <col min="26" max="36" width="13.375" customWidth="1"/>
    <col min="37" max="43" width="13.125" customWidth="1"/>
    <col min="44" max="96" width="12.5" customWidth="1"/>
  </cols>
  <sheetData>
    <row r="1" spans="2:41" ht="9.75" customHeight="1" x14ac:dyDescent="0.25"/>
    <row r="2" spans="2:41" ht="34.5" customHeight="1" x14ac:dyDescent="0.4">
      <c r="B2" s="13" t="s">
        <v>15</v>
      </c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</row>
    <row r="4" spans="2:41" ht="16.5" customHeight="1" x14ac:dyDescent="0.25">
      <c r="B4" s="15" t="s">
        <v>16</v>
      </c>
      <c r="C4" s="16" t="s">
        <v>17</v>
      </c>
      <c r="D4" s="16" t="s">
        <v>18</v>
      </c>
      <c r="E4" s="16" t="s">
        <v>19</v>
      </c>
      <c r="F4" s="16" t="s">
        <v>20</v>
      </c>
      <c r="G4" s="16" t="s">
        <v>21</v>
      </c>
      <c r="H4" s="16" t="s">
        <v>22</v>
      </c>
      <c r="I4" s="16" t="s">
        <v>23</v>
      </c>
      <c r="J4" s="16" t="s">
        <v>24</v>
      </c>
      <c r="K4" s="16" t="s">
        <v>25</v>
      </c>
      <c r="L4" s="16" t="s">
        <v>26</v>
      </c>
      <c r="M4" s="16" t="s">
        <v>27</v>
      </c>
      <c r="N4" s="16" t="s">
        <v>28</v>
      </c>
      <c r="O4" s="16" t="s">
        <v>29</v>
      </c>
      <c r="P4" s="16" t="s">
        <v>30</v>
      </c>
      <c r="Q4" s="16" t="s">
        <v>31</v>
      </c>
      <c r="R4" s="16" t="s">
        <v>32</v>
      </c>
      <c r="S4" s="16" t="s">
        <v>33</v>
      </c>
      <c r="T4" s="16" t="s">
        <v>34</v>
      </c>
      <c r="U4" s="16" t="s">
        <v>35</v>
      </c>
      <c r="V4" s="16" t="s">
        <v>36</v>
      </c>
      <c r="W4" s="16" t="s">
        <v>37</v>
      </c>
      <c r="X4" s="16" t="s">
        <v>38</v>
      </c>
      <c r="Y4" s="16" t="s">
        <v>39</v>
      </c>
      <c r="Z4" s="16" t="s">
        <v>40</v>
      </c>
      <c r="AA4" s="16" t="s">
        <v>41</v>
      </c>
      <c r="AB4" s="16" t="s">
        <v>42</v>
      </c>
      <c r="AC4" s="16" t="s">
        <v>43</v>
      </c>
    </row>
    <row r="5" spans="2:41" ht="15.75" customHeight="1" x14ac:dyDescent="0.25">
      <c r="B5" s="17" t="s">
        <v>44</v>
      </c>
      <c r="C5" s="18">
        <v>2732</v>
      </c>
      <c r="D5" s="18">
        <v>2831</v>
      </c>
      <c r="E5" s="18">
        <v>2948</v>
      </c>
      <c r="F5" s="18">
        <f>11626-C5-D5-E5</f>
        <v>3115</v>
      </c>
      <c r="G5" s="18">
        <v>3584</v>
      </c>
      <c r="H5" s="18">
        <v>3520</v>
      </c>
      <c r="I5" s="18">
        <v>3657</v>
      </c>
      <c r="J5" s="18">
        <f>14573-G5-H5-I5</f>
        <v>3812</v>
      </c>
      <c r="K5" s="18">
        <v>3958</v>
      </c>
      <c r="L5" s="18">
        <v>4070</v>
      </c>
      <c r="M5" s="18">
        <v>4128</v>
      </c>
      <c r="N5" s="18">
        <f>16388-K5-L5-M5</f>
        <v>4232</v>
      </c>
      <c r="O5" s="18">
        <v>4373</v>
      </c>
      <c r="P5" s="18">
        <v>4517</v>
      </c>
      <c r="Q5" s="18">
        <v>4631</v>
      </c>
      <c r="R5" s="18">
        <v>4763</v>
      </c>
      <c r="S5" s="18">
        <v>4916</v>
      </c>
      <c r="T5" s="18">
        <v>5060</v>
      </c>
      <c r="U5" s="18">
        <v>5180</v>
      </c>
      <c r="V5" s="18">
        <f>20521-S5-T5-U5</f>
        <v>5365</v>
      </c>
      <c r="W5" s="18">
        <v>5483</v>
      </c>
      <c r="X5" s="18">
        <v>5641</v>
      </c>
      <c r="Y5" s="18">
        <v>5791</v>
      </c>
      <c r="Z5" s="18">
        <f>22904-W5-X5-Y5</f>
        <v>5989</v>
      </c>
      <c r="AA5" s="18">
        <v>6198</v>
      </c>
      <c r="AB5" s="18">
        <v>6416</v>
      </c>
      <c r="AC5" s="18">
        <v>6582</v>
      </c>
    </row>
    <row r="6" spans="2:41" ht="15.75" customHeight="1" x14ac:dyDescent="0.25">
      <c r="B6" s="17" t="s">
        <v>45</v>
      </c>
      <c r="C6" s="18">
        <v>143</v>
      </c>
      <c r="D6" s="18">
        <v>128</v>
      </c>
      <c r="E6" s="18">
        <v>109</v>
      </c>
      <c r="F6" s="18">
        <f>507-C6-D6-E6</f>
        <v>127</v>
      </c>
      <c r="G6" s="18">
        <v>155</v>
      </c>
      <c r="H6" s="18">
        <v>153</v>
      </c>
      <c r="I6" s="18">
        <v>119</v>
      </c>
      <c r="J6" s="18">
        <f>555-G6-H6-I6</f>
        <v>128</v>
      </c>
      <c r="K6" s="18">
        <v>145</v>
      </c>
      <c r="L6" s="18">
        <v>146</v>
      </c>
      <c r="M6" s="18">
        <v>126</v>
      </c>
      <c r="N6" s="18">
        <f>532-K6-L6-M6</f>
        <v>115</v>
      </c>
      <c r="O6" s="18">
        <v>120</v>
      </c>
      <c r="P6" s="18">
        <v>130</v>
      </c>
      <c r="Q6" s="18">
        <v>96</v>
      </c>
      <c r="R6" s="18">
        <v>114</v>
      </c>
      <c r="S6" s="18">
        <v>119</v>
      </c>
      <c r="T6" s="18">
        <v>104</v>
      </c>
      <c r="U6" s="18">
        <v>82</v>
      </c>
      <c r="V6" s="18">
        <f>386-S6-T6-U6</f>
        <v>81</v>
      </c>
      <c r="W6" s="18">
        <v>95</v>
      </c>
      <c r="X6" s="18">
        <v>88</v>
      </c>
      <c r="Y6" s="18">
        <v>68</v>
      </c>
      <c r="Z6" s="18">
        <f>325-W6-X6-Y6</f>
        <v>74</v>
      </c>
      <c r="AA6" s="18">
        <v>90</v>
      </c>
      <c r="AB6" s="18">
        <v>89</v>
      </c>
      <c r="AC6" s="18">
        <v>67</v>
      </c>
    </row>
    <row r="7" spans="2:41" ht="15.75" customHeight="1" x14ac:dyDescent="0.25">
      <c r="B7" s="17" t="s">
        <v>46</v>
      </c>
      <c r="C7" s="18">
        <v>216</v>
      </c>
      <c r="D7" s="18">
        <v>169</v>
      </c>
      <c r="E7" s="18">
        <v>168</v>
      </c>
      <c r="F7" s="18">
        <f>735-C7-D7-E7</f>
        <v>182</v>
      </c>
      <c r="G7" s="18">
        <v>166</v>
      </c>
      <c r="H7" s="18">
        <v>162</v>
      </c>
      <c r="I7" s="18">
        <v>159</v>
      </c>
      <c r="J7" s="18">
        <f>657-G7-H7-I7</f>
        <v>170</v>
      </c>
      <c r="K7" s="18">
        <v>159</v>
      </c>
      <c r="L7" s="18">
        <v>170</v>
      </c>
      <c r="M7" s="18">
        <v>179</v>
      </c>
      <c r="N7" s="18">
        <f>686-K7-L7-M7</f>
        <v>178</v>
      </c>
      <c r="O7" s="18">
        <v>162</v>
      </c>
      <c r="P7" s="18">
        <v>169</v>
      </c>
      <c r="Q7" s="18">
        <v>163</v>
      </c>
      <c r="R7" s="18">
        <v>171</v>
      </c>
      <c r="S7" s="18">
        <v>147</v>
      </c>
      <c r="T7" s="18">
        <v>145</v>
      </c>
      <c r="U7" s="18">
        <v>146</v>
      </c>
      <c r="V7" s="18">
        <f>598-S7-T7-U7</f>
        <v>160</v>
      </c>
      <c r="W7" s="18">
        <v>136</v>
      </c>
      <c r="X7" s="18">
        <v>144</v>
      </c>
      <c r="Y7" s="18">
        <v>129</v>
      </c>
      <c r="Z7" s="18">
        <f>540-W7-X7-Y7</f>
        <v>131</v>
      </c>
      <c r="AA7" s="18">
        <v>110</v>
      </c>
      <c r="AB7" s="18">
        <v>113</v>
      </c>
      <c r="AC7" s="18">
        <v>111</v>
      </c>
    </row>
    <row r="8" spans="2:41" ht="15.75" customHeight="1" x14ac:dyDescent="0.25">
      <c r="B8" s="19" t="s">
        <v>47</v>
      </c>
      <c r="C8" s="20">
        <f t="shared" ref="C8:AC8" si="0">C5+C6+C7</f>
        <v>3091</v>
      </c>
      <c r="D8" s="20">
        <f t="shared" si="0"/>
        <v>3128</v>
      </c>
      <c r="E8" s="20">
        <f t="shared" si="0"/>
        <v>3225</v>
      </c>
      <c r="F8" s="20">
        <f t="shared" si="0"/>
        <v>3424</v>
      </c>
      <c r="G8" s="20">
        <f t="shared" si="0"/>
        <v>3905</v>
      </c>
      <c r="H8" s="20">
        <f t="shared" si="0"/>
        <v>3835</v>
      </c>
      <c r="I8" s="20">
        <f t="shared" si="0"/>
        <v>3935</v>
      </c>
      <c r="J8" s="20">
        <f t="shared" si="0"/>
        <v>4110</v>
      </c>
      <c r="K8" s="20">
        <f t="shared" si="0"/>
        <v>4262</v>
      </c>
      <c r="L8" s="20">
        <f t="shared" si="0"/>
        <v>4386</v>
      </c>
      <c r="M8" s="20">
        <f t="shared" si="0"/>
        <v>4433</v>
      </c>
      <c r="N8" s="20">
        <f t="shared" si="0"/>
        <v>4525</v>
      </c>
      <c r="O8" s="20">
        <f t="shared" si="0"/>
        <v>4655</v>
      </c>
      <c r="P8" s="20">
        <f t="shared" si="0"/>
        <v>4816</v>
      </c>
      <c r="Q8" s="20">
        <f t="shared" si="0"/>
        <v>4890</v>
      </c>
      <c r="R8" s="20">
        <f t="shared" si="0"/>
        <v>5048</v>
      </c>
      <c r="S8" s="20">
        <f t="shared" si="0"/>
        <v>5182</v>
      </c>
      <c r="T8" s="20">
        <f t="shared" si="0"/>
        <v>5309</v>
      </c>
      <c r="U8" s="20">
        <f t="shared" si="0"/>
        <v>5408</v>
      </c>
      <c r="V8" s="20">
        <f t="shared" si="0"/>
        <v>5606</v>
      </c>
      <c r="W8" s="20">
        <f t="shared" si="0"/>
        <v>5714</v>
      </c>
      <c r="X8" s="20">
        <f t="shared" si="0"/>
        <v>5873</v>
      </c>
      <c r="Y8" s="20">
        <f t="shared" si="0"/>
        <v>5988</v>
      </c>
      <c r="Z8" s="20">
        <f t="shared" si="0"/>
        <v>6194</v>
      </c>
      <c r="AA8" s="20">
        <f t="shared" si="0"/>
        <v>6398</v>
      </c>
      <c r="AB8" s="20">
        <f t="shared" si="0"/>
        <v>6618</v>
      </c>
      <c r="AC8" s="20">
        <f t="shared" si="0"/>
        <v>6760</v>
      </c>
    </row>
    <row r="9" spans="2:41" ht="15.75" customHeight="1" x14ac:dyDescent="0.25">
      <c r="B9" t="s">
        <v>48</v>
      </c>
      <c r="C9" s="21">
        <v>452</v>
      </c>
      <c r="D9" s="21">
        <v>415</v>
      </c>
      <c r="E9" s="10">
        <v>427</v>
      </c>
      <c r="F9" s="10">
        <f>1722-C9-D9-E9</f>
        <v>428</v>
      </c>
      <c r="G9" s="21">
        <v>447</v>
      </c>
      <c r="H9" s="21">
        <v>444</v>
      </c>
      <c r="I9" s="21">
        <v>467</v>
      </c>
      <c r="J9" s="21">
        <f>1865-G9-H9-I9</f>
        <v>507</v>
      </c>
      <c r="K9" s="21">
        <v>512</v>
      </c>
      <c r="L9" s="21">
        <v>539</v>
      </c>
      <c r="M9" s="21">
        <v>546</v>
      </c>
      <c r="N9" s="21">
        <f>2165-K9-L9-M9</f>
        <v>568</v>
      </c>
      <c r="O9" s="21">
        <v>568</v>
      </c>
      <c r="P9" s="21">
        <v>572</v>
      </c>
      <c r="Q9" s="21">
        <v>580</v>
      </c>
      <c r="R9" s="21">
        <v>634</v>
      </c>
      <c r="S9" s="21">
        <v>590</v>
      </c>
      <c r="T9" s="21">
        <v>598</v>
      </c>
      <c r="U9" s="21">
        <v>554</v>
      </c>
      <c r="V9" s="21">
        <f>2358-S9-T9-U9</f>
        <v>616</v>
      </c>
      <c r="W9" s="21">
        <v>622</v>
      </c>
      <c r="X9" s="21">
        <v>638</v>
      </c>
      <c r="Y9" s="21">
        <v>642</v>
      </c>
      <c r="Z9" s="21">
        <f>2551-W9-X9-Y9</f>
        <v>649</v>
      </c>
      <c r="AA9" s="21">
        <v>664</v>
      </c>
      <c r="AB9" s="21">
        <v>715</v>
      </c>
      <c r="AC9" s="21">
        <v>763</v>
      </c>
    </row>
    <row r="10" spans="2:41" ht="15.75" customHeight="1" x14ac:dyDescent="0.25">
      <c r="B10" s="22" t="s">
        <v>49</v>
      </c>
      <c r="C10" s="23">
        <f t="shared" ref="C10:AC10" si="1">C8-C9</f>
        <v>2639</v>
      </c>
      <c r="D10" s="23">
        <f t="shared" si="1"/>
        <v>2713</v>
      </c>
      <c r="E10" s="23">
        <f t="shared" si="1"/>
        <v>2798</v>
      </c>
      <c r="F10" s="23">
        <f t="shared" si="1"/>
        <v>2996</v>
      </c>
      <c r="G10" s="23">
        <f t="shared" si="1"/>
        <v>3458</v>
      </c>
      <c r="H10" s="23">
        <f t="shared" si="1"/>
        <v>3391</v>
      </c>
      <c r="I10" s="23">
        <f t="shared" si="1"/>
        <v>3468</v>
      </c>
      <c r="J10" s="23">
        <f t="shared" si="1"/>
        <v>3603</v>
      </c>
      <c r="K10" s="23">
        <f t="shared" si="1"/>
        <v>3750</v>
      </c>
      <c r="L10" s="23">
        <f t="shared" si="1"/>
        <v>3847</v>
      </c>
      <c r="M10" s="23">
        <f t="shared" si="1"/>
        <v>3887</v>
      </c>
      <c r="N10" s="23">
        <f t="shared" si="1"/>
        <v>3957</v>
      </c>
      <c r="O10" s="23">
        <f t="shared" si="1"/>
        <v>4087</v>
      </c>
      <c r="P10" s="23">
        <f t="shared" si="1"/>
        <v>4244</v>
      </c>
      <c r="Q10" s="23">
        <f t="shared" si="1"/>
        <v>4310</v>
      </c>
      <c r="R10" s="23">
        <f t="shared" si="1"/>
        <v>4414</v>
      </c>
      <c r="S10" s="23">
        <f t="shared" si="1"/>
        <v>4592</v>
      </c>
      <c r="T10" s="23">
        <f t="shared" si="1"/>
        <v>4711</v>
      </c>
      <c r="U10" s="23">
        <f t="shared" si="1"/>
        <v>4854</v>
      </c>
      <c r="V10" s="23">
        <f t="shared" si="1"/>
        <v>4990</v>
      </c>
      <c r="W10" s="23">
        <f t="shared" si="1"/>
        <v>5092</v>
      </c>
      <c r="X10" s="23">
        <f t="shared" si="1"/>
        <v>5235</v>
      </c>
      <c r="Y10" s="23">
        <f t="shared" si="1"/>
        <v>5346</v>
      </c>
      <c r="Z10" s="23">
        <f t="shared" si="1"/>
        <v>5545</v>
      </c>
      <c r="AA10" s="23">
        <f t="shared" si="1"/>
        <v>5734</v>
      </c>
      <c r="AB10" s="23">
        <f t="shared" si="1"/>
        <v>5903</v>
      </c>
      <c r="AC10" s="23">
        <f t="shared" si="1"/>
        <v>5997</v>
      </c>
    </row>
    <row r="11" spans="2:41" ht="15.75" customHeight="1" x14ac:dyDescent="0.25">
      <c r="B11" t="s">
        <v>50</v>
      </c>
      <c r="C11" s="21">
        <v>532</v>
      </c>
      <c r="D11" s="21">
        <v>532</v>
      </c>
      <c r="E11" s="21">
        <v>566</v>
      </c>
      <c r="F11" s="21">
        <f>2188-C11-D11-E11</f>
        <v>558</v>
      </c>
      <c r="G11" s="21">
        <v>620</v>
      </c>
      <c r="H11" s="21">
        <v>612</v>
      </c>
      <c r="I11" s="21">
        <v>651</v>
      </c>
      <c r="J11" s="21">
        <f>2540-G11-H11-I11</f>
        <v>657</v>
      </c>
      <c r="K11" s="21">
        <v>701</v>
      </c>
      <c r="L11" s="21">
        <v>738</v>
      </c>
      <c r="M11" s="21">
        <v>775</v>
      </c>
      <c r="N11" s="21">
        <f>2987-K11-L11-M11</f>
        <v>773</v>
      </c>
      <c r="O11" s="21">
        <v>827</v>
      </c>
      <c r="P11" s="21">
        <v>876</v>
      </c>
      <c r="Q11" s="21">
        <v>881</v>
      </c>
      <c r="R11" s="21">
        <v>889</v>
      </c>
      <c r="S11" s="21">
        <v>939</v>
      </c>
      <c r="T11" s="21">
        <v>984</v>
      </c>
      <c r="U11" s="21">
        <v>1022</v>
      </c>
      <c r="V11" s="21">
        <f>3944-S11-T11-U11</f>
        <v>999</v>
      </c>
      <c r="W11" s="21">
        <v>1026</v>
      </c>
      <c r="X11" s="21">
        <v>1082</v>
      </c>
      <c r="Y11" s="21">
        <v>1088</v>
      </c>
      <c r="Z11" s="21">
        <f>4294-W11-X11-Y11</f>
        <v>1098</v>
      </c>
      <c r="AA11" s="21">
        <v>1110</v>
      </c>
      <c r="AB11" s="21">
        <v>1198</v>
      </c>
      <c r="AC11" s="21">
        <v>1288</v>
      </c>
    </row>
    <row r="12" spans="2:41" ht="15.75" customHeight="1" x14ac:dyDescent="0.25">
      <c r="B12" t="s">
        <v>51</v>
      </c>
      <c r="C12" s="21">
        <v>857</v>
      </c>
      <c r="D12" s="21">
        <v>901</v>
      </c>
      <c r="E12" s="21">
        <v>892</v>
      </c>
      <c r="F12" s="21">
        <f>3591-C12-D12-E12</f>
        <v>941</v>
      </c>
      <c r="G12" s="21">
        <v>1049</v>
      </c>
      <c r="H12" s="21">
        <v>1073</v>
      </c>
      <c r="I12" s="21">
        <v>1068</v>
      </c>
      <c r="J12" s="21">
        <f>4321-G12-H12-I12</f>
        <v>1131</v>
      </c>
      <c r="K12" s="21">
        <v>1158</v>
      </c>
      <c r="L12" s="21">
        <v>1247</v>
      </c>
      <c r="M12" s="21">
        <v>1266</v>
      </c>
      <c r="N12" s="21">
        <f>4968-K12-L12-M12</f>
        <v>1297</v>
      </c>
      <c r="O12" s="21">
        <v>1301</v>
      </c>
      <c r="P12" s="21">
        <v>1345</v>
      </c>
      <c r="Q12" s="21">
        <v>1337</v>
      </c>
      <c r="R12" s="21">
        <v>1368</v>
      </c>
      <c r="S12" s="21">
        <v>1352</v>
      </c>
      <c r="T12" s="21">
        <v>1445</v>
      </c>
      <c r="U12" s="21">
        <v>1431</v>
      </c>
      <c r="V12" s="21">
        <f>5764-S12-T12-U12</f>
        <v>1536</v>
      </c>
      <c r="W12" s="21">
        <v>1495</v>
      </c>
      <c r="X12" s="21">
        <v>1626</v>
      </c>
      <c r="Y12" s="21">
        <v>1639</v>
      </c>
      <c r="Z12" s="21">
        <f>6488-W12-X12-Y12</f>
        <v>1728</v>
      </c>
      <c r="AA12" s="21">
        <v>1708</v>
      </c>
      <c r="AB12" s="21">
        <v>1884</v>
      </c>
      <c r="AC12" s="21">
        <v>1827</v>
      </c>
    </row>
    <row r="13" spans="2:41" ht="15.75" customHeight="1" x14ac:dyDescent="0.25">
      <c r="B13" t="s">
        <v>52</v>
      </c>
      <c r="C13" s="21">
        <v>271</v>
      </c>
      <c r="D13" s="21">
        <v>224</v>
      </c>
      <c r="E13" s="21">
        <v>230</v>
      </c>
      <c r="F13" s="21">
        <f>968-C13-D13-E13</f>
        <v>243</v>
      </c>
      <c r="G13" s="21">
        <v>290</v>
      </c>
      <c r="H13" s="21">
        <v>256</v>
      </c>
      <c r="I13" s="21">
        <v>265</v>
      </c>
      <c r="J13" s="21">
        <f>1085-G13-H13-I13</f>
        <v>274</v>
      </c>
      <c r="K13" s="21">
        <v>269</v>
      </c>
      <c r="L13" s="21">
        <v>291</v>
      </c>
      <c r="M13" s="21">
        <v>319</v>
      </c>
      <c r="N13" s="21">
        <f>1219-K13-L13-M13</f>
        <v>340</v>
      </c>
      <c r="O13" s="21">
        <v>331</v>
      </c>
      <c r="P13" s="21">
        <v>357</v>
      </c>
      <c r="Q13" s="21">
        <v>353</v>
      </c>
      <c r="R13" s="21">
        <v>372</v>
      </c>
      <c r="S13" s="21">
        <v>352</v>
      </c>
      <c r="T13" s="21">
        <v>355</v>
      </c>
      <c r="U13" s="21">
        <v>366</v>
      </c>
      <c r="V13" s="21">
        <f>1529-S13-T13-U13</f>
        <v>456</v>
      </c>
      <c r="W13" s="21">
        <v>367</v>
      </c>
      <c r="X13" s="21">
        <v>377</v>
      </c>
      <c r="Y13" s="21">
        <v>408</v>
      </c>
      <c r="Z13" s="21">
        <f>1573-W13-X13-Y13</f>
        <v>421</v>
      </c>
      <c r="AA13" s="21">
        <v>463</v>
      </c>
      <c r="AB13" s="21">
        <v>546</v>
      </c>
      <c r="AC13" s="21">
        <v>488</v>
      </c>
    </row>
    <row r="14" spans="2:41" ht="15.75" customHeight="1" x14ac:dyDescent="0.25">
      <c r="B14" t="s">
        <v>53</v>
      </c>
      <c r="C14" s="21">
        <v>0</v>
      </c>
      <c r="D14" s="21">
        <v>0</v>
      </c>
      <c r="E14" s="21">
        <v>0</v>
      </c>
      <c r="F14" s="21">
        <f>0-C14-D14-E14</f>
        <v>0</v>
      </c>
      <c r="G14" s="21">
        <v>0</v>
      </c>
      <c r="H14" s="21">
        <v>0</v>
      </c>
      <c r="I14" s="21">
        <v>0</v>
      </c>
      <c r="J14" s="21">
        <f>0-G14-H14-I14</f>
        <v>0</v>
      </c>
      <c r="K14" s="21">
        <v>0</v>
      </c>
      <c r="L14" s="21">
        <v>0</v>
      </c>
      <c r="M14" s="21">
        <v>0</v>
      </c>
      <c r="N14" s="21">
        <f>0-K14-L14-M14</f>
        <v>0</v>
      </c>
      <c r="O14" s="21">
        <v>0</v>
      </c>
      <c r="P14" s="21">
        <v>0</v>
      </c>
      <c r="Q14" s="21">
        <v>0</v>
      </c>
      <c r="R14" s="21">
        <v>0</v>
      </c>
      <c r="S14" s="21">
        <v>1000</v>
      </c>
      <c r="T14" s="21">
        <v>0</v>
      </c>
      <c r="U14" s="21">
        <v>0</v>
      </c>
      <c r="V14" s="21">
        <f>1000-S14-T14-U14</f>
        <v>0</v>
      </c>
      <c r="W14" s="21">
        <v>0</v>
      </c>
      <c r="X14" s="21">
        <v>0</v>
      </c>
      <c r="Y14" s="21">
        <v>0</v>
      </c>
      <c r="Z14" s="21">
        <f>0-W14-X14-Y14</f>
        <v>0</v>
      </c>
      <c r="AA14" s="21">
        <v>0</v>
      </c>
      <c r="AB14" s="21">
        <v>0</v>
      </c>
      <c r="AC14" s="21">
        <v>0</v>
      </c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</row>
    <row r="15" spans="2:41" ht="15.75" customHeight="1" x14ac:dyDescent="0.25">
      <c r="B15" t="s">
        <v>54</v>
      </c>
      <c r="C15" s="21">
        <v>42</v>
      </c>
      <c r="D15" s="21">
        <v>40</v>
      </c>
      <c r="E15" s="21">
        <v>41</v>
      </c>
      <c r="F15" s="21">
        <f>162-C15-D15-E15</f>
        <v>39</v>
      </c>
      <c r="G15" s="21">
        <v>45</v>
      </c>
      <c r="H15" s="21">
        <v>44</v>
      </c>
      <c r="I15" s="21">
        <v>43</v>
      </c>
      <c r="J15" s="21">
        <f>172-G15-H15-I15</f>
        <v>40</v>
      </c>
      <c r="K15" s="21">
        <v>42</v>
      </c>
      <c r="L15" s="21">
        <v>42</v>
      </c>
      <c r="M15" s="21">
        <v>43</v>
      </c>
      <c r="N15" s="21">
        <f>169-K15-L15-M15</f>
        <v>42</v>
      </c>
      <c r="O15" s="21">
        <v>42</v>
      </c>
      <c r="P15" s="21">
        <v>42</v>
      </c>
      <c r="Q15" s="21">
        <v>42</v>
      </c>
      <c r="R15" s="21">
        <v>42</v>
      </c>
      <c r="S15" s="21">
        <v>42</v>
      </c>
      <c r="T15" s="21">
        <v>42</v>
      </c>
      <c r="U15" s="21">
        <v>43</v>
      </c>
      <c r="V15" s="21">
        <f>169-S15-T15-U15</f>
        <v>42</v>
      </c>
      <c r="W15" s="21">
        <v>41</v>
      </c>
      <c r="X15" s="21">
        <v>41</v>
      </c>
      <c r="Y15" s="21">
        <v>38</v>
      </c>
      <c r="Z15" s="21">
        <f>157-W15-X15-Y15</f>
        <v>37</v>
      </c>
      <c r="AA15" s="21">
        <v>35</v>
      </c>
      <c r="AB15" s="21">
        <v>37</v>
      </c>
      <c r="AC15" s="21">
        <v>40</v>
      </c>
      <c r="AD15" s="24"/>
      <c r="AE15" s="24"/>
      <c r="AF15" s="24"/>
      <c r="AG15" s="24"/>
      <c r="AH15" s="24"/>
      <c r="AI15" s="24"/>
      <c r="AJ15" s="24"/>
      <c r="AK15" s="24"/>
      <c r="AL15" s="24"/>
      <c r="AM15" s="24"/>
      <c r="AN15" s="24"/>
      <c r="AO15" s="24"/>
    </row>
    <row r="16" spans="2:41" ht="15.75" customHeight="1" x14ac:dyDescent="0.25">
      <c r="B16" t="s">
        <v>55</v>
      </c>
      <c r="C16" s="21">
        <f t="shared" ref="C16:AC16" si="2">SUM(C11:C15)</f>
        <v>1702</v>
      </c>
      <c r="D16" s="21">
        <f t="shared" si="2"/>
        <v>1697</v>
      </c>
      <c r="E16" s="21">
        <f t="shared" si="2"/>
        <v>1729</v>
      </c>
      <c r="F16" s="21">
        <f t="shared" si="2"/>
        <v>1781</v>
      </c>
      <c r="G16" s="21">
        <f t="shared" si="2"/>
        <v>2004</v>
      </c>
      <c r="H16" s="21">
        <f t="shared" si="2"/>
        <v>1985</v>
      </c>
      <c r="I16" s="21">
        <f t="shared" si="2"/>
        <v>2027</v>
      </c>
      <c r="J16" s="21">
        <f t="shared" si="2"/>
        <v>2102</v>
      </c>
      <c r="K16" s="21">
        <f t="shared" si="2"/>
        <v>2170</v>
      </c>
      <c r="L16" s="21">
        <f t="shared" si="2"/>
        <v>2318</v>
      </c>
      <c r="M16" s="21">
        <f t="shared" si="2"/>
        <v>2403</v>
      </c>
      <c r="N16" s="21">
        <f t="shared" si="2"/>
        <v>2452</v>
      </c>
      <c r="O16" s="21">
        <f t="shared" si="2"/>
        <v>2501</v>
      </c>
      <c r="P16" s="21">
        <f t="shared" si="2"/>
        <v>2620</v>
      </c>
      <c r="Q16" s="21">
        <f t="shared" si="2"/>
        <v>2613</v>
      </c>
      <c r="R16" s="21">
        <f t="shared" si="2"/>
        <v>2671</v>
      </c>
      <c r="S16" s="21">
        <f t="shared" si="2"/>
        <v>3685</v>
      </c>
      <c r="T16" s="21">
        <f t="shared" si="2"/>
        <v>2826</v>
      </c>
      <c r="U16" s="21">
        <f t="shared" si="2"/>
        <v>2862</v>
      </c>
      <c r="V16" s="21">
        <f t="shared" si="2"/>
        <v>3033</v>
      </c>
      <c r="W16" s="21">
        <f t="shared" si="2"/>
        <v>2929</v>
      </c>
      <c r="X16" s="21">
        <f t="shared" si="2"/>
        <v>3126</v>
      </c>
      <c r="Y16" s="21">
        <f t="shared" si="2"/>
        <v>3173</v>
      </c>
      <c r="Z16" s="21">
        <f t="shared" si="2"/>
        <v>3284</v>
      </c>
      <c r="AA16" s="21">
        <f t="shared" si="2"/>
        <v>3316</v>
      </c>
      <c r="AB16" s="21">
        <f t="shared" si="2"/>
        <v>3665</v>
      </c>
      <c r="AC16" s="21">
        <f t="shared" si="2"/>
        <v>3643</v>
      </c>
      <c r="AD16" s="24"/>
      <c r="AE16" s="24"/>
      <c r="AF16" s="24"/>
      <c r="AG16" s="24"/>
      <c r="AH16" s="24"/>
      <c r="AI16" s="24"/>
      <c r="AJ16" s="24"/>
      <c r="AK16" s="24"/>
      <c r="AL16" s="24"/>
      <c r="AM16" s="24"/>
      <c r="AN16" s="24"/>
      <c r="AO16" s="24"/>
    </row>
    <row r="17" spans="2:41" ht="15.75" customHeight="1" x14ac:dyDescent="0.25">
      <c r="B17" t="s">
        <v>56</v>
      </c>
      <c r="C17" s="21">
        <f t="shared" ref="C17:AC17" si="3">C10-C16</f>
        <v>937</v>
      </c>
      <c r="D17" s="21">
        <f t="shared" si="3"/>
        <v>1016</v>
      </c>
      <c r="E17" s="21">
        <f t="shared" si="3"/>
        <v>1069</v>
      </c>
      <c r="F17" s="21">
        <f t="shared" si="3"/>
        <v>1215</v>
      </c>
      <c r="G17" s="21">
        <f t="shared" si="3"/>
        <v>1454</v>
      </c>
      <c r="H17" s="21">
        <f t="shared" si="3"/>
        <v>1406</v>
      </c>
      <c r="I17" s="21">
        <f t="shared" si="3"/>
        <v>1441</v>
      </c>
      <c r="J17" s="21">
        <f t="shared" si="3"/>
        <v>1501</v>
      </c>
      <c r="K17" s="21">
        <f t="shared" si="3"/>
        <v>1580</v>
      </c>
      <c r="L17" s="21">
        <f t="shared" si="3"/>
        <v>1529</v>
      </c>
      <c r="M17" s="21">
        <f t="shared" si="3"/>
        <v>1484</v>
      </c>
      <c r="N17" s="21">
        <f t="shared" si="3"/>
        <v>1505</v>
      </c>
      <c r="O17" s="21">
        <f t="shared" si="3"/>
        <v>1586</v>
      </c>
      <c r="P17" s="21">
        <f t="shared" si="3"/>
        <v>1624</v>
      </c>
      <c r="Q17" s="21">
        <f t="shared" si="3"/>
        <v>1697</v>
      </c>
      <c r="R17" s="21">
        <f t="shared" si="3"/>
        <v>1743</v>
      </c>
      <c r="S17" s="21">
        <f t="shared" si="3"/>
        <v>907</v>
      </c>
      <c r="T17" s="21">
        <f t="shared" si="3"/>
        <v>1885</v>
      </c>
      <c r="U17" s="21">
        <f t="shared" si="3"/>
        <v>1992</v>
      </c>
      <c r="V17" s="21">
        <f t="shared" si="3"/>
        <v>1957</v>
      </c>
      <c r="W17" s="21">
        <f t="shared" si="3"/>
        <v>2163</v>
      </c>
      <c r="X17" s="21">
        <f t="shared" si="3"/>
        <v>2109</v>
      </c>
      <c r="Y17" s="21">
        <f t="shared" si="3"/>
        <v>2173</v>
      </c>
      <c r="Z17" s="21">
        <f t="shared" si="3"/>
        <v>2261</v>
      </c>
      <c r="AA17" s="21">
        <f t="shared" si="3"/>
        <v>2418</v>
      </c>
      <c r="AB17" s="21">
        <f t="shared" si="3"/>
        <v>2238</v>
      </c>
      <c r="AC17" s="21">
        <f t="shared" si="3"/>
        <v>2354</v>
      </c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</row>
    <row r="18" spans="2:41" ht="15.75" customHeight="1" x14ac:dyDescent="0.25">
      <c r="B18" t="s">
        <v>57</v>
      </c>
      <c r="C18" s="21">
        <v>-18</v>
      </c>
      <c r="D18" s="21">
        <v>-16</v>
      </c>
      <c r="E18" s="21">
        <v>-9</v>
      </c>
      <c r="F18" s="21">
        <f>-61-C18-D18-E18</f>
        <v>-18</v>
      </c>
      <c r="G18" s="21">
        <v>-21</v>
      </c>
      <c r="H18" s="21">
        <v>-20</v>
      </c>
      <c r="I18" s="21">
        <v>-23</v>
      </c>
      <c r="J18" s="21">
        <f>-97-G18-H18-I18</f>
        <v>-33</v>
      </c>
      <c r="K18" s="21">
        <v>-37</v>
      </c>
      <c r="L18" s="21">
        <v>-37</v>
      </c>
      <c r="M18" s="21">
        <v>-28</v>
      </c>
      <c r="N18" s="21">
        <f>-90-K18-L18-M18</f>
        <v>12</v>
      </c>
      <c r="O18" s="21">
        <v>12</v>
      </c>
      <c r="P18" s="21">
        <v>26</v>
      </c>
      <c r="Q18" s="21">
        <v>46</v>
      </c>
      <c r="R18" s="21">
        <v>65</v>
      </c>
      <c r="S18" s="21">
        <v>61</v>
      </c>
      <c r="T18" s="21">
        <v>45</v>
      </c>
      <c r="U18" s="21">
        <v>50</v>
      </c>
      <c r="V18" s="21">
        <f>190-S18-T18-U18</f>
        <v>34</v>
      </c>
      <c r="W18" s="21">
        <v>19</v>
      </c>
      <c r="X18" s="21">
        <v>-8</v>
      </c>
      <c r="Y18" s="21">
        <v>14</v>
      </c>
      <c r="Z18" s="21">
        <f>28-W18-X18-Y18</f>
        <v>3</v>
      </c>
      <c r="AA18" s="21">
        <v>4</v>
      </c>
      <c r="AB18" s="21">
        <v>0</v>
      </c>
      <c r="AC18" s="21">
        <v>3</v>
      </c>
      <c r="AD18" s="24"/>
      <c r="AE18" s="24"/>
      <c r="AF18" s="24"/>
      <c r="AG18" s="24"/>
      <c r="AH18" s="24"/>
      <c r="AI18" s="24"/>
      <c r="AJ18" s="24"/>
      <c r="AK18" s="24"/>
      <c r="AL18" s="24"/>
      <c r="AM18" s="24"/>
      <c r="AN18" s="24"/>
      <c r="AO18" s="24"/>
    </row>
    <row r="19" spans="2:41" ht="16.5" customHeight="1" x14ac:dyDescent="0.25">
      <c r="B19" t="s">
        <v>58</v>
      </c>
      <c r="C19" s="21">
        <f t="shared" ref="C19:AC19" si="4">C17+C18</f>
        <v>919</v>
      </c>
      <c r="D19" s="21">
        <f t="shared" si="4"/>
        <v>1000</v>
      </c>
      <c r="E19" s="21">
        <f t="shared" si="4"/>
        <v>1060</v>
      </c>
      <c r="F19" s="21">
        <f t="shared" si="4"/>
        <v>1197</v>
      </c>
      <c r="G19" s="21">
        <f t="shared" si="4"/>
        <v>1433</v>
      </c>
      <c r="H19" s="21">
        <f t="shared" si="4"/>
        <v>1386</v>
      </c>
      <c r="I19" s="21">
        <f t="shared" si="4"/>
        <v>1418</v>
      </c>
      <c r="J19" s="21">
        <f t="shared" si="4"/>
        <v>1468</v>
      </c>
      <c r="K19" s="21">
        <f t="shared" si="4"/>
        <v>1543</v>
      </c>
      <c r="L19" s="21">
        <f t="shared" si="4"/>
        <v>1492</v>
      </c>
      <c r="M19" s="21">
        <f t="shared" si="4"/>
        <v>1456</v>
      </c>
      <c r="N19" s="21">
        <f t="shared" si="4"/>
        <v>1517</v>
      </c>
      <c r="O19" s="21">
        <f t="shared" si="4"/>
        <v>1598</v>
      </c>
      <c r="P19" s="21">
        <f t="shared" si="4"/>
        <v>1650</v>
      </c>
      <c r="Q19" s="21">
        <f t="shared" si="4"/>
        <v>1743</v>
      </c>
      <c r="R19" s="21">
        <f t="shared" si="4"/>
        <v>1808</v>
      </c>
      <c r="S19" s="21">
        <f t="shared" si="4"/>
        <v>968</v>
      </c>
      <c r="T19" s="21">
        <f t="shared" si="4"/>
        <v>1930</v>
      </c>
      <c r="U19" s="21">
        <f t="shared" si="4"/>
        <v>2042</v>
      </c>
      <c r="V19" s="21">
        <f t="shared" si="4"/>
        <v>1991</v>
      </c>
      <c r="W19" s="21">
        <f t="shared" si="4"/>
        <v>2182</v>
      </c>
      <c r="X19" s="21">
        <f t="shared" si="4"/>
        <v>2101</v>
      </c>
      <c r="Y19" s="21">
        <f t="shared" si="4"/>
        <v>2187</v>
      </c>
      <c r="Z19" s="21">
        <f t="shared" si="4"/>
        <v>2264</v>
      </c>
      <c r="AA19" s="21">
        <f t="shared" si="4"/>
        <v>2422</v>
      </c>
      <c r="AB19" s="21">
        <f t="shared" si="4"/>
        <v>2238</v>
      </c>
      <c r="AC19" s="21">
        <f t="shared" si="4"/>
        <v>2357</v>
      </c>
      <c r="AD19" s="25"/>
      <c r="AE19" s="25"/>
      <c r="AF19" s="25"/>
      <c r="AG19" s="25"/>
      <c r="AH19" s="25"/>
      <c r="AI19" s="25"/>
      <c r="AJ19" s="25"/>
      <c r="AK19" s="25"/>
      <c r="AL19" s="25"/>
      <c r="AM19" s="25"/>
      <c r="AN19" s="25"/>
      <c r="AO19" s="25"/>
    </row>
    <row r="20" spans="2:41" ht="16.5" customHeight="1" x14ac:dyDescent="0.25">
      <c r="B20" t="s">
        <v>59</v>
      </c>
      <c r="C20" s="21">
        <v>-36</v>
      </c>
      <c r="D20" s="21">
        <v>-100</v>
      </c>
      <c r="E20" s="26">
        <v>105</v>
      </c>
      <c r="F20" s="26">
        <f>-1084-C20-D20-E20</f>
        <v>-1053</v>
      </c>
      <c r="G20" s="21">
        <v>172</v>
      </c>
      <c r="H20" s="21">
        <v>270</v>
      </c>
      <c r="I20" s="21">
        <v>206</v>
      </c>
      <c r="J20" s="21">
        <f>883-G20-H20-I20</f>
        <v>235</v>
      </c>
      <c r="K20" s="21">
        <v>277</v>
      </c>
      <c r="L20" s="21">
        <v>314</v>
      </c>
      <c r="M20" s="21">
        <v>320</v>
      </c>
      <c r="N20" s="21">
        <f>1252-K20-L20-M20</f>
        <v>341</v>
      </c>
      <c r="O20" s="21">
        <v>351</v>
      </c>
      <c r="P20" s="21">
        <v>355</v>
      </c>
      <c r="Q20" s="21">
        <v>340</v>
      </c>
      <c r="R20" s="21">
        <v>325</v>
      </c>
      <c r="S20" s="21">
        <v>348</v>
      </c>
      <c r="T20" s="21">
        <v>357</v>
      </c>
      <c r="U20" s="21">
        <v>358</v>
      </c>
      <c r="V20" s="21">
        <f>1371-S20-T20-U20</f>
        <v>308</v>
      </c>
      <c r="W20" s="21">
        <v>371</v>
      </c>
      <c r="X20" s="21">
        <v>410</v>
      </c>
      <c r="Y20" s="21">
        <v>415</v>
      </c>
      <c r="Z20" s="21">
        <f>1604-W20-X20-Y20</f>
        <v>408</v>
      </c>
      <c r="AA20" s="21">
        <v>533</v>
      </c>
      <c r="AB20" s="21">
        <v>526</v>
      </c>
      <c r="AC20" s="21">
        <v>530</v>
      </c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</row>
    <row r="21" spans="2:41" ht="15.75" customHeight="1" x14ac:dyDescent="0.25">
      <c r="B21" s="27" t="s">
        <v>60</v>
      </c>
      <c r="C21" s="28">
        <f t="shared" ref="C21:AC21" si="5">C19-C20</f>
        <v>955</v>
      </c>
      <c r="D21" s="28">
        <f t="shared" si="5"/>
        <v>1100</v>
      </c>
      <c r="E21" s="28">
        <f t="shared" si="5"/>
        <v>955</v>
      </c>
      <c r="F21" s="28">
        <f t="shared" si="5"/>
        <v>2250</v>
      </c>
      <c r="G21" s="28">
        <f t="shared" si="5"/>
        <v>1261</v>
      </c>
      <c r="H21" s="28">
        <f t="shared" si="5"/>
        <v>1116</v>
      </c>
      <c r="I21" s="28">
        <f t="shared" si="5"/>
        <v>1212</v>
      </c>
      <c r="J21" s="28">
        <f t="shared" si="5"/>
        <v>1233</v>
      </c>
      <c r="K21" s="28">
        <f t="shared" si="5"/>
        <v>1266</v>
      </c>
      <c r="L21" s="28">
        <f t="shared" si="5"/>
        <v>1178</v>
      </c>
      <c r="M21" s="28">
        <f t="shared" si="5"/>
        <v>1136</v>
      </c>
      <c r="N21" s="28">
        <f t="shared" si="5"/>
        <v>1176</v>
      </c>
      <c r="O21" s="28">
        <f t="shared" si="5"/>
        <v>1247</v>
      </c>
      <c r="P21" s="28">
        <f t="shared" si="5"/>
        <v>1295</v>
      </c>
      <c r="Q21" s="28">
        <f t="shared" si="5"/>
        <v>1403</v>
      </c>
      <c r="R21" s="28">
        <f t="shared" si="5"/>
        <v>1483</v>
      </c>
      <c r="S21" s="28">
        <f t="shared" si="5"/>
        <v>620</v>
      </c>
      <c r="T21" s="28">
        <f t="shared" si="5"/>
        <v>1573</v>
      </c>
      <c r="U21" s="28">
        <f t="shared" si="5"/>
        <v>1684</v>
      </c>
      <c r="V21" s="28">
        <f t="shared" si="5"/>
        <v>1683</v>
      </c>
      <c r="W21" s="28">
        <f t="shared" si="5"/>
        <v>1811</v>
      </c>
      <c r="X21" s="28">
        <f t="shared" si="5"/>
        <v>1691</v>
      </c>
      <c r="Y21" s="28">
        <f t="shared" si="5"/>
        <v>1772</v>
      </c>
      <c r="Z21" s="28">
        <f t="shared" si="5"/>
        <v>1856</v>
      </c>
      <c r="AA21" s="28">
        <f t="shared" si="5"/>
        <v>1889</v>
      </c>
      <c r="AB21" s="28">
        <f t="shared" si="5"/>
        <v>1712</v>
      </c>
      <c r="AC21" s="28">
        <f t="shared" si="5"/>
        <v>1827</v>
      </c>
      <c r="AD21" s="29"/>
      <c r="AE21" s="29"/>
      <c r="AF21" s="29"/>
      <c r="AG21" s="29"/>
      <c r="AH21" s="29"/>
      <c r="AI21" s="29"/>
      <c r="AJ21" s="29"/>
      <c r="AK21" s="29"/>
      <c r="AL21" s="29"/>
      <c r="AM21" s="29"/>
      <c r="AN21" s="29"/>
      <c r="AO21" s="29"/>
    </row>
    <row r="22" spans="2:41" ht="15.75" customHeight="1" x14ac:dyDescent="0.25">
      <c r="B22" t="s">
        <v>61</v>
      </c>
      <c r="C22" s="10">
        <v>488</v>
      </c>
      <c r="D22" s="10">
        <v>485</v>
      </c>
      <c r="E22" s="10">
        <v>485</v>
      </c>
      <c r="F22" s="10">
        <v>484</v>
      </c>
      <c r="G22" s="10">
        <v>483</v>
      </c>
      <c r="H22" s="10">
        <v>481</v>
      </c>
      <c r="I22" s="10">
        <v>481</v>
      </c>
      <c r="J22" s="10">
        <v>480</v>
      </c>
      <c r="K22" s="10">
        <v>475</v>
      </c>
      <c r="L22" s="10">
        <v>473</v>
      </c>
      <c r="M22" s="10">
        <v>469</v>
      </c>
      <c r="N22" s="10">
        <v>466</v>
      </c>
      <c r="O22" s="10">
        <v>460</v>
      </c>
      <c r="P22" s="10">
        <v>459</v>
      </c>
      <c r="Q22" s="10">
        <v>459</v>
      </c>
      <c r="R22" s="10">
        <v>459</v>
      </c>
      <c r="S22" s="10">
        <v>456</v>
      </c>
      <c r="T22" s="10">
        <v>451</v>
      </c>
      <c r="U22" s="10">
        <v>448</v>
      </c>
      <c r="V22" s="10">
        <v>443</v>
      </c>
      <c r="W22" s="10">
        <v>438</v>
      </c>
      <c r="X22" s="10">
        <v>429</v>
      </c>
      <c r="Y22" s="10">
        <v>424</v>
      </c>
      <c r="Z22" s="10">
        <v>417</v>
      </c>
      <c r="AA22" s="10">
        <v>411</v>
      </c>
      <c r="AB22" s="10">
        <v>402</v>
      </c>
      <c r="AC22" s="10">
        <v>395</v>
      </c>
    </row>
    <row r="23" spans="2:41" ht="16.5" customHeight="1" x14ac:dyDescent="0.25">
      <c r="B23" t="s">
        <v>62</v>
      </c>
      <c r="C23" s="30">
        <v>1.96</v>
      </c>
      <c r="D23" s="30">
        <v>2.27</v>
      </c>
      <c r="E23" s="30">
        <v>1.97</v>
      </c>
      <c r="F23" s="30">
        <v>4.6399999999999997</v>
      </c>
      <c r="G23" s="30">
        <v>2.61</v>
      </c>
      <c r="H23" s="30">
        <v>2.3199999999999998</v>
      </c>
      <c r="I23" s="30">
        <v>2.52</v>
      </c>
      <c r="J23" s="30">
        <v>2.57</v>
      </c>
      <c r="K23" s="30">
        <v>2.66</v>
      </c>
      <c r="L23" s="30">
        <v>2.4900000000000002</v>
      </c>
      <c r="M23" s="30">
        <v>2.42</v>
      </c>
      <c r="N23" s="30">
        <v>2.5299999999999998</v>
      </c>
      <c r="O23" s="30">
        <v>2.71</v>
      </c>
      <c r="P23" s="30">
        <v>2.82</v>
      </c>
      <c r="Q23" s="30">
        <v>3.05</v>
      </c>
      <c r="R23" s="30">
        <v>3.23</v>
      </c>
      <c r="S23" s="30">
        <v>1.36</v>
      </c>
      <c r="T23" s="30">
        <v>3.49</v>
      </c>
      <c r="U23" s="30">
        <v>3.76</v>
      </c>
      <c r="V23" s="30">
        <v>3.79</v>
      </c>
      <c r="W23" s="30">
        <v>4.1399999999999997</v>
      </c>
      <c r="X23" s="30">
        <v>3.94</v>
      </c>
      <c r="Y23" s="30">
        <v>4.18</v>
      </c>
      <c r="Z23" s="30">
        <v>4.45</v>
      </c>
      <c r="AA23" s="30">
        <v>4.5999999999999996</v>
      </c>
      <c r="AB23" s="30">
        <v>4.25</v>
      </c>
      <c r="AC23" s="30">
        <v>4.62</v>
      </c>
    </row>
    <row r="24" spans="2:41" ht="16.5" customHeight="1" x14ac:dyDescent="0.25">
      <c r="B24" s="31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</row>
    <row r="25" spans="2:41" ht="16.5" customHeight="1" x14ac:dyDescent="0.25">
      <c r="B25" s="15" t="s">
        <v>63</v>
      </c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2"/>
      <c r="V25" s="32"/>
      <c r="W25" s="32"/>
      <c r="X25" s="32"/>
    </row>
    <row r="26" spans="2:41" ht="16.5" customHeight="1" x14ac:dyDescent="0.25">
      <c r="B26" s="31" t="s">
        <v>64</v>
      </c>
      <c r="C26" s="33"/>
      <c r="D26" s="34"/>
      <c r="E26" s="34"/>
      <c r="F26" s="33"/>
      <c r="G26" s="35">
        <f t="shared" ref="G26:P29" si="6">IFERROR(G5/C5-1,"")</f>
        <v>0.31185944363103957</v>
      </c>
      <c r="H26" s="35">
        <f t="shared" si="6"/>
        <v>0.24337689862239498</v>
      </c>
      <c r="I26" s="35">
        <f t="shared" si="6"/>
        <v>0.24050203527815461</v>
      </c>
      <c r="J26" s="35">
        <f t="shared" si="6"/>
        <v>0.22375601926163724</v>
      </c>
      <c r="K26" s="35">
        <f t="shared" si="6"/>
        <v>0.1043526785714286</v>
      </c>
      <c r="L26" s="35">
        <f t="shared" si="6"/>
        <v>0.15625</v>
      </c>
      <c r="M26" s="35">
        <f t="shared" si="6"/>
        <v>0.12879409351927817</v>
      </c>
      <c r="N26" s="35">
        <f t="shared" si="6"/>
        <v>0.11017838405036717</v>
      </c>
      <c r="O26" s="35">
        <f t="shared" si="6"/>
        <v>0.10485093481556351</v>
      </c>
      <c r="P26" s="35">
        <f t="shared" si="6"/>
        <v>0.10982800982800978</v>
      </c>
      <c r="Q26" s="35">
        <f t="shared" ref="Q26:Z29" si="7">IFERROR(Q5/M5-1,"")</f>
        <v>0.1218507751937985</v>
      </c>
      <c r="R26" s="35">
        <f t="shared" si="7"/>
        <v>0.12547258979206055</v>
      </c>
      <c r="S26" s="35">
        <f t="shared" si="7"/>
        <v>0.12417104962268466</v>
      </c>
      <c r="T26" s="35">
        <f t="shared" si="7"/>
        <v>0.12021253044055791</v>
      </c>
      <c r="U26" s="35">
        <f t="shared" si="7"/>
        <v>0.11854890952278119</v>
      </c>
      <c r="V26" s="35">
        <f t="shared" si="7"/>
        <v>0.12639093008608016</v>
      </c>
      <c r="W26" s="35">
        <f t="shared" si="7"/>
        <v>0.11533767290480057</v>
      </c>
      <c r="X26" s="35">
        <f t="shared" si="7"/>
        <v>0.11482213438735167</v>
      </c>
      <c r="Y26" s="35">
        <f t="shared" si="7"/>
        <v>0.11795366795366791</v>
      </c>
      <c r="Z26" s="35">
        <f t="shared" si="7"/>
        <v>0.11630941286113705</v>
      </c>
      <c r="AA26" s="35">
        <f t="shared" ref="AA26:AJ29" si="8">IFERROR(AA5/W5-1,"")</f>
        <v>0.13040306401604962</v>
      </c>
      <c r="AB26" s="35">
        <f t="shared" si="8"/>
        <v>0.13738698812267325</v>
      </c>
      <c r="AC26" s="35">
        <f t="shared" si="8"/>
        <v>0.13659126230357455</v>
      </c>
    </row>
    <row r="27" spans="2:41" ht="16.5" customHeight="1" x14ac:dyDescent="0.25">
      <c r="B27" s="31" t="s">
        <v>65</v>
      </c>
      <c r="C27" s="33"/>
      <c r="D27" s="34"/>
      <c r="E27" s="34"/>
      <c r="F27" s="33"/>
      <c r="G27" s="35">
        <f t="shared" si="6"/>
        <v>8.3916083916083961E-2</v>
      </c>
      <c r="H27" s="35">
        <f t="shared" si="6"/>
        <v>0.1953125</v>
      </c>
      <c r="I27" s="35">
        <f t="shared" si="6"/>
        <v>9.174311926605494E-2</v>
      </c>
      <c r="J27" s="35">
        <f t="shared" si="6"/>
        <v>7.8740157480314821E-3</v>
      </c>
      <c r="K27" s="35">
        <f t="shared" si="6"/>
        <v>-6.4516129032258118E-2</v>
      </c>
      <c r="L27" s="35">
        <f t="shared" si="6"/>
        <v>-4.5751633986928053E-2</v>
      </c>
      <c r="M27" s="35">
        <f t="shared" si="6"/>
        <v>5.8823529411764719E-2</v>
      </c>
      <c r="N27" s="35">
        <f t="shared" si="6"/>
        <v>-0.1015625</v>
      </c>
      <c r="O27" s="35">
        <f t="shared" si="6"/>
        <v>-0.17241379310344829</v>
      </c>
      <c r="P27" s="35">
        <f t="shared" si="6"/>
        <v>-0.1095890410958904</v>
      </c>
      <c r="Q27" s="35">
        <f t="shared" si="7"/>
        <v>-0.23809523809523814</v>
      </c>
      <c r="R27" s="35">
        <f t="shared" si="7"/>
        <v>-8.6956521739129933E-3</v>
      </c>
      <c r="S27" s="35">
        <f t="shared" si="7"/>
        <v>-8.3333333333333037E-3</v>
      </c>
      <c r="T27" s="35">
        <f t="shared" si="7"/>
        <v>-0.19999999999999996</v>
      </c>
      <c r="U27" s="35">
        <f t="shared" si="7"/>
        <v>-0.14583333333333337</v>
      </c>
      <c r="V27" s="35">
        <f t="shared" si="7"/>
        <v>-0.28947368421052633</v>
      </c>
      <c r="W27" s="35">
        <f t="shared" si="7"/>
        <v>-0.20168067226890751</v>
      </c>
      <c r="X27" s="35">
        <f t="shared" si="7"/>
        <v>-0.15384615384615385</v>
      </c>
      <c r="Y27" s="35">
        <f t="shared" si="7"/>
        <v>-0.17073170731707321</v>
      </c>
      <c r="Z27" s="35">
        <f t="shared" si="7"/>
        <v>-8.6419753086419804E-2</v>
      </c>
      <c r="AA27" s="35">
        <f t="shared" si="8"/>
        <v>-5.2631578947368474E-2</v>
      </c>
      <c r="AB27" s="35">
        <f t="shared" si="8"/>
        <v>1.1363636363636465E-2</v>
      </c>
      <c r="AC27" s="35">
        <f t="shared" si="8"/>
        <v>-1.4705882352941124E-2</v>
      </c>
    </row>
    <row r="28" spans="2:41" ht="16.5" customHeight="1" x14ac:dyDescent="0.25">
      <c r="B28" s="31" t="s">
        <v>66</v>
      </c>
      <c r="C28" s="33"/>
      <c r="D28" s="34"/>
      <c r="E28" s="34"/>
      <c r="F28" s="33"/>
      <c r="G28" s="35">
        <f t="shared" si="6"/>
        <v>-0.23148148148148151</v>
      </c>
      <c r="H28" s="35">
        <f t="shared" si="6"/>
        <v>-4.1420118343195256E-2</v>
      </c>
      <c r="I28" s="35">
        <f t="shared" si="6"/>
        <v>-5.3571428571428603E-2</v>
      </c>
      <c r="J28" s="35">
        <f t="shared" si="6"/>
        <v>-6.5934065934065922E-2</v>
      </c>
      <c r="K28" s="35">
        <f t="shared" si="6"/>
        <v>-4.216867469879515E-2</v>
      </c>
      <c r="L28" s="35">
        <f t="shared" si="6"/>
        <v>4.9382716049382713E-2</v>
      </c>
      <c r="M28" s="35">
        <f t="shared" si="6"/>
        <v>0.12578616352201255</v>
      </c>
      <c r="N28" s="35">
        <f t="shared" si="6"/>
        <v>4.705882352941182E-2</v>
      </c>
      <c r="O28" s="35">
        <f t="shared" si="6"/>
        <v>1.8867924528301883E-2</v>
      </c>
      <c r="P28" s="35">
        <f t="shared" si="6"/>
        <v>-5.8823529411764497E-3</v>
      </c>
      <c r="Q28" s="35">
        <f t="shared" si="7"/>
        <v>-8.9385474860335212E-2</v>
      </c>
      <c r="R28" s="35">
        <f t="shared" si="7"/>
        <v>-3.9325842696629199E-2</v>
      </c>
      <c r="S28" s="35">
        <f t="shared" si="7"/>
        <v>-9.259259259259256E-2</v>
      </c>
      <c r="T28" s="35">
        <f t="shared" si="7"/>
        <v>-0.14201183431952658</v>
      </c>
      <c r="U28" s="35">
        <f t="shared" si="7"/>
        <v>-0.10429447852760731</v>
      </c>
      <c r="V28" s="35">
        <f t="shared" si="7"/>
        <v>-6.4327485380117011E-2</v>
      </c>
      <c r="W28" s="35">
        <f t="shared" si="7"/>
        <v>-7.4829931972789088E-2</v>
      </c>
      <c r="X28" s="35">
        <f t="shared" si="7"/>
        <v>-6.8965517241379448E-3</v>
      </c>
      <c r="Y28" s="35">
        <f t="shared" si="7"/>
        <v>-0.11643835616438358</v>
      </c>
      <c r="Z28" s="35">
        <f t="shared" si="7"/>
        <v>-0.18125000000000002</v>
      </c>
      <c r="AA28" s="35">
        <f t="shared" si="8"/>
        <v>-0.19117647058823528</v>
      </c>
      <c r="AB28" s="35">
        <f t="shared" si="8"/>
        <v>-0.21527777777777779</v>
      </c>
      <c r="AC28" s="35">
        <f t="shared" si="8"/>
        <v>-0.13953488372093026</v>
      </c>
    </row>
    <row r="29" spans="2:41" ht="16.5" customHeight="1" x14ac:dyDescent="0.25">
      <c r="B29" s="31" t="s">
        <v>67</v>
      </c>
      <c r="C29" s="33"/>
      <c r="D29" s="34"/>
      <c r="E29" s="34"/>
      <c r="F29" s="33"/>
      <c r="G29" s="35">
        <f t="shared" si="6"/>
        <v>0.26334519572953741</v>
      </c>
      <c r="H29" s="35">
        <f t="shared" si="6"/>
        <v>0.22602301790281332</v>
      </c>
      <c r="I29" s="35">
        <f t="shared" si="6"/>
        <v>0.22015503875969</v>
      </c>
      <c r="J29" s="35">
        <f t="shared" si="6"/>
        <v>0.20035046728971961</v>
      </c>
      <c r="K29" s="35">
        <f t="shared" si="6"/>
        <v>9.1421254801536511E-2</v>
      </c>
      <c r="L29" s="35">
        <f t="shared" si="6"/>
        <v>0.14367666232073018</v>
      </c>
      <c r="M29" s="35">
        <f t="shared" si="6"/>
        <v>0.12655654383735704</v>
      </c>
      <c r="N29" s="35">
        <f t="shared" si="6"/>
        <v>0.1009732360097324</v>
      </c>
      <c r="O29" s="35">
        <f t="shared" si="6"/>
        <v>9.2210229938995747E-2</v>
      </c>
      <c r="P29" s="35">
        <f t="shared" si="6"/>
        <v>9.8039215686274606E-2</v>
      </c>
      <c r="Q29" s="35">
        <f t="shared" si="7"/>
        <v>0.1030904579291676</v>
      </c>
      <c r="R29" s="35">
        <f t="shared" si="7"/>
        <v>0.1155801104972376</v>
      </c>
      <c r="S29" s="35">
        <f t="shared" si="7"/>
        <v>0.11321160042964551</v>
      </c>
      <c r="T29" s="35">
        <f t="shared" si="7"/>
        <v>0.10236710963455153</v>
      </c>
      <c r="U29" s="35">
        <f t="shared" si="7"/>
        <v>0.10593047034764824</v>
      </c>
      <c r="V29" s="35">
        <f t="shared" si="7"/>
        <v>0.11053882725832009</v>
      </c>
      <c r="W29" s="35">
        <f t="shared" si="7"/>
        <v>0.10266306445387885</v>
      </c>
      <c r="X29" s="35">
        <f t="shared" si="7"/>
        <v>0.10623469579958567</v>
      </c>
      <c r="Y29" s="35">
        <f t="shared" si="7"/>
        <v>0.10724852071005908</v>
      </c>
      <c r="Z29" s="35">
        <f t="shared" si="7"/>
        <v>0.10488762040670707</v>
      </c>
      <c r="AA29" s="35">
        <f t="shared" si="8"/>
        <v>0.11970598529926502</v>
      </c>
      <c r="AB29" s="35">
        <f t="shared" si="8"/>
        <v>0.12685169419376807</v>
      </c>
      <c r="AC29" s="35">
        <f t="shared" si="8"/>
        <v>0.12892451569806274</v>
      </c>
    </row>
    <row r="30" spans="2:41" ht="15.75" customHeight="1" x14ac:dyDescent="0.25">
      <c r="B30" s="31" t="s">
        <v>68</v>
      </c>
      <c r="C30" s="36">
        <f t="shared" ref="C30:AC30" si="9">IFERROR(C10/C8,"")</f>
        <v>0.85376900679391787</v>
      </c>
      <c r="D30" s="36">
        <f t="shared" si="9"/>
        <v>0.86732736572890023</v>
      </c>
      <c r="E30" s="36">
        <f t="shared" si="9"/>
        <v>0.86759689922480621</v>
      </c>
      <c r="F30" s="36">
        <f t="shared" si="9"/>
        <v>0.875</v>
      </c>
      <c r="G30" s="36">
        <f t="shared" si="9"/>
        <v>0.88553137003841231</v>
      </c>
      <c r="H30" s="36">
        <f t="shared" si="9"/>
        <v>0.8842242503259452</v>
      </c>
      <c r="I30" s="36">
        <f t="shared" si="9"/>
        <v>0.88132147395171534</v>
      </c>
      <c r="J30" s="36">
        <f t="shared" si="9"/>
        <v>0.87664233576642336</v>
      </c>
      <c r="K30" s="36">
        <f t="shared" si="9"/>
        <v>0.87986860628812769</v>
      </c>
      <c r="L30" s="36">
        <f t="shared" si="9"/>
        <v>0.87710898312813501</v>
      </c>
      <c r="M30" s="36">
        <f t="shared" si="9"/>
        <v>0.87683284457478006</v>
      </c>
      <c r="N30" s="36">
        <f t="shared" si="9"/>
        <v>0.87447513812154698</v>
      </c>
      <c r="O30" s="36">
        <f t="shared" si="9"/>
        <v>0.87798066595059077</v>
      </c>
      <c r="P30" s="36">
        <f t="shared" si="9"/>
        <v>0.8812292358803987</v>
      </c>
      <c r="Q30" s="36">
        <f t="shared" si="9"/>
        <v>0.88139059304703471</v>
      </c>
      <c r="R30" s="36">
        <f t="shared" si="9"/>
        <v>0.87440570522979399</v>
      </c>
      <c r="S30" s="36">
        <f t="shared" si="9"/>
        <v>0.88614434581242763</v>
      </c>
      <c r="T30" s="36">
        <f t="shared" si="9"/>
        <v>0.88736108495008481</v>
      </c>
      <c r="U30" s="36">
        <f t="shared" si="9"/>
        <v>0.8975591715976331</v>
      </c>
      <c r="V30" s="36">
        <f t="shared" si="9"/>
        <v>0.89011773100249736</v>
      </c>
      <c r="W30" s="36">
        <f t="shared" si="9"/>
        <v>0.89114455722786134</v>
      </c>
      <c r="X30" s="36">
        <f t="shared" si="9"/>
        <v>0.89136727396560533</v>
      </c>
      <c r="Y30" s="36">
        <f t="shared" si="9"/>
        <v>0.89278557114228452</v>
      </c>
      <c r="Z30" s="36">
        <f t="shared" si="9"/>
        <v>0.89522118178882792</v>
      </c>
      <c r="AA30" s="36">
        <f t="shared" si="9"/>
        <v>0.89621756798999686</v>
      </c>
      <c r="AB30" s="36">
        <f t="shared" si="9"/>
        <v>0.89196131761861586</v>
      </c>
      <c r="AC30" s="36">
        <f t="shared" si="9"/>
        <v>0.88713017751479295</v>
      </c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</row>
    <row r="31" spans="2:41" ht="15.75" customHeight="1" x14ac:dyDescent="0.25">
      <c r="B31" s="31" t="s">
        <v>69</v>
      </c>
      <c r="C31" s="36">
        <f t="shared" ref="C31:AC31" si="10">IFERROR(C11/C8,"")</f>
        <v>0.17211258492397283</v>
      </c>
      <c r="D31" s="36">
        <f t="shared" si="10"/>
        <v>0.17007672634271101</v>
      </c>
      <c r="E31" s="36">
        <f t="shared" si="10"/>
        <v>0.17550387596899225</v>
      </c>
      <c r="F31" s="36">
        <f t="shared" si="10"/>
        <v>0.16296728971962618</v>
      </c>
      <c r="G31" s="36">
        <f t="shared" si="10"/>
        <v>0.15877080665813059</v>
      </c>
      <c r="H31" s="36">
        <f t="shared" si="10"/>
        <v>0.15958279009126466</v>
      </c>
      <c r="I31" s="36">
        <f t="shared" si="10"/>
        <v>0.16543837357052096</v>
      </c>
      <c r="J31" s="36">
        <f t="shared" si="10"/>
        <v>0.15985401459854015</v>
      </c>
      <c r="K31" s="36">
        <f t="shared" si="10"/>
        <v>0.164476771468794</v>
      </c>
      <c r="L31" s="36">
        <f t="shared" si="10"/>
        <v>0.16826265389876882</v>
      </c>
      <c r="M31" s="36">
        <f t="shared" si="10"/>
        <v>0.17482517482517482</v>
      </c>
      <c r="N31" s="36">
        <f t="shared" si="10"/>
        <v>0.17082872928176795</v>
      </c>
      <c r="O31" s="36">
        <f t="shared" si="10"/>
        <v>0.17765843179377014</v>
      </c>
      <c r="P31" s="36">
        <f t="shared" si="10"/>
        <v>0.18189368770764119</v>
      </c>
      <c r="Q31" s="36">
        <f t="shared" si="10"/>
        <v>0.18016359918200409</v>
      </c>
      <c r="R31" s="36">
        <f t="shared" si="10"/>
        <v>0.1761093502377179</v>
      </c>
      <c r="S31" s="36">
        <f t="shared" si="10"/>
        <v>0.18120416827479738</v>
      </c>
      <c r="T31" s="36">
        <f t="shared" si="10"/>
        <v>0.18534563948012808</v>
      </c>
      <c r="U31" s="36">
        <f t="shared" si="10"/>
        <v>0.18897928994082841</v>
      </c>
      <c r="V31" s="36">
        <f t="shared" si="10"/>
        <v>0.17820192650731359</v>
      </c>
      <c r="W31" s="36">
        <f t="shared" si="10"/>
        <v>0.17955897794889744</v>
      </c>
      <c r="X31" s="36">
        <f t="shared" si="10"/>
        <v>0.18423293035927124</v>
      </c>
      <c r="Y31" s="36">
        <f t="shared" si="10"/>
        <v>0.18169672678690715</v>
      </c>
      <c r="Z31" s="36">
        <f t="shared" si="10"/>
        <v>0.17726832418469488</v>
      </c>
      <c r="AA31" s="36">
        <f t="shared" si="10"/>
        <v>0.17349171616130041</v>
      </c>
      <c r="AB31" s="36">
        <f t="shared" si="10"/>
        <v>0.181021456633424</v>
      </c>
      <c r="AC31" s="36">
        <f t="shared" si="10"/>
        <v>0.19053254437869824</v>
      </c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</row>
    <row r="32" spans="2:41" ht="15.75" customHeight="1" x14ac:dyDescent="0.25">
      <c r="B32" s="31" t="s">
        <v>70</v>
      </c>
      <c r="C32" s="36">
        <f t="shared" ref="C32:AC32" si="11">IFERROR(C12/C8,"")</f>
        <v>0.27725655127790361</v>
      </c>
      <c r="D32" s="36">
        <f t="shared" si="11"/>
        <v>0.28804347826086957</v>
      </c>
      <c r="E32" s="36">
        <f t="shared" si="11"/>
        <v>0.27658914728682171</v>
      </c>
      <c r="F32" s="36">
        <f t="shared" si="11"/>
        <v>0.27482476635514019</v>
      </c>
      <c r="G32" s="36">
        <f t="shared" si="11"/>
        <v>0.26862996158770808</v>
      </c>
      <c r="H32" s="36">
        <f t="shared" si="11"/>
        <v>0.27979139504563233</v>
      </c>
      <c r="I32" s="36">
        <f t="shared" si="11"/>
        <v>0.27141041931385007</v>
      </c>
      <c r="J32" s="36">
        <f t="shared" si="11"/>
        <v>0.2751824817518248</v>
      </c>
      <c r="K32" s="36">
        <f t="shared" si="11"/>
        <v>0.2717034256217738</v>
      </c>
      <c r="L32" s="36">
        <f t="shared" si="11"/>
        <v>0.28431372549019607</v>
      </c>
      <c r="M32" s="36">
        <f t="shared" si="11"/>
        <v>0.28558538235957592</v>
      </c>
      <c r="N32" s="36">
        <f t="shared" si="11"/>
        <v>0.28662983425414362</v>
      </c>
      <c r="O32" s="36">
        <f t="shared" si="11"/>
        <v>0.27948442534908702</v>
      </c>
      <c r="P32" s="36">
        <f t="shared" si="11"/>
        <v>0.27927740863787376</v>
      </c>
      <c r="Q32" s="36">
        <f t="shared" si="11"/>
        <v>0.27341513292433539</v>
      </c>
      <c r="R32" s="36">
        <f t="shared" si="11"/>
        <v>0.27099841521394613</v>
      </c>
      <c r="S32" s="36">
        <f t="shared" si="11"/>
        <v>0.26090312620609801</v>
      </c>
      <c r="T32" s="36">
        <f t="shared" si="11"/>
        <v>0.27217931813900925</v>
      </c>
      <c r="U32" s="36">
        <f t="shared" si="11"/>
        <v>0.26460798816568049</v>
      </c>
      <c r="V32" s="36">
        <f t="shared" si="11"/>
        <v>0.27399215126650017</v>
      </c>
      <c r="W32" s="36">
        <f t="shared" si="11"/>
        <v>0.26163808190409521</v>
      </c>
      <c r="X32" s="36">
        <f t="shared" si="11"/>
        <v>0.27686020773029119</v>
      </c>
      <c r="Y32" s="36">
        <f t="shared" si="11"/>
        <v>0.27371409485637943</v>
      </c>
      <c r="Z32" s="36">
        <f t="shared" si="11"/>
        <v>0.27897965773329025</v>
      </c>
      <c r="AA32" s="36">
        <f t="shared" si="11"/>
        <v>0.26695842450765866</v>
      </c>
      <c r="AB32" s="36">
        <f t="shared" si="11"/>
        <v>0.28467815049864009</v>
      </c>
      <c r="AC32" s="36">
        <f t="shared" si="11"/>
        <v>0.27026627218934912</v>
      </c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</row>
    <row r="33" spans="2:41" ht="15.75" customHeight="1" x14ac:dyDescent="0.25">
      <c r="B33" s="31" t="s">
        <v>71</v>
      </c>
      <c r="C33" s="36">
        <f t="shared" ref="C33:AC33" si="12">IFERROR(C13/C8,"")</f>
        <v>8.7673891944354584E-2</v>
      </c>
      <c r="D33" s="36">
        <f t="shared" si="12"/>
        <v>7.1611253196930943E-2</v>
      </c>
      <c r="E33" s="36">
        <f t="shared" si="12"/>
        <v>7.131782945736434E-2</v>
      </c>
      <c r="F33" s="36">
        <f t="shared" si="12"/>
        <v>7.0969626168224303E-2</v>
      </c>
      <c r="G33" s="36">
        <f t="shared" si="12"/>
        <v>7.4263764404609481E-2</v>
      </c>
      <c r="H33" s="36">
        <f t="shared" si="12"/>
        <v>6.6753585397653192E-2</v>
      </c>
      <c r="I33" s="36">
        <f t="shared" si="12"/>
        <v>6.734434561626429E-2</v>
      </c>
      <c r="J33" s="36">
        <f t="shared" si="12"/>
        <v>6.6666666666666666E-2</v>
      </c>
      <c r="K33" s="36">
        <f t="shared" si="12"/>
        <v>6.3115908024401687E-2</v>
      </c>
      <c r="L33" s="36">
        <f t="shared" si="12"/>
        <v>6.6347469220246244E-2</v>
      </c>
      <c r="M33" s="36">
        <f t="shared" si="12"/>
        <v>7.1960297766749379E-2</v>
      </c>
      <c r="N33" s="36">
        <f t="shared" si="12"/>
        <v>7.5138121546961326E-2</v>
      </c>
      <c r="O33" s="36">
        <f t="shared" si="12"/>
        <v>7.1106337271750808E-2</v>
      </c>
      <c r="P33" s="36">
        <f t="shared" si="12"/>
        <v>7.4127906976744193E-2</v>
      </c>
      <c r="Q33" s="36">
        <f t="shared" si="12"/>
        <v>7.2188139059304698E-2</v>
      </c>
      <c r="R33" s="36">
        <f t="shared" si="12"/>
        <v>7.3692551505546752E-2</v>
      </c>
      <c r="S33" s="36">
        <f t="shared" si="12"/>
        <v>6.7927441142416056E-2</v>
      </c>
      <c r="T33" s="36">
        <f t="shared" si="12"/>
        <v>6.6867583349029952E-2</v>
      </c>
      <c r="U33" s="36">
        <f t="shared" si="12"/>
        <v>6.7677514792899407E-2</v>
      </c>
      <c r="V33" s="36">
        <f t="shared" si="12"/>
        <v>8.1341419907242238E-2</v>
      </c>
      <c r="W33" s="36">
        <f t="shared" si="12"/>
        <v>6.4228211410570529E-2</v>
      </c>
      <c r="X33" s="36">
        <f t="shared" si="12"/>
        <v>6.4192065383960495E-2</v>
      </c>
      <c r="Y33" s="36">
        <f t="shared" si="12"/>
        <v>6.8136272545090179E-2</v>
      </c>
      <c r="Z33" s="36">
        <f t="shared" si="12"/>
        <v>6.7969002260251862E-2</v>
      </c>
      <c r="AA33" s="36">
        <f t="shared" si="12"/>
        <v>7.2366364488902782E-2</v>
      </c>
      <c r="AB33" s="36">
        <f t="shared" si="12"/>
        <v>8.2502266545784228E-2</v>
      </c>
      <c r="AC33" s="36">
        <f t="shared" si="12"/>
        <v>7.2189349112426041E-2</v>
      </c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</row>
    <row r="34" spans="2:41" ht="15.75" customHeight="1" x14ac:dyDescent="0.25">
      <c r="B34" s="31" t="s">
        <v>72</v>
      </c>
      <c r="C34" s="36">
        <f t="shared" ref="C34:AC34" si="13">IFERROR(C20/C19,"")</f>
        <v>-3.9173014145810661E-2</v>
      </c>
      <c r="D34" s="36">
        <f t="shared" si="13"/>
        <v>-0.1</v>
      </c>
      <c r="E34" s="36">
        <f t="shared" si="13"/>
        <v>9.9056603773584911E-2</v>
      </c>
      <c r="F34" s="36">
        <f t="shared" si="13"/>
        <v>-0.87969924812030076</v>
      </c>
      <c r="G34" s="36">
        <f t="shared" si="13"/>
        <v>0.12002791346824843</v>
      </c>
      <c r="H34" s="36">
        <f t="shared" si="13"/>
        <v>0.19480519480519481</v>
      </c>
      <c r="I34" s="36">
        <f t="shared" si="13"/>
        <v>0.14527503526093088</v>
      </c>
      <c r="J34" s="36">
        <f t="shared" si="13"/>
        <v>0.16008174386920981</v>
      </c>
      <c r="K34" s="36">
        <f t="shared" si="13"/>
        <v>0.17952041477640959</v>
      </c>
      <c r="L34" s="36">
        <f t="shared" si="13"/>
        <v>0.21045576407506703</v>
      </c>
      <c r="M34" s="36">
        <f t="shared" si="13"/>
        <v>0.21978021978021978</v>
      </c>
      <c r="N34" s="36">
        <f t="shared" si="13"/>
        <v>0.22478576137112721</v>
      </c>
      <c r="O34" s="36">
        <f t="shared" si="13"/>
        <v>0.21964956195244056</v>
      </c>
      <c r="P34" s="36">
        <f t="shared" si="13"/>
        <v>0.21515151515151515</v>
      </c>
      <c r="Q34" s="36">
        <f t="shared" si="13"/>
        <v>0.19506597819850832</v>
      </c>
      <c r="R34" s="36">
        <f t="shared" si="13"/>
        <v>0.17975663716814158</v>
      </c>
      <c r="S34" s="36">
        <f t="shared" si="13"/>
        <v>0.35950413223140498</v>
      </c>
      <c r="T34" s="36">
        <f t="shared" si="13"/>
        <v>0.18497409326424871</v>
      </c>
      <c r="U34" s="36">
        <f t="shared" si="13"/>
        <v>0.17531831537708129</v>
      </c>
      <c r="V34" s="36">
        <f t="shared" si="13"/>
        <v>0.15469613259668508</v>
      </c>
      <c r="W34" s="36">
        <f t="shared" si="13"/>
        <v>0.17002749770852429</v>
      </c>
      <c r="X34" s="36">
        <f t="shared" si="13"/>
        <v>0.1951451689671585</v>
      </c>
      <c r="Y34" s="36">
        <f t="shared" si="13"/>
        <v>0.18975765889346136</v>
      </c>
      <c r="Z34" s="36">
        <f t="shared" si="13"/>
        <v>0.18021201413427562</v>
      </c>
      <c r="AA34" s="36">
        <f t="shared" si="13"/>
        <v>0.22006606110652355</v>
      </c>
      <c r="AB34" s="36">
        <f t="shared" si="13"/>
        <v>0.23503127792672029</v>
      </c>
      <c r="AC34" s="36">
        <f>IFERROR(AC20/AC19,"")</f>
        <v>0.22486211285532456</v>
      </c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</row>
    <row r="35" spans="2:41" ht="15.75" customHeight="1" x14ac:dyDescent="0.25">
      <c r="B35" s="31"/>
      <c r="C35" s="32"/>
      <c r="D35" s="32"/>
      <c r="E35" s="32"/>
      <c r="F35" s="32"/>
      <c r="G35" s="32"/>
      <c r="H35" s="32"/>
      <c r="I35" s="32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2"/>
      <c r="V35" s="32"/>
      <c r="W35" s="32"/>
      <c r="X35" s="32"/>
      <c r="Y35" s="32"/>
      <c r="Z35" s="32"/>
      <c r="AA35" s="32"/>
      <c r="AB35" s="32"/>
      <c r="AC35" s="32"/>
      <c r="AD35" s="32"/>
      <c r="AE35" s="32"/>
      <c r="AF35" s="32"/>
      <c r="AG35" s="32"/>
      <c r="AH35" s="32"/>
      <c r="AI35" s="32"/>
      <c r="AJ35" s="32"/>
      <c r="AK35" s="32"/>
      <c r="AL35" s="32"/>
      <c r="AM35" s="32"/>
      <c r="AN35" s="32"/>
      <c r="AO35" s="32"/>
    </row>
    <row r="36" spans="2:41" ht="15.75" customHeight="1" x14ac:dyDescent="0.25"/>
    <row r="38" spans="2:41" ht="15.75" customHeight="1" x14ac:dyDescent="0.25"/>
    <row r="39" spans="2:41" ht="15.75" customHeight="1" x14ac:dyDescent="0.25">
      <c r="B39" s="22"/>
      <c r="C39" s="22"/>
      <c r="D39" s="22"/>
      <c r="E39" s="22"/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</row>
    <row r="40" spans="2:41" ht="15.75" customHeight="1" x14ac:dyDescent="0.25">
      <c r="B40" s="22"/>
      <c r="C40" s="22"/>
      <c r="D40" s="22"/>
      <c r="E40" s="22"/>
      <c r="F40" s="22"/>
      <c r="G40" s="22"/>
      <c r="H40" s="22"/>
      <c r="I40" s="2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</row>
    <row r="41" spans="2:41" ht="16.5" customHeight="1" x14ac:dyDescent="0.25"/>
    <row r="42" spans="2:41" ht="15.75" customHeight="1" x14ac:dyDescent="0.25"/>
    <row r="43" spans="2:41" ht="15.75" customHeight="1" x14ac:dyDescent="0.25"/>
    <row r="44" spans="2:41" ht="15.75" customHeight="1" x14ac:dyDescent="0.25"/>
    <row r="45" spans="2:41" ht="15.75" customHeight="1" x14ac:dyDescent="0.25"/>
    <row r="46" spans="2:41" ht="15.75" customHeight="1" x14ac:dyDescent="0.25"/>
    <row r="47" spans="2:41" ht="15.75" customHeight="1" x14ac:dyDescent="0.25"/>
    <row r="48" spans="2:41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6.5" customHeight="1" x14ac:dyDescent="0.25"/>
    <row r="54" ht="15" customHeight="1" x14ac:dyDescent="0.25"/>
    <row r="55" ht="15" hidden="1" customHeight="1" x14ac:dyDescent="0.25"/>
    <row r="56" ht="15" hidden="1" customHeight="1" x14ac:dyDescent="0.25"/>
    <row r="57" ht="15" hidden="1" customHeight="1" x14ac:dyDescent="0.25"/>
    <row r="58" ht="15" hidden="1" customHeight="1" x14ac:dyDescent="0.25"/>
    <row r="59" ht="15" hidden="1" customHeight="1" x14ac:dyDescent="0.25"/>
    <row r="60" ht="15" hidden="1" customHeight="1" x14ac:dyDescent="0.25"/>
    <row r="61" ht="15" hidden="1" customHeight="1" x14ac:dyDescent="0.25"/>
    <row r="62" ht="15" hidden="1" customHeight="1" x14ac:dyDescent="0.25"/>
    <row r="63" ht="15" hidden="1" customHeight="1" x14ac:dyDescent="0.25"/>
    <row r="64" ht="15.75" customHeight="1" x14ac:dyDescent="0.25"/>
    <row r="65" ht="15.75" hidden="1" customHeight="1" x14ac:dyDescent="0.25"/>
    <row r="66" ht="15.75" hidden="1" customHeight="1" x14ac:dyDescent="0.25"/>
    <row r="67" ht="15.75" hidden="1" customHeight="1" x14ac:dyDescent="0.25"/>
    <row r="68" ht="15.75" hidden="1" customHeight="1" x14ac:dyDescent="0.25"/>
    <row r="69" ht="15.75" hidden="1" customHeight="1" x14ac:dyDescent="0.25"/>
    <row r="70" ht="15.75" hidden="1" customHeight="1" x14ac:dyDescent="0.25"/>
    <row r="71" ht="15.75" hidden="1" customHeight="1" x14ac:dyDescent="0.25"/>
    <row r="72" ht="15.75" customHeight="1" x14ac:dyDescent="0.25"/>
    <row r="73" ht="15.75" hidden="1" customHeight="1" x14ac:dyDescent="0.25"/>
    <row r="74" ht="15.75" hidden="1" customHeight="1" x14ac:dyDescent="0.25"/>
    <row r="75" ht="15.75" hidden="1" customHeight="1" x14ac:dyDescent="0.25"/>
    <row r="76" ht="15.75" hidden="1" customHeight="1" x14ac:dyDescent="0.25"/>
    <row r="77" ht="15.75" customHeight="1" x14ac:dyDescent="0.25"/>
    <row r="78" ht="15.75" hidden="1" customHeight="1" x14ac:dyDescent="0.25"/>
    <row r="79" ht="15.75" hidden="1" customHeight="1" x14ac:dyDescent="0.25"/>
    <row r="80" ht="15.75" customHeight="1" x14ac:dyDescent="0.25"/>
    <row r="81" spans="25:94" ht="15.75" customHeight="1" x14ac:dyDescent="0.25"/>
    <row r="82" spans="25:94" ht="15.75" customHeight="1" x14ac:dyDescent="0.25"/>
    <row r="83" spans="25:94" ht="15.75" customHeight="1" x14ac:dyDescent="0.25"/>
    <row r="84" spans="25:94" ht="15.75" customHeight="1" x14ac:dyDescent="0.25"/>
    <row r="85" spans="25:94" ht="15.75" customHeight="1" x14ac:dyDescent="0.25"/>
    <row r="86" spans="25:94" ht="15.75" customHeight="1" x14ac:dyDescent="0.25"/>
    <row r="87" spans="25:94" ht="15.75" customHeight="1" x14ac:dyDescent="0.25"/>
    <row r="88" spans="25:94" ht="15.75" customHeight="1" x14ac:dyDescent="0.25"/>
    <row r="89" spans="25:94" ht="15.75" customHeight="1" x14ac:dyDescent="0.25"/>
    <row r="90" spans="25:94" ht="15.75" customHeight="1" x14ac:dyDescent="0.25"/>
    <row r="91" spans="25:94" ht="15.75" customHeight="1" x14ac:dyDescent="0.25">
      <c r="Y91" s="25"/>
      <c r="Z91" s="25"/>
      <c r="AA91" s="25"/>
      <c r="AB91" s="25"/>
      <c r="AC91" s="25"/>
      <c r="AD91" s="25"/>
      <c r="AE91" s="25"/>
      <c r="AF91" s="25"/>
      <c r="AG91" s="25"/>
      <c r="AH91" s="25"/>
      <c r="AI91" s="25"/>
      <c r="AJ91" s="25"/>
      <c r="AK91" s="25"/>
      <c r="AL91" s="25"/>
      <c r="AM91" s="25"/>
      <c r="AN91" s="25"/>
      <c r="AO91" s="25"/>
      <c r="AP91" s="25"/>
      <c r="AQ91" s="25"/>
      <c r="AR91" s="25"/>
      <c r="AS91" s="25"/>
      <c r="AT91" s="25"/>
      <c r="AU91" s="25"/>
      <c r="AV91" s="25"/>
      <c r="AW91" s="25"/>
      <c r="AX91" s="25"/>
      <c r="AY91" s="25"/>
      <c r="AZ91" s="25"/>
      <c r="BA91" s="25"/>
      <c r="BB91" s="25"/>
      <c r="BC91" s="25"/>
      <c r="BD91" s="25"/>
      <c r="BE91" s="25"/>
      <c r="BF91" s="25"/>
      <c r="BG91" s="25"/>
      <c r="BH91" s="25"/>
      <c r="BI91" s="25"/>
      <c r="BJ91" s="25"/>
      <c r="BK91" s="25"/>
      <c r="BL91" s="25"/>
      <c r="BM91" s="25"/>
      <c r="BN91" s="25"/>
      <c r="BO91" s="25"/>
      <c r="BP91" s="25"/>
      <c r="BQ91" s="25"/>
      <c r="BR91" s="25"/>
      <c r="BS91" s="25"/>
      <c r="BT91" s="25"/>
      <c r="BU91" s="25"/>
      <c r="BV91" s="25"/>
      <c r="BW91" s="25"/>
      <c r="BX91" s="25"/>
      <c r="BY91" s="25"/>
      <c r="BZ91" s="25"/>
      <c r="CA91" s="25"/>
      <c r="CB91" s="25"/>
      <c r="CC91" s="25"/>
      <c r="CD91" s="25"/>
      <c r="CE91" s="25"/>
      <c r="CF91" s="25"/>
      <c r="CG91" s="25"/>
      <c r="CH91" s="25"/>
      <c r="CI91" s="25"/>
      <c r="CJ91" s="25"/>
      <c r="CK91" s="25"/>
      <c r="CL91" s="25"/>
      <c r="CM91" s="25"/>
    </row>
    <row r="92" spans="25:94" ht="15.75" customHeight="1" x14ac:dyDescent="0.25"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6"/>
      <c r="BY92" s="6"/>
      <c r="BZ92" s="6"/>
      <c r="CA92" s="6"/>
      <c r="CB92" s="6"/>
      <c r="CC92" s="6"/>
      <c r="CD92" s="6"/>
      <c r="CE92" s="6"/>
      <c r="CF92" s="6"/>
      <c r="CG92" s="6"/>
      <c r="CH92" s="6"/>
      <c r="CI92" s="6"/>
      <c r="CJ92" s="6"/>
      <c r="CK92" s="6"/>
      <c r="CL92" s="6"/>
      <c r="CM92" s="6"/>
      <c r="CN92" s="6"/>
      <c r="CO92" s="6"/>
      <c r="CP92" s="6"/>
    </row>
    <row r="93" spans="25:94" ht="15.75" customHeight="1" x14ac:dyDescent="0.25"/>
    <row r="94" spans="25:94" ht="15.75" customHeight="1" x14ac:dyDescent="0.25"/>
    <row r="95" spans="25:94" ht="16.5" customHeight="1" x14ac:dyDescent="0.25"/>
    <row r="96" spans="25:94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6.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97" spans="2:23" ht="15.75" customHeight="1" x14ac:dyDescent="0.25">
      <c r="B197" s="37"/>
      <c r="C197" s="37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</row>
    <row r="226" spans="2:23" ht="15.75" customHeight="1" x14ac:dyDescent="0.25">
      <c r="B226" s="38"/>
      <c r="C226" s="38"/>
      <c r="D226" s="38"/>
      <c r="E226" s="38"/>
      <c r="F226" s="38"/>
      <c r="G226" s="38"/>
      <c r="H226" s="38"/>
      <c r="I226" s="38"/>
      <c r="J226" s="38"/>
      <c r="K226" s="38"/>
      <c r="L226" s="38"/>
      <c r="M226" s="38"/>
      <c r="N226" s="38"/>
      <c r="O226" s="38"/>
      <c r="P226" s="38"/>
      <c r="Q226" s="38"/>
      <c r="R226" s="38"/>
      <c r="S226" s="38"/>
      <c r="T226" s="38"/>
      <c r="U226" s="38"/>
      <c r="V226" s="38"/>
      <c r="W226" s="38"/>
    </row>
    <row r="227" spans="2:23" ht="15.75" customHeight="1" x14ac:dyDescent="0.25">
      <c r="B227" s="38"/>
      <c r="C227" s="38"/>
      <c r="D227" s="38"/>
      <c r="E227" s="38"/>
      <c r="F227" s="38"/>
      <c r="G227" s="38"/>
      <c r="H227" s="38"/>
      <c r="I227" s="38"/>
      <c r="J227" s="38"/>
      <c r="K227" s="38"/>
      <c r="L227" s="38"/>
      <c r="M227" s="38"/>
      <c r="N227" s="38"/>
      <c r="O227" s="38"/>
      <c r="P227" s="38"/>
      <c r="Q227" s="38"/>
      <c r="R227" s="38"/>
      <c r="S227" s="38"/>
      <c r="T227" s="38"/>
      <c r="U227" s="38"/>
      <c r="V227" s="38"/>
      <c r="W227" s="38"/>
    </row>
    <row r="228" spans="2:23" ht="15.75" customHeight="1" x14ac:dyDescent="0.25">
      <c r="B228" s="38"/>
      <c r="C228" s="38"/>
      <c r="D228" s="38"/>
      <c r="E228" s="38"/>
      <c r="F228" s="38"/>
      <c r="G228" s="38"/>
      <c r="H228" s="38"/>
      <c r="I228" s="38"/>
      <c r="J228" s="38"/>
      <c r="K228" s="38"/>
      <c r="L228" s="38"/>
      <c r="M228" s="38"/>
      <c r="N228" s="38"/>
      <c r="O228" s="38"/>
      <c r="P228" s="38"/>
      <c r="Q228" s="38"/>
      <c r="R228" s="38"/>
      <c r="S228" s="38"/>
      <c r="T228" s="38"/>
      <c r="U228" s="38"/>
      <c r="V228" s="38"/>
      <c r="W228" s="38"/>
    </row>
    <row r="229" spans="2:23" ht="15.75" customHeight="1" x14ac:dyDescent="0.25">
      <c r="B229" s="38"/>
      <c r="C229" s="38"/>
      <c r="D229" s="38"/>
      <c r="E229" s="38"/>
      <c r="F229" s="38"/>
      <c r="G229" s="38"/>
      <c r="H229" s="38"/>
      <c r="I229" s="38"/>
      <c r="J229" s="38"/>
      <c r="K229" s="38"/>
      <c r="L229" s="38"/>
      <c r="M229" s="38"/>
      <c r="N229" s="38"/>
      <c r="O229" s="38"/>
      <c r="P229" s="38"/>
      <c r="Q229" s="38"/>
      <c r="R229" s="38"/>
      <c r="S229" s="38"/>
      <c r="T229" s="38"/>
      <c r="U229" s="38"/>
      <c r="V229" s="38"/>
      <c r="W229" s="38"/>
    </row>
    <row r="230" spans="2:23" ht="15.75" customHeight="1" x14ac:dyDescent="0.25">
      <c r="B230" s="38"/>
      <c r="C230" s="38"/>
      <c r="D230" s="38"/>
      <c r="E230" s="38"/>
      <c r="F230" s="38"/>
      <c r="G230" s="38"/>
      <c r="H230" s="38"/>
      <c r="I230" s="38"/>
      <c r="J230" s="38"/>
      <c r="K230" s="38"/>
      <c r="L230" s="38"/>
      <c r="M230" s="38"/>
      <c r="N230" s="38"/>
      <c r="O230" s="38"/>
      <c r="P230" s="38"/>
      <c r="Q230" s="38"/>
      <c r="R230" s="38"/>
      <c r="S230" s="38"/>
      <c r="T230" s="38"/>
      <c r="U230" s="38"/>
      <c r="V230" s="38"/>
      <c r="W230" s="38"/>
    </row>
    <row r="231" spans="2:23" ht="15.75" customHeight="1" x14ac:dyDescent="0.25">
      <c r="B231" s="38"/>
      <c r="C231" s="38"/>
      <c r="D231" s="38"/>
      <c r="E231" s="38"/>
      <c r="F231" s="38"/>
      <c r="G231" s="38"/>
      <c r="H231" s="38"/>
      <c r="I231" s="38"/>
      <c r="J231" s="38"/>
      <c r="K231" s="38"/>
      <c r="L231" s="38"/>
      <c r="M231" s="38"/>
      <c r="N231" s="38"/>
      <c r="O231" s="38"/>
      <c r="P231" s="38"/>
      <c r="Q231" s="38"/>
      <c r="R231" s="38"/>
      <c r="S231" s="38"/>
      <c r="T231" s="38"/>
      <c r="U231" s="38"/>
      <c r="V231" s="38"/>
      <c r="W231" s="38"/>
    </row>
    <row r="232" spans="2:23" ht="15.75" customHeight="1" x14ac:dyDescent="0.25">
      <c r="B232" s="38"/>
      <c r="C232" s="38"/>
      <c r="D232" s="38"/>
      <c r="E232" s="38"/>
      <c r="F232" s="38"/>
      <c r="G232" s="38"/>
      <c r="H232" s="38"/>
      <c r="I232" s="38"/>
      <c r="J232" s="38"/>
      <c r="K232" s="38"/>
      <c r="L232" s="38"/>
      <c r="M232" s="38"/>
      <c r="N232" s="38"/>
      <c r="O232" s="38"/>
      <c r="P232" s="38"/>
      <c r="Q232" s="38"/>
      <c r="R232" s="38"/>
      <c r="S232" s="38"/>
      <c r="T232" s="38"/>
      <c r="U232" s="38"/>
      <c r="V232" s="38"/>
      <c r="W232" s="38"/>
    </row>
    <row r="233" spans="2:23" ht="15.75" customHeight="1" x14ac:dyDescent="0.25">
      <c r="B233" s="38"/>
      <c r="C233" s="38"/>
      <c r="D233" s="38"/>
      <c r="E233" s="38"/>
      <c r="F233" s="38"/>
      <c r="G233" s="38"/>
      <c r="H233" s="38"/>
      <c r="I233" s="38"/>
      <c r="J233" s="38"/>
      <c r="K233" s="38"/>
      <c r="L233" s="38"/>
      <c r="M233" s="38"/>
      <c r="N233" s="38"/>
      <c r="O233" s="38"/>
      <c r="P233" s="38"/>
      <c r="Q233" s="38"/>
      <c r="R233" s="38"/>
      <c r="S233" s="38"/>
      <c r="T233" s="38"/>
      <c r="U233" s="38"/>
      <c r="V233" s="38"/>
      <c r="W233" s="38"/>
    </row>
    <row r="234" spans="2:23" ht="15.75" customHeight="1" x14ac:dyDescent="0.25">
      <c r="B234" s="38"/>
      <c r="C234" s="38"/>
      <c r="D234" s="38"/>
      <c r="E234" s="38"/>
      <c r="F234" s="38"/>
      <c r="G234" s="38"/>
      <c r="H234" s="38"/>
      <c r="I234" s="38"/>
      <c r="J234" s="38"/>
      <c r="K234" s="38"/>
      <c r="L234" s="38"/>
      <c r="M234" s="38"/>
      <c r="N234" s="38"/>
      <c r="O234" s="38"/>
      <c r="P234" s="38"/>
      <c r="Q234" s="38"/>
      <c r="R234" s="38"/>
      <c r="S234" s="38"/>
      <c r="T234" s="38"/>
      <c r="U234" s="38"/>
      <c r="V234" s="38"/>
      <c r="W234" s="38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N38"/>
  <sheetViews>
    <sheetView zoomScaleNormal="100" workbookViewId="0">
      <selection activeCell="P8" sqref="P8"/>
    </sheetView>
  </sheetViews>
  <sheetFormatPr defaultColWidth="8.875" defaultRowHeight="15.75" x14ac:dyDescent="0.25"/>
  <cols>
    <col min="1" max="1" width="1.625" customWidth="1"/>
    <col min="2" max="2" width="36.625" customWidth="1"/>
    <col min="3" max="12" width="12.625" customWidth="1"/>
    <col min="13" max="17" width="12.125" customWidth="1"/>
  </cols>
  <sheetData>
    <row r="1" spans="2:14" ht="9" customHeight="1" x14ac:dyDescent="0.25"/>
    <row r="2" spans="2:14" ht="16.5" customHeight="1" x14ac:dyDescent="0.25">
      <c r="B2" s="15" t="s">
        <v>73</v>
      </c>
      <c r="C2" s="16" t="str">
        <f t="shared" ref="C2:N2" si="0">C15</f>
        <v>FY'19</v>
      </c>
      <c r="D2" s="16" t="str">
        <f t="shared" si="0"/>
        <v>FY'20</v>
      </c>
      <c r="E2" s="16" t="str">
        <f t="shared" si="0"/>
        <v>FY'21</v>
      </c>
      <c r="F2" s="16" t="str">
        <f t="shared" si="0"/>
        <v>FY'22</v>
      </c>
      <c r="G2" s="16" t="str">
        <f t="shared" si="0"/>
        <v>FY'23</v>
      </c>
      <c r="H2" s="16" t="str">
        <f t="shared" si="0"/>
        <v>FY'24</v>
      </c>
      <c r="I2" s="39" t="str">
        <f t="shared" si="0"/>
        <v>FY'25</v>
      </c>
      <c r="J2" s="16" t="str">
        <f t="shared" si="0"/>
        <v>FY'26</v>
      </c>
      <c r="K2" s="16" t="str">
        <f t="shared" si="0"/>
        <v>FY'27</v>
      </c>
      <c r="L2" s="16" t="str">
        <f t="shared" si="0"/>
        <v>FY'28</v>
      </c>
      <c r="M2" s="16" t="str">
        <f t="shared" si="0"/>
        <v>FY'29</v>
      </c>
      <c r="N2" s="16" t="str">
        <f t="shared" si="0"/>
        <v>FY'30</v>
      </c>
    </row>
    <row r="3" spans="2:14" ht="16.5" customHeight="1" x14ac:dyDescent="0.25">
      <c r="B3" s="31" t="s">
        <v>64</v>
      </c>
      <c r="C3" s="40"/>
      <c r="D3" s="41">
        <f t="shared" ref="D3:I6" si="1">(D16-C16)/C16</f>
        <v>0.20676769773718082</v>
      </c>
      <c r="E3" s="41">
        <f t="shared" si="1"/>
        <v>0.25348357130569416</v>
      </c>
      <c r="F3" s="41">
        <f t="shared" si="1"/>
        <v>0.1245453921635902</v>
      </c>
      <c r="G3" s="41">
        <f t="shared" si="1"/>
        <v>0.11569441054430071</v>
      </c>
      <c r="H3" s="41">
        <f t="shared" si="1"/>
        <v>0.12234740756945964</v>
      </c>
      <c r="I3" s="42">
        <f t="shared" si="1"/>
        <v>0.11612494517811023</v>
      </c>
      <c r="J3" s="43">
        <v>0.11</v>
      </c>
      <c r="K3" s="43">
        <f t="shared" ref="K3:N5" si="2">J3</f>
        <v>0.11</v>
      </c>
      <c r="L3" s="43">
        <f t="shared" si="2"/>
        <v>0.11</v>
      </c>
      <c r="M3" s="43">
        <f t="shared" si="2"/>
        <v>0.11</v>
      </c>
      <c r="N3" s="43">
        <f t="shared" si="2"/>
        <v>0.11</v>
      </c>
    </row>
    <row r="4" spans="2:14" ht="16.5" customHeight="1" x14ac:dyDescent="0.25">
      <c r="B4" s="31" t="s">
        <v>65</v>
      </c>
      <c r="C4" s="40"/>
      <c r="D4" s="41">
        <f t="shared" si="1"/>
        <v>-0.21759259259259259</v>
      </c>
      <c r="E4" s="41">
        <f t="shared" si="1"/>
        <v>9.4674556213017749E-2</v>
      </c>
      <c r="F4" s="41">
        <f t="shared" si="1"/>
        <v>-4.1441441441441441E-2</v>
      </c>
      <c r="G4" s="41">
        <f t="shared" si="1"/>
        <v>-0.13533834586466165</v>
      </c>
      <c r="H4" s="41">
        <f t="shared" si="1"/>
        <v>-0.16086956521739129</v>
      </c>
      <c r="I4" s="42">
        <f t="shared" si="1"/>
        <v>-0.15803108808290156</v>
      </c>
      <c r="J4" s="43">
        <v>-0.15</v>
      </c>
      <c r="K4" s="43">
        <f t="shared" si="2"/>
        <v>-0.15</v>
      </c>
      <c r="L4" s="43">
        <f t="shared" si="2"/>
        <v>-0.15</v>
      </c>
      <c r="M4" s="43">
        <f t="shared" si="2"/>
        <v>-0.15</v>
      </c>
      <c r="N4" s="43">
        <f t="shared" si="2"/>
        <v>-0.15</v>
      </c>
    </row>
    <row r="5" spans="2:14" ht="15.75" customHeight="1" x14ac:dyDescent="0.25">
      <c r="B5" s="31" t="s">
        <v>74</v>
      </c>
      <c r="C5" s="44"/>
      <c r="D5" s="41">
        <f t="shared" si="1"/>
        <v>-0.17322834645669291</v>
      </c>
      <c r="E5" s="41">
        <f t="shared" si="1"/>
        <v>-0.10612244897959183</v>
      </c>
      <c r="F5" s="41">
        <f t="shared" si="1"/>
        <v>4.4140030441400302E-2</v>
      </c>
      <c r="G5" s="41">
        <f t="shared" si="1"/>
        <v>-3.0612244897959183E-2</v>
      </c>
      <c r="H5" s="41">
        <f t="shared" si="1"/>
        <v>-0.10075187969924812</v>
      </c>
      <c r="I5" s="42">
        <f t="shared" si="1"/>
        <v>-9.6989966555183951E-2</v>
      </c>
      <c r="J5" s="43">
        <v>-0.1</v>
      </c>
      <c r="K5" s="43">
        <f t="shared" si="2"/>
        <v>-0.1</v>
      </c>
      <c r="L5" s="43">
        <f t="shared" si="2"/>
        <v>-0.1</v>
      </c>
      <c r="M5" s="43">
        <f t="shared" si="2"/>
        <v>-0.1</v>
      </c>
      <c r="N5" s="43">
        <f t="shared" si="2"/>
        <v>-0.1</v>
      </c>
    </row>
    <row r="6" spans="2:14" ht="15.75" customHeight="1" x14ac:dyDescent="0.25">
      <c r="B6" s="31" t="s">
        <v>75</v>
      </c>
      <c r="C6" s="44"/>
      <c r="D6" s="41">
        <f t="shared" si="1"/>
        <v>0.151911198639334</v>
      </c>
      <c r="E6" s="41">
        <f t="shared" si="1"/>
        <v>0.22668635374572582</v>
      </c>
      <c r="F6" s="41">
        <f t="shared" si="1"/>
        <v>0.11536268609439342</v>
      </c>
      <c r="G6" s="41">
        <f t="shared" si="1"/>
        <v>0.10240826990798592</v>
      </c>
      <c r="H6" s="41">
        <f t="shared" si="1"/>
        <v>0.10799113813179453</v>
      </c>
      <c r="I6" s="42">
        <f t="shared" si="1"/>
        <v>0.10527784236224134</v>
      </c>
      <c r="J6" s="45"/>
      <c r="K6" s="45"/>
      <c r="L6" s="45"/>
      <c r="M6" s="45"/>
      <c r="N6" s="45"/>
    </row>
    <row r="7" spans="2:14" ht="15.75" customHeight="1" x14ac:dyDescent="0.25">
      <c r="B7" s="31" t="s">
        <v>68</v>
      </c>
      <c r="C7" s="46">
        <f t="shared" ref="C7:I7" si="3">C21/C19</f>
        <v>0.85023722137677915</v>
      </c>
      <c r="D7" s="46">
        <f t="shared" si="3"/>
        <v>0.86617967050046629</v>
      </c>
      <c r="E7" s="46">
        <f t="shared" si="3"/>
        <v>0.88184985745961353</v>
      </c>
      <c r="F7" s="46">
        <f t="shared" si="3"/>
        <v>0.87703055776439853</v>
      </c>
      <c r="G7" s="46">
        <f t="shared" si="3"/>
        <v>0.87871605955999799</v>
      </c>
      <c r="H7" s="46">
        <f t="shared" si="3"/>
        <v>0.89035108114392003</v>
      </c>
      <c r="I7" s="47">
        <f t="shared" si="3"/>
        <v>0.89267533341747651</v>
      </c>
      <c r="J7" s="43">
        <v>0.89500000000000002</v>
      </c>
      <c r="K7" s="43">
        <v>0.89749999999999996</v>
      </c>
      <c r="L7" s="43">
        <v>0.9</v>
      </c>
      <c r="M7" s="43">
        <v>0.9</v>
      </c>
      <c r="N7" s="43">
        <v>0.9</v>
      </c>
    </row>
    <row r="8" spans="2:14" ht="15.75" customHeight="1" x14ac:dyDescent="0.25">
      <c r="B8" s="31" t="s">
        <v>69</v>
      </c>
      <c r="C8" s="46">
        <f t="shared" ref="C8:I8" si="4">C22/C19</f>
        <v>0.17276877629576581</v>
      </c>
      <c r="D8" s="46">
        <f t="shared" si="4"/>
        <v>0.17003419334783959</v>
      </c>
      <c r="E8" s="46">
        <f t="shared" si="4"/>
        <v>0.16091225847323409</v>
      </c>
      <c r="F8" s="46">
        <f t="shared" si="4"/>
        <v>0.16965807111212086</v>
      </c>
      <c r="G8" s="46">
        <f t="shared" si="4"/>
        <v>0.17893760626513472</v>
      </c>
      <c r="H8" s="46">
        <f t="shared" si="4"/>
        <v>0.183399209486166</v>
      </c>
      <c r="I8" s="47">
        <f t="shared" si="4"/>
        <v>0.1806554756195044</v>
      </c>
      <c r="J8" s="43">
        <v>0.18</v>
      </c>
      <c r="K8" s="43">
        <f t="shared" ref="K8:N10" si="5">J8</f>
        <v>0.18</v>
      </c>
      <c r="L8" s="43">
        <f t="shared" si="5"/>
        <v>0.18</v>
      </c>
      <c r="M8" s="43">
        <f t="shared" si="5"/>
        <v>0.18</v>
      </c>
      <c r="N8" s="43">
        <f t="shared" si="5"/>
        <v>0.18</v>
      </c>
    </row>
    <row r="9" spans="2:14" ht="15.75" customHeight="1" x14ac:dyDescent="0.25">
      <c r="B9" s="31" t="s">
        <v>70</v>
      </c>
      <c r="C9" s="46">
        <f t="shared" ref="C9:I9" si="6">C23/C19</f>
        <v>0.29039477217796078</v>
      </c>
      <c r="D9" s="46">
        <f t="shared" si="6"/>
        <v>0.27906434566366178</v>
      </c>
      <c r="E9" s="46">
        <f t="shared" si="6"/>
        <v>0.27374089325308837</v>
      </c>
      <c r="F9" s="46">
        <f t="shared" si="6"/>
        <v>0.28217653072816085</v>
      </c>
      <c r="G9" s="46">
        <f t="shared" si="6"/>
        <v>0.27569684167138958</v>
      </c>
      <c r="H9" s="46">
        <f t="shared" si="6"/>
        <v>0.26803069053708439</v>
      </c>
      <c r="I9" s="47">
        <f t="shared" si="6"/>
        <v>0.27296057890529679</v>
      </c>
      <c r="J9" s="43">
        <v>0.27500000000000002</v>
      </c>
      <c r="K9" s="43">
        <f t="shared" si="5"/>
        <v>0.27500000000000002</v>
      </c>
      <c r="L9" s="43">
        <f t="shared" si="5"/>
        <v>0.27500000000000002</v>
      </c>
      <c r="M9" s="43">
        <f t="shared" si="5"/>
        <v>0.27500000000000002</v>
      </c>
      <c r="N9" s="43">
        <f t="shared" si="5"/>
        <v>0.27500000000000002</v>
      </c>
    </row>
    <row r="10" spans="2:14" ht="15.75" customHeight="1" x14ac:dyDescent="0.25">
      <c r="B10" s="31" t="s">
        <v>71</v>
      </c>
      <c r="C10" s="46">
        <f t="shared" ref="C10:I10" si="7">C24/C19</f>
        <v>7.886491809148688E-2</v>
      </c>
      <c r="D10" s="46">
        <f t="shared" si="7"/>
        <v>7.5225365247124656E-2</v>
      </c>
      <c r="E10" s="46">
        <f t="shared" si="7"/>
        <v>6.8736141906873618E-2</v>
      </c>
      <c r="F10" s="46">
        <f t="shared" si="7"/>
        <v>6.923775985459503E-2</v>
      </c>
      <c r="G10" s="46">
        <f t="shared" si="7"/>
        <v>7.2801277757741256E-2</v>
      </c>
      <c r="H10" s="46">
        <f t="shared" si="7"/>
        <v>7.1099744245524302E-2</v>
      </c>
      <c r="I10" s="47">
        <f t="shared" si="7"/>
        <v>6.6178636038537589E-2</v>
      </c>
      <c r="J10" s="43">
        <v>6.5000000000000002E-2</v>
      </c>
      <c r="K10" s="43">
        <f t="shared" si="5"/>
        <v>6.5000000000000002E-2</v>
      </c>
      <c r="L10" s="43">
        <f t="shared" si="5"/>
        <v>6.5000000000000002E-2</v>
      </c>
      <c r="M10" s="43">
        <f t="shared" si="5"/>
        <v>6.5000000000000002E-2</v>
      </c>
      <c r="N10" s="43">
        <f t="shared" si="5"/>
        <v>6.5000000000000002E-2</v>
      </c>
    </row>
    <row r="11" spans="2:14" ht="15.75" customHeight="1" x14ac:dyDescent="0.25">
      <c r="B11" s="31" t="s">
        <v>76</v>
      </c>
      <c r="C11" s="46">
        <f t="shared" ref="C11:I11" si="8">C26/C19</f>
        <v>1.5665562617491718E-2</v>
      </c>
      <c r="D11" s="46">
        <f t="shared" si="8"/>
        <v>1.2589368977308051E-2</v>
      </c>
      <c r="E11" s="46">
        <f t="shared" si="8"/>
        <v>1.0896420652518213E-2</v>
      </c>
      <c r="F11" s="46">
        <f t="shared" si="8"/>
        <v>9.5990003407929111E-3</v>
      </c>
      <c r="G11" s="46">
        <f t="shared" si="8"/>
        <v>8.6557782472049052E-3</v>
      </c>
      <c r="H11" s="46">
        <f t="shared" si="8"/>
        <v>7.8586375261567084E-3</v>
      </c>
      <c r="I11" s="47">
        <f t="shared" si="8"/>
        <v>6.6052421220918001E-3</v>
      </c>
      <c r="J11" s="43">
        <v>7.0000000000000007E-2</v>
      </c>
      <c r="K11" s="43">
        <f>J11</f>
        <v>7.0000000000000007E-2</v>
      </c>
      <c r="L11" s="43">
        <v>0.06</v>
      </c>
      <c r="M11" s="43">
        <v>0.05</v>
      </c>
      <c r="N11" s="43">
        <v>0.04</v>
      </c>
    </row>
    <row r="12" spans="2:14" ht="15.75" customHeight="1" x14ac:dyDescent="0.25">
      <c r="B12" s="31" t="s">
        <v>72</v>
      </c>
      <c r="C12" s="46">
        <f t="shared" ref="C12:I12" si="9">C31/C30</f>
        <v>7.9251170046801878E-2</v>
      </c>
      <c r="D12" s="46">
        <f t="shared" si="9"/>
        <v>-0.25957854406130271</v>
      </c>
      <c r="E12" s="46">
        <f t="shared" si="9"/>
        <v>0.15477651183172655</v>
      </c>
      <c r="F12" s="46">
        <f t="shared" si="9"/>
        <v>0.20838881491344874</v>
      </c>
      <c r="G12" s="46">
        <f t="shared" si="9"/>
        <v>0.20164730107368731</v>
      </c>
      <c r="H12" s="46">
        <f t="shared" si="9"/>
        <v>0.19780695426345404</v>
      </c>
      <c r="I12" s="47">
        <f t="shared" si="9"/>
        <v>0.18365010304556903</v>
      </c>
      <c r="J12" s="43">
        <v>0.21299999999999999</v>
      </c>
      <c r="K12" s="43">
        <f>J12</f>
        <v>0.21299999999999999</v>
      </c>
      <c r="L12" s="43">
        <f>K12</f>
        <v>0.21299999999999999</v>
      </c>
      <c r="M12" s="43">
        <f>L12</f>
        <v>0.21299999999999999</v>
      </c>
      <c r="N12" s="43">
        <f>M12</f>
        <v>0.21299999999999999</v>
      </c>
    </row>
    <row r="13" spans="2:14" ht="15.75" customHeight="1" x14ac:dyDescent="0.25">
      <c r="B13" s="31"/>
      <c r="C13" s="48"/>
      <c r="D13" s="48"/>
      <c r="E13" s="48"/>
      <c r="F13" s="48"/>
      <c r="G13" s="48"/>
      <c r="H13" s="48"/>
      <c r="I13" s="49"/>
    </row>
    <row r="14" spans="2:14" ht="16.5" customHeight="1" x14ac:dyDescent="0.25">
      <c r="C14" s="16"/>
      <c r="D14" s="16"/>
      <c r="E14" s="16"/>
      <c r="F14" s="16"/>
      <c r="G14" s="16"/>
      <c r="H14" s="16"/>
      <c r="I14" s="39"/>
      <c r="J14" s="50"/>
      <c r="K14" s="50"/>
      <c r="L14" s="50"/>
      <c r="M14" s="50"/>
      <c r="N14" s="50"/>
    </row>
    <row r="15" spans="2:14" ht="15.75" customHeight="1" x14ac:dyDescent="0.25">
      <c r="B15" s="15" t="s">
        <v>77</v>
      </c>
      <c r="C15" s="51" t="s">
        <v>78</v>
      </c>
      <c r="D15" s="51" t="s">
        <v>79</v>
      </c>
      <c r="E15" s="51" t="s">
        <v>80</v>
      </c>
      <c r="F15" s="51" t="s">
        <v>81</v>
      </c>
      <c r="G15" s="51" t="s">
        <v>82</v>
      </c>
      <c r="H15" s="52" t="s">
        <v>83</v>
      </c>
      <c r="I15" s="53" t="s">
        <v>84</v>
      </c>
      <c r="J15" s="51" t="s">
        <v>85</v>
      </c>
      <c r="K15" s="51" t="s">
        <v>86</v>
      </c>
      <c r="L15" s="51" t="s">
        <v>87</v>
      </c>
      <c r="M15" s="51" t="s">
        <v>88</v>
      </c>
      <c r="N15" s="51" t="s">
        <v>89</v>
      </c>
    </row>
    <row r="16" spans="2:14" ht="15.75" customHeight="1" x14ac:dyDescent="0.25">
      <c r="B16" s="17" t="s">
        <v>44</v>
      </c>
      <c r="C16" s="54">
        <v>9634</v>
      </c>
      <c r="D16" s="54">
        <f>SUM('10QIS'!C5:F5)</f>
        <v>11626</v>
      </c>
      <c r="E16" s="54">
        <f>SUM('10QIS'!G5:J5)</f>
        <v>14573</v>
      </c>
      <c r="F16" s="54">
        <f>SUM('10QIS'!K5:N5)</f>
        <v>16388</v>
      </c>
      <c r="G16" s="54">
        <f>SUM('10QIS'!O5:R5)</f>
        <v>18284</v>
      </c>
      <c r="H16" s="55">
        <f>SUM('10QIS'!S5:V5)</f>
        <v>20521</v>
      </c>
      <c r="I16" s="56">
        <f>SUM('10QIS'!W5:Z5)</f>
        <v>22904</v>
      </c>
      <c r="J16" s="57">
        <f t="shared" ref="J16:N18" si="10">I16*(1+J3)</f>
        <v>25423.440000000002</v>
      </c>
      <c r="K16" s="57">
        <f t="shared" si="10"/>
        <v>28220.018400000004</v>
      </c>
      <c r="L16" s="57">
        <f t="shared" si="10"/>
        <v>31324.220424000006</v>
      </c>
      <c r="M16" s="57">
        <f t="shared" si="10"/>
        <v>34769.884670640007</v>
      </c>
      <c r="N16" s="57">
        <f t="shared" si="10"/>
        <v>38594.57198441041</v>
      </c>
    </row>
    <row r="17" spans="2:14" ht="15.75" customHeight="1" x14ac:dyDescent="0.25">
      <c r="B17" s="17" t="s">
        <v>45</v>
      </c>
      <c r="C17" s="54">
        <v>648</v>
      </c>
      <c r="D17" s="54">
        <f>SUM('10QIS'!C6:F6)</f>
        <v>507</v>
      </c>
      <c r="E17" s="54">
        <f>SUM('10QIS'!G6:J6)</f>
        <v>555</v>
      </c>
      <c r="F17" s="55">
        <f>SUM('10QIS'!K6:N6)</f>
        <v>532</v>
      </c>
      <c r="G17" s="55">
        <f>SUM('10QIS'!O6:R6)</f>
        <v>460</v>
      </c>
      <c r="H17" s="55">
        <f>SUM('10QIS'!S6:V6)</f>
        <v>386</v>
      </c>
      <c r="I17" s="56">
        <f>SUM('10QIS'!W6:Z6)</f>
        <v>325</v>
      </c>
      <c r="J17" s="57">
        <f t="shared" si="10"/>
        <v>276.25</v>
      </c>
      <c r="K17" s="57">
        <f t="shared" si="10"/>
        <v>234.8125</v>
      </c>
      <c r="L17" s="57">
        <f t="shared" si="10"/>
        <v>199.59062499999999</v>
      </c>
      <c r="M17" s="57">
        <f t="shared" si="10"/>
        <v>169.65203124999999</v>
      </c>
      <c r="N17" s="57">
        <f t="shared" si="10"/>
        <v>144.2042265625</v>
      </c>
    </row>
    <row r="18" spans="2:14" ht="15.75" customHeight="1" x14ac:dyDescent="0.25">
      <c r="B18" s="17" t="s">
        <v>46</v>
      </c>
      <c r="C18" s="54">
        <v>889</v>
      </c>
      <c r="D18" s="54">
        <f>SUM('10QIS'!C7:F7)</f>
        <v>735</v>
      </c>
      <c r="E18" s="54">
        <f>SUM('10QIS'!G7:J7)</f>
        <v>657</v>
      </c>
      <c r="F18" s="55">
        <f>SUM('10QIS'!K7:N7)</f>
        <v>686</v>
      </c>
      <c r="G18" s="55">
        <f>SUM('10QIS'!O7:R7)</f>
        <v>665</v>
      </c>
      <c r="H18" s="55">
        <f>SUM('10QIS'!S7:V7)</f>
        <v>598</v>
      </c>
      <c r="I18" s="56">
        <f>SUM('10QIS'!W7:Z7)</f>
        <v>540</v>
      </c>
      <c r="J18" s="57">
        <f t="shared" si="10"/>
        <v>486</v>
      </c>
      <c r="K18" s="57">
        <f t="shared" si="10"/>
        <v>437.40000000000003</v>
      </c>
      <c r="L18" s="57">
        <f t="shared" si="10"/>
        <v>393.66</v>
      </c>
      <c r="M18" s="57">
        <f t="shared" si="10"/>
        <v>354.29400000000004</v>
      </c>
      <c r="N18" s="57">
        <f t="shared" si="10"/>
        <v>318.86460000000005</v>
      </c>
    </row>
    <row r="19" spans="2:14" ht="15.75" customHeight="1" x14ac:dyDescent="0.25">
      <c r="B19" s="22" t="s">
        <v>47</v>
      </c>
      <c r="C19" s="23">
        <f t="shared" ref="C19:N19" si="11">SUM(C16:C18)</f>
        <v>11171</v>
      </c>
      <c r="D19" s="23">
        <f t="shared" si="11"/>
        <v>12868</v>
      </c>
      <c r="E19" s="23">
        <f t="shared" si="11"/>
        <v>15785</v>
      </c>
      <c r="F19" s="23">
        <f t="shared" si="11"/>
        <v>17606</v>
      </c>
      <c r="G19" s="23">
        <f t="shared" si="11"/>
        <v>19409</v>
      </c>
      <c r="H19" s="23">
        <f t="shared" si="11"/>
        <v>21505</v>
      </c>
      <c r="I19" s="58">
        <f t="shared" si="11"/>
        <v>23769</v>
      </c>
      <c r="J19" s="25">
        <f t="shared" si="11"/>
        <v>26185.690000000002</v>
      </c>
      <c r="K19" s="25">
        <f t="shared" si="11"/>
        <v>28892.230900000006</v>
      </c>
      <c r="L19" s="25">
        <f t="shared" si="11"/>
        <v>31917.471049000007</v>
      </c>
      <c r="M19" s="25">
        <f t="shared" si="11"/>
        <v>35293.830701890009</v>
      </c>
      <c r="N19" s="25">
        <f t="shared" si="11"/>
        <v>39057.640810972909</v>
      </c>
    </row>
    <row r="20" spans="2:14" ht="15.75" customHeight="1" x14ac:dyDescent="0.25">
      <c r="B20" t="s">
        <v>48</v>
      </c>
      <c r="C20" s="21">
        <v>1673</v>
      </c>
      <c r="D20" s="21">
        <f>SUM('10QIS'!C9:F9)</f>
        <v>1722</v>
      </c>
      <c r="E20" s="21">
        <f>SUM('10QIS'!G9:J9)</f>
        <v>1865</v>
      </c>
      <c r="F20" s="21">
        <f>SUM('10QIS'!K9:N9)</f>
        <v>2165</v>
      </c>
      <c r="G20" s="21">
        <f>SUM('10QIS'!O9:R9)</f>
        <v>2354</v>
      </c>
      <c r="H20" s="21">
        <f>SUM('10QIS'!S9:V9)</f>
        <v>2358</v>
      </c>
      <c r="I20" s="59">
        <f>SUM('10QIS'!W9:Z9)</f>
        <v>2551</v>
      </c>
      <c r="J20" s="24">
        <f>J19-J21</f>
        <v>2749.4974499999989</v>
      </c>
      <c r="K20" s="24">
        <f>K19-K21</f>
        <v>2961.4536672499999</v>
      </c>
      <c r="L20" s="24">
        <f>L19-L21</f>
        <v>3191.7471049000014</v>
      </c>
      <c r="M20" s="24">
        <f>M19-M21</f>
        <v>3529.3830701890001</v>
      </c>
      <c r="N20" s="24">
        <f>N19-N21</f>
        <v>3905.764081097288</v>
      </c>
    </row>
    <row r="21" spans="2:14" ht="15.75" customHeight="1" x14ac:dyDescent="0.25">
      <c r="B21" s="22" t="s">
        <v>49</v>
      </c>
      <c r="C21" s="23">
        <f t="shared" ref="C21:I21" si="12">C19-C20</f>
        <v>9498</v>
      </c>
      <c r="D21" s="23">
        <f t="shared" si="12"/>
        <v>11146</v>
      </c>
      <c r="E21" s="23">
        <f t="shared" si="12"/>
        <v>13920</v>
      </c>
      <c r="F21" s="23">
        <f t="shared" si="12"/>
        <v>15441</v>
      </c>
      <c r="G21" s="23">
        <f t="shared" si="12"/>
        <v>17055</v>
      </c>
      <c r="H21" s="23">
        <f t="shared" si="12"/>
        <v>19147</v>
      </c>
      <c r="I21" s="58">
        <f t="shared" si="12"/>
        <v>21218</v>
      </c>
      <c r="J21" s="25">
        <f>J19*J7</f>
        <v>23436.192550000003</v>
      </c>
      <c r="K21" s="25">
        <f>K19*K7</f>
        <v>25930.777232750006</v>
      </c>
      <c r="L21" s="25">
        <f>L19*L7</f>
        <v>28725.723944100006</v>
      </c>
      <c r="M21" s="25">
        <f>M19*M7</f>
        <v>31764.447631701009</v>
      </c>
      <c r="N21" s="25">
        <f>N19*N7</f>
        <v>35151.876729875621</v>
      </c>
    </row>
    <row r="22" spans="2:14" ht="15.75" customHeight="1" x14ac:dyDescent="0.25">
      <c r="B22" t="s">
        <v>50</v>
      </c>
      <c r="C22" s="21">
        <v>1930</v>
      </c>
      <c r="D22" s="21">
        <f>SUM('10QIS'!C11:F11)</f>
        <v>2188</v>
      </c>
      <c r="E22" s="21">
        <f>SUM('10QIS'!G11:J11)</f>
        <v>2540</v>
      </c>
      <c r="F22" s="21">
        <f>SUM('10QIS'!K11:N11)</f>
        <v>2987</v>
      </c>
      <c r="G22" s="21">
        <f>SUM('10QIS'!O11:R11)</f>
        <v>3473</v>
      </c>
      <c r="H22" s="21">
        <f>SUM('10QIS'!S11:V11)</f>
        <v>3944</v>
      </c>
      <c r="I22" s="59">
        <f>SUM('10QIS'!W11:Z11)</f>
        <v>4294</v>
      </c>
      <c r="J22" s="24">
        <f>J19*J8</f>
        <v>4713.4242000000004</v>
      </c>
      <c r="K22" s="24">
        <f>K19*K8</f>
        <v>5200.6015620000007</v>
      </c>
      <c r="L22" s="24">
        <f>L19*L8</f>
        <v>5745.1447888200009</v>
      </c>
      <c r="M22" s="24">
        <f>M19*M8</f>
        <v>6352.889526340201</v>
      </c>
      <c r="N22" s="24">
        <f>N19*N8</f>
        <v>7030.3753459751233</v>
      </c>
    </row>
    <row r="23" spans="2:14" ht="15.75" customHeight="1" x14ac:dyDescent="0.25">
      <c r="B23" t="s">
        <v>51</v>
      </c>
      <c r="C23" s="21">
        <v>3244</v>
      </c>
      <c r="D23" s="21">
        <f>SUM('10QIS'!C12:F12)</f>
        <v>3591</v>
      </c>
      <c r="E23" s="21">
        <f>SUM('10QIS'!G12:J12)</f>
        <v>4321</v>
      </c>
      <c r="F23" s="21">
        <f>SUM('10QIS'!K12:N12)</f>
        <v>4968</v>
      </c>
      <c r="G23" s="21">
        <f>SUM('10QIS'!O12:R12)</f>
        <v>5351</v>
      </c>
      <c r="H23" s="21">
        <f>SUM('10QIS'!S12:V12)</f>
        <v>5764</v>
      </c>
      <c r="I23" s="59">
        <f>SUM('10QIS'!W12:Z12)</f>
        <v>6488</v>
      </c>
      <c r="J23" s="24">
        <f>J19*J9</f>
        <v>7201.0647500000014</v>
      </c>
      <c r="K23" s="24">
        <f>K19*K9</f>
        <v>7945.3634975000023</v>
      </c>
      <c r="L23" s="24">
        <f>L19*L9</f>
        <v>8777.3045384750021</v>
      </c>
      <c r="M23" s="24">
        <f>M19*M9</f>
        <v>9705.8034430197531</v>
      </c>
      <c r="N23" s="24">
        <f>N19*N9</f>
        <v>10740.851223017551</v>
      </c>
    </row>
    <row r="24" spans="2:14" ht="15.75" customHeight="1" x14ac:dyDescent="0.25">
      <c r="B24" t="s">
        <v>52</v>
      </c>
      <c r="C24" s="21">
        <v>881</v>
      </c>
      <c r="D24" s="21">
        <f>SUM('10QIS'!C13:F13)</f>
        <v>968</v>
      </c>
      <c r="E24" s="21">
        <f>SUM('10QIS'!G13:J13)</f>
        <v>1085</v>
      </c>
      <c r="F24" s="21">
        <f>SUM('10QIS'!K13:N13)</f>
        <v>1219</v>
      </c>
      <c r="G24" s="21">
        <f>SUM('10QIS'!O13:R13)</f>
        <v>1413</v>
      </c>
      <c r="H24" s="21">
        <f>SUM('10QIS'!S13:V13)</f>
        <v>1529</v>
      </c>
      <c r="I24" s="59">
        <f>SUM('10QIS'!W13:Z13)</f>
        <v>1573</v>
      </c>
      <c r="J24" s="24">
        <f>J19*J10</f>
        <v>1702.0698500000003</v>
      </c>
      <c r="K24" s="24">
        <f>K19*K10</f>
        <v>1877.9950085000005</v>
      </c>
      <c r="L24" s="24">
        <f>L19*L10</f>
        <v>2074.6356181850006</v>
      </c>
      <c r="M24" s="24">
        <f>M19*M10</f>
        <v>2294.0989956228505</v>
      </c>
      <c r="N24" s="24">
        <f>N19*N10</f>
        <v>2538.7466527132392</v>
      </c>
    </row>
    <row r="25" spans="2:14" ht="15.75" customHeight="1" x14ac:dyDescent="0.25">
      <c r="B25" t="s">
        <v>53</v>
      </c>
      <c r="C25" s="21">
        <v>0</v>
      </c>
      <c r="D25" s="21">
        <f>SUM('10QIS'!C14:F14)</f>
        <v>0</v>
      </c>
      <c r="E25" s="21">
        <f>SUM('10QIS'!G14:J14)</f>
        <v>0</v>
      </c>
      <c r="F25" s="21">
        <f>SUM('10QIS'!K14:N14)</f>
        <v>0</v>
      </c>
      <c r="G25" s="21">
        <f>SUM('10QIS'!O14:R14)</f>
        <v>0</v>
      </c>
      <c r="H25" s="21">
        <f>SUM('10QIS'!S14:V14)</f>
        <v>1000</v>
      </c>
      <c r="I25" s="59">
        <f>SUM('10QIS'!W14:Z14)</f>
        <v>0</v>
      </c>
      <c r="J25" s="24">
        <v>0</v>
      </c>
      <c r="K25" s="24">
        <v>0</v>
      </c>
      <c r="L25" s="24">
        <v>0</v>
      </c>
      <c r="M25" s="24">
        <v>0</v>
      </c>
      <c r="N25" s="24">
        <v>0</v>
      </c>
    </row>
    <row r="26" spans="2:14" ht="15.75" customHeight="1" x14ac:dyDescent="0.25">
      <c r="B26" t="s">
        <v>54</v>
      </c>
      <c r="C26" s="21">
        <v>175</v>
      </c>
      <c r="D26" s="21">
        <f>SUM('10QIS'!C15:F15)</f>
        <v>162</v>
      </c>
      <c r="E26" s="21">
        <f>SUM('10QIS'!G15:J15)</f>
        <v>172</v>
      </c>
      <c r="F26" s="21">
        <f>SUM('10QIS'!K15:N15)</f>
        <v>169</v>
      </c>
      <c r="G26" s="21">
        <f>SUM('10QIS'!O15:R15)</f>
        <v>168</v>
      </c>
      <c r="H26" s="21">
        <f>SUM('10QIS'!S15:V15)</f>
        <v>169</v>
      </c>
      <c r="I26" s="59">
        <f>SUM('10QIS'!W15:Z15)</f>
        <v>157</v>
      </c>
      <c r="J26" s="24">
        <f>J19*J11</f>
        <v>1832.9983000000004</v>
      </c>
      <c r="K26" s="24">
        <f>K19*K11</f>
        <v>2022.4561630000005</v>
      </c>
      <c r="L26" s="24">
        <f>L19*L11</f>
        <v>1915.0482629400003</v>
      </c>
      <c r="M26" s="24">
        <f>M19*M11</f>
        <v>1764.6915350945005</v>
      </c>
      <c r="N26" s="24">
        <f>N19*N11</f>
        <v>1562.3056324389163</v>
      </c>
    </row>
    <row r="27" spans="2:14" ht="15.75" customHeight="1" x14ac:dyDescent="0.25">
      <c r="B27" t="s">
        <v>55</v>
      </c>
      <c r="C27" s="21">
        <f t="shared" ref="C27:N27" si="13">SUM(C22:C26)</f>
        <v>6230</v>
      </c>
      <c r="D27" s="21">
        <f t="shared" si="13"/>
        <v>6909</v>
      </c>
      <c r="E27" s="21">
        <f t="shared" si="13"/>
        <v>8118</v>
      </c>
      <c r="F27" s="21">
        <f t="shared" si="13"/>
        <v>9343</v>
      </c>
      <c r="G27" s="21">
        <f t="shared" si="13"/>
        <v>10405</v>
      </c>
      <c r="H27" s="21">
        <f t="shared" si="13"/>
        <v>12406</v>
      </c>
      <c r="I27" s="59">
        <f t="shared" si="13"/>
        <v>12512</v>
      </c>
      <c r="J27" s="24">
        <f t="shared" si="13"/>
        <v>15449.557100000004</v>
      </c>
      <c r="K27" s="24">
        <f t="shared" si="13"/>
        <v>17046.416231000003</v>
      </c>
      <c r="L27" s="24">
        <f t="shared" si="13"/>
        <v>18512.133208420004</v>
      </c>
      <c r="M27" s="24">
        <f t="shared" si="13"/>
        <v>20117.483500077306</v>
      </c>
      <c r="N27" s="24">
        <f t="shared" si="13"/>
        <v>21872.278854144832</v>
      </c>
    </row>
    <row r="28" spans="2:14" ht="15.75" customHeight="1" x14ac:dyDescent="0.25">
      <c r="B28" t="s">
        <v>56</v>
      </c>
      <c r="C28" s="21">
        <f t="shared" ref="C28:N28" si="14">C21-C27</f>
        <v>3268</v>
      </c>
      <c r="D28" s="21">
        <f t="shared" si="14"/>
        <v>4237</v>
      </c>
      <c r="E28" s="21">
        <f t="shared" si="14"/>
        <v>5802</v>
      </c>
      <c r="F28" s="21">
        <f t="shared" si="14"/>
        <v>6098</v>
      </c>
      <c r="G28" s="21">
        <f t="shared" si="14"/>
        <v>6650</v>
      </c>
      <c r="H28" s="21">
        <f t="shared" si="14"/>
        <v>6741</v>
      </c>
      <c r="I28" s="59">
        <f t="shared" si="14"/>
        <v>8706</v>
      </c>
      <c r="J28" s="24">
        <f t="shared" si="14"/>
        <v>7986.6354499999998</v>
      </c>
      <c r="K28" s="24">
        <f t="shared" si="14"/>
        <v>8884.3610017500032</v>
      </c>
      <c r="L28" s="24">
        <f t="shared" si="14"/>
        <v>10213.590735680002</v>
      </c>
      <c r="M28" s="24">
        <f t="shared" si="14"/>
        <v>11646.964131623703</v>
      </c>
      <c r="N28" s="24">
        <f t="shared" si="14"/>
        <v>13279.597875730789</v>
      </c>
    </row>
    <row r="29" spans="2:14" ht="15.75" customHeight="1" x14ac:dyDescent="0.25">
      <c r="B29" t="s">
        <v>57</v>
      </c>
      <c r="C29" s="21">
        <v>-63</v>
      </c>
      <c r="D29" s="21">
        <f>SUM('10QIS'!C18:F18)</f>
        <v>-61</v>
      </c>
      <c r="E29" s="21">
        <f>SUM('10QIS'!G18:J18)</f>
        <v>-97</v>
      </c>
      <c r="F29" s="21">
        <f>SUM('10QIS'!K18:N18)</f>
        <v>-90</v>
      </c>
      <c r="G29" s="21">
        <f>SUM('10QIS'!O18:R18)</f>
        <v>149</v>
      </c>
      <c r="H29" s="21">
        <f>SUM('10QIS'!S18:V18)</f>
        <v>190</v>
      </c>
      <c r="I29" s="59">
        <f>SUM('10QIS'!W18:Z18)</f>
        <v>28</v>
      </c>
      <c r="J29" s="24">
        <v>0</v>
      </c>
      <c r="K29" s="24">
        <v>0</v>
      </c>
      <c r="L29" s="24">
        <v>0</v>
      </c>
      <c r="M29" s="24">
        <v>0</v>
      </c>
      <c r="N29" s="24">
        <v>0</v>
      </c>
    </row>
    <row r="30" spans="2:14" ht="15.75" customHeight="1" x14ac:dyDescent="0.25">
      <c r="B30" t="s">
        <v>58</v>
      </c>
      <c r="C30" s="21">
        <f t="shared" ref="C30:N30" si="15">C28+C29</f>
        <v>3205</v>
      </c>
      <c r="D30" s="21">
        <f t="shared" si="15"/>
        <v>4176</v>
      </c>
      <c r="E30" s="21">
        <f t="shared" si="15"/>
        <v>5705</v>
      </c>
      <c r="F30" s="21">
        <f t="shared" si="15"/>
        <v>6008</v>
      </c>
      <c r="G30" s="21">
        <f t="shared" si="15"/>
        <v>6799</v>
      </c>
      <c r="H30" s="21">
        <f t="shared" si="15"/>
        <v>6931</v>
      </c>
      <c r="I30" s="59">
        <f t="shared" si="15"/>
        <v>8734</v>
      </c>
      <c r="J30" s="24">
        <f t="shared" si="15"/>
        <v>7986.6354499999998</v>
      </c>
      <c r="K30" s="24">
        <f t="shared" si="15"/>
        <v>8884.3610017500032</v>
      </c>
      <c r="L30" s="24">
        <f t="shared" si="15"/>
        <v>10213.590735680002</v>
      </c>
      <c r="M30" s="24">
        <f t="shared" si="15"/>
        <v>11646.964131623703</v>
      </c>
      <c r="N30" s="24">
        <f t="shared" si="15"/>
        <v>13279.597875730789</v>
      </c>
    </row>
    <row r="31" spans="2:14" ht="15.75" customHeight="1" x14ac:dyDescent="0.25">
      <c r="B31" t="s">
        <v>59</v>
      </c>
      <c r="C31" s="21">
        <v>254</v>
      </c>
      <c r="D31" s="21">
        <f>SUM('10QIS'!C20:F20)</f>
        <v>-1084</v>
      </c>
      <c r="E31" s="21">
        <f>SUM('10QIS'!G20:J20)</f>
        <v>883</v>
      </c>
      <c r="F31" s="21">
        <f>SUM('10QIS'!K20:N20)</f>
        <v>1252</v>
      </c>
      <c r="G31" s="21">
        <f>SUM('10QIS'!O20:R20)</f>
        <v>1371</v>
      </c>
      <c r="H31" s="21">
        <f>SUM('10QIS'!S20:V20)</f>
        <v>1371</v>
      </c>
      <c r="I31" s="59">
        <f>SUM('10QIS'!W20:Z20)</f>
        <v>1604</v>
      </c>
      <c r="J31" s="24">
        <f>J30*J12</f>
        <v>1701.1533508499999</v>
      </c>
      <c r="K31" s="24">
        <f>K30*K12</f>
        <v>1892.3688933727506</v>
      </c>
      <c r="L31" s="24">
        <f>L30*L12</f>
        <v>2175.4948266998404</v>
      </c>
      <c r="M31" s="24">
        <f>M30*M12</f>
        <v>2480.8033600358485</v>
      </c>
      <c r="N31" s="24">
        <f>N30*N12</f>
        <v>2828.5543475306581</v>
      </c>
    </row>
    <row r="32" spans="2:14" ht="15.75" customHeight="1" x14ac:dyDescent="0.25">
      <c r="B32" s="22" t="s">
        <v>60</v>
      </c>
      <c r="C32" s="23">
        <f t="shared" ref="C32:N32" si="16">C30-C31</f>
        <v>2951</v>
      </c>
      <c r="D32" s="23">
        <f t="shared" si="16"/>
        <v>5260</v>
      </c>
      <c r="E32" s="23">
        <f t="shared" si="16"/>
        <v>4822</v>
      </c>
      <c r="F32" s="23">
        <f t="shared" si="16"/>
        <v>4756</v>
      </c>
      <c r="G32" s="23">
        <f t="shared" si="16"/>
        <v>5428</v>
      </c>
      <c r="H32" s="23">
        <f t="shared" si="16"/>
        <v>5560</v>
      </c>
      <c r="I32" s="58">
        <f t="shared" si="16"/>
        <v>7130</v>
      </c>
      <c r="J32" s="25">
        <f t="shared" si="16"/>
        <v>6285.4820991500001</v>
      </c>
      <c r="K32" s="25">
        <f t="shared" si="16"/>
        <v>6991.9921083772524</v>
      </c>
      <c r="L32" s="25">
        <f t="shared" si="16"/>
        <v>8038.0959089801618</v>
      </c>
      <c r="M32" s="25">
        <f t="shared" si="16"/>
        <v>9166.1607715878545</v>
      </c>
      <c r="N32" s="25">
        <f t="shared" si="16"/>
        <v>10451.043528200131</v>
      </c>
    </row>
    <row r="33" spans="2:14" ht="15.75" customHeight="1" x14ac:dyDescent="0.25">
      <c r="B33" t="s">
        <v>62</v>
      </c>
      <c r="C33" s="26">
        <f t="shared" ref="C33:N33" si="17">IFERROR(C32/C34,"")</f>
        <v>5.9979674796747968</v>
      </c>
      <c r="D33" s="26">
        <f t="shared" si="17"/>
        <v>10.845360824742269</v>
      </c>
      <c r="E33" s="26">
        <f t="shared" si="17"/>
        <v>10.024948024948024</v>
      </c>
      <c r="F33" s="26">
        <f t="shared" si="17"/>
        <v>10.097664543524417</v>
      </c>
      <c r="G33" s="26">
        <f t="shared" si="17"/>
        <v>11.825708061002178</v>
      </c>
      <c r="H33" s="26">
        <f t="shared" si="17"/>
        <v>12.355555555555556</v>
      </c>
      <c r="I33" s="60">
        <f t="shared" si="17"/>
        <v>16.697892271662763</v>
      </c>
      <c r="J33" s="6">
        <f t="shared" si="17"/>
        <v>15.912612909240506</v>
      </c>
      <c r="K33" s="6">
        <f t="shared" si="17"/>
        <v>17.701245843993043</v>
      </c>
      <c r="L33" s="6">
        <f t="shared" si="17"/>
        <v>20.349609896152309</v>
      </c>
      <c r="M33" s="6">
        <f t="shared" si="17"/>
        <v>23.205470307817354</v>
      </c>
      <c r="N33" s="6">
        <f t="shared" si="17"/>
        <v>26.458338046076282</v>
      </c>
    </row>
    <row r="34" spans="2:14" ht="15.75" customHeight="1" x14ac:dyDescent="0.25">
      <c r="B34" t="s">
        <v>61</v>
      </c>
      <c r="C34" s="21">
        <v>492</v>
      </c>
      <c r="D34" s="21">
        <v>485</v>
      </c>
      <c r="E34" s="21">
        <v>481</v>
      </c>
      <c r="F34" s="21">
        <v>471</v>
      </c>
      <c r="G34" s="21">
        <v>459</v>
      </c>
      <c r="H34" s="21">
        <v>450</v>
      </c>
      <c r="I34" s="59">
        <v>427</v>
      </c>
      <c r="J34" s="24">
        <f>Main!$C$4</f>
        <v>395</v>
      </c>
      <c r="K34" s="24">
        <f>Main!$C$4</f>
        <v>395</v>
      </c>
      <c r="L34" s="24">
        <f>Main!$C$4</f>
        <v>395</v>
      </c>
      <c r="M34" s="24">
        <f>Main!$C$4</f>
        <v>395</v>
      </c>
      <c r="N34" s="24">
        <f>Main!$C$4</f>
        <v>395</v>
      </c>
    </row>
    <row r="37" spans="2:14" ht="15.75" customHeight="1" x14ac:dyDescent="0.25"/>
    <row r="38" spans="2:14" ht="15.75" customHeight="1" x14ac:dyDescent="0.25"/>
  </sheetData>
  <pageMargins left="0.7" right="0.7" top="0.75" bottom="0.75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H40"/>
  <sheetViews>
    <sheetView zoomScaleNormal="100" workbookViewId="0">
      <selection activeCell="H22" sqref="H22"/>
    </sheetView>
  </sheetViews>
  <sheetFormatPr defaultColWidth="8.875" defaultRowHeight="15.75" x14ac:dyDescent="0.25"/>
  <cols>
    <col min="1" max="1" width="1.375" customWidth="1"/>
    <col min="2" max="2" width="53.5" customWidth="1"/>
    <col min="3" max="8" width="12.625" customWidth="1"/>
    <col min="9" max="18" width="12" customWidth="1"/>
  </cols>
  <sheetData>
    <row r="1" spans="2:8" ht="12" customHeight="1" x14ac:dyDescent="0.25"/>
    <row r="2" spans="2:8" ht="15.75" customHeight="1" x14ac:dyDescent="0.25">
      <c r="B2" s="61" t="s">
        <v>90</v>
      </c>
      <c r="C2" s="16" t="s">
        <v>79</v>
      </c>
      <c r="D2" s="16" t="s">
        <v>80</v>
      </c>
      <c r="E2" s="16" t="s">
        <v>81</v>
      </c>
      <c r="F2" s="16" t="s">
        <v>82</v>
      </c>
      <c r="G2" s="16" t="s">
        <v>83</v>
      </c>
      <c r="H2" s="16" t="s">
        <v>84</v>
      </c>
    </row>
    <row r="3" spans="2:8" ht="15.75" customHeight="1" x14ac:dyDescent="0.25">
      <c r="B3" s="10" t="s">
        <v>91</v>
      </c>
      <c r="C3" s="21">
        <v>4478</v>
      </c>
      <c r="D3" s="21">
        <v>3844</v>
      </c>
      <c r="E3" s="21">
        <v>4236</v>
      </c>
      <c r="F3" s="21">
        <v>7141</v>
      </c>
      <c r="G3" s="21">
        <v>7613</v>
      </c>
      <c r="H3" s="21">
        <v>5431</v>
      </c>
    </row>
    <row r="4" spans="2:8" ht="15.75" customHeight="1" x14ac:dyDescent="0.25">
      <c r="B4" s="10" t="s">
        <v>92</v>
      </c>
      <c r="C4" s="21">
        <v>1514</v>
      </c>
      <c r="D4" s="21">
        <v>1954</v>
      </c>
      <c r="E4" s="21">
        <v>1860</v>
      </c>
      <c r="F4" s="21">
        <v>701</v>
      </c>
      <c r="G4" s="21">
        <v>273</v>
      </c>
      <c r="H4" s="21">
        <v>1164</v>
      </c>
    </row>
    <row r="5" spans="2:8" ht="15.75" customHeight="1" x14ac:dyDescent="0.25">
      <c r="B5" s="10" t="s">
        <v>93</v>
      </c>
      <c r="C5" s="21">
        <v>1398</v>
      </c>
      <c r="D5" s="21">
        <v>1878</v>
      </c>
      <c r="E5" s="21">
        <v>2065</v>
      </c>
      <c r="F5" s="21">
        <v>2224</v>
      </c>
      <c r="G5" s="21">
        <v>2072</v>
      </c>
      <c r="H5" s="21">
        <v>2344</v>
      </c>
    </row>
    <row r="6" spans="2:8" ht="15.75" customHeight="1" x14ac:dyDescent="0.25">
      <c r="B6" s="10" t="s">
        <v>94</v>
      </c>
      <c r="C6" s="21">
        <v>756</v>
      </c>
      <c r="D6" s="21">
        <v>993</v>
      </c>
      <c r="E6" s="21">
        <v>835</v>
      </c>
      <c r="F6" s="21">
        <v>1018</v>
      </c>
      <c r="G6" s="21">
        <v>1274</v>
      </c>
      <c r="H6" s="21">
        <v>1224</v>
      </c>
    </row>
    <row r="7" spans="2:8" ht="15.75" customHeight="1" x14ac:dyDescent="0.25">
      <c r="B7" s="9" t="s">
        <v>95</v>
      </c>
      <c r="C7" s="23">
        <f t="shared" ref="C7:H7" si="0">SUM(C3:C6)</f>
        <v>8146</v>
      </c>
      <c r="D7" s="23">
        <f t="shared" si="0"/>
        <v>8669</v>
      </c>
      <c r="E7" s="23">
        <f t="shared" si="0"/>
        <v>8996</v>
      </c>
      <c r="F7" s="23">
        <f t="shared" si="0"/>
        <v>11084</v>
      </c>
      <c r="G7" s="23">
        <f t="shared" si="0"/>
        <v>11232</v>
      </c>
      <c r="H7" s="23">
        <f t="shared" si="0"/>
        <v>10163</v>
      </c>
    </row>
    <row r="8" spans="2:8" ht="15.75" customHeight="1" x14ac:dyDescent="0.25">
      <c r="B8" s="10" t="s">
        <v>96</v>
      </c>
      <c r="C8" s="21">
        <v>1517</v>
      </c>
      <c r="D8" s="21">
        <v>1673</v>
      </c>
      <c r="E8" s="21">
        <v>1908</v>
      </c>
      <c r="F8" s="21">
        <v>2030</v>
      </c>
      <c r="G8" s="21">
        <v>1936</v>
      </c>
      <c r="H8" s="21">
        <v>1873</v>
      </c>
    </row>
    <row r="9" spans="2:8" ht="15.75" customHeight="1" x14ac:dyDescent="0.25">
      <c r="B9" s="10" t="s">
        <v>97</v>
      </c>
      <c r="C9" s="21">
        <v>487</v>
      </c>
      <c r="D9" s="21">
        <v>443</v>
      </c>
      <c r="E9" s="21">
        <v>407</v>
      </c>
      <c r="F9" s="21">
        <v>358</v>
      </c>
      <c r="G9" s="21">
        <v>281</v>
      </c>
      <c r="H9" s="21">
        <v>312</v>
      </c>
    </row>
    <row r="10" spans="2:8" ht="15.75" customHeight="1" x14ac:dyDescent="0.25">
      <c r="B10" s="10" t="s">
        <v>98</v>
      </c>
      <c r="C10" s="21">
        <v>10742</v>
      </c>
      <c r="D10" s="21">
        <v>12668</v>
      </c>
      <c r="E10" s="21">
        <v>12787</v>
      </c>
      <c r="F10" s="21">
        <v>12805</v>
      </c>
      <c r="G10" s="21">
        <v>12788</v>
      </c>
      <c r="H10" s="21">
        <v>12857</v>
      </c>
    </row>
    <row r="11" spans="2:8" ht="15.75" customHeight="1" x14ac:dyDescent="0.25">
      <c r="B11" s="10" t="s">
        <v>99</v>
      </c>
      <c r="C11" s="21">
        <v>1359</v>
      </c>
      <c r="D11" s="21">
        <v>1820</v>
      </c>
      <c r="E11" s="21">
        <v>1449</v>
      </c>
      <c r="F11" s="21">
        <v>1088</v>
      </c>
      <c r="G11" s="21">
        <v>782</v>
      </c>
      <c r="H11" s="21">
        <v>495</v>
      </c>
    </row>
    <row r="12" spans="2:8" ht="15.75" customHeight="1" x14ac:dyDescent="0.25">
      <c r="B12" s="10" t="s">
        <v>100</v>
      </c>
      <c r="C12" s="21">
        <v>1370</v>
      </c>
      <c r="D12" s="21">
        <v>1085</v>
      </c>
      <c r="E12" s="21">
        <v>777</v>
      </c>
      <c r="F12" s="21">
        <v>1191</v>
      </c>
      <c r="G12" s="21">
        <v>1657</v>
      </c>
      <c r="H12" s="21">
        <v>2186</v>
      </c>
    </row>
    <row r="13" spans="2:8" ht="15.75" customHeight="1" x14ac:dyDescent="0.25">
      <c r="B13" s="10" t="s">
        <v>101</v>
      </c>
      <c r="C13" s="21">
        <v>663</v>
      </c>
      <c r="D13" s="21">
        <v>883</v>
      </c>
      <c r="E13" s="21">
        <v>841</v>
      </c>
      <c r="F13" s="21">
        <v>1223</v>
      </c>
      <c r="G13" s="21">
        <v>1554</v>
      </c>
      <c r="H13" s="21">
        <v>1610</v>
      </c>
    </row>
    <row r="14" spans="2:8" ht="15.75" customHeight="1" x14ac:dyDescent="0.25">
      <c r="B14" s="9" t="s">
        <v>102</v>
      </c>
      <c r="C14" s="23">
        <f t="shared" ref="C14:H14" si="1">C7+SUM(C8:C13)</f>
        <v>24284</v>
      </c>
      <c r="D14" s="23">
        <f t="shared" si="1"/>
        <v>27241</v>
      </c>
      <c r="E14" s="23">
        <f t="shared" si="1"/>
        <v>27165</v>
      </c>
      <c r="F14" s="23">
        <f t="shared" si="1"/>
        <v>29779</v>
      </c>
      <c r="G14" s="23">
        <f t="shared" si="1"/>
        <v>30230</v>
      </c>
      <c r="H14" s="23">
        <f t="shared" si="1"/>
        <v>29496</v>
      </c>
    </row>
    <row r="15" spans="2:8" ht="15.75" customHeight="1" x14ac:dyDescent="0.25">
      <c r="B15" s="10"/>
      <c r="C15" s="21"/>
      <c r="D15" s="21"/>
      <c r="E15" s="21"/>
      <c r="F15" s="21"/>
      <c r="G15" s="21"/>
      <c r="H15" s="21"/>
    </row>
    <row r="16" spans="2:8" ht="15.75" customHeight="1" x14ac:dyDescent="0.25">
      <c r="B16" s="10" t="s">
        <v>103</v>
      </c>
      <c r="C16" s="21">
        <v>306</v>
      </c>
      <c r="D16" s="21">
        <v>312</v>
      </c>
      <c r="E16" s="21">
        <v>379</v>
      </c>
      <c r="F16" s="21">
        <v>314</v>
      </c>
      <c r="G16" s="21">
        <v>361</v>
      </c>
      <c r="H16" s="21">
        <v>417</v>
      </c>
    </row>
    <row r="17" spans="2:8" ht="15.75" customHeight="1" x14ac:dyDescent="0.25">
      <c r="B17" s="10" t="s">
        <v>104</v>
      </c>
      <c r="C17" s="21">
        <v>1422</v>
      </c>
      <c r="D17" s="21">
        <v>1736</v>
      </c>
      <c r="E17" s="21">
        <v>1790</v>
      </c>
      <c r="F17" s="21">
        <v>1942</v>
      </c>
      <c r="G17" s="21">
        <v>2336</v>
      </c>
      <c r="H17" s="21">
        <v>2648</v>
      </c>
    </row>
    <row r="18" spans="2:8" ht="15.75" customHeight="1" x14ac:dyDescent="0.25">
      <c r="B18" s="10" t="s">
        <v>105</v>
      </c>
      <c r="C18" s="21">
        <v>0</v>
      </c>
      <c r="D18" s="21">
        <v>0</v>
      </c>
      <c r="E18" s="21">
        <v>500</v>
      </c>
      <c r="F18" s="21">
        <v>0</v>
      </c>
      <c r="G18" s="21">
        <v>1499</v>
      </c>
      <c r="H18" s="21">
        <v>0</v>
      </c>
    </row>
    <row r="19" spans="2:8" ht="15.75" customHeight="1" x14ac:dyDescent="0.25">
      <c r="B19" s="10" t="s">
        <v>106</v>
      </c>
      <c r="C19" s="21">
        <v>3629</v>
      </c>
      <c r="D19" s="21">
        <v>4733</v>
      </c>
      <c r="E19" s="21">
        <v>5297</v>
      </c>
      <c r="F19" s="21">
        <v>5837</v>
      </c>
      <c r="G19" s="21">
        <v>6131</v>
      </c>
      <c r="H19" s="21">
        <v>6905</v>
      </c>
    </row>
    <row r="20" spans="2:8" ht="15.75" customHeight="1" x14ac:dyDescent="0.25">
      <c r="B20" s="10" t="s">
        <v>107</v>
      </c>
      <c r="C20" s="21">
        <v>63</v>
      </c>
      <c r="D20" s="21">
        <v>54</v>
      </c>
      <c r="E20" s="21">
        <v>75</v>
      </c>
      <c r="F20" s="21">
        <v>85</v>
      </c>
      <c r="G20" s="21">
        <v>119</v>
      </c>
      <c r="H20" s="21">
        <v>153</v>
      </c>
    </row>
    <row r="21" spans="2:8" ht="15.75" customHeight="1" x14ac:dyDescent="0.25">
      <c r="B21" s="10" t="s">
        <v>108</v>
      </c>
      <c r="C21" s="21">
        <v>92</v>
      </c>
      <c r="D21" s="21">
        <v>97</v>
      </c>
      <c r="E21" s="21">
        <v>87</v>
      </c>
      <c r="F21" s="21">
        <v>73</v>
      </c>
      <c r="G21" s="21">
        <v>75</v>
      </c>
      <c r="H21" s="21">
        <v>77</v>
      </c>
    </row>
    <row r="22" spans="2:8" ht="15.75" customHeight="1" x14ac:dyDescent="0.25">
      <c r="B22" s="9" t="s">
        <v>109</v>
      </c>
      <c r="C22" s="23">
        <f t="shared" ref="C22:H22" si="2">SUM(C16:C21)</f>
        <v>5512</v>
      </c>
      <c r="D22" s="23">
        <f t="shared" si="2"/>
        <v>6932</v>
      </c>
      <c r="E22" s="23">
        <f t="shared" si="2"/>
        <v>8128</v>
      </c>
      <c r="F22" s="23">
        <f t="shared" si="2"/>
        <v>8251</v>
      </c>
      <c r="G22" s="23">
        <f t="shared" si="2"/>
        <v>10521</v>
      </c>
      <c r="H22" s="23">
        <f t="shared" si="2"/>
        <v>10200</v>
      </c>
    </row>
    <row r="23" spans="2:8" ht="15.75" customHeight="1" x14ac:dyDescent="0.25">
      <c r="B23" s="10" t="s">
        <v>110</v>
      </c>
      <c r="C23" s="21">
        <v>4117</v>
      </c>
      <c r="D23" s="21">
        <v>4123</v>
      </c>
      <c r="E23" s="21">
        <v>3629</v>
      </c>
      <c r="F23" s="21">
        <v>3634</v>
      </c>
      <c r="G23" s="21">
        <v>4129</v>
      </c>
      <c r="H23" s="21">
        <v>6210</v>
      </c>
    </row>
    <row r="24" spans="2:8" ht="15.75" customHeight="1" x14ac:dyDescent="0.25">
      <c r="B24" s="10" t="s">
        <v>111</v>
      </c>
      <c r="C24" s="21">
        <v>130</v>
      </c>
      <c r="D24" s="21">
        <v>145</v>
      </c>
      <c r="E24" s="21">
        <v>117</v>
      </c>
      <c r="F24" s="21">
        <v>113</v>
      </c>
      <c r="G24" s="21">
        <v>128</v>
      </c>
      <c r="H24" s="21">
        <v>125</v>
      </c>
    </row>
    <row r="25" spans="2:8" ht="15.75" customHeight="1" x14ac:dyDescent="0.25">
      <c r="B25" s="10" t="s">
        <v>112</v>
      </c>
      <c r="C25" s="21">
        <v>529</v>
      </c>
      <c r="D25" s="21">
        <v>534</v>
      </c>
      <c r="E25" s="21">
        <v>530</v>
      </c>
      <c r="F25" s="21">
        <v>514</v>
      </c>
      <c r="G25" s="21">
        <v>548</v>
      </c>
      <c r="H25" s="21">
        <v>469</v>
      </c>
    </row>
    <row r="26" spans="2:8" ht="15.75" customHeight="1" x14ac:dyDescent="0.25">
      <c r="B26" s="10" t="s">
        <v>113</v>
      </c>
      <c r="C26" s="23">
        <v>10</v>
      </c>
      <c r="D26" s="23">
        <v>5</v>
      </c>
      <c r="E26" s="23">
        <v>0</v>
      </c>
      <c r="F26" s="23">
        <v>0</v>
      </c>
      <c r="G26" s="23">
        <v>0</v>
      </c>
      <c r="H26" s="23">
        <v>0</v>
      </c>
    </row>
    <row r="27" spans="2:8" ht="15.75" customHeight="1" x14ac:dyDescent="0.25">
      <c r="B27" s="10" t="s">
        <v>114</v>
      </c>
      <c r="C27" s="21">
        <v>499</v>
      </c>
      <c r="D27" s="21">
        <v>453</v>
      </c>
      <c r="E27" s="21">
        <v>417</v>
      </c>
      <c r="F27" s="21">
        <v>373</v>
      </c>
      <c r="G27" s="21">
        <v>353</v>
      </c>
      <c r="H27" s="21">
        <v>361</v>
      </c>
    </row>
    <row r="28" spans="2:8" ht="15.75" customHeight="1" x14ac:dyDescent="0.25">
      <c r="B28" s="10" t="s">
        <v>115</v>
      </c>
      <c r="C28" s="21">
        <v>223</v>
      </c>
      <c r="D28" s="21">
        <v>252</v>
      </c>
      <c r="E28" s="21">
        <v>293</v>
      </c>
      <c r="F28" s="21">
        <v>376</v>
      </c>
      <c r="G28" s="21">
        <v>446</v>
      </c>
      <c r="H28" s="21">
        <v>508</v>
      </c>
    </row>
    <row r="29" spans="2:8" ht="15.75" customHeight="1" x14ac:dyDescent="0.25">
      <c r="B29" s="9" t="s">
        <v>116</v>
      </c>
      <c r="C29" s="23">
        <f t="shared" ref="C29:H29" si="3">C22+SUM(C23:C28)</f>
        <v>11020</v>
      </c>
      <c r="D29" s="23">
        <f t="shared" si="3"/>
        <v>12444</v>
      </c>
      <c r="E29" s="23">
        <f t="shared" si="3"/>
        <v>13114</v>
      </c>
      <c r="F29" s="23">
        <f t="shared" si="3"/>
        <v>13261</v>
      </c>
      <c r="G29" s="23">
        <f t="shared" si="3"/>
        <v>16125</v>
      </c>
      <c r="H29" s="23">
        <f t="shared" si="3"/>
        <v>17873</v>
      </c>
    </row>
    <row r="30" spans="2:8" ht="15.75" customHeight="1" x14ac:dyDescent="0.25">
      <c r="B30" s="10"/>
      <c r="C30" s="21"/>
      <c r="D30" s="21"/>
      <c r="E30" s="21"/>
      <c r="F30" s="21"/>
      <c r="G30" s="21"/>
      <c r="H30" s="21"/>
    </row>
    <row r="31" spans="2:8" ht="15.75" customHeight="1" x14ac:dyDescent="0.25">
      <c r="B31" s="10" t="s">
        <v>117</v>
      </c>
      <c r="C31" s="21">
        <v>7357</v>
      </c>
      <c r="D31" s="21">
        <v>8428</v>
      </c>
      <c r="E31" s="21">
        <v>9868</v>
      </c>
      <c r="F31" s="21">
        <v>11586</v>
      </c>
      <c r="G31" s="21">
        <v>13419</v>
      </c>
      <c r="H31" s="21">
        <v>15361</v>
      </c>
    </row>
    <row r="32" spans="2:8" ht="15.75" customHeight="1" x14ac:dyDescent="0.25">
      <c r="B32" s="10" t="s">
        <v>118</v>
      </c>
      <c r="C32" s="21">
        <v>19611</v>
      </c>
      <c r="D32" s="21">
        <v>23905</v>
      </c>
      <c r="E32" s="21">
        <v>28319</v>
      </c>
      <c r="F32" s="21">
        <v>33346</v>
      </c>
      <c r="G32" s="21">
        <v>38470</v>
      </c>
      <c r="H32" s="21">
        <v>45354</v>
      </c>
    </row>
    <row r="33" spans="2:8" ht="15.75" customHeight="1" x14ac:dyDescent="0.25">
      <c r="B33" s="10" t="s">
        <v>119</v>
      </c>
      <c r="C33" s="21">
        <v>-158</v>
      </c>
      <c r="D33" s="21">
        <v>-137</v>
      </c>
      <c r="E33" s="21">
        <v>-293</v>
      </c>
      <c r="F33" s="21">
        <v>-285</v>
      </c>
      <c r="G33" s="21">
        <v>-201</v>
      </c>
      <c r="H33" s="21">
        <v>-245</v>
      </c>
    </row>
    <row r="34" spans="2:8" ht="15.75" customHeight="1" x14ac:dyDescent="0.25">
      <c r="B34" s="10" t="s">
        <v>120</v>
      </c>
      <c r="C34" s="21">
        <v>-13546</v>
      </c>
      <c r="D34" s="21">
        <v>-17399</v>
      </c>
      <c r="E34" s="21">
        <v>-23843</v>
      </c>
      <c r="F34" s="21">
        <v>-28129</v>
      </c>
      <c r="G34" s="21">
        <v>-37583</v>
      </c>
      <c r="H34" s="21">
        <v>-48847</v>
      </c>
    </row>
    <row r="35" spans="2:8" ht="15.75" customHeight="1" x14ac:dyDescent="0.25">
      <c r="B35" s="9" t="s">
        <v>121</v>
      </c>
      <c r="C35" s="23">
        <f t="shared" ref="C35:H35" si="4">SUM(C31:C34)</f>
        <v>13264</v>
      </c>
      <c r="D35" s="23">
        <f t="shared" si="4"/>
        <v>14797</v>
      </c>
      <c r="E35" s="23">
        <f t="shared" si="4"/>
        <v>14051</v>
      </c>
      <c r="F35" s="23">
        <f t="shared" si="4"/>
        <v>16518</v>
      </c>
      <c r="G35" s="23">
        <f t="shared" si="4"/>
        <v>14105</v>
      </c>
      <c r="H35" s="23">
        <f t="shared" si="4"/>
        <v>11623</v>
      </c>
    </row>
    <row r="36" spans="2:8" ht="15.75" customHeight="1" x14ac:dyDescent="0.25">
      <c r="B36" s="9" t="s">
        <v>122</v>
      </c>
      <c r="C36" s="23">
        <f t="shared" ref="C36:H36" si="5">C29+C35</f>
        <v>24284</v>
      </c>
      <c r="D36" s="23">
        <f t="shared" si="5"/>
        <v>27241</v>
      </c>
      <c r="E36" s="23">
        <f t="shared" si="5"/>
        <v>27165</v>
      </c>
      <c r="F36" s="23">
        <f t="shared" si="5"/>
        <v>29779</v>
      </c>
      <c r="G36" s="23">
        <f t="shared" si="5"/>
        <v>30230</v>
      </c>
      <c r="H36" s="23">
        <f t="shared" si="5"/>
        <v>29496</v>
      </c>
    </row>
    <row r="37" spans="2:8" ht="15.75" customHeight="1" x14ac:dyDescent="0.25">
      <c r="B37" s="10" t="s">
        <v>123</v>
      </c>
      <c r="C37" s="21">
        <f t="shared" ref="C37:H37" si="6">C14-C36</f>
        <v>0</v>
      </c>
      <c r="D37" s="21">
        <f t="shared" si="6"/>
        <v>0</v>
      </c>
      <c r="E37" s="21">
        <f t="shared" si="6"/>
        <v>0</v>
      </c>
      <c r="F37" s="21">
        <f t="shared" si="6"/>
        <v>0</v>
      </c>
      <c r="G37" s="21">
        <f t="shared" si="6"/>
        <v>0</v>
      </c>
      <c r="H37" s="21">
        <f t="shared" si="6"/>
        <v>0</v>
      </c>
    </row>
    <row r="38" spans="2:8" ht="15.75" customHeight="1" x14ac:dyDescent="0.25">
      <c r="B38" s="10"/>
      <c r="C38" s="25"/>
      <c r="D38" s="25"/>
      <c r="E38" s="25"/>
      <c r="F38" s="25"/>
      <c r="G38" s="25"/>
      <c r="H38" s="25"/>
    </row>
    <row r="39" spans="2:8" ht="15.75" customHeight="1" x14ac:dyDescent="0.25">
      <c r="B39" s="10"/>
      <c r="C39" s="25"/>
      <c r="D39" s="25"/>
      <c r="E39" s="25"/>
      <c r="F39" s="25"/>
      <c r="G39" s="25"/>
      <c r="H39" s="25"/>
    </row>
    <row r="40" spans="2:8" ht="15.75" customHeight="1" x14ac:dyDescent="0.25">
      <c r="B40" s="10"/>
      <c r="C40" s="24"/>
      <c r="D40" s="24"/>
      <c r="E40" s="24"/>
      <c r="F40" s="24"/>
      <c r="G40" s="24"/>
      <c r="H40" s="24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N42"/>
  <sheetViews>
    <sheetView zoomScaleNormal="100" workbookViewId="0">
      <selection activeCell="C23" sqref="C23:I23"/>
    </sheetView>
  </sheetViews>
  <sheetFormatPr defaultColWidth="8.875" defaultRowHeight="15.75" x14ac:dyDescent="0.25"/>
  <cols>
    <col min="1" max="1" width="1.625" customWidth="1"/>
    <col min="2" max="2" width="54.5" customWidth="1"/>
    <col min="3" max="8" width="12.625" customWidth="1"/>
    <col min="9" max="14" width="12.125" customWidth="1"/>
  </cols>
  <sheetData>
    <row r="1" spans="2:14" ht="7.5" customHeight="1" x14ac:dyDescent="0.25"/>
    <row r="2" spans="2:14" ht="16.5" customHeight="1" x14ac:dyDescent="0.25">
      <c r="B2" s="61" t="s">
        <v>124</v>
      </c>
      <c r="C2" s="16" t="s">
        <v>78</v>
      </c>
      <c r="D2" s="16" t="s">
        <v>79</v>
      </c>
      <c r="E2" s="16" t="s">
        <v>80</v>
      </c>
      <c r="F2" s="16" t="s">
        <v>81</v>
      </c>
      <c r="G2" s="16" t="s">
        <v>82</v>
      </c>
      <c r="H2" s="16" t="s">
        <v>83</v>
      </c>
      <c r="I2" s="16" t="s">
        <v>84</v>
      </c>
    </row>
    <row r="3" spans="2:14" ht="15.75" customHeight="1" x14ac:dyDescent="0.25">
      <c r="B3" s="10" t="s">
        <v>125</v>
      </c>
      <c r="C3" s="23">
        <v>2951</v>
      </c>
      <c r="D3" s="23">
        <v>5260</v>
      </c>
      <c r="E3" s="23">
        <v>4822</v>
      </c>
      <c r="F3" s="23">
        <v>4756</v>
      </c>
      <c r="G3" s="23">
        <v>5428</v>
      </c>
      <c r="H3" s="23">
        <v>5560</v>
      </c>
      <c r="I3" s="23">
        <v>7130</v>
      </c>
    </row>
    <row r="4" spans="2:14" ht="15.75" customHeight="1" x14ac:dyDescent="0.25">
      <c r="B4" s="10" t="s">
        <v>126</v>
      </c>
      <c r="C4" s="21">
        <v>757</v>
      </c>
      <c r="D4" s="21">
        <v>757</v>
      </c>
      <c r="E4" s="21">
        <v>788</v>
      </c>
      <c r="F4" s="21">
        <v>856</v>
      </c>
      <c r="G4" s="21">
        <v>872</v>
      </c>
      <c r="H4" s="21">
        <v>857</v>
      </c>
      <c r="I4" s="21">
        <v>818</v>
      </c>
    </row>
    <row r="5" spans="2:14" ht="15.75" customHeight="1" x14ac:dyDescent="0.25">
      <c r="B5" s="10" t="s">
        <v>127</v>
      </c>
      <c r="C5" s="21">
        <v>788</v>
      </c>
      <c r="D5" s="21">
        <v>909</v>
      </c>
      <c r="E5" s="21">
        <v>1069</v>
      </c>
      <c r="F5" s="21">
        <v>1440</v>
      </c>
      <c r="G5" s="21">
        <v>1718</v>
      </c>
      <c r="H5" s="21">
        <v>1833</v>
      </c>
      <c r="I5" s="21">
        <v>1942</v>
      </c>
      <c r="J5" s="21"/>
      <c r="K5" s="21"/>
      <c r="L5" s="21"/>
      <c r="M5" s="21"/>
      <c r="N5" s="21"/>
    </row>
    <row r="6" spans="2:14" ht="15.75" customHeight="1" x14ac:dyDescent="0.25">
      <c r="B6" s="10" t="s">
        <v>128</v>
      </c>
      <c r="C6" s="21">
        <v>0</v>
      </c>
      <c r="D6" s="21">
        <v>87</v>
      </c>
      <c r="E6" s="21">
        <v>73</v>
      </c>
      <c r="F6" s="21">
        <v>83</v>
      </c>
      <c r="G6" s="21">
        <v>72</v>
      </c>
      <c r="H6" s="21">
        <v>77</v>
      </c>
      <c r="I6" s="21">
        <v>0</v>
      </c>
      <c r="J6" s="21"/>
      <c r="K6" s="21"/>
      <c r="L6" s="21"/>
      <c r="M6" s="21"/>
      <c r="N6" s="21"/>
    </row>
    <row r="7" spans="2:14" ht="15.75" customHeight="1" x14ac:dyDescent="0.25">
      <c r="B7" s="10" t="s">
        <v>129</v>
      </c>
      <c r="C7" s="21">
        <v>0</v>
      </c>
      <c r="D7" s="21">
        <v>0</v>
      </c>
      <c r="E7" s="21">
        <v>0</v>
      </c>
      <c r="F7" s="21">
        <v>0</v>
      </c>
      <c r="G7" s="21">
        <v>0</v>
      </c>
      <c r="H7" s="21">
        <v>78</v>
      </c>
      <c r="I7" s="21">
        <v>0</v>
      </c>
      <c r="J7" s="21"/>
      <c r="K7" s="21"/>
      <c r="L7" s="21"/>
      <c r="M7" s="21"/>
      <c r="N7" s="21"/>
    </row>
    <row r="8" spans="2:14" ht="15.75" customHeight="1" x14ac:dyDescent="0.25">
      <c r="B8" s="10" t="s">
        <v>130</v>
      </c>
      <c r="C8" s="21">
        <v>3</v>
      </c>
      <c r="D8" s="21">
        <v>-1501</v>
      </c>
      <c r="E8" s="21">
        <v>183</v>
      </c>
      <c r="F8" s="21">
        <v>328</v>
      </c>
      <c r="G8" s="21">
        <v>-426</v>
      </c>
      <c r="H8" s="21">
        <v>-468</v>
      </c>
      <c r="I8" s="21">
        <v>-512</v>
      </c>
      <c r="J8" s="21"/>
      <c r="K8" s="21"/>
      <c r="L8" s="21"/>
      <c r="M8" s="21"/>
      <c r="N8" s="21"/>
    </row>
    <row r="9" spans="2:14" ht="15.75" customHeight="1" x14ac:dyDescent="0.25">
      <c r="B9" s="10" t="s">
        <v>131</v>
      </c>
      <c r="C9" s="21">
        <v>-48</v>
      </c>
      <c r="D9" s="21">
        <v>-11</v>
      </c>
      <c r="E9" s="21">
        <v>-4</v>
      </c>
      <c r="F9" s="21">
        <v>29</v>
      </c>
      <c r="G9" s="21">
        <v>-10</v>
      </c>
      <c r="H9" s="21">
        <v>-35</v>
      </c>
      <c r="I9" s="21">
        <v>0</v>
      </c>
      <c r="J9" s="21"/>
      <c r="K9" s="21"/>
      <c r="L9" s="21"/>
      <c r="M9" s="21"/>
      <c r="N9" s="21"/>
    </row>
    <row r="10" spans="2:14" ht="15.75" customHeight="1" x14ac:dyDescent="0.25">
      <c r="B10" s="10" t="s">
        <v>132</v>
      </c>
      <c r="C10" s="21">
        <v>14</v>
      </c>
      <c r="D10" s="21">
        <v>40</v>
      </c>
      <c r="E10" s="21">
        <v>7</v>
      </c>
      <c r="F10" s="21">
        <v>10</v>
      </c>
      <c r="G10" s="21">
        <v>3</v>
      </c>
      <c r="H10" s="21">
        <v>10</v>
      </c>
      <c r="I10" s="21">
        <v>48</v>
      </c>
      <c r="J10" s="21"/>
      <c r="K10" s="21"/>
      <c r="L10" s="21"/>
      <c r="M10" s="21"/>
      <c r="N10" s="21"/>
    </row>
    <row r="11" spans="2:14" ht="15.75" customHeight="1" x14ac:dyDescent="0.25">
      <c r="B11" s="10" t="s">
        <v>93</v>
      </c>
      <c r="C11" s="21">
        <v>-188</v>
      </c>
      <c r="D11" s="21">
        <v>106</v>
      </c>
      <c r="E11" s="21">
        <v>-430</v>
      </c>
      <c r="F11" s="21">
        <v>-198</v>
      </c>
      <c r="G11" s="21">
        <v>-159</v>
      </c>
      <c r="H11" s="21">
        <v>143</v>
      </c>
      <c r="I11" s="21">
        <v>-275</v>
      </c>
      <c r="J11" s="21"/>
      <c r="K11" s="21"/>
      <c r="L11" s="21"/>
      <c r="M11" s="21"/>
      <c r="N11" s="21"/>
    </row>
    <row r="12" spans="2:14" ht="15.75" customHeight="1" x14ac:dyDescent="0.25">
      <c r="B12" s="10" t="s">
        <v>133</v>
      </c>
      <c r="C12" s="21">
        <v>-551</v>
      </c>
      <c r="D12" s="21">
        <v>-288</v>
      </c>
      <c r="E12" s="21">
        <v>-475</v>
      </c>
      <c r="F12" s="21">
        <v>-94</v>
      </c>
      <c r="G12" s="21">
        <v>-818</v>
      </c>
      <c r="H12" s="21">
        <v>-616</v>
      </c>
      <c r="I12" s="21">
        <v>-90</v>
      </c>
      <c r="J12" s="21"/>
      <c r="K12" s="21"/>
      <c r="L12" s="21"/>
      <c r="M12" s="21"/>
      <c r="N12" s="21"/>
    </row>
    <row r="13" spans="2:14" ht="15.75" customHeight="1" x14ac:dyDescent="0.25">
      <c r="B13" s="10" t="s">
        <v>103</v>
      </c>
      <c r="C13" s="21">
        <v>23</v>
      </c>
      <c r="D13" s="21">
        <v>96</v>
      </c>
      <c r="E13" s="21">
        <v>-20</v>
      </c>
      <c r="F13" s="21">
        <v>66</v>
      </c>
      <c r="G13" s="21">
        <v>-49</v>
      </c>
      <c r="H13" s="21">
        <v>44</v>
      </c>
      <c r="I13" s="21">
        <v>64</v>
      </c>
      <c r="J13" s="23"/>
      <c r="K13" s="23"/>
      <c r="L13" s="23"/>
      <c r="M13" s="23"/>
      <c r="N13" s="23"/>
    </row>
    <row r="14" spans="2:14" ht="15.75" customHeight="1" x14ac:dyDescent="0.25">
      <c r="B14" s="10" t="s">
        <v>134</v>
      </c>
      <c r="C14" s="21">
        <v>172</v>
      </c>
      <c r="D14" s="21">
        <v>86</v>
      </c>
      <c r="E14" s="21">
        <v>162</v>
      </c>
      <c r="F14" s="21">
        <v>7</v>
      </c>
      <c r="G14" s="21">
        <v>146</v>
      </c>
      <c r="H14" s="21">
        <v>196</v>
      </c>
      <c r="I14" s="21">
        <v>180</v>
      </c>
    </row>
    <row r="15" spans="2:14" ht="15.75" customHeight="1" x14ac:dyDescent="0.25">
      <c r="B15" s="10" t="s">
        <v>135</v>
      </c>
      <c r="C15" s="21">
        <v>4</v>
      </c>
      <c r="D15" s="21">
        <v>-72</v>
      </c>
      <c r="E15" s="21">
        <v>2</v>
      </c>
      <c r="F15" s="21">
        <v>19</v>
      </c>
      <c r="G15" s="21">
        <v>-11</v>
      </c>
      <c r="H15" s="21">
        <v>68</v>
      </c>
      <c r="I15" s="21">
        <v>-45</v>
      </c>
      <c r="J15" s="21"/>
      <c r="K15" s="21"/>
      <c r="L15" s="21"/>
      <c r="M15" s="21"/>
      <c r="N15" s="21"/>
    </row>
    <row r="16" spans="2:14" ht="15.75" customHeight="1" x14ac:dyDescent="0.25">
      <c r="B16" s="10" t="s">
        <v>136</v>
      </c>
      <c r="C16" s="21">
        <v>497</v>
      </c>
      <c r="D16" s="21">
        <v>258</v>
      </c>
      <c r="E16" s="21">
        <v>1053</v>
      </c>
      <c r="F16" s="21">
        <v>536</v>
      </c>
      <c r="G16" s="21">
        <v>536</v>
      </c>
      <c r="H16" s="21">
        <v>309</v>
      </c>
      <c r="I16" s="21">
        <v>771</v>
      </c>
      <c r="J16" s="21"/>
      <c r="K16" s="21"/>
      <c r="L16" s="21"/>
      <c r="M16" s="21"/>
      <c r="N16" s="21"/>
    </row>
    <row r="17" spans="2:14" ht="15.75" customHeight="1" x14ac:dyDescent="0.25">
      <c r="B17" s="9" t="s">
        <v>137</v>
      </c>
      <c r="C17" s="23">
        <f t="shared" ref="C17:I17" si="0">SUM(C3:C16)</f>
        <v>4422</v>
      </c>
      <c r="D17" s="23">
        <f t="shared" si="0"/>
        <v>5727</v>
      </c>
      <c r="E17" s="23">
        <f t="shared" si="0"/>
        <v>7230</v>
      </c>
      <c r="F17" s="23">
        <f t="shared" si="0"/>
        <v>7838</v>
      </c>
      <c r="G17" s="23">
        <f t="shared" si="0"/>
        <v>7302</v>
      </c>
      <c r="H17" s="23">
        <f t="shared" si="0"/>
        <v>8056</v>
      </c>
      <c r="I17" s="23">
        <f t="shared" si="0"/>
        <v>10031</v>
      </c>
      <c r="J17" s="21"/>
      <c r="K17" s="21"/>
      <c r="L17" s="21"/>
      <c r="M17" s="21"/>
      <c r="N17" s="21"/>
    </row>
    <row r="18" spans="2:14" ht="15.75" customHeight="1" x14ac:dyDescent="0.25">
      <c r="B18" s="9"/>
      <c r="C18" s="23"/>
      <c r="D18" s="23"/>
      <c r="E18" s="23"/>
      <c r="F18" s="23"/>
      <c r="G18" s="23"/>
      <c r="H18" s="23"/>
      <c r="I18" s="21"/>
      <c r="J18" s="21"/>
      <c r="K18" s="21"/>
      <c r="L18" s="21"/>
      <c r="M18" s="21"/>
      <c r="N18" s="21"/>
    </row>
    <row r="19" spans="2:14" ht="15.75" customHeight="1" x14ac:dyDescent="0.25">
      <c r="B19" s="10" t="s">
        <v>138</v>
      </c>
      <c r="C19" s="21">
        <v>-700</v>
      </c>
      <c r="D19" s="21">
        <v>-1071</v>
      </c>
      <c r="E19" s="21">
        <v>-1533</v>
      </c>
      <c r="F19" s="21">
        <v>-909</v>
      </c>
      <c r="G19" s="21">
        <v>0</v>
      </c>
      <c r="H19" s="21">
        <v>-59</v>
      </c>
      <c r="I19" s="21">
        <v>-2034</v>
      </c>
      <c r="J19" s="21"/>
      <c r="K19" s="21"/>
      <c r="L19" s="21"/>
      <c r="M19" s="21"/>
      <c r="N19" s="21"/>
    </row>
    <row r="20" spans="2:14" ht="15.75" customHeight="1" x14ac:dyDescent="0.25">
      <c r="B20" s="10" t="s">
        <v>139</v>
      </c>
      <c r="C20" s="21">
        <v>700</v>
      </c>
      <c r="D20" s="21">
        <v>915</v>
      </c>
      <c r="E20" s="21">
        <v>877</v>
      </c>
      <c r="F20" s="21">
        <v>683</v>
      </c>
      <c r="G20" s="21">
        <v>965</v>
      </c>
      <c r="H20" s="21">
        <v>486</v>
      </c>
      <c r="I20" s="21">
        <v>1168</v>
      </c>
      <c r="J20" s="21"/>
      <c r="K20" s="21"/>
      <c r="L20" s="21"/>
      <c r="M20" s="21"/>
      <c r="N20" s="21"/>
    </row>
    <row r="21" spans="2:14" ht="15.75" customHeight="1" x14ac:dyDescent="0.25">
      <c r="B21" s="10" t="s">
        <v>140</v>
      </c>
      <c r="C21" s="21">
        <v>86</v>
      </c>
      <c r="D21" s="21">
        <v>167</v>
      </c>
      <c r="E21" s="21">
        <v>191</v>
      </c>
      <c r="F21" s="21">
        <v>270</v>
      </c>
      <c r="G21" s="21">
        <v>223</v>
      </c>
      <c r="H21" s="21">
        <v>11</v>
      </c>
      <c r="I21" s="21">
        <v>6</v>
      </c>
      <c r="J21" s="23"/>
      <c r="K21" s="23"/>
      <c r="L21" s="23"/>
      <c r="M21" s="23"/>
      <c r="N21" s="23"/>
    </row>
    <row r="22" spans="2:14" ht="15.75" customHeight="1" x14ac:dyDescent="0.25">
      <c r="B22" s="10" t="s">
        <v>141</v>
      </c>
      <c r="C22" s="21">
        <v>-101</v>
      </c>
      <c r="D22" s="21">
        <v>0</v>
      </c>
      <c r="E22" s="21">
        <v>-2682</v>
      </c>
      <c r="F22" s="21">
        <v>-126</v>
      </c>
      <c r="G22" s="21">
        <v>0</v>
      </c>
      <c r="H22" s="21">
        <v>0</v>
      </c>
      <c r="I22" s="21">
        <v>-17</v>
      </c>
    </row>
    <row r="23" spans="2:14" ht="15.75" customHeight="1" x14ac:dyDescent="0.25">
      <c r="B23" s="10" t="s">
        <v>142</v>
      </c>
      <c r="C23" s="21">
        <v>-395</v>
      </c>
      <c r="D23" s="21">
        <v>-419</v>
      </c>
      <c r="E23" s="21">
        <v>-348</v>
      </c>
      <c r="F23" s="21">
        <v>-442</v>
      </c>
      <c r="G23" s="21">
        <v>-360</v>
      </c>
      <c r="H23" s="21">
        <v>-183</v>
      </c>
      <c r="I23" s="21">
        <v>-179</v>
      </c>
      <c r="J23" s="23"/>
      <c r="K23" s="23"/>
      <c r="L23" s="23"/>
      <c r="M23" s="23"/>
      <c r="N23" s="23"/>
    </row>
    <row r="24" spans="2:14" ht="15.75" customHeight="1" x14ac:dyDescent="0.25">
      <c r="B24" s="10" t="s">
        <v>143</v>
      </c>
      <c r="C24" s="21">
        <v>-49</v>
      </c>
      <c r="D24" s="21">
        <v>-15</v>
      </c>
      <c r="E24" s="21">
        <v>-42</v>
      </c>
      <c r="F24" s="21">
        <v>-46</v>
      </c>
      <c r="G24" s="21">
        <v>-53</v>
      </c>
      <c r="H24" s="21">
        <v>-108</v>
      </c>
      <c r="I24" s="21">
        <v>-134</v>
      </c>
      <c r="J24" s="21"/>
      <c r="K24" s="21"/>
      <c r="L24" s="21"/>
      <c r="M24" s="21"/>
      <c r="N24" s="21"/>
    </row>
    <row r="25" spans="2:14" ht="15.75" customHeight="1" x14ac:dyDescent="0.25">
      <c r="B25" s="10" t="s">
        <v>144</v>
      </c>
      <c r="C25" s="21">
        <v>3</v>
      </c>
      <c r="D25" s="21">
        <v>9</v>
      </c>
      <c r="E25" s="21">
        <v>0</v>
      </c>
      <c r="F25" s="21">
        <v>0</v>
      </c>
      <c r="G25" s="21">
        <v>1</v>
      </c>
      <c r="H25" s="21">
        <v>2</v>
      </c>
      <c r="I25" s="21">
        <v>3</v>
      </c>
    </row>
    <row r="26" spans="2:14" ht="15.75" customHeight="1" x14ac:dyDescent="0.25">
      <c r="B26" s="9" t="s">
        <v>145</v>
      </c>
      <c r="C26" s="23">
        <f t="shared" ref="C26:I26" si="1">SUM(C19:C25)</f>
        <v>-456</v>
      </c>
      <c r="D26" s="23">
        <f t="shared" si="1"/>
        <v>-414</v>
      </c>
      <c r="E26" s="23">
        <f t="shared" si="1"/>
        <v>-3537</v>
      </c>
      <c r="F26" s="23">
        <f t="shared" si="1"/>
        <v>-570</v>
      </c>
      <c r="G26" s="23">
        <f t="shared" si="1"/>
        <v>776</v>
      </c>
      <c r="H26" s="23">
        <f t="shared" si="1"/>
        <v>149</v>
      </c>
      <c r="I26" s="23">
        <f t="shared" si="1"/>
        <v>-1187</v>
      </c>
    </row>
    <row r="27" spans="2:14" ht="15.75" customHeight="1" x14ac:dyDescent="0.25">
      <c r="B27" s="10"/>
      <c r="C27" s="21"/>
      <c r="D27" s="21"/>
      <c r="E27" s="21"/>
      <c r="F27" s="21"/>
      <c r="G27" s="21"/>
      <c r="H27" s="21"/>
      <c r="I27" s="10"/>
    </row>
    <row r="28" spans="2:14" ht="15.75" customHeight="1" x14ac:dyDescent="0.25">
      <c r="B28" s="10" t="s">
        <v>146</v>
      </c>
      <c r="C28" s="21">
        <v>-2750</v>
      </c>
      <c r="D28" s="21">
        <v>-3050</v>
      </c>
      <c r="E28" s="21">
        <v>-3950</v>
      </c>
      <c r="F28" s="21">
        <v>-6550</v>
      </c>
      <c r="G28" s="21">
        <v>-4400</v>
      </c>
      <c r="H28" s="21">
        <v>-9500</v>
      </c>
      <c r="I28" s="21">
        <v>-11281</v>
      </c>
    </row>
    <row r="29" spans="2:14" ht="15.75" customHeight="1" x14ac:dyDescent="0.25">
      <c r="B29" t="s">
        <v>147</v>
      </c>
      <c r="C29" s="21">
        <v>233</v>
      </c>
      <c r="D29" s="21">
        <v>270</v>
      </c>
      <c r="E29" s="21">
        <v>291</v>
      </c>
      <c r="F29" s="21">
        <v>278</v>
      </c>
      <c r="G29" s="21">
        <v>314</v>
      </c>
      <c r="H29" s="21">
        <v>361</v>
      </c>
      <c r="I29" s="21">
        <v>348</v>
      </c>
    </row>
    <row r="30" spans="2:14" ht="15.75" customHeight="1" x14ac:dyDescent="0.25">
      <c r="B30" s="10" t="s">
        <v>148</v>
      </c>
      <c r="C30" s="21">
        <v>-440</v>
      </c>
      <c r="D30" s="21">
        <v>-681</v>
      </c>
      <c r="E30" s="21">
        <v>-719</v>
      </c>
      <c r="F30" s="21">
        <v>-518</v>
      </c>
      <c r="G30" s="21">
        <v>-589</v>
      </c>
      <c r="H30" s="21">
        <v>-677</v>
      </c>
      <c r="I30" s="21">
        <v>-475</v>
      </c>
    </row>
    <row r="31" spans="2:14" ht="15.75" customHeight="1" x14ac:dyDescent="0.25">
      <c r="B31" s="10" t="s">
        <v>149</v>
      </c>
      <c r="C31" s="21">
        <v>0</v>
      </c>
      <c r="D31" s="21">
        <v>3144</v>
      </c>
      <c r="E31" s="21">
        <v>0</v>
      </c>
      <c r="F31" s="21">
        <v>0</v>
      </c>
      <c r="G31" s="21">
        <v>0</v>
      </c>
      <c r="H31" s="21">
        <v>1997</v>
      </c>
      <c r="I31" s="21">
        <v>1997</v>
      </c>
    </row>
    <row r="32" spans="2:14" ht="15.75" customHeight="1" x14ac:dyDescent="0.25">
      <c r="B32" s="10" t="s">
        <v>150</v>
      </c>
      <c r="C32" s="21">
        <v>0</v>
      </c>
      <c r="D32" s="21">
        <v>-3150</v>
      </c>
      <c r="E32" s="21">
        <v>0</v>
      </c>
      <c r="F32" s="21">
        <v>0</v>
      </c>
      <c r="G32" s="21">
        <v>-500</v>
      </c>
      <c r="H32" s="21">
        <v>0</v>
      </c>
      <c r="I32" s="21">
        <v>-1500</v>
      </c>
    </row>
    <row r="33" spans="2:9" ht="15.75" customHeight="1" x14ac:dyDescent="0.25">
      <c r="B33" s="10" t="s">
        <v>151</v>
      </c>
      <c r="C33" s="21">
        <v>11</v>
      </c>
      <c r="D33" s="21">
        <v>-21</v>
      </c>
      <c r="E33" s="21">
        <v>77</v>
      </c>
      <c r="F33" s="21">
        <v>-35</v>
      </c>
      <c r="G33" s="21">
        <v>-7</v>
      </c>
      <c r="H33" s="21">
        <v>95</v>
      </c>
      <c r="I33" s="21">
        <v>-149</v>
      </c>
    </row>
    <row r="34" spans="2:9" ht="15.75" customHeight="1" x14ac:dyDescent="0.25">
      <c r="B34" s="9" t="s">
        <v>152</v>
      </c>
      <c r="C34" s="23">
        <f t="shared" ref="C34:I34" si="2">SUM(C28:C33)</f>
        <v>-2946</v>
      </c>
      <c r="D34" s="23">
        <f t="shared" si="2"/>
        <v>-3488</v>
      </c>
      <c r="E34" s="23">
        <f t="shared" si="2"/>
        <v>-4301</v>
      </c>
      <c r="F34" s="23">
        <f t="shared" si="2"/>
        <v>-6825</v>
      </c>
      <c r="G34" s="23">
        <f t="shared" si="2"/>
        <v>-5182</v>
      </c>
      <c r="H34" s="23">
        <f t="shared" si="2"/>
        <v>-7724</v>
      </c>
      <c r="I34" s="23">
        <f t="shared" si="2"/>
        <v>-11060</v>
      </c>
    </row>
    <row r="35" spans="2:9" ht="15.75" customHeight="1" x14ac:dyDescent="0.25">
      <c r="B35" s="10"/>
      <c r="C35" s="21"/>
      <c r="D35" s="21"/>
      <c r="E35" s="21"/>
      <c r="F35" s="21"/>
      <c r="G35" s="21"/>
      <c r="H35" s="21"/>
      <c r="I35" s="10"/>
    </row>
    <row r="36" spans="2:9" ht="15.75" customHeight="1" x14ac:dyDescent="0.25">
      <c r="B36" s="10" t="s">
        <v>153</v>
      </c>
      <c r="C36" s="21">
        <v>-13</v>
      </c>
      <c r="D36" s="21">
        <v>3</v>
      </c>
      <c r="E36" s="21">
        <v>-26</v>
      </c>
      <c r="F36" s="21">
        <v>-51</v>
      </c>
      <c r="G36" s="21">
        <v>9</v>
      </c>
      <c r="H36" s="21">
        <v>-9</v>
      </c>
      <c r="I36" s="21">
        <v>34</v>
      </c>
    </row>
    <row r="37" spans="2:9" ht="15.75" customHeight="1" x14ac:dyDescent="0.25">
      <c r="B37" s="9" t="s">
        <v>154</v>
      </c>
      <c r="C37" s="23">
        <f t="shared" ref="C37:I37" si="3">C17+C26+C34+C36</f>
        <v>1007</v>
      </c>
      <c r="D37" s="23">
        <f t="shared" si="3"/>
        <v>1828</v>
      </c>
      <c r="E37" s="23">
        <f t="shared" si="3"/>
        <v>-634</v>
      </c>
      <c r="F37" s="23">
        <f t="shared" si="3"/>
        <v>392</v>
      </c>
      <c r="G37" s="23">
        <f t="shared" si="3"/>
        <v>2905</v>
      </c>
      <c r="H37" s="23">
        <f t="shared" si="3"/>
        <v>472</v>
      </c>
      <c r="I37" s="23">
        <f t="shared" si="3"/>
        <v>-2182</v>
      </c>
    </row>
    <row r="38" spans="2:9" ht="15.75" customHeight="1" x14ac:dyDescent="0.25">
      <c r="B38" t="s">
        <v>155</v>
      </c>
      <c r="C38" s="21">
        <v>1643</v>
      </c>
      <c r="D38" s="21">
        <v>2650</v>
      </c>
      <c r="E38" s="21">
        <v>4478</v>
      </c>
      <c r="F38" s="21">
        <v>3844</v>
      </c>
      <c r="G38" s="21">
        <v>4236</v>
      </c>
      <c r="H38" s="21">
        <v>7141</v>
      </c>
      <c r="I38" s="21">
        <v>7613</v>
      </c>
    </row>
    <row r="39" spans="2:9" ht="15.75" customHeight="1" x14ac:dyDescent="0.25">
      <c r="B39" s="9" t="s">
        <v>156</v>
      </c>
      <c r="C39" s="23">
        <f t="shared" ref="C39:I39" si="4">C38+C37</f>
        <v>2650</v>
      </c>
      <c r="D39" s="23">
        <f t="shared" si="4"/>
        <v>4478</v>
      </c>
      <c r="E39" s="23">
        <f t="shared" si="4"/>
        <v>3844</v>
      </c>
      <c r="F39" s="23">
        <f t="shared" si="4"/>
        <v>4236</v>
      </c>
      <c r="G39" s="23">
        <f t="shared" si="4"/>
        <v>7141</v>
      </c>
      <c r="H39" s="23">
        <f t="shared" si="4"/>
        <v>7613</v>
      </c>
      <c r="I39" s="23">
        <f t="shared" si="4"/>
        <v>5431</v>
      </c>
    </row>
    <row r="40" spans="2:9" ht="15.75" customHeight="1" x14ac:dyDescent="0.25">
      <c r="B40" s="9"/>
      <c r="C40" s="25"/>
      <c r="D40" s="25"/>
      <c r="E40" s="25"/>
      <c r="F40" s="25"/>
      <c r="G40" s="25"/>
      <c r="H40" s="25"/>
    </row>
    <row r="41" spans="2:9" ht="15.75" customHeight="1" x14ac:dyDescent="0.25">
      <c r="B41" s="10"/>
      <c r="C41" s="24"/>
      <c r="D41" s="24"/>
      <c r="E41" s="24"/>
      <c r="F41" s="24"/>
      <c r="G41" s="24"/>
      <c r="H41" s="24"/>
    </row>
    <row r="42" spans="2:9" ht="15.75" customHeight="1" x14ac:dyDescent="0.25">
      <c r="B42" s="10"/>
      <c r="C42" s="25"/>
      <c r="D42" s="25"/>
      <c r="E42" s="25"/>
      <c r="F42" s="25"/>
      <c r="G42" s="25"/>
      <c r="H42" s="25"/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P125"/>
  <sheetViews>
    <sheetView tabSelected="1" topLeftCell="A21" zoomScaleNormal="100" workbookViewId="0">
      <selection activeCell="D61" sqref="D61"/>
    </sheetView>
  </sheetViews>
  <sheetFormatPr defaultColWidth="8.875" defaultRowHeight="15.75" x14ac:dyDescent="0.25"/>
  <cols>
    <col min="1" max="1" width="2" customWidth="1"/>
    <col min="2" max="2" width="37.375" customWidth="1"/>
    <col min="3" max="12" width="12.375" customWidth="1"/>
    <col min="13" max="13" width="10.75" customWidth="1"/>
    <col min="14" max="14" width="14.625" customWidth="1"/>
    <col min="15" max="15" width="14" customWidth="1"/>
    <col min="16" max="16" width="13.875" customWidth="1"/>
  </cols>
  <sheetData>
    <row r="1" spans="2:16" ht="10.5" customHeight="1" x14ac:dyDescent="0.25"/>
    <row r="2" spans="2:16" ht="24" customHeight="1" x14ac:dyDescent="0.4">
      <c r="B2" s="13" t="s">
        <v>15</v>
      </c>
      <c r="C2" s="17"/>
      <c r="D2" s="17"/>
      <c r="E2" s="17"/>
      <c r="F2" s="62"/>
      <c r="G2" s="62"/>
      <c r="H2" s="62"/>
      <c r="I2" s="62"/>
      <c r="J2" s="62"/>
      <c r="K2" s="62"/>
      <c r="L2" s="62"/>
      <c r="M2" s="62"/>
      <c r="N2" s="63"/>
      <c r="O2" s="63"/>
    </row>
    <row r="4" spans="2:16" ht="15.75" customHeight="1" x14ac:dyDescent="0.25">
      <c r="B4" t="s">
        <v>157</v>
      </c>
      <c r="C4" s="64"/>
      <c r="D4" s="64"/>
      <c r="E4" s="64"/>
      <c r="F4" s="65">
        <f ca="1">TODAY()</f>
        <v>46287</v>
      </c>
      <c r="G4" s="66"/>
      <c r="H4" s="66"/>
      <c r="I4" s="66"/>
      <c r="K4" s="66"/>
      <c r="L4" s="66"/>
      <c r="M4" s="66"/>
      <c r="N4" s="66"/>
      <c r="O4" s="66"/>
    </row>
    <row r="5" spans="2:16" ht="15.75" customHeight="1" x14ac:dyDescent="0.25">
      <c r="B5" t="s">
        <v>158</v>
      </c>
      <c r="C5" s="64"/>
      <c r="D5" s="64"/>
      <c r="E5" s="64"/>
      <c r="F5" s="67">
        <f>Main!C3</f>
        <v>293.12</v>
      </c>
      <c r="G5" s="66"/>
      <c r="H5" s="66"/>
      <c r="I5" s="66"/>
      <c r="J5" s="66"/>
      <c r="K5" s="66"/>
      <c r="L5" s="66"/>
      <c r="M5" s="66"/>
      <c r="N5" s="66"/>
      <c r="O5" s="66"/>
    </row>
    <row r="6" spans="2:16" ht="15.75" customHeight="1" x14ac:dyDescent="0.25">
      <c r="B6" t="s">
        <v>159</v>
      </c>
      <c r="C6" s="64"/>
      <c r="D6" s="64"/>
      <c r="E6" s="64"/>
      <c r="F6" s="68">
        <f>Main!C4</f>
        <v>395</v>
      </c>
      <c r="G6" s="66"/>
      <c r="H6" s="66"/>
      <c r="I6" s="66"/>
      <c r="J6" s="66"/>
      <c r="K6" s="66"/>
      <c r="L6" s="66"/>
      <c r="M6" s="66"/>
      <c r="N6" s="66"/>
      <c r="O6" s="66"/>
    </row>
    <row r="7" spans="2:16" ht="15.75" customHeight="1" x14ac:dyDescent="0.25">
      <c r="B7" t="s">
        <v>160</v>
      </c>
      <c r="C7" s="64"/>
      <c r="D7" s="64"/>
      <c r="E7" s="64"/>
      <c r="F7" s="68">
        <f ca="1">(DATE(YEAR(F4),11,27)-F4)/365</f>
        <v>0.18082191780821918</v>
      </c>
      <c r="G7" s="66"/>
      <c r="H7" s="66"/>
      <c r="I7" s="66"/>
      <c r="J7" s="66"/>
      <c r="K7" s="66"/>
      <c r="L7" s="66"/>
      <c r="M7" s="66"/>
      <c r="N7" s="66"/>
      <c r="O7" s="66"/>
    </row>
    <row r="8" spans="2:16" ht="18.75" customHeight="1" x14ac:dyDescent="0.3">
      <c r="B8" s="69" t="s">
        <v>161</v>
      </c>
      <c r="C8" s="70"/>
      <c r="D8" s="70"/>
      <c r="E8" s="70"/>
      <c r="F8" s="70"/>
      <c r="G8" s="70"/>
      <c r="H8" s="70"/>
      <c r="I8" s="70"/>
      <c r="J8" s="70"/>
      <c r="K8" s="70"/>
      <c r="L8" s="70"/>
      <c r="M8" s="71"/>
      <c r="N8" s="66"/>
      <c r="O8" s="66"/>
    </row>
    <row r="9" spans="2:16" ht="15.75" customHeight="1" x14ac:dyDescent="0.25">
      <c r="B9" s="72"/>
      <c r="C9" s="73"/>
      <c r="D9" s="74"/>
      <c r="E9" s="74"/>
      <c r="F9" s="74"/>
      <c r="G9" s="74"/>
      <c r="H9" s="75"/>
      <c r="I9" s="1" t="s">
        <v>162</v>
      </c>
      <c r="J9" s="1"/>
      <c r="K9" s="1"/>
      <c r="L9" s="1"/>
      <c r="M9" s="1"/>
      <c r="O9" s="66"/>
    </row>
    <row r="10" spans="2:16" ht="15.75" customHeight="1" x14ac:dyDescent="0.25">
      <c r="B10" s="72"/>
      <c r="C10" s="76" t="s">
        <v>79</v>
      </c>
      <c r="D10" s="76" t="s">
        <v>80</v>
      </c>
      <c r="E10" s="76" t="s">
        <v>81</v>
      </c>
      <c r="F10" s="76" t="s">
        <v>82</v>
      </c>
      <c r="G10" s="76" t="s">
        <v>83</v>
      </c>
      <c r="H10" s="77" t="s">
        <v>84</v>
      </c>
      <c r="I10" s="77" t="s">
        <v>85</v>
      </c>
      <c r="J10" s="77" t="s">
        <v>86</v>
      </c>
      <c r="K10" s="77" t="s">
        <v>87</v>
      </c>
      <c r="L10" s="77" t="s">
        <v>88</v>
      </c>
      <c r="M10" s="78" t="s">
        <v>89</v>
      </c>
      <c r="N10" s="79"/>
      <c r="O10" s="79"/>
    </row>
    <row r="11" spans="2:16" ht="15.75" customHeight="1" x14ac:dyDescent="0.25">
      <c r="B11" s="72" t="s">
        <v>163</v>
      </c>
      <c r="C11" s="80">
        <f>IS!D19</f>
        <v>12868</v>
      </c>
      <c r="D11" s="80">
        <f>IS!E19</f>
        <v>15785</v>
      </c>
      <c r="E11" s="80">
        <f>IS!F19</f>
        <v>17606</v>
      </c>
      <c r="F11" s="80">
        <f>IS!G19</f>
        <v>19409</v>
      </c>
      <c r="G11" s="80">
        <f>IS!H19</f>
        <v>21505</v>
      </c>
      <c r="H11" s="80">
        <f>IS!I19</f>
        <v>23769</v>
      </c>
      <c r="I11" s="81">
        <f>IS!J19</f>
        <v>26185.690000000002</v>
      </c>
      <c r="J11" s="81">
        <f>IS!K19</f>
        <v>28892.230900000006</v>
      </c>
      <c r="K11" s="81">
        <f>IS!L19</f>
        <v>31917.471049000007</v>
      </c>
      <c r="L11" s="81">
        <f>IS!M19</f>
        <v>35293.830701890009</v>
      </c>
      <c r="M11" s="81">
        <f>IS!N19</f>
        <v>39057.640810972909</v>
      </c>
      <c r="N11" s="66"/>
      <c r="O11" s="66"/>
    </row>
    <row r="12" spans="2:16" ht="15.75" customHeight="1" x14ac:dyDescent="0.25">
      <c r="B12" s="72"/>
      <c r="C12" s="64"/>
      <c r="D12" s="64"/>
      <c r="E12" s="64"/>
      <c r="F12" s="82"/>
      <c r="G12" s="66"/>
      <c r="H12" s="66"/>
      <c r="I12" s="83"/>
      <c r="J12" s="83"/>
      <c r="K12" s="83"/>
      <c r="L12" s="83"/>
      <c r="M12" s="66"/>
      <c r="N12" s="66"/>
      <c r="O12" s="66"/>
    </row>
    <row r="13" spans="2:16" ht="15.75" customHeight="1" x14ac:dyDescent="0.25">
      <c r="B13" s="72" t="s">
        <v>164</v>
      </c>
      <c r="C13" s="84">
        <f>IS!D28</f>
        <v>4237</v>
      </c>
      <c r="D13" s="84">
        <f>IS!E28</f>
        <v>5802</v>
      </c>
      <c r="E13" s="84">
        <f>IS!F28</f>
        <v>6098</v>
      </c>
      <c r="F13" s="84">
        <f>IS!G28</f>
        <v>6650</v>
      </c>
      <c r="G13" s="84">
        <f>IS!H28</f>
        <v>6741</v>
      </c>
      <c r="H13" s="84">
        <f>IS!I28</f>
        <v>8706</v>
      </c>
      <c r="I13" s="81">
        <f>IS!J28</f>
        <v>7986.6354499999998</v>
      </c>
      <c r="J13" s="81">
        <f>IS!K28</f>
        <v>8884.3610017500032</v>
      </c>
      <c r="K13" s="81">
        <f>IS!L28</f>
        <v>10213.590735680002</v>
      </c>
      <c r="L13" s="81">
        <f>IS!M28</f>
        <v>11646.964131623703</v>
      </c>
      <c r="M13" s="81">
        <f>IS!N28</f>
        <v>13279.597875730789</v>
      </c>
      <c r="N13" s="66"/>
      <c r="O13" s="66"/>
    </row>
    <row r="14" spans="2:16" ht="15.75" customHeight="1" x14ac:dyDescent="0.25">
      <c r="B14" s="72"/>
      <c r="C14" s="64"/>
      <c r="D14" s="64"/>
      <c r="E14" s="64"/>
      <c r="F14" s="82"/>
      <c r="G14" s="66"/>
      <c r="H14" s="66"/>
      <c r="I14" s="83"/>
      <c r="J14" s="83"/>
      <c r="K14" s="83"/>
      <c r="L14" s="83"/>
      <c r="M14" s="66"/>
      <c r="N14" s="66"/>
      <c r="O14" s="66"/>
    </row>
    <row r="15" spans="2:16" ht="15.75" customHeight="1" x14ac:dyDescent="0.25">
      <c r="B15" s="72" t="s">
        <v>165</v>
      </c>
      <c r="C15" s="84">
        <f>CFS!D4</f>
        <v>757</v>
      </c>
      <c r="D15" s="84">
        <f>CFS!E4</f>
        <v>788</v>
      </c>
      <c r="E15" s="84">
        <f>CFS!F4</f>
        <v>856</v>
      </c>
      <c r="F15" s="84">
        <f>CFS!G4</f>
        <v>872</v>
      </c>
      <c r="G15" s="84">
        <f>CFS!H4</f>
        <v>857</v>
      </c>
      <c r="H15" s="84">
        <f>CFS!I4</f>
        <v>818</v>
      </c>
      <c r="I15" s="81">
        <f>I11*I16</f>
        <v>901.16935588371416</v>
      </c>
      <c r="J15" s="81">
        <f>J11*J16</f>
        <v>965.42157599974348</v>
      </c>
      <c r="K15" s="81">
        <f>K11*K16</f>
        <v>1034.5912145801103</v>
      </c>
      <c r="L15" s="81">
        <f>L11*L16</f>
        <v>1108.7406423613259</v>
      </c>
      <c r="M15" s="81">
        <f>M11*M16</f>
        <v>1187.9214912546499</v>
      </c>
      <c r="O15" s="85" t="s">
        <v>166</v>
      </c>
      <c r="P15" s="85" t="s">
        <v>167</v>
      </c>
    </row>
    <row r="16" spans="2:16" ht="15.75" customHeight="1" x14ac:dyDescent="0.25">
      <c r="B16" s="72" t="s">
        <v>168</v>
      </c>
      <c r="C16" s="86">
        <f t="shared" ref="C16:H16" si="0">C15/C11</f>
        <v>5.8828100714951821E-2</v>
      </c>
      <c r="D16" s="86">
        <f t="shared" si="0"/>
        <v>4.9920810896420656E-2</v>
      </c>
      <c r="E16" s="86">
        <f t="shared" si="0"/>
        <v>4.8619788708394868E-2</v>
      </c>
      <c r="F16" s="86">
        <f t="shared" si="0"/>
        <v>4.4927610902158792E-2</v>
      </c>
      <c r="G16" s="86">
        <f t="shared" si="0"/>
        <v>3.9851197395954427E-2</v>
      </c>
      <c r="H16" s="86">
        <f t="shared" si="0"/>
        <v>3.4414573604274475E-2</v>
      </c>
      <c r="I16" s="87">
        <f>H16</f>
        <v>3.4414573604274475E-2</v>
      </c>
      <c r="J16" s="87">
        <f>I16-0.001</f>
        <v>3.3414573604274474E-2</v>
      </c>
      <c r="K16" s="87">
        <f>J16-0.001</f>
        <v>3.2414573604274473E-2</v>
      </c>
      <c r="L16" s="87">
        <f>K16-0.001</f>
        <v>3.1414573604274472E-2</v>
      </c>
      <c r="M16" s="87">
        <f>L16-0.001</f>
        <v>3.0414573604274471E-2</v>
      </c>
      <c r="O16" s="88">
        <f>AVERAGE(C16:H16)</f>
        <v>4.6093680370359179E-2</v>
      </c>
      <c r="P16" s="88">
        <f>GEOMEAN(C16:H16)</f>
        <v>4.5435582800995064E-2</v>
      </c>
    </row>
    <row r="17" spans="2:16" ht="15.75" customHeight="1" x14ac:dyDescent="0.25">
      <c r="B17" s="72"/>
      <c r="C17" s="64"/>
      <c r="D17" s="64"/>
      <c r="E17" s="64"/>
      <c r="F17" s="82"/>
      <c r="G17" s="66"/>
      <c r="H17" s="66"/>
      <c r="I17" s="66"/>
      <c r="J17" s="66"/>
      <c r="K17" s="66"/>
      <c r="L17" s="66"/>
      <c r="M17" s="66"/>
      <c r="O17" s="66"/>
      <c r="P17" s="66"/>
    </row>
    <row r="18" spans="2:16" ht="18.75" customHeight="1" x14ac:dyDescent="0.3">
      <c r="B18" s="71" t="s">
        <v>169</v>
      </c>
      <c r="C18" s="71"/>
      <c r="D18" s="71"/>
      <c r="E18" s="71"/>
      <c r="F18" s="71"/>
      <c r="G18" s="71"/>
      <c r="H18" s="71"/>
      <c r="I18" s="71"/>
      <c r="J18" s="71"/>
      <c r="K18" s="71"/>
      <c r="L18" s="71"/>
      <c r="M18" s="71"/>
      <c r="O18" s="66"/>
      <c r="P18" s="66"/>
    </row>
    <row r="19" spans="2:16" ht="15.75" customHeight="1" x14ac:dyDescent="0.25">
      <c r="B19" s="72"/>
      <c r="C19" s="74"/>
      <c r="D19" s="74"/>
      <c r="E19" s="74"/>
      <c r="F19" s="74"/>
      <c r="G19" s="74"/>
      <c r="H19" s="75"/>
      <c r="I19" s="1" t="s">
        <v>162</v>
      </c>
      <c r="J19" s="1"/>
      <c r="K19" s="1"/>
      <c r="L19" s="1"/>
      <c r="M19" s="1"/>
      <c r="O19" s="66"/>
      <c r="P19" s="66"/>
    </row>
    <row r="20" spans="2:16" ht="15.75" customHeight="1" x14ac:dyDescent="0.25">
      <c r="B20" s="72"/>
      <c r="C20" s="76" t="s">
        <v>79</v>
      </c>
      <c r="D20" s="76" t="s">
        <v>80</v>
      </c>
      <c r="E20" s="76" t="s">
        <v>81</v>
      </c>
      <c r="F20" s="76" t="s">
        <v>82</v>
      </c>
      <c r="G20" s="76" t="s">
        <v>83</v>
      </c>
      <c r="H20" s="89" t="s">
        <v>84</v>
      </c>
      <c r="I20" s="89" t="s">
        <v>85</v>
      </c>
      <c r="J20" s="89" t="s">
        <v>86</v>
      </c>
      <c r="K20" s="89" t="s">
        <v>87</v>
      </c>
      <c r="L20" s="89" t="s">
        <v>88</v>
      </c>
      <c r="M20" s="78" t="s">
        <v>89</v>
      </c>
      <c r="O20" s="66"/>
      <c r="P20" s="66"/>
    </row>
    <row r="21" spans="2:16" ht="15.75" customHeight="1" x14ac:dyDescent="0.25">
      <c r="B21" s="90" t="s">
        <v>170</v>
      </c>
      <c r="C21" s="84">
        <f>BS!C5</f>
        <v>1398</v>
      </c>
      <c r="D21" s="84">
        <f>BS!D5</f>
        <v>1878</v>
      </c>
      <c r="E21" s="84">
        <f>BS!E5</f>
        <v>2065</v>
      </c>
      <c r="F21" s="84">
        <f>BS!F5</f>
        <v>2224</v>
      </c>
      <c r="G21" s="84">
        <f>BS!G5</f>
        <v>2072</v>
      </c>
      <c r="H21" s="84">
        <f>BS!H5</f>
        <v>2344</v>
      </c>
      <c r="I21" s="91">
        <f>I30*I11</f>
        <v>2917.3403174594782</v>
      </c>
      <c r="J21" s="91">
        <f>J30*J11</f>
        <v>3218.8752737055452</v>
      </c>
      <c r="K21" s="91">
        <f>K30*K11</f>
        <v>3555.916423153004</v>
      </c>
      <c r="L21" s="91">
        <f>L30*L11</f>
        <v>3932.0756972305435</v>
      </c>
      <c r="M21" s="91">
        <f>M30*M11</f>
        <v>4351.4007170596606</v>
      </c>
      <c r="O21" s="66"/>
      <c r="P21" s="66"/>
    </row>
    <row r="22" spans="2:16" ht="15.75" customHeight="1" x14ac:dyDescent="0.25">
      <c r="B22" s="90" t="s">
        <v>171</v>
      </c>
      <c r="C22" s="84">
        <f>BS!C6</f>
        <v>756</v>
      </c>
      <c r="D22" s="84">
        <f>BS!D6</f>
        <v>993</v>
      </c>
      <c r="E22" s="84">
        <f>BS!E6</f>
        <v>835</v>
      </c>
      <c r="F22" s="84">
        <f>BS!F6</f>
        <v>1018</v>
      </c>
      <c r="G22" s="84">
        <f>BS!G6</f>
        <v>1274</v>
      </c>
      <c r="H22" s="84">
        <f>BS!H6</f>
        <v>1224</v>
      </c>
      <c r="I22" s="91">
        <f>I31*I11</f>
        <v>1444.9082873313887</v>
      </c>
      <c r="J22" s="91">
        <f>J31*J11</f>
        <v>1594.2533447429507</v>
      </c>
      <c r="K22" s="91">
        <f>K31*K11</f>
        <v>1761.1840065837403</v>
      </c>
      <c r="L22" s="91">
        <f>L31*L11</f>
        <v>1947.4892001254073</v>
      </c>
      <c r="M22" s="91">
        <f>M31*M11</f>
        <v>2155.1736422216645</v>
      </c>
      <c r="O22" s="66"/>
      <c r="P22" s="66"/>
    </row>
    <row r="23" spans="2:16" ht="15.75" customHeight="1" x14ac:dyDescent="0.25">
      <c r="B23" s="72"/>
      <c r="C23" s="92"/>
      <c r="D23" s="92"/>
      <c r="E23" s="92"/>
      <c r="F23" s="92"/>
      <c r="G23" s="92"/>
      <c r="H23" s="92"/>
      <c r="I23" s="91"/>
      <c r="J23" s="91"/>
      <c r="K23" s="91"/>
      <c r="L23" s="91"/>
      <c r="M23" s="66"/>
      <c r="O23" s="66"/>
      <c r="P23" s="66"/>
    </row>
    <row r="24" spans="2:16" ht="15.75" customHeight="1" x14ac:dyDescent="0.25">
      <c r="B24" s="90" t="s">
        <v>172</v>
      </c>
      <c r="C24" s="93">
        <f>BS!C16+BS!C17</f>
        <v>1728</v>
      </c>
      <c r="D24" s="93">
        <f>BS!D16+BS!D17</f>
        <v>2048</v>
      </c>
      <c r="E24" s="93">
        <f>BS!E16+BS!E17</f>
        <v>2169</v>
      </c>
      <c r="F24" s="93">
        <f>BS!F16+BS!F17</f>
        <v>2256</v>
      </c>
      <c r="G24" s="93">
        <f>BS!G16+BS!G17</f>
        <v>2697</v>
      </c>
      <c r="H24" s="93">
        <f>BS!H16+BS!H17</f>
        <v>3065</v>
      </c>
      <c r="I24" s="91">
        <f>I32*I11</f>
        <v>3235.2245985570949</v>
      </c>
      <c r="J24" s="91">
        <f>J32*J11</f>
        <v>3569.6159281986229</v>
      </c>
      <c r="K24" s="91">
        <f>K32*K11</f>
        <v>3943.3823382717328</v>
      </c>
      <c r="L24" s="91">
        <f>L32*L11</f>
        <v>4360.5293297241415</v>
      </c>
      <c r="M24" s="91">
        <f>M32*M11</f>
        <v>4825.5455675701887</v>
      </c>
      <c r="O24" s="66"/>
      <c r="P24" s="66"/>
    </row>
    <row r="25" spans="2:16" ht="15.75" customHeight="1" x14ac:dyDescent="0.25">
      <c r="B25" s="72"/>
      <c r="C25" s="92"/>
      <c r="D25" s="92"/>
      <c r="E25" s="92"/>
      <c r="F25" s="92"/>
      <c r="G25" s="92"/>
      <c r="H25" s="92"/>
      <c r="I25" s="91"/>
      <c r="J25" s="91"/>
      <c r="K25" s="91"/>
      <c r="L25" s="91"/>
      <c r="M25" s="66"/>
      <c r="O25" s="66"/>
      <c r="P25" s="66"/>
    </row>
    <row r="26" spans="2:16" ht="15.75" customHeight="1" x14ac:dyDescent="0.25">
      <c r="B26" s="72" t="s">
        <v>6</v>
      </c>
      <c r="C26" s="93">
        <f>BS!C18+BS!C23</f>
        <v>4117</v>
      </c>
      <c r="D26" s="93">
        <f>BS!D18+BS!D23</f>
        <v>4123</v>
      </c>
      <c r="E26" s="93">
        <f>BS!E18+BS!E23</f>
        <v>4129</v>
      </c>
      <c r="F26" s="93">
        <f>BS!F18+BS!F23</f>
        <v>3634</v>
      </c>
      <c r="G26" s="93">
        <f>BS!G18+BS!G23</f>
        <v>5628</v>
      </c>
      <c r="H26" s="93">
        <f>BS!H18+BS!H23</f>
        <v>6210</v>
      </c>
      <c r="I26" s="91"/>
      <c r="J26" s="91"/>
      <c r="K26" s="91"/>
      <c r="L26" s="91"/>
      <c r="M26" s="66"/>
      <c r="O26" s="66"/>
      <c r="P26" s="66"/>
    </row>
    <row r="27" spans="2:16" ht="15.75" customHeight="1" x14ac:dyDescent="0.25">
      <c r="B27" s="72"/>
      <c r="C27" s="92"/>
      <c r="D27" s="92"/>
      <c r="E27" s="92"/>
      <c r="F27" s="92"/>
      <c r="G27" s="92"/>
      <c r="H27" s="92"/>
      <c r="I27" s="91"/>
      <c r="J27" s="91"/>
      <c r="K27" s="91"/>
      <c r="L27" s="91"/>
      <c r="M27" s="66"/>
      <c r="O27" s="66"/>
      <c r="P27" s="66"/>
    </row>
    <row r="28" spans="2:16" ht="15.75" customHeight="1" x14ac:dyDescent="0.25">
      <c r="B28" s="72" t="s">
        <v>173</v>
      </c>
      <c r="C28" s="94">
        <f>CFS!D23</f>
        <v>-419</v>
      </c>
      <c r="D28" s="94">
        <f>CFS!E23</f>
        <v>-348</v>
      </c>
      <c r="E28" s="94">
        <f>CFS!F23</f>
        <v>-442</v>
      </c>
      <c r="F28" s="94">
        <f>CFS!G23</f>
        <v>-360</v>
      </c>
      <c r="G28" s="94">
        <f>CFS!H23</f>
        <v>-183</v>
      </c>
      <c r="H28" s="94">
        <f>CFS!I23</f>
        <v>-179</v>
      </c>
      <c r="I28" s="91">
        <f>I33*I11</f>
        <v>-197.19965122638732</v>
      </c>
      <c r="J28" s="91">
        <f>J33*J11</f>
        <v>-188.68988576877027</v>
      </c>
      <c r="K28" s="91">
        <f>K33*K11</f>
        <v>-176.52970587923929</v>
      </c>
      <c r="L28" s="91">
        <f>L33*L11</f>
        <v>-159.90990406742566</v>
      </c>
      <c r="M28" s="91">
        <f>M33*M11</f>
        <v>-137.90539978207286</v>
      </c>
      <c r="O28" s="66"/>
      <c r="P28" s="66"/>
    </row>
    <row r="29" spans="2:16" ht="15.75" customHeight="1" x14ac:dyDescent="0.25">
      <c r="B29" s="72"/>
      <c r="I29" s="81"/>
      <c r="J29" s="81"/>
      <c r="K29" s="81"/>
      <c r="L29" s="81"/>
      <c r="M29" s="85"/>
      <c r="O29" s="95" t="s">
        <v>174</v>
      </c>
      <c r="P29" s="95" t="s">
        <v>175</v>
      </c>
    </row>
    <row r="30" spans="2:16" ht="15.75" customHeight="1" x14ac:dyDescent="0.25">
      <c r="B30" s="96" t="s">
        <v>176</v>
      </c>
      <c r="C30" s="97">
        <f>C21/C11</f>
        <v>0.10864159154491762</v>
      </c>
      <c r="D30" s="97">
        <f>D21/D11</f>
        <v>0.11897370921761166</v>
      </c>
      <c r="E30" s="97">
        <f>E21/E11</f>
        <v>0.11728956037714415</v>
      </c>
      <c r="F30" s="97">
        <f>F21/F11</f>
        <v>0.1145860167963316</v>
      </c>
      <c r="G30" s="97">
        <f>G21/G11</f>
        <v>9.6349686119507089E-2</v>
      </c>
      <c r="H30" s="97">
        <f t="shared" ref="H30:M30" si="1">$P$30</f>
        <v>0.11140971719513514</v>
      </c>
      <c r="I30" s="98">
        <f t="shared" si="1"/>
        <v>0.11140971719513514</v>
      </c>
      <c r="J30" s="98">
        <f t="shared" si="1"/>
        <v>0.11140971719513514</v>
      </c>
      <c r="K30" s="98">
        <f t="shared" si="1"/>
        <v>0.11140971719513514</v>
      </c>
      <c r="L30" s="98">
        <f t="shared" si="1"/>
        <v>0.11140971719513514</v>
      </c>
      <c r="M30" s="98">
        <f t="shared" si="1"/>
        <v>0.11140971719513514</v>
      </c>
      <c r="O30" s="88">
        <f>AVERAGE(D30:G30)</f>
        <v>0.11179974312764862</v>
      </c>
      <c r="P30" s="88">
        <f>IFERROR(GEOMEAN(D30:G30),"n/a")</f>
        <v>0.11140971719513514</v>
      </c>
    </row>
    <row r="31" spans="2:16" ht="15.75" customHeight="1" x14ac:dyDescent="0.25">
      <c r="B31" s="96" t="s">
        <v>177</v>
      </c>
      <c r="C31" s="97">
        <f>C22/C11</f>
        <v>5.8750388560770903E-2</v>
      </c>
      <c r="D31" s="97">
        <f>D22/D11</f>
        <v>6.2907823883433633E-2</v>
      </c>
      <c r="E31" s="97">
        <f>E22/E11</f>
        <v>4.7427013518118823E-2</v>
      </c>
      <c r="F31" s="97">
        <f>F22/F11</f>
        <v>5.244989437889639E-2</v>
      </c>
      <c r="G31" s="97">
        <f>G22/G11</f>
        <v>5.9242036735642871E-2</v>
      </c>
      <c r="H31" s="97">
        <f t="shared" ref="H31:M31" si="2">$P$31</f>
        <v>5.5179309284246039E-2</v>
      </c>
      <c r="I31" s="98">
        <f t="shared" si="2"/>
        <v>5.5179309284246039E-2</v>
      </c>
      <c r="J31" s="98">
        <f t="shared" si="2"/>
        <v>5.5179309284246039E-2</v>
      </c>
      <c r="K31" s="98">
        <f t="shared" si="2"/>
        <v>5.5179309284246039E-2</v>
      </c>
      <c r="L31" s="98">
        <f t="shared" si="2"/>
        <v>5.5179309284246039E-2</v>
      </c>
      <c r="M31" s="98">
        <f t="shared" si="2"/>
        <v>5.5179309284246039E-2</v>
      </c>
      <c r="O31" s="88">
        <f>AVERAGE(D31:G31)</f>
        <v>5.5506692129022928E-2</v>
      </c>
      <c r="P31" s="88">
        <f>IFERROR(GEOMEAN(D31:G31),"n/a")</f>
        <v>5.5179309284246039E-2</v>
      </c>
    </row>
    <row r="32" spans="2:16" ht="15.75" customHeight="1" x14ac:dyDescent="0.25">
      <c r="B32" s="96" t="s">
        <v>178</v>
      </c>
      <c r="C32" s="97">
        <f>C24/C11</f>
        <v>0.13428660242461921</v>
      </c>
      <c r="D32" s="97">
        <f>D24/D11</f>
        <v>0.12974342730440291</v>
      </c>
      <c r="E32" s="97">
        <f>E24/E11</f>
        <v>0.1231966375099398</v>
      </c>
      <c r="F32" s="97">
        <f>F24/F11</f>
        <v>0.11623473646246586</v>
      </c>
      <c r="G32" s="97">
        <f>G24/G11</f>
        <v>0.12541269472215763</v>
      </c>
      <c r="H32" s="97">
        <f t="shared" ref="H32:M32" si="3">$P$32</f>
        <v>0.12354933547892358</v>
      </c>
      <c r="I32" s="98">
        <f t="shared" si="3"/>
        <v>0.12354933547892358</v>
      </c>
      <c r="J32" s="98">
        <f t="shared" si="3"/>
        <v>0.12354933547892358</v>
      </c>
      <c r="K32" s="98">
        <f t="shared" si="3"/>
        <v>0.12354933547892358</v>
      </c>
      <c r="L32" s="98">
        <f t="shared" si="3"/>
        <v>0.12354933547892358</v>
      </c>
      <c r="M32" s="98">
        <f t="shared" si="3"/>
        <v>0.12354933547892358</v>
      </c>
      <c r="O32" s="88">
        <f>AVERAGE(D32:G32)</f>
        <v>0.12364687399974156</v>
      </c>
      <c r="P32" s="88">
        <f>IFERROR(GEOMEAN(D32:G32),"n/a")</f>
        <v>0.12354933547892358</v>
      </c>
    </row>
    <row r="33" spans="2:16" ht="15.75" customHeight="1" x14ac:dyDescent="0.25">
      <c r="B33" s="99" t="s">
        <v>179</v>
      </c>
      <c r="C33" s="100">
        <f t="shared" ref="C33:H33" si="4">C28/C11</f>
        <v>-3.2561392601802921E-2</v>
      </c>
      <c r="D33" s="100">
        <f t="shared" si="4"/>
        <v>-2.2046246436490339E-2</v>
      </c>
      <c r="E33" s="100">
        <f t="shared" si="4"/>
        <v>-2.5105077814381462E-2</v>
      </c>
      <c r="F33" s="100">
        <f t="shared" si="4"/>
        <v>-1.854809624401051E-2</v>
      </c>
      <c r="G33" s="100">
        <f t="shared" si="4"/>
        <v>-8.5096489188560796E-3</v>
      </c>
      <c r="H33" s="100">
        <f t="shared" si="4"/>
        <v>-7.5308174513021159E-3</v>
      </c>
      <c r="I33" s="98">
        <f>H33</f>
        <v>-7.5308174513021159E-3</v>
      </c>
      <c r="J33" s="98">
        <f>I33+0.001</f>
        <v>-6.5308174513021159E-3</v>
      </c>
      <c r="K33" s="98">
        <f>J33+0.001</f>
        <v>-5.5308174513021158E-3</v>
      </c>
      <c r="L33" s="98">
        <f>K33+0.001</f>
        <v>-4.5308174513021158E-3</v>
      </c>
      <c r="M33" s="98">
        <f>L33+0.001</f>
        <v>-3.5308174513021158E-3</v>
      </c>
      <c r="O33" s="88">
        <f>AVERAGE(D33:H33)</f>
        <v>-1.6347977373008103E-2</v>
      </c>
      <c r="P33" s="88">
        <f>IFERROR(GEOMEAN(D33:H33),0)</f>
        <v>0</v>
      </c>
    </row>
    <row r="34" spans="2:16" ht="15.75" customHeight="1" x14ac:dyDescent="0.25">
      <c r="B34" s="101" t="s">
        <v>180</v>
      </c>
      <c r="C34" s="102"/>
      <c r="D34" s="100">
        <f t="shared" ref="D34:H35" si="5">IFERROR((D21/C21)-1,"")</f>
        <v>0.3433476394849786</v>
      </c>
      <c r="E34" s="100">
        <f t="shared" si="5"/>
        <v>9.9574014909478148E-2</v>
      </c>
      <c r="F34" s="100">
        <f t="shared" si="5"/>
        <v>7.6997578692493907E-2</v>
      </c>
      <c r="G34" s="100">
        <f t="shared" si="5"/>
        <v>-6.8345323741007213E-2</v>
      </c>
      <c r="H34" s="100">
        <f t="shared" si="5"/>
        <v>0.13127413127413123</v>
      </c>
      <c r="I34" s="81"/>
      <c r="J34" s="81"/>
      <c r="K34" s="81"/>
      <c r="L34" s="81"/>
      <c r="M34" s="66"/>
      <c r="N34" s="79"/>
      <c r="O34" s="79"/>
    </row>
    <row r="35" spans="2:16" ht="15.75" customHeight="1" x14ac:dyDescent="0.25">
      <c r="B35" s="101" t="s">
        <v>181</v>
      </c>
      <c r="C35" s="102"/>
      <c r="D35" s="100">
        <f t="shared" si="5"/>
        <v>0.31349206349206349</v>
      </c>
      <c r="E35" s="100">
        <f t="shared" si="5"/>
        <v>-0.1591137965760322</v>
      </c>
      <c r="F35" s="100">
        <f t="shared" si="5"/>
        <v>0.2191616766467066</v>
      </c>
      <c r="G35" s="100">
        <f t="shared" si="5"/>
        <v>0.2514734774066798</v>
      </c>
      <c r="H35" s="100">
        <f t="shared" si="5"/>
        <v>-3.9246467817896424E-2</v>
      </c>
      <c r="I35" s="81"/>
      <c r="J35" s="81"/>
      <c r="K35" s="81"/>
      <c r="L35" s="81"/>
      <c r="M35" s="66"/>
      <c r="N35" s="66"/>
      <c r="O35" s="66"/>
    </row>
    <row r="36" spans="2:16" ht="15.75" customHeight="1" x14ac:dyDescent="0.25">
      <c r="B36" s="101" t="s">
        <v>182</v>
      </c>
      <c r="C36" s="102"/>
      <c r="D36" s="100">
        <f>IFERROR((D24/C24)-1,"")</f>
        <v>0.18518518518518512</v>
      </c>
      <c r="E36" s="100">
        <f>IFERROR((E24/D24)-1,"")</f>
        <v>5.908203125E-2</v>
      </c>
      <c r="F36" s="100">
        <f>IFERROR((F24/E24)-1,"")</f>
        <v>4.0110650069156373E-2</v>
      </c>
      <c r="G36" s="100">
        <f>IFERROR((G24/F24)-1,"")</f>
        <v>0.19547872340425543</v>
      </c>
      <c r="H36" s="100">
        <f>IFERROR((H24/G24)-1,"")</f>
        <v>0.13644790507971827</v>
      </c>
      <c r="I36" s="81"/>
      <c r="J36" s="81"/>
      <c r="K36" s="81"/>
      <c r="L36" s="81"/>
      <c r="M36" s="66"/>
      <c r="N36" s="66"/>
      <c r="O36" s="66"/>
    </row>
    <row r="37" spans="2:16" ht="15.75" customHeight="1" x14ac:dyDescent="0.25">
      <c r="B37" s="101"/>
      <c r="C37" s="102"/>
      <c r="D37" s="100"/>
      <c r="E37" s="100"/>
      <c r="F37" s="100"/>
      <c r="G37" s="100"/>
      <c r="H37" s="100"/>
      <c r="I37" s="81"/>
      <c r="J37" s="81"/>
      <c r="K37" s="81"/>
      <c r="L37" s="81"/>
      <c r="M37" s="66"/>
      <c r="N37" s="66"/>
      <c r="O37" s="66"/>
    </row>
    <row r="38" spans="2:16" ht="15.75" customHeight="1" x14ac:dyDescent="0.25">
      <c r="B38" s="101" t="s">
        <v>183</v>
      </c>
      <c r="C38" s="102"/>
      <c r="D38" s="100">
        <f>IFERROR((D28/C28)-1,"")</f>
        <v>-0.16945107398568016</v>
      </c>
      <c r="E38" s="100">
        <f>IFERROR((E28/D28)-1,"")</f>
        <v>0.27011494252873569</v>
      </c>
      <c r="F38" s="100">
        <f>IFERROR((F28/E28)-1,"")</f>
        <v>-0.18552036199095023</v>
      </c>
      <c r="G38" s="100">
        <f>IFERROR((G28/F28)-1,"")</f>
        <v>-0.4916666666666667</v>
      </c>
      <c r="H38" s="100">
        <f>IFERROR((H28/G28)-1,"")</f>
        <v>-2.1857923497267784E-2</v>
      </c>
      <c r="I38" s="81"/>
      <c r="J38" s="81"/>
      <c r="K38" s="81"/>
      <c r="L38" s="81"/>
      <c r="M38" s="66"/>
      <c r="N38" s="66"/>
      <c r="O38" s="66"/>
    </row>
    <row r="39" spans="2:16" ht="15.75" customHeight="1" x14ac:dyDescent="0.25">
      <c r="B39" s="72"/>
      <c r="C39" s="64"/>
      <c r="D39" s="64"/>
      <c r="E39" s="64"/>
      <c r="F39" s="82"/>
      <c r="G39" s="66"/>
      <c r="H39" s="66"/>
      <c r="I39" s="66"/>
      <c r="J39" s="66"/>
      <c r="K39" s="66"/>
      <c r="L39" s="66"/>
      <c r="M39" s="103"/>
      <c r="N39" s="103"/>
      <c r="O39" s="103"/>
    </row>
    <row r="40" spans="2:16" ht="18.75" customHeight="1" x14ac:dyDescent="0.3">
      <c r="B40" s="71" t="s">
        <v>184</v>
      </c>
      <c r="C40" s="71"/>
      <c r="D40" s="71"/>
      <c r="E40" s="71"/>
      <c r="F40" s="71"/>
      <c r="G40" s="71"/>
      <c r="H40" s="71"/>
      <c r="I40" s="71"/>
      <c r="J40" s="71"/>
      <c r="K40" s="71"/>
      <c r="L40" s="71"/>
      <c r="M40" s="71"/>
      <c r="N40" s="103"/>
      <c r="O40" s="103"/>
    </row>
    <row r="41" spans="2:16" ht="15.75" customHeight="1" x14ac:dyDescent="0.25">
      <c r="B41" s="104" t="s">
        <v>185</v>
      </c>
      <c r="C41" s="74"/>
      <c r="D41" s="74"/>
      <c r="E41" s="74"/>
      <c r="F41" s="74"/>
      <c r="G41" s="105"/>
      <c r="H41" s="75"/>
      <c r="I41" s="1" t="s">
        <v>162</v>
      </c>
      <c r="J41" s="1"/>
      <c r="K41" s="1"/>
      <c r="L41" s="1"/>
      <c r="M41" s="1"/>
      <c r="O41" s="103"/>
    </row>
    <row r="42" spans="2:16" ht="15.75" customHeight="1" x14ac:dyDescent="0.25">
      <c r="B42" s="106"/>
      <c r="C42" s="76" t="s">
        <v>79</v>
      </c>
      <c r="D42" s="76" t="s">
        <v>80</v>
      </c>
      <c r="E42" s="76" t="s">
        <v>81</v>
      </c>
      <c r="F42" s="76" t="s">
        <v>82</v>
      </c>
      <c r="G42" s="76" t="s">
        <v>83</v>
      </c>
      <c r="H42" s="77" t="s">
        <v>84</v>
      </c>
      <c r="I42" s="77" t="s">
        <v>85</v>
      </c>
      <c r="J42" s="77" t="s">
        <v>86</v>
      </c>
      <c r="K42" s="77" t="s">
        <v>87</v>
      </c>
      <c r="L42" s="77" t="s">
        <v>88</v>
      </c>
      <c r="M42" s="78" t="s">
        <v>89</v>
      </c>
      <c r="N42" s="103"/>
      <c r="O42" s="103"/>
    </row>
    <row r="43" spans="2:16" ht="15.75" customHeight="1" x14ac:dyDescent="0.25">
      <c r="B43" s="107" t="s">
        <v>186</v>
      </c>
      <c r="C43" s="108"/>
      <c r="D43" s="108"/>
      <c r="E43" s="108"/>
      <c r="F43" s="108"/>
      <c r="G43" s="108"/>
      <c r="H43" s="109"/>
      <c r="I43" s="109">
        <f ca="1">$F$7/2</f>
        <v>9.0410958904109592E-2</v>
      </c>
      <c r="J43" s="109">
        <f ca="1">$F$7+0.5</f>
        <v>0.68082191780821921</v>
      </c>
      <c r="K43" s="109">
        <f ca="1">$F$7+1.5</f>
        <v>1.6808219178082191</v>
      </c>
      <c r="L43" s="109">
        <f ca="1">$F$7+2.5</f>
        <v>2.6808219178082191</v>
      </c>
      <c r="M43" s="109">
        <f ca="1">$F$7+3.5</f>
        <v>3.6808219178082191</v>
      </c>
      <c r="N43" s="103"/>
      <c r="O43" s="103"/>
    </row>
    <row r="44" spans="2:16" ht="15.75" customHeight="1" x14ac:dyDescent="0.25">
      <c r="B44" s="103" t="s">
        <v>187</v>
      </c>
      <c r="C44" s="110">
        <f t="shared" ref="C44:M44" si="6">C11</f>
        <v>12868</v>
      </c>
      <c r="D44" s="110">
        <f t="shared" si="6"/>
        <v>15785</v>
      </c>
      <c r="E44" s="110">
        <f t="shared" si="6"/>
        <v>17606</v>
      </c>
      <c r="F44" s="110">
        <f t="shared" si="6"/>
        <v>19409</v>
      </c>
      <c r="G44" s="111">
        <f t="shared" si="6"/>
        <v>21505</v>
      </c>
      <c r="H44" s="111">
        <f t="shared" si="6"/>
        <v>23769</v>
      </c>
      <c r="I44" s="111">
        <f t="shared" si="6"/>
        <v>26185.690000000002</v>
      </c>
      <c r="J44" s="111">
        <f t="shared" si="6"/>
        <v>28892.230900000006</v>
      </c>
      <c r="K44" s="111">
        <f t="shared" si="6"/>
        <v>31917.471049000007</v>
      </c>
      <c r="L44" s="111">
        <f t="shared" si="6"/>
        <v>35293.830701890009</v>
      </c>
      <c r="M44" s="111">
        <f t="shared" si="6"/>
        <v>39057.640810972909</v>
      </c>
      <c r="N44" s="103"/>
      <c r="O44" s="103"/>
    </row>
    <row r="45" spans="2:16" ht="15.75" customHeight="1" x14ac:dyDescent="0.25">
      <c r="B45" s="103" t="s">
        <v>188</v>
      </c>
      <c r="C45" s="111">
        <f t="shared" ref="C45:M45" si="7">C13</f>
        <v>4237</v>
      </c>
      <c r="D45" s="111">
        <f t="shared" si="7"/>
        <v>5802</v>
      </c>
      <c r="E45" s="111">
        <f t="shared" si="7"/>
        <v>6098</v>
      </c>
      <c r="F45" s="111">
        <f t="shared" si="7"/>
        <v>6650</v>
      </c>
      <c r="G45" s="111">
        <f t="shared" si="7"/>
        <v>6741</v>
      </c>
      <c r="H45" s="111">
        <f t="shared" si="7"/>
        <v>8706</v>
      </c>
      <c r="I45" s="111">
        <f t="shared" si="7"/>
        <v>7986.6354499999998</v>
      </c>
      <c r="J45" s="111">
        <f t="shared" si="7"/>
        <v>8884.3610017500032</v>
      </c>
      <c r="K45" s="111">
        <f t="shared" si="7"/>
        <v>10213.590735680002</v>
      </c>
      <c r="L45" s="111">
        <f t="shared" si="7"/>
        <v>11646.964131623703</v>
      </c>
      <c r="M45" s="111">
        <f t="shared" si="7"/>
        <v>13279.597875730789</v>
      </c>
      <c r="N45" s="103"/>
      <c r="O45" s="103"/>
    </row>
    <row r="46" spans="2:16" ht="15.75" customHeight="1" x14ac:dyDescent="0.25">
      <c r="B46" s="103" t="s">
        <v>72</v>
      </c>
      <c r="C46" s="112">
        <f>IS!D12</f>
        <v>-0.25957854406130271</v>
      </c>
      <c r="D46" s="112">
        <f>IS!E12</f>
        <v>0.15477651183172655</v>
      </c>
      <c r="E46" s="112">
        <f>IS!F12</f>
        <v>0.20838881491344874</v>
      </c>
      <c r="F46" s="112">
        <f>IS!G12</f>
        <v>0.20164730107368731</v>
      </c>
      <c r="G46" s="112">
        <f>IS!H12</f>
        <v>0.19780695426345404</v>
      </c>
      <c r="H46" s="112">
        <f>IS!I12</f>
        <v>0.18365010304556903</v>
      </c>
      <c r="I46" s="112">
        <f>$H$46</f>
        <v>0.18365010304556903</v>
      </c>
      <c r="J46" s="112">
        <f>$H$46</f>
        <v>0.18365010304556903</v>
      </c>
      <c r="K46" s="112">
        <f>$H$46</f>
        <v>0.18365010304556903</v>
      </c>
      <c r="L46" s="112">
        <f>$H$46</f>
        <v>0.18365010304556903</v>
      </c>
      <c r="M46" s="112">
        <f>$H$46</f>
        <v>0.18365010304556903</v>
      </c>
      <c r="N46" s="79"/>
      <c r="O46" s="79"/>
    </row>
    <row r="47" spans="2:16" ht="15.75" customHeight="1" x14ac:dyDescent="0.25">
      <c r="B47" s="106" t="s">
        <v>189</v>
      </c>
      <c r="C47" s="113">
        <f t="shared" ref="C47:M47" si="8">C45*(1-C46)</f>
        <v>5336.8342911877398</v>
      </c>
      <c r="D47" s="113">
        <f t="shared" si="8"/>
        <v>4903.9866783523221</v>
      </c>
      <c r="E47" s="113">
        <f t="shared" si="8"/>
        <v>4827.2450066577894</v>
      </c>
      <c r="F47" s="113">
        <f t="shared" si="8"/>
        <v>5309.0454478599795</v>
      </c>
      <c r="G47" s="113">
        <f t="shared" si="8"/>
        <v>5407.5833213100559</v>
      </c>
      <c r="H47" s="113">
        <f t="shared" si="8"/>
        <v>7107.1422028852758</v>
      </c>
      <c r="I47" s="114">
        <f t="shared" si="8"/>
        <v>6519.8890266201051</v>
      </c>
      <c r="J47" s="114">
        <f t="shared" si="8"/>
        <v>7252.7471882845803</v>
      </c>
      <c r="K47" s="114">
        <f t="shared" si="8"/>
        <v>8337.8637446071007</v>
      </c>
      <c r="L47" s="114">
        <f t="shared" si="8"/>
        <v>9507.9979686829629</v>
      </c>
      <c r="M47" s="114">
        <f t="shared" si="8"/>
        <v>10840.79835744911</v>
      </c>
      <c r="N47" s="103"/>
      <c r="O47" s="103"/>
    </row>
    <row r="48" spans="2:16" ht="15.75" customHeight="1" x14ac:dyDescent="0.25">
      <c r="B48" s="115" t="s">
        <v>190</v>
      </c>
      <c r="C48" s="116">
        <f t="shared" ref="C48:M48" si="9">C15</f>
        <v>757</v>
      </c>
      <c r="D48" s="116">
        <f t="shared" si="9"/>
        <v>788</v>
      </c>
      <c r="E48" s="116">
        <f t="shared" si="9"/>
        <v>856</v>
      </c>
      <c r="F48" s="116">
        <f t="shared" si="9"/>
        <v>872</v>
      </c>
      <c r="G48" s="116">
        <f t="shared" si="9"/>
        <v>857</v>
      </c>
      <c r="H48" s="116">
        <f t="shared" si="9"/>
        <v>818</v>
      </c>
      <c r="I48" s="116">
        <f t="shared" si="9"/>
        <v>901.16935588371416</v>
      </c>
      <c r="J48" s="116">
        <f t="shared" si="9"/>
        <v>965.42157599974348</v>
      </c>
      <c r="K48" s="116">
        <f t="shared" si="9"/>
        <v>1034.5912145801103</v>
      </c>
      <c r="L48" s="116">
        <f t="shared" si="9"/>
        <v>1108.7406423613259</v>
      </c>
      <c r="M48" s="116">
        <f t="shared" si="9"/>
        <v>1187.9214912546499</v>
      </c>
      <c r="N48" s="103"/>
      <c r="O48" s="103"/>
    </row>
    <row r="49" spans="2:15" ht="15.75" customHeight="1" x14ac:dyDescent="0.25">
      <c r="B49" s="90" t="s">
        <v>191</v>
      </c>
      <c r="C49" s="117">
        <v>0</v>
      </c>
      <c r="D49" s="117">
        <f t="shared" ref="D49:M49" si="10">(D21-C21)*-1</f>
        <v>-480</v>
      </c>
      <c r="E49" s="117">
        <f t="shared" si="10"/>
        <v>-187</v>
      </c>
      <c r="F49" s="117">
        <f t="shared" si="10"/>
        <v>-159</v>
      </c>
      <c r="G49" s="117">
        <f t="shared" si="10"/>
        <v>152</v>
      </c>
      <c r="H49" s="117">
        <f t="shared" si="10"/>
        <v>-272</v>
      </c>
      <c r="I49" s="117">
        <f t="shared" si="10"/>
        <v>-573.34031745947823</v>
      </c>
      <c r="J49" s="117">
        <f t="shared" si="10"/>
        <v>-301.53495624606694</v>
      </c>
      <c r="K49" s="117">
        <f t="shared" si="10"/>
        <v>-337.04114944745879</v>
      </c>
      <c r="L49" s="117">
        <f t="shared" si="10"/>
        <v>-376.15927407753952</v>
      </c>
      <c r="M49" s="117">
        <f t="shared" si="10"/>
        <v>-419.32501982911708</v>
      </c>
      <c r="N49" s="103"/>
      <c r="O49" s="103"/>
    </row>
    <row r="50" spans="2:15" ht="15.75" customHeight="1" x14ac:dyDescent="0.25">
      <c r="B50" s="90" t="s">
        <v>192</v>
      </c>
      <c r="C50" s="117">
        <v>0</v>
      </c>
      <c r="D50" s="117">
        <f t="shared" ref="D50:M50" si="11">(D22-C22)*-1</f>
        <v>-237</v>
      </c>
      <c r="E50" s="117">
        <f t="shared" si="11"/>
        <v>158</v>
      </c>
      <c r="F50" s="117">
        <f t="shared" si="11"/>
        <v>-183</v>
      </c>
      <c r="G50" s="117">
        <f t="shared" si="11"/>
        <v>-256</v>
      </c>
      <c r="H50" s="117">
        <f t="shared" si="11"/>
        <v>50</v>
      </c>
      <c r="I50" s="117">
        <f t="shared" si="11"/>
        <v>-220.90828733138869</v>
      </c>
      <c r="J50" s="117">
        <f t="shared" si="11"/>
        <v>-149.34505741156204</v>
      </c>
      <c r="K50" s="117">
        <f t="shared" si="11"/>
        <v>-166.93066184078953</v>
      </c>
      <c r="L50" s="117">
        <f t="shared" si="11"/>
        <v>-186.30519354166699</v>
      </c>
      <c r="M50" s="117">
        <f t="shared" si="11"/>
        <v>-207.68444209625727</v>
      </c>
      <c r="N50" s="103"/>
      <c r="O50" s="103"/>
    </row>
    <row r="51" spans="2:15" ht="15.75" customHeight="1" x14ac:dyDescent="0.25">
      <c r="B51" s="90" t="s">
        <v>193</v>
      </c>
      <c r="C51" s="117">
        <v>0</v>
      </c>
      <c r="D51" s="117">
        <f t="shared" ref="D51:M51" si="12">(D24-C24)</f>
        <v>320</v>
      </c>
      <c r="E51" s="117">
        <f t="shared" si="12"/>
        <v>121</v>
      </c>
      <c r="F51" s="117">
        <f t="shared" si="12"/>
        <v>87</v>
      </c>
      <c r="G51" s="117">
        <f t="shared" si="12"/>
        <v>441</v>
      </c>
      <c r="H51" s="117">
        <f t="shared" si="12"/>
        <v>368</v>
      </c>
      <c r="I51" s="117">
        <f t="shared" si="12"/>
        <v>170.22459855709485</v>
      </c>
      <c r="J51" s="117">
        <f t="shared" si="12"/>
        <v>334.39132964152805</v>
      </c>
      <c r="K51" s="117">
        <f t="shared" si="12"/>
        <v>373.76641007310991</v>
      </c>
      <c r="L51" s="117">
        <f t="shared" si="12"/>
        <v>417.14699145240866</v>
      </c>
      <c r="M51" s="117">
        <f t="shared" si="12"/>
        <v>465.01623784604726</v>
      </c>
      <c r="N51" s="103"/>
      <c r="O51" s="103"/>
    </row>
    <row r="52" spans="2:15" ht="15.75" customHeight="1" x14ac:dyDescent="0.25">
      <c r="B52" s="90" t="s">
        <v>173</v>
      </c>
      <c r="C52" s="117">
        <f t="shared" ref="C52:M52" si="13">C28</f>
        <v>-419</v>
      </c>
      <c r="D52" s="117">
        <f t="shared" si="13"/>
        <v>-348</v>
      </c>
      <c r="E52" s="117">
        <f t="shared" si="13"/>
        <v>-442</v>
      </c>
      <c r="F52" s="117">
        <f t="shared" si="13"/>
        <v>-360</v>
      </c>
      <c r="G52" s="117">
        <f t="shared" si="13"/>
        <v>-183</v>
      </c>
      <c r="H52" s="117">
        <f t="shared" si="13"/>
        <v>-179</v>
      </c>
      <c r="I52" s="117">
        <f t="shared" si="13"/>
        <v>-197.19965122638732</v>
      </c>
      <c r="J52" s="117">
        <f t="shared" si="13"/>
        <v>-188.68988576877027</v>
      </c>
      <c r="K52" s="117">
        <f t="shared" si="13"/>
        <v>-176.52970587923929</v>
      </c>
      <c r="L52" s="117">
        <f t="shared" si="13"/>
        <v>-159.90990406742566</v>
      </c>
      <c r="M52" s="117">
        <f t="shared" si="13"/>
        <v>-137.90539978207286</v>
      </c>
      <c r="N52" s="103"/>
      <c r="O52" s="103"/>
    </row>
    <row r="53" spans="2:15" ht="15.75" customHeight="1" x14ac:dyDescent="0.25">
      <c r="B53" s="90" t="s">
        <v>194</v>
      </c>
      <c r="C53" s="117">
        <f t="shared" ref="C53:M53" si="14">SUM(C47:C52)</f>
        <v>5674.8342911877398</v>
      </c>
      <c r="D53" s="117">
        <f t="shared" si="14"/>
        <v>4946.9866783523221</v>
      </c>
      <c r="E53" s="117">
        <f t="shared" si="14"/>
        <v>5333.2450066577894</v>
      </c>
      <c r="F53" s="117">
        <f t="shared" si="14"/>
        <v>5566.0454478599795</v>
      </c>
      <c r="G53" s="117">
        <f t="shared" si="14"/>
        <v>6418.5833213100559</v>
      </c>
      <c r="H53" s="117">
        <f t="shared" si="14"/>
        <v>7892.1422028852758</v>
      </c>
      <c r="I53" s="117">
        <f t="shared" si="14"/>
        <v>6599.8347250436591</v>
      </c>
      <c r="J53" s="117">
        <f t="shared" si="14"/>
        <v>7912.9901944994526</v>
      </c>
      <c r="K53" s="117">
        <f t="shared" si="14"/>
        <v>9065.7198520928323</v>
      </c>
      <c r="L53" s="117">
        <f t="shared" si="14"/>
        <v>10311.511230810065</v>
      </c>
      <c r="M53" s="117">
        <f t="shared" si="14"/>
        <v>11728.821224842361</v>
      </c>
      <c r="N53" s="103"/>
      <c r="O53" s="103"/>
    </row>
    <row r="54" spans="2:15" ht="15.75" customHeight="1" x14ac:dyDescent="0.25">
      <c r="B54" s="115"/>
      <c r="C54" s="118"/>
      <c r="D54" s="118"/>
      <c r="E54" s="118"/>
      <c r="F54" s="118"/>
      <c r="G54" s="118"/>
      <c r="H54" s="118"/>
      <c r="I54" s="118"/>
      <c r="J54" s="118"/>
      <c r="K54" s="118"/>
      <c r="L54" s="118"/>
      <c r="M54" s="118"/>
      <c r="N54" s="103"/>
      <c r="O54" s="103"/>
    </row>
    <row r="55" spans="2:15" ht="15.75" customHeight="1" x14ac:dyDescent="0.25">
      <c r="B55" s="106" t="s">
        <v>195</v>
      </c>
      <c r="C55" s="119"/>
      <c r="D55" s="119"/>
      <c r="E55" s="119"/>
      <c r="F55" s="119"/>
      <c r="G55" s="119"/>
      <c r="H55" s="119"/>
      <c r="I55" s="120">
        <f>$E$83</f>
        <v>0.10297180548836889</v>
      </c>
      <c r="J55" s="120">
        <f>$E$83</f>
        <v>0.10297180548836889</v>
      </c>
      <c r="K55" s="120">
        <f>$E$83</f>
        <v>0.10297180548836889</v>
      </c>
      <c r="L55" s="120">
        <f>$E$83</f>
        <v>0.10297180548836889</v>
      </c>
      <c r="M55" s="120">
        <f>$E$83</f>
        <v>0.10297180548836889</v>
      </c>
      <c r="N55" s="121"/>
      <c r="O55" s="103"/>
    </row>
    <row r="56" spans="2:15" ht="15.75" customHeight="1" x14ac:dyDescent="0.25">
      <c r="B56" s="90" t="s">
        <v>196</v>
      </c>
      <c r="C56" s="122"/>
      <c r="D56" s="123"/>
      <c r="E56" s="123"/>
      <c r="F56" s="124"/>
      <c r="G56" s="124"/>
      <c r="H56" s="125"/>
      <c r="I56" s="126">
        <f ca="1">I53/(1+I55)^I43</f>
        <v>6541.6118390902529</v>
      </c>
      <c r="J56" s="126">
        <f ca="1">J53/(1+J55)^J43</f>
        <v>7402.2175302011856</v>
      </c>
      <c r="K56" s="126">
        <f ca="1">K53/(1+K55)^K43</f>
        <v>7688.8094756183409</v>
      </c>
      <c r="L56" s="126">
        <f ca="1">L53/(1+L55)^L43</f>
        <v>7928.932363195524</v>
      </c>
      <c r="M56" s="126">
        <f ca="1">M53/(1+M55)^M43</f>
        <v>8176.7806904253393</v>
      </c>
      <c r="N56" s="121"/>
      <c r="O56" s="103"/>
    </row>
    <row r="57" spans="2:15" ht="15.75" customHeight="1" x14ac:dyDescent="0.25">
      <c r="B57" s="90" t="s">
        <v>197</v>
      </c>
      <c r="C57" s="111">
        <f ca="1">SUM(I56:M56)</f>
        <v>37738.351898530644</v>
      </c>
      <c r="E57" s="111"/>
      <c r="F57" s="111"/>
      <c r="G57" s="111"/>
      <c r="H57" s="127"/>
      <c r="I57" s="127"/>
      <c r="J57" s="127"/>
      <c r="K57" s="127"/>
      <c r="L57" s="127"/>
      <c r="M57" s="103"/>
      <c r="N57" s="103"/>
      <c r="O57" s="103"/>
    </row>
    <row r="58" spans="2:15" ht="15.75" customHeight="1" x14ac:dyDescent="0.25">
      <c r="B58" s="106"/>
      <c r="C58" s="114"/>
      <c r="E58" s="119"/>
      <c r="F58" s="103"/>
      <c r="G58" s="103"/>
      <c r="H58" s="125"/>
      <c r="I58" s="125"/>
      <c r="J58" s="125"/>
      <c r="K58" s="125"/>
      <c r="L58" s="125"/>
      <c r="M58" s="103"/>
      <c r="N58" s="103"/>
      <c r="O58" s="103"/>
    </row>
    <row r="59" spans="2:15" ht="15.75" customHeight="1" x14ac:dyDescent="0.3">
      <c r="B59" s="71" t="s">
        <v>198</v>
      </c>
      <c r="C59" s="71"/>
      <c r="D59" s="71"/>
      <c r="E59" s="71"/>
      <c r="F59" s="71"/>
      <c r="G59" s="71"/>
      <c r="H59" s="71"/>
      <c r="I59" s="71"/>
      <c r="J59" s="71"/>
      <c r="K59" s="71"/>
      <c r="L59" s="71"/>
      <c r="M59" s="71"/>
      <c r="N59" s="103"/>
      <c r="O59" s="103"/>
    </row>
    <row r="60" spans="2:15" ht="18.75" customHeight="1" x14ac:dyDescent="0.25">
      <c r="B60" s="103" t="s">
        <v>199</v>
      </c>
      <c r="N60" s="103"/>
      <c r="O60" s="103"/>
    </row>
    <row r="61" spans="2:15" ht="15.75" customHeight="1" x14ac:dyDescent="0.25">
      <c r="B61" s="104" t="s">
        <v>200</v>
      </c>
      <c r="C61" s="128">
        <v>0.01</v>
      </c>
      <c r="D61" s="129"/>
      <c r="E61" s="129"/>
      <c r="F61" s="130"/>
      <c r="G61" s="130"/>
      <c r="H61" s="130"/>
      <c r="I61" s="129"/>
      <c r="J61" s="130"/>
      <c r="K61" s="103"/>
      <c r="L61" s="103"/>
      <c r="M61" s="103"/>
      <c r="N61" s="103"/>
      <c r="O61" s="103"/>
    </row>
    <row r="62" spans="2:15" ht="15.75" customHeight="1" x14ac:dyDescent="0.25">
      <c r="B62" s="103" t="s">
        <v>201</v>
      </c>
      <c r="C62" s="128">
        <f>E83</f>
        <v>0.10297180548836889</v>
      </c>
      <c r="E62" s="131"/>
      <c r="G62" s="132"/>
      <c r="H62" s="132"/>
      <c r="I62" s="132"/>
      <c r="J62" s="132"/>
      <c r="K62" s="132"/>
      <c r="L62" s="103"/>
      <c r="M62" s="103"/>
      <c r="N62" s="103"/>
      <c r="O62" s="103"/>
    </row>
    <row r="63" spans="2:15" ht="15.75" customHeight="1" x14ac:dyDescent="0.25">
      <c r="B63" s="103" t="s">
        <v>202</v>
      </c>
      <c r="C63" s="116">
        <f>M53*(1+C61)</f>
        <v>11846.109437090785</v>
      </c>
      <c r="E63" s="133"/>
      <c r="F63" s="134"/>
      <c r="G63" s="135"/>
      <c r="H63" s="135"/>
      <c r="I63" s="135"/>
      <c r="J63" s="135"/>
      <c r="K63" s="135"/>
      <c r="L63" s="103"/>
      <c r="M63" s="103"/>
      <c r="N63" s="103"/>
      <c r="O63" s="103"/>
    </row>
    <row r="64" spans="2:15" ht="15.75" customHeight="1" x14ac:dyDescent="0.25">
      <c r="B64" s="103" t="s">
        <v>198</v>
      </c>
      <c r="C64" s="116">
        <f>IFERROR(C63/(C62-C61),"")</f>
        <v>127416.14917409317</v>
      </c>
      <c r="E64" s="129"/>
      <c r="F64" s="130"/>
      <c r="G64" s="136"/>
      <c r="H64" s="136"/>
      <c r="I64" s="136"/>
      <c r="J64" s="137"/>
      <c r="K64" s="136"/>
      <c r="L64" s="103"/>
      <c r="M64" s="103"/>
      <c r="N64" s="103"/>
      <c r="O64" s="103"/>
    </row>
    <row r="65" spans="2:15" ht="15.75" customHeight="1" x14ac:dyDescent="0.25">
      <c r="B65" s="103" t="s">
        <v>203</v>
      </c>
      <c r="C65" s="116">
        <f ca="1">IFERROR(C64/(1+C62)^C66,"")</f>
        <v>84580.500949722831</v>
      </c>
      <c r="E65" s="129"/>
      <c r="F65" s="130"/>
      <c r="G65" s="130"/>
      <c r="H65" s="130"/>
      <c r="I65" s="129"/>
      <c r="J65" s="130"/>
      <c r="K65" s="103"/>
      <c r="L65" s="103"/>
      <c r="M65" s="103"/>
      <c r="N65" s="103"/>
      <c r="O65" s="103"/>
    </row>
    <row r="66" spans="2:15" ht="15.75" customHeight="1" x14ac:dyDescent="0.25">
      <c r="B66" s="103" t="s">
        <v>204</v>
      </c>
      <c r="C66" s="116">
        <f ca="1">$F$7+4</f>
        <v>4.1808219178082195</v>
      </c>
      <c r="E66" s="138"/>
      <c r="F66" s="130"/>
      <c r="G66" s="130"/>
      <c r="H66" s="130"/>
      <c r="I66" s="138"/>
      <c r="J66" s="130"/>
      <c r="K66" s="103"/>
      <c r="L66" s="103"/>
      <c r="M66" s="103"/>
      <c r="N66" s="103"/>
      <c r="O66" s="103"/>
    </row>
    <row r="67" spans="2:15" ht="15.75" customHeight="1" x14ac:dyDescent="0.25">
      <c r="B67" s="103"/>
      <c r="C67" s="139"/>
      <c r="D67" s="140"/>
      <c r="E67" s="130"/>
      <c r="F67" s="130"/>
      <c r="G67" s="130"/>
      <c r="H67" s="130"/>
      <c r="I67" s="130"/>
      <c r="J67" s="130"/>
      <c r="K67" s="103"/>
      <c r="L67" s="103"/>
      <c r="M67" s="103"/>
      <c r="N67" s="103"/>
      <c r="O67" s="103"/>
    </row>
    <row r="68" spans="2:15" ht="18.75" customHeight="1" x14ac:dyDescent="0.3">
      <c r="B68" s="71" t="s">
        <v>201</v>
      </c>
      <c r="C68" s="70"/>
      <c r="D68" s="70"/>
      <c r="E68" s="70"/>
      <c r="F68" s="70"/>
      <c r="G68" s="70"/>
      <c r="H68" s="70"/>
      <c r="I68" s="70"/>
      <c r="J68" s="70"/>
      <c r="K68" s="70"/>
      <c r="L68" s="70"/>
      <c r="M68" s="70"/>
      <c r="N68" s="103"/>
      <c r="O68" s="103"/>
    </row>
    <row r="69" spans="2:15" ht="15.75" customHeight="1" x14ac:dyDescent="0.25">
      <c r="B69" s="103" t="s">
        <v>205</v>
      </c>
      <c r="C69" s="103"/>
      <c r="D69" s="103"/>
      <c r="E69" s="141">
        <f>F5</f>
        <v>293.12</v>
      </c>
      <c r="G69" s="103"/>
      <c r="H69" s="103"/>
      <c r="I69" s="103"/>
      <c r="J69" s="103"/>
      <c r="K69" s="103"/>
      <c r="L69" s="103"/>
      <c r="M69" s="103"/>
      <c r="N69" s="103"/>
      <c r="O69" s="103"/>
    </row>
    <row r="70" spans="2:15" ht="15.75" customHeight="1" x14ac:dyDescent="0.25">
      <c r="B70" s="103" t="s">
        <v>159</v>
      </c>
      <c r="C70" s="103"/>
      <c r="D70" s="103"/>
      <c r="E70" s="142">
        <f>F6</f>
        <v>395</v>
      </c>
      <c r="G70" s="103"/>
      <c r="H70" s="103"/>
      <c r="I70" s="103"/>
      <c r="J70" s="103"/>
      <c r="K70" s="125"/>
      <c r="L70" s="103"/>
      <c r="M70" s="103"/>
      <c r="N70" s="103"/>
      <c r="O70" s="103"/>
    </row>
    <row r="71" spans="2:15" ht="15.75" customHeight="1" x14ac:dyDescent="0.25">
      <c r="B71" s="103" t="s">
        <v>206</v>
      </c>
      <c r="C71" s="103"/>
      <c r="D71" s="103"/>
      <c r="E71" s="128">
        <v>5.2999999999999999E-2</v>
      </c>
      <c r="G71" s="103"/>
      <c r="H71" s="103"/>
      <c r="I71" s="103"/>
      <c r="J71" s="103" t="s">
        <v>207</v>
      </c>
      <c r="K71" s="87">
        <v>4.2799999999999998E-2</v>
      </c>
      <c r="L71" s="103" t="s">
        <v>208</v>
      </c>
      <c r="M71" s="103"/>
      <c r="N71" s="103"/>
      <c r="O71" s="103"/>
    </row>
    <row r="72" spans="2:15" ht="15.75" customHeight="1" x14ac:dyDescent="0.25">
      <c r="B72" s="103" t="s">
        <v>209</v>
      </c>
      <c r="C72" s="103"/>
      <c r="D72" s="103"/>
      <c r="E72" s="143">
        <f>H46</f>
        <v>0.18365010304556903</v>
      </c>
      <c r="G72" s="103"/>
      <c r="H72" s="103"/>
      <c r="I72" s="103"/>
      <c r="J72" s="103" t="s">
        <v>210</v>
      </c>
      <c r="K72" s="87">
        <v>4.6332999999999999E-2</v>
      </c>
      <c r="L72" s="103" t="s">
        <v>211</v>
      </c>
      <c r="M72" s="103"/>
      <c r="N72" s="103"/>
      <c r="O72" s="103"/>
    </row>
    <row r="73" spans="2:15" ht="15.75" customHeight="1" x14ac:dyDescent="0.25">
      <c r="B73" s="103" t="s">
        <v>212</v>
      </c>
      <c r="C73" s="103"/>
      <c r="D73" s="103"/>
      <c r="E73" s="144">
        <f>E71*(1-E72)</f>
        <v>4.326654453858484E-2</v>
      </c>
      <c r="G73" s="103"/>
      <c r="H73" s="103"/>
      <c r="I73" s="103"/>
      <c r="J73" s="103" t="s">
        <v>213</v>
      </c>
      <c r="K73" s="145">
        <v>1.4</v>
      </c>
      <c r="L73" s="103" t="s">
        <v>214</v>
      </c>
      <c r="M73" s="103"/>
      <c r="N73" s="103"/>
      <c r="O73" s="103"/>
    </row>
    <row r="74" spans="2:15" ht="15.75" customHeight="1" x14ac:dyDescent="0.25">
      <c r="B74" s="103" t="s">
        <v>215</v>
      </c>
      <c r="C74" s="103"/>
      <c r="D74" s="103"/>
      <c r="E74" s="128">
        <f>K75</f>
        <v>0.10625299999999999</v>
      </c>
      <c r="G74" s="103"/>
      <c r="H74" s="103"/>
      <c r="I74" s="103"/>
      <c r="J74" s="103"/>
      <c r="K74" s="103"/>
      <c r="L74" s="103"/>
      <c r="M74" s="103"/>
      <c r="N74" s="103"/>
      <c r="O74" s="103"/>
    </row>
    <row r="75" spans="2:15" ht="15.75" customHeight="1" x14ac:dyDescent="0.25">
      <c r="B75" s="103"/>
      <c r="C75" s="140"/>
      <c r="D75" s="103"/>
      <c r="E75" s="103"/>
      <c r="G75" s="103"/>
      <c r="H75" s="103"/>
      <c r="I75" s="103"/>
      <c r="J75" s="103" t="s">
        <v>216</v>
      </c>
      <c r="K75" s="125">
        <f>K72+K73*K71</f>
        <v>0.10625299999999999</v>
      </c>
      <c r="L75" s="103"/>
      <c r="M75" s="103"/>
      <c r="N75" s="103"/>
      <c r="O75" s="103"/>
    </row>
    <row r="76" spans="2:15" ht="15.75" customHeight="1" x14ac:dyDescent="0.25">
      <c r="B76" s="103" t="s">
        <v>217</v>
      </c>
      <c r="C76" s="103"/>
      <c r="D76" s="103"/>
      <c r="E76" s="146">
        <f>Main!C7</f>
        <v>6363</v>
      </c>
      <c r="G76" s="103"/>
      <c r="H76" s="103"/>
      <c r="I76" s="103"/>
      <c r="J76" s="147" t="s">
        <v>218</v>
      </c>
      <c r="K76" s="103"/>
      <c r="L76" s="103"/>
      <c r="M76" s="103"/>
      <c r="N76" s="103"/>
      <c r="O76" s="103"/>
    </row>
    <row r="77" spans="2:15" ht="15.75" customHeight="1" x14ac:dyDescent="0.25">
      <c r="B77" s="103" t="s">
        <v>219</v>
      </c>
      <c r="C77" s="103"/>
      <c r="D77" s="103"/>
      <c r="E77" s="146">
        <f>Main!C5</f>
        <v>115782.40000000001</v>
      </c>
      <c r="G77" s="103"/>
      <c r="H77" s="103"/>
      <c r="I77" s="103"/>
      <c r="J77" s="103"/>
      <c r="K77" s="103"/>
      <c r="L77" s="103"/>
      <c r="M77" s="103"/>
      <c r="N77" s="103"/>
      <c r="O77" s="103"/>
    </row>
    <row r="78" spans="2:15" ht="15.75" customHeight="1" x14ac:dyDescent="0.25">
      <c r="B78" s="148" t="s">
        <v>220</v>
      </c>
      <c r="C78" s="103"/>
      <c r="D78" s="103"/>
      <c r="E78" s="114">
        <f>SUM(E76:E77)</f>
        <v>122145.40000000001</v>
      </c>
      <c r="G78" s="103"/>
      <c r="H78" s="103"/>
      <c r="I78" s="103"/>
      <c r="J78" s="103"/>
      <c r="K78" s="103"/>
      <c r="L78" s="103"/>
      <c r="M78" s="103"/>
      <c r="N78" s="103"/>
      <c r="O78" s="103"/>
    </row>
    <row r="79" spans="2:15" ht="15.75" customHeight="1" x14ac:dyDescent="0.25">
      <c r="B79" s="148"/>
      <c r="C79" s="103"/>
      <c r="D79" s="103"/>
      <c r="E79" s="149"/>
      <c r="G79" s="103"/>
      <c r="H79" s="103"/>
      <c r="I79" s="103"/>
      <c r="J79" s="103"/>
      <c r="K79" s="103"/>
      <c r="L79" s="103"/>
      <c r="M79" s="103"/>
      <c r="N79" s="103"/>
      <c r="O79" s="103"/>
    </row>
    <row r="80" spans="2:15" ht="15.75" customHeight="1" x14ac:dyDescent="0.25">
      <c r="B80" s="103" t="s">
        <v>221</v>
      </c>
      <c r="C80" s="103"/>
      <c r="D80" s="103"/>
      <c r="E80" s="150">
        <f>E76/E78</f>
        <v>5.2093652319285047E-2</v>
      </c>
      <c r="G80" s="103"/>
      <c r="H80" s="103"/>
      <c r="I80" s="103"/>
      <c r="J80" s="103"/>
      <c r="K80" s="103"/>
      <c r="L80" s="103"/>
      <c r="M80" s="103"/>
      <c r="N80" s="103"/>
      <c r="O80" s="103"/>
    </row>
    <row r="81" spans="2:15" ht="15.75" customHeight="1" x14ac:dyDescent="0.25">
      <c r="B81" s="103" t="s">
        <v>222</v>
      </c>
      <c r="C81" s="103"/>
      <c r="D81" s="103"/>
      <c r="E81" s="150">
        <f>E77/E78</f>
        <v>0.94790634768071491</v>
      </c>
      <c r="G81" s="103"/>
      <c r="H81" s="103"/>
      <c r="I81" s="103"/>
      <c r="J81" s="103"/>
      <c r="K81" s="103"/>
      <c r="L81" s="103"/>
      <c r="M81" s="103"/>
      <c r="N81" s="103"/>
      <c r="O81" s="103"/>
    </row>
    <row r="82" spans="2:15" ht="15.75" customHeight="1" x14ac:dyDescent="0.25">
      <c r="B82" s="148"/>
      <c r="C82" s="103"/>
      <c r="D82" s="103"/>
      <c r="E82" s="149"/>
      <c r="G82" s="103"/>
      <c r="H82" s="103"/>
      <c r="I82" s="103"/>
      <c r="J82" s="103"/>
      <c r="K82" s="103"/>
      <c r="L82" s="103"/>
      <c r="M82" s="103"/>
      <c r="N82" s="103"/>
      <c r="O82" s="103"/>
    </row>
    <row r="83" spans="2:15" ht="15.75" customHeight="1" x14ac:dyDescent="0.25">
      <c r="B83" s="106" t="s">
        <v>223</v>
      </c>
      <c r="C83" s="106"/>
      <c r="D83" s="106"/>
      <c r="E83" s="151">
        <f>E80*E73+E81*E74</f>
        <v>0.10297180548836889</v>
      </c>
      <c r="G83" s="103"/>
      <c r="H83" s="103"/>
      <c r="I83" s="103"/>
      <c r="J83" s="103"/>
      <c r="K83" s="103"/>
      <c r="L83" s="103"/>
      <c r="M83" s="103"/>
      <c r="N83" s="103"/>
      <c r="O83" s="103"/>
    </row>
    <row r="84" spans="2:15" ht="15.75" customHeight="1" x14ac:dyDescent="0.25">
      <c r="B84" s="103"/>
      <c r="C84" s="140"/>
      <c r="D84" s="140"/>
      <c r="E84" s="140"/>
      <c r="F84" s="103"/>
      <c r="G84" s="103"/>
      <c r="H84" s="103"/>
      <c r="I84" s="103"/>
      <c r="J84" s="103"/>
      <c r="K84" s="103"/>
      <c r="L84" s="103"/>
      <c r="M84" s="103"/>
      <c r="N84" s="103"/>
      <c r="O84" s="103"/>
    </row>
    <row r="85" spans="2:15" ht="18.75" customHeight="1" x14ac:dyDescent="0.3">
      <c r="B85" s="71" t="s">
        <v>224</v>
      </c>
      <c r="C85" s="71"/>
      <c r="D85" s="71"/>
      <c r="E85" s="71"/>
      <c r="F85" s="71"/>
      <c r="G85" s="71"/>
      <c r="H85" s="71"/>
      <c r="I85" s="71"/>
      <c r="J85" s="71"/>
      <c r="K85" s="71"/>
      <c r="L85" s="71"/>
      <c r="M85" s="103"/>
      <c r="N85" s="103"/>
      <c r="O85" s="103"/>
    </row>
    <row r="86" spans="2:15" ht="15.75" customHeight="1" x14ac:dyDescent="0.25">
      <c r="B86" s="103" t="s">
        <v>225</v>
      </c>
      <c r="C86" s="152"/>
      <c r="D86" s="111">
        <f ca="1">IFERROR(C65+C57,"")</f>
        <v>122318.85284825347</v>
      </c>
      <c r="E86" s="152"/>
      <c r="G86" s="103"/>
      <c r="H86" s="103"/>
      <c r="I86" s="103"/>
      <c r="J86" s="103"/>
      <c r="K86" s="103"/>
      <c r="L86" s="103"/>
      <c r="M86" s="103"/>
      <c r="N86" s="103"/>
      <c r="O86" s="103"/>
    </row>
    <row r="87" spans="2:15" ht="15.75" customHeight="1" x14ac:dyDescent="0.25">
      <c r="B87" s="103" t="s">
        <v>226</v>
      </c>
      <c r="C87" s="153"/>
      <c r="D87" s="154">
        <f>I88-I89</f>
        <v>724</v>
      </c>
      <c r="E87" s="90" t="s">
        <v>227</v>
      </c>
      <c r="F87" s="152"/>
      <c r="I87" s="103"/>
      <c r="M87" s="103"/>
      <c r="N87" s="103"/>
      <c r="O87" s="103"/>
    </row>
    <row r="88" spans="2:15" ht="15.75" customHeight="1" x14ac:dyDescent="0.25">
      <c r="B88" s="106" t="s">
        <v>228</v>
      </c>
      <c r="C88" s="103"/>
      <c r="D88" s="114">
        <f ca="1">IFERROR(D86-D87,"")</f>
        <v>121594.85284825347</v>
      </c>
      <c r="E88" s="90"/>
      <c r="F88" s="153"/>
      <c r="H88" s="103" t="s">
        <v>6</v>
      </c>
      <c r="I88" s="155">
        <f>Main!C7</f>
        <v>6363</v>
      </c>
      <c r="L88" s="103"/>
      <c r="M88" s="103"/>
      <c r="N88" s="103"/>
      <c r="O88" s="103"/>
    </row>
    <row r="89" spans="2:15" ht="15.75" customHeight="1" x14ac:dyDescent="0.25">
      <c r="B89" s="103" t="s">
        <v>159</v>
      </c>
      <c r="C89" s="103"/>
      <c r="D89" s="156">
        <f>F6</f>
        <v>395</v>
      </c>
      <c r="E89" s="148"/>
      <c r="F89" s="157"/>
      <c r="H89" s="103" t="s">
        <v>5</v>
      </c>
      <c r="I89" s="155">
        <f>Main!C6</f>
        <v>5639</v>
      </c>
      <c r="L89" s="103"/>
      <c r="M89" s="103"/>
      <c r="N89" s="103"/>
      <c r="O89" s="103"/>
    </row>
    <row r="90" spans="2:15" ht="15.75" customHeight="1" x14ac:dyDescent="0.25">
      <c r="B90" s="158" t="s">
        <v>229</v>
      </c>
      <c r="C90" s="108"/>
      <c r="D90" s="159">
        <f ca="1">IFERROR(D88/D89,"")</f>
        <v>307.83507050190752</v>
      </c>
      <c r="E90" s="160"/>
      <c r="F90" s="161"/>
      <c r="I90" s="103"/>
      <c r="J90" s="103"/>
      <c r="K90" s="103"/>
      <c r="L90" s="103"/>
      <c r="M90" s="103"/>
      <c r="N90" s="103"/>
      <c r="O90" s="103"/>
    </row>
    <row r="91" spans="2:15" ht="15.75" customHeight="1" x14ac:dyDescent="0.25">
      <c r="B91" s="103"/>
      <c r="C91" s="103"/>
      <c r="D91" s="103"/>
      <c r="G91" s="148"/>
      <c r="O91" s="103"/>
    </row>
    <row r="92" spans="2:15" ht="15.75" customHeight="1" x14ac:dyDescent="0.25">
      <c r="B92" s="103"/>
      <c r="C92" s="103" t="s">
        <v>230</v>
      </c>
      <c r="D92" s="120">
        <f ca="1">(D90-F5)/F5</f>
        <v>5.0201523273429034E-2</v>
      </c>
      <c r="E92" s="140"/>
      <c r="F92" s="140"/>
      <c r="G92" s="140"/>
      <c r="O92" s="140"/>
    </row>
    <row r="93" spans="2:15" ht="15.75" customHeight="1" x14ac:dyDescent="0.25">
      <c r="B93" s="103"/>
      <c r="C93" s="162"/>
    </row>
    <row r="94" spans="2:15" ht="15.75" customHeight="1" x14ac:dyDescent="0.25">
      <c r="B94" s="103"/>
      <c r="C94" s="162"/>
      <c r="E94" s="162"/>
    </row>
    <row r="95" spans="2:15" ht="15.75" customHeight="1" x14ac:dyDescent="0.25">
      <c r="B95" s="163"/>
      <c r="C95" s="162"/>
    </row>
    <row r="96" spans="2:15" ht="15.75" customHeight="1" x14ac:dyDescent="0.25">
      <c r="B96" s="163"/>
      <c r="C96" s="103"/>
    </row>
    <row r="97" spans="2:15" ht="15.75" customHeight="1" x14ac:dyDescent="0.25">
      <c r="B97" s="163"/>
    </row>
    <row r="98" spans="2:15" ht="15.75" customHeight="1" x14ac:dyDescent="0.25">
      <c r="B98" s="163"/>
    </row>
    <row r="99" spans="2:15" ht="15.75" customHeight="1" x14ac:dyDescent="0.25">
      <c r="B99" s="163"/>
      <c r="O99" s="164"/>
    </row>
    <row r="100" spans="2:15" ht="15.75" customHeight="1" x14ac:dyDescent="0.25">
      <c r="B100" s="163"/>
    </row>
    <row r="101" spans="2:15" ht="15.75" customHeight="1" x14ac:dyDescent="0.25">
      <c r="B101" s="163"/>
    </row>
    <row r="102" spans="2:15" ht="15.75" customHeight="1" x14ac:dyDescent="0.25">
      <c r="B102" s="163"/>
    </row>
    <row r="111" spans="2:15" ht="15.75" customHeight="1" x14ac:dyDescent="0.25">
      <c r="C111" s="163"/>
      <c r="D111" s="163"/>
      <c r="E111" s="163"/>
      <c r="F111" s="163"/>
      <c r="G111" s="163"/>
    </row>
    <row r="112" spans="2:15" ht="15.75" customHeight="1" x14ac:dyDescent="0.25">
      <c r="B112" s="163"/>
      <c r="C112" s="163"/>
      <c r="D112" s="163"/>
      <c r="E112" s="163"/>
      <c r="F112" s="163"/>
      <c r="G112" s="163"/>
    </row>
    <row r="113" spans="2:12" ht="15.75" customHeight="1" x14ac:dyDescent="0.25">
      <c r="C113" s="165"/>
      <c r="D113" s="165"/>
      <c r="E113" s="165"/>
      <c r="F113" s="165"/>
      <c r="G113" s="165"/>
    </row>
    <row r="115" spans="2:12" ht="15.75" customHeight="1" x14ac:dyDescent="0.25"/>
    <row r="116" spans="2:12" ht="15.75" customHeight="1" x14ac:dyDescent="0.25"/>
    <row r="124" spans="2:12" ht="15.75" customHeight="1" x14ac:dyDescent="0.25">
      <c r="C124" s="163"/>
      <c r="D124" s="163"/>
      <c r="E124" s="163"/>
      <c r="F124" s="163"/>
      <c r="G124" s="163"/>
      <c r="H124" s="163"/>
      <c r="I124" s="163"/>
      <c r="J124" s="163"/>
      <c r="K124" s="163"/>
      <c r="L124" s="163"/>
    </row>
    <row r="125" spans="2:12" ht="15.75" customHeight="1" x14ac:dyDescent="0.25">
      <c r="B125" s="163"/>
      <c r="C125" s="166"/>
      <c r="D125" s="166"/>
      <c r="E125" s="166"/>
      <c r="F125" s="166"/>
      <c r="G125" s="166"/>
      <c r="H125" s="167"/>
      <c r="I125" s="167"/>
      <c r="J125" s="167"/>
      <c r="K125" s="167"/>
      <c r="L125" s="167"/>
    </row>
  </sheetData>
  <mergeCells count="3">
    <mergeCell ref="I9:M9"/>
    <mergeCell ref="I19:M19"/>
    <mergeCell ref="I41:M41"/>
  </mergeCells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C13"/>
  <sheetViews>
    <sheetView zoomScaleNormal="100" workbookViewId="0">
      <selection activeCell="F5" sqref="F5"/>
    </sheetView>
  </sheetViews>
  <sheetFormatPr defaultColWidth="8.5" defaultRowHeight="15.75" x14ac:dyDescent="0.25"/>
  <cols>
    <col min="2" max="2" width="23" customWidth="1"/>
    <col min="3" max="3" width="13.625" customWidth="1"/>
  </cols>
  <sheetData>
    <row r="2" spans="2:3" ht="15" customHeight="1" x14ac:dyDescent="0.25">
      <c r="B2" t="s">
        <v>13</v>
      </c>
      <c r="C2" t="s">
        <v>231</v>
      </c>
    </row>
    <row r="3" spans="2:3" ht="15" customHeight="1" x14ac:dyDescent="0.25">
      <c r="B3" t="s">
        <v>14</v>
      </c>
      <c r="C3" t="s">
        <v>232</v>
      </c>
    </row>
    <row r="4" spans="2:3" ht="15" customHeight="1" x14ac:dyDescent="0.25">
      <c r="C4" s="126"/>
    </row>
    <row r="5" spans="2:3" ht="15" customHeight="1" x14ac:dyDescent="0.25">
      <c r="C5" s="120"/>
    </row>
    <row r="7" spans="2:3" ht="15" customHeight="1" x14ac:dyDescent="0.25"/>
    <row r="8" spans="2:3" ht="15" customHeight="1" x14ac:dyDescent="0.25"/>
    <row r="9" spans="2:3" ht="15" customHeight="1" x14ac:dyDescent="0.25"/>
    <row r="10" spans="2:3" ht="15" customHeight="1" x14ac:dyDescent="0.25"/>
    <row r="11" spans="2:3" ht="15" customHeight="1" x14ac:dyDescent="0.25"/>
    <row r="13" spans="2:3" ht="15" customHeight="1" x14ac:dyDescent="0.25"/>
  </sheetData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C13"/>
  <sheetViews>
    <sheetView zoomScaleNormal="100" workbookViewId="0">
      <selection activeCell="A4" sqref="A4"/>
    </sheetView>
  </sheetViews>
  <sheetFormatPr defaultColWidth="8.5" defaultRowHeight="15.75" x14ac:dyDescent="0.25"/>
  <cols>
    <col min="2" max="2" width="18.375" customWidth="1"/>
    <col min="3" max="3" width="9" customWidth="1"/>
  </cols>
  <sheetData>
    <row r="2" spans="2:3" ht="15" customHeight="1" x14ac:dyDescent="0.25">
      <c r="B2" t="s">
        <v>13</v>
      </c>
      <c r="C2" t="s">
        <v>233</v>
      </c>
    </row>
    <row r="3" spans="2:3" ht="15" customHeight="1" x14ac:dyDescent="0.25">
      <c r="B3" t="s">
        <v>14</v>
      </c>
      <c r="C3" t="s">
        <v>234</v>
      </c>
    </row>
    <row r="4" spans="2:3" ht="15" customHeight="1" x14ac:dyDescent="0.25">
      <c r="C4" s="126"/>
    </row>
    <row r="5" spans="2:3" ht="15" customHeight="1" x14ac:dyDescent="0.25">
      <c r="C5" s="120"/>
    </row>
    <row r="7" spans="2:3" ht="15" customHeight="1" x14ac:dyDescent="0.25"/>
    <row r="8" spans="2:3" ht="15" customHeight="1" x14ac:dyDescent="0.25"/>
    <row r="9" spans="2:3" ht="15" customHeight="1" x14ac:dyDescent="0.25"/>
    <row r="10" spans="2:3" ht="15" customHeight="1" x14ac:dyDescent="0.25"/>
    <row r="11" spans="2:3" ht="15" customHeight="1" x14ac:dyDescent="0.25"/>
    <row r="13" spans="2:3" ht="15" customHeight="1" x14ac:dyDescent="0.25"/>
  </sheetData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C13"/>
  <sheetViews>
    <sheetView zoomScaleNormal="100" workbookViewId="0">
      <selection activeCell="B4" sqref="B4"/>
    </sheetView>
  </sheetViews>
  <sheetFormatPr defaultColWidth="8.5" defaultRowHeight="15.75" x14ac:dyDescent="0.25"/>
  <sheetData>
    <row r="2" spans="2:3" ht="15" customHeight="1" x14ac:dyDescent="0.25">
      <c r="B2" t="s">
        <v>13</v>
      </c>
      <c r="C2" t="s">
        <v>235</v>
      </c>
    </row>
    <row r="3" spans="2:3" ht="15" customHeight="1" x14ac:dyDescent="0.25">
      <c r="B3" t="s">
        <v>14</v>
      </c>
      <c r="C3" t="s">
        <v>236</v>
      </c>
    </row>
    <row r="4" spans="2:3" ht="15" customHeight="1" x14ac:dyDescent="0.25"/>
    <row r="5" spans="2:3" ht="15" customHeight="1" x14ac:dyDescent="0.25">
      <c r="C5" s="120"/>
    </row>
    <row r="7" spans="2:3" ht="15" customHeight="1" x14ac:dyDescent="0.25"/>
    <row r="8" spans="2:3" ht="15" customHeight="1" x14ac:dyDescent="0.25"/>
    <row r="9" spans="2:3" ht="15" customHeight="1" x14ac:dyDescent="0.25"/>
    <row r="10" spans="2:3" ht="15" customHeight="1" x14ac:dyDescent="0.25"/>
    <row r="11" spans="2:3" ht="15" customHeight="1" x14ac:dyDescent="0.25"/>
    <row r="13" spans="2:3" ht="15" customHeight="1" x14ac:dyDescent="0.25"/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Main</vt:lpstr>
      <vt:lpstr>10QIS</vt:lpstr>
      <vt:lpstr>IS</vt:lpstr>
      <vt:lpstr>BS</vt:lpstr>
      <vt:lpstr>CFS</vt:lpstr>
      <vt:lpstr>DCF</vt:lpstr>
      <vt:lpstr>Digital Media</vt:lpstr>
      <vt:lpstr>Digital Experience</vt:lpstr>
      <vt:lpstr>Publishing and Advertising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Sam Heier</dc:creator>
  <dc:description/>
  <cp:lastModifiedBy>Samuel Heier</cp:lastModifiedBy>
  <cp:revision>0</cp:revision>
  <dcterms:created xsi:type="dcterms:W3CDTF">2026-05-18T21:29:55Z</dcterms:created>
  <dcterms:modified xsi:type="dcterms:W3CDTF">2026-09-22T16:39:06Z</dcterms:modified>
  <dc:language>en-US</dc:language>
</cp:coreProperties>
</file>
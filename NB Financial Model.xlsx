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U:\Models\"/>
    </mc:Choice>
  </mc:AlternateContent>
  <xr:revisionPtr revIDLastSave="0" documentId="8_{0338EED0-366B-4493-8927-64B71CC460CF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Main" sheetId="1" r:id="rId1"/>
    <sheet name="Assumptions" sheetId="5" r:id="rId2"/>
    <sheet name="NAV" sheetId="3" r:id="rId3"/>
    <sheet name="Valuation" sheetId="2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4" i="2" l="1"/>
  <c r="B29" i="5"/>
  <c r="B20" i="2" s="1"/>
  <c r="B28" i="5"/>
  <c r="B25" i="2" s="1"/>
  <c r="K28" i="3"/>
  <c r="G25" i="3"/>
  <c r="C26" i="3"/>
  <c r="B12" i="3"/>
  <c r="D5" i="3"/>
  <c r="B41" i="3"/>
  <c r="B10" i="2" s="1"/>
  <c r="AP35" i="3"/>
  <c r="AH35" i="3"/>
  <c r="AF35" i="3"/>
  <c r="X35" i="3"/>
  <c r="P35" i="3"/>
  <c r="B19" i="3"/>
  <c r="B18" i="3"/>
  <c r="B17" i="3"/>
  <c r="AQ35" i="3" s="1"/>
  <c r="B16" i="3"/>
  <c r="B15" i="3"/>
  <c r="B14" i="3"/>
  <c r="B13" i="3"/>
  <c r="B11" i="3"/>
  <c r="C7" i="3"/>
  <c r="B7" i="3"/>
  <c r="C6" i="3"/>
  <c r="B6" i="3"/>
  <c r="D6" i="3" s="1"/>
  <c r="C5" i="3"/>
  <c r="B5" i="3"/>
  <c r="B18" i="2"/>
  <c r="B16" i="2"/>
  <c r="B14" i="2"/>
  <c r="B17" i="2" s="1"/>
  <c r="B19" i="2" s="1"/>
  <c r="B5" i="2"/>
  <c r="B4" i="2"/>
  <c r="B29" i="2" s="1"/>
  <c r="B7" i="2"/>
  <c r="B26" i="2" s="1"/>
  <c r="B4" i="1"/>
  <c r="B7" i="1" s="1"/>
  <c r="R35" i="3" l="1"/>
  <c r="AN35" i="3"/>
  <c r="H35" i="3"/>
  <c r="J35" i="3"/>
  <c r="N28" i="3"/>
  <c r="AB26" i="3"/>
  <c r="X28" i="3"/>
  <c r="L33" i="3"/>
  <c r="AR33" i="3"/>
  <c r="N33" i="3"/>
  <c r="D26" i="3"/>
  <c r="AJ26" i="3"/>
  <c r="AD32" i="3"/>
  <c r="T33" i="3"/>
  <c r="AL28" i="3"/>
  <c r="AR26" i="3"/>
  <c r="F32" i="3"/>
  <c r="AL32" i="3"/>
  <c r="AB33" i="3"/>
  <c r="F25" i="3"/>
  <c r="AH26" i="3"/>
  <c r="AD28" i="3"/>
  <c r="AF28" i="3"/>
  <c r="AF32" i="3"/>
  <c r="Z26" i="3"/>
  <c r="P32" i="3"/>
  <c r="F33" i="3"/>
  <c r="AL33" i="3"/>
  <c r="D25" i="3"/>
  <c r="V32" i="3"/>
  <c r="B27" i="2"/>
  <c r="X32" i="3"/>
  <c r="J26" i="3"/>
  <c r="AP26" i="3"/>
  <c r="V33" i="3"/>
  <c r="L26" i="3"/>
  <c r="R26" i="3"/>
  <c r="F28" i="3"/>
  <c r="H32" i="3"/>
  <c r="AN32" i="3"/>
  <c r="AD33" i="3"/>
  <c r="D7" i="3"/>
  <c r="AM33" i="3"/>
  <c r="T26" i="3"/>
  <c r="H28" i="3"/>
  <c r="N32" i="3"/>
  <c r="D33" i="3"/>
  <c r="AJ33" i="3"/>
  <c r="Z35" i="3"/>
  <c r="B6" i="2"/>
  <c r="B21" i="2"/>
  <c r="V28" i="3"/>
  <c r="AN28" i="3"/>
  <c r="P28" i="3"/>
  <c r="F26" i="3"/>
  <c r="F27" i="3" s="1"/>
  <c r="F29" i="3" s="1"/>
  <c r="F30" i="3" s="1"/>
  <c r="N26" i="3"/>
  <c r="V26" i="3"/>
  <c r="AD26" i="3"/>
  <c r="AL26" i="3"/>
  <c r="J28" i="3"/>
  <c r="R28" i="3"/>
  <c r="Z28" i="3"/>
  <c r="AH28" i="3"/>
  <c r="AP28" i="3"/>
  <c r="J32" i="3"/>
  <c r="R32" i="3"/>
  <c r="Z32" i="3"/>
  <c r="AH32" i="3"/>
  <c r="AP32" i="3"/>
  <c r="H33" i="3"/>
  <c r="P33" i="3"/>
  <c r="X33" i="3"/>
  <c r="AF33" i="3"/>
  <c r="AN33" i="3"/>
  <c r="D35" i="3"/>
  <c r="L35" i="3"/>
  <c r="T35" i="3"/>
  <c r="AB35" i="3"/>
  <c r="AJ35" i="3"/>
  <c r="AR35" i="3"/>
  <c r="G26" i="3"/>
  <c r="O26" i="3"/>
  <c r="W26" i="3"/>
  <c r="AE26" i="3"/>
  <c r="AM26" i="3"/>
  <c r="C28" i="3"/>
  <c r="S28" i="3"/>
  <c r="AA28" i="3"/>
  <c r="AI28" i="3"/>
  <c r="AQ28" i="3"/>
  <c r="C32" i="3"/>
  <c r="K32" i="3"/>
  <c r="S32" i="3"/>
  <c r="AA32" i="3"/>
  <c r="AI32" i="3"/>
  <c r="AQ32" i="3"/>
  <c r="I33" i="3"/>
  <c r="Q33" i="3"/>
  <c r="Y33" i="3"/>
  <c r="AG33" i="3"/>
  <c r="AO33" i="3"/>
  <c r="E35" i="3"/>
  <c r="M35" i="3"/>
  <c r="U35" i="3"/>
  <c r="AC35" i="3"/>
  <c r="AK35" i="3"/>
  <c r="H26" i="3"/>
  <c r="P26" i="3"/>
  <c r="X26" i="3"/>
  <c r="AF26" i="3"/>
  <c r="AN26" i="3"/>
  <c r="D28" i="3"/>
  <c r="L28" i="3"/>
  <c r="T28" i="3"/>
  <c r="AB28" i="3"/>
  <c r="AJ28" i="3"/>
  <c r="AR28" i="3"/>
  <c r="D32" i="3"/>
  <c r="L32" i="3"/>
  <c r="T32" i="3"/>
  <c r="AB32" i="3"/>
  <c r="AJ32" i="3"/>
  <c r="AR32" i="3"/>
  <c r="J33" i="3"/>
  <c r="R33" i="3"/>
  <c r="Z33" i="3"/>
  <c r="AH33" i="3"/>
  <c r="AP33" i="3"/>
  <c r="F35" i="3"/>
  <c r="N35" i="3"/>
  <c r="V35" i="3"/>
  <c r="AD35" i="3"/>
  <c r="AL35" i="3"/>
  <c r="C25" i="3"/>
  <c r="I26" i="3"/>
  <c r="Q26" i="3"/>
  <c r="Y26" i="3"/>
  <c r="AG26" i="3"/>
  <c r="AO26" i="3"/>
  <c r="E28" i="3"/>
  <c r="M28" i="3"/>
  <c r="U28" i="3"/>
  <c r="AC28" i="3"/>
  <c r="AK28" i="3"/>
  <c r="E32" i="3"/>
  <c r="M32" i="3"/>
  <c r="U32" i="3"/>
  <c r="AC32" i="3"/>
  <c r="AK32" i="3"/>
  <c r="C33" i="3"/>
  <c r="K33" i="3"/>
  <c r="S33" i="3"/>
  <c r="AA33" i="3"/>
  <c r="AI33" i="3"/>
  <c r="AQ33" i="3"/>
  <c r="G35" i="3"/>
  <c r="O35" i="3"/>
  <c r="W35" i="3"/>
  <c r="AE35" i="3"/>
  <c r="AM35" i="3"/>
  <c r="E25" i="3"/>
  <c r="K26" i="3"/>
  <c r="S26" i="3"/>
  <c r="AA26" i="3"/>
  <c r="AI26" i="3"/>
  <c r="AQ26" i="3"/>
  <c r="G28" i="3"/>
  <c r="O28" i="3"/>
  <c r="W28" i="3"/>
  <c r="AE28" i="3"/>
  <c r="AM28" i="3"/>
  <c r="G32" i="3"/>
  <c r="O32" i="3"/>
  <c r="W32" i="3"/>
  <c r="AE32" i="3"/>
  <c r="AM32" i="3"/>
  <c r="E33" i="3"/>
  <c r="M33" i="3"/>
  <c r="U33" i="3"/>
  <c r="AC33" i="3"/>
  <c r="AK33" i="3"/>
  <c r="I35" i="3"/>
  <c r="Q35" i="3"/>
  <c r="Y35" i="3"/>
  <c r="AG35" i="3"/>
  <c r="AO35" i="3"/>
  <c r="E26" i="3"/>
  <c r="M26" i="3"/>
  <c r="U26" i="3"/>
  <c r="AC26" i="3"/>
  <c r="AK26" i="3"/>
  <c r="I28" i="3"/>
  <c r="Q28" i="3"/>
  <c r="Y28" i="3"/>
  <c r="AG28" i="3"/>
  <c r="AO28" i="3"/>
  <c r="I32" i="3"/>
  <c r="Q32" i="3"/>
  <c r="Y32" i="3"/>
  <c r="AG32" i="3"/>
  <c r="AO32" i="3"/>
  <c r="G33" i="3"/>
  <c r="O33" i="3"/>
  <c r="W33" i="3"/>
  <c r="AE33" i="3"/>
  <c r="C35" i="3"/>
  <c r="K35" i="3"/>
  <c r="S35" i="3"/>
  <c r="AA35" i="3"/>
  <c r="AI35" i="3"/>
  <c r="C27" i="3" l="1"/>
  <c r="E27" i="3"/>
  <c r="D27" i="3"/>
  <c r="D29" i="3" s="1"/>
  <c r="D30" i="3" s="1"/>
  <c r="D31" i="3" s="1"/>
  <c r="D34" i="3" s="1"/>
  <c r="D36" i="3" s="1"/>
  <c r="E29" i="3"/>
  <c r="C29" i="3"/>
  <c r="D8" i="3"/>
  <c r="E5" i="3" s="1"/>
  <c r="B28" i="2"/>
  <c r="F31" i="3"/>
  <c r="F34" i="3" s="1"/>
  <c r="F36" i="3" s="1"/>
  <c r="B35" i="2" l="1"/>
  <c r="B33" i="2"/>
  <c r="B30" i="2"/>
  <c r="B34" i="2"/>
  <c r="B36" i="2"/>
  <c r="C30" i="3"/>
  <c r="C31" i="3" s="1"/>
  <c r="C34" i="3" s="1"/>
  <c r="C36" i="3" s="1"/>
  <c r="E30" i="3"/>
  <c r="E31" i="3" s="1"/>
  <c r="E34" i="3" s="1"/>
  <c r="E36" i="3" s="1"/>
  <c r="E8" i="3"/>
  <c r="N25" i="3"/>
  <c r="N27" i="3" s="1"/>
  <c r="N29" i="3" s="1"/>
  <c r="AR25" i="3"/>
  <c r="AR27" i="3" s="1"/>
  <c r="AR29" i="3" s="1"/>
  <c r="L25" i="3"/>
  <c r="L27" i="3" s="1"/>
  <c r="L29" i="3" s="1"/>
  <c r="AD25" i="3"/>
  <c r="AD27" i="3" s="1"/>
  <c r="AD29" i="3" s="1"/>
  <c r="AB25" i="3"/>
  <c r="AB27" i="3" s="1"/>
  <c r="AB29" i="3" s="1"/>
  <c r="AL25" i="3"/>
  <c r="AL27" i="3" s="1"/>
  <c r="AL29" i="3" s="1"/>
  <c r="AJ25" i="3"/>
  <c r="AJ27" i="3" s="1"/>
  <c r="AJ29" i="3" s="1"/>
  <c r="T25" i="3"/>
  <c r="T27" i="3" s="1"/>
  <c r="T29" i="3" s="1"/>
  <c r="V25" i="3"/>
  <c r="V27" i="3" s="1"/>
  <c r="V29" i="3" s="1"/>
  <c r="E7" i="3"/>
  <c r="AF25" i="3"/>
  <c r="AF27" i="3" s="1"/>
  <c r="AF29" i="3" s="1"/>
  <c r="AO25" i="3"/>
  <c r="AO27" i="3" s="1"/>
  <c r="AO29" i="3" s="1"/>
  <c r="AP25" i="3"/>
  <c r="AP27" i="3" s="1"/>
  <c r="AP29" i="3" s="1"/>
  <c r="AI25" i="3"/>
  <c r="AI27" i="3" s="1"/>
  <c r="AI29" i="3" s="1"/>
  <c r="AK25" i="3"/>
  <c r="AK27" i="3" s="1"/>
  <c r="AK29" i="3" s="1"/>
  <c r="G27" i="3"/>
  <c r="G29" i="3" s="1"/>
  <c r="E6" i="3"/>
  <c r="AN25" i="3"/>
  <c r="AN27" i="3" s="1"/>
  <c r="AN29" i="3" s="1"/>
  <c r="AQ25" i="3"/>
  <c r="AQ27" i="3" s="1"/>
  <c r="AQ29" i="3" s="1"/>
  <c r="Q25" i="3"/>
  <c r="Q27" i="3" s="1"/>
  <c r="Q29" i="3" s="1"/>
  <c r="R25" i="3"/>
  <c r="R27" i="3" s="1"/>
  <c r="R29" i="3" s="1"/>
  <c r="K25" i="3"/>
  <c r="K27" i="3" s="1"/>
  <c r="K29" i="3" s="1"/>
  <c r="AH25" i="3"/>
  <c r="AH27" i="3" s="1"/>
  <c r="AH29" i="3" s="1"/>
  <c r="AC25" i="3"/>
  <c r="AC27" i="3" s="1"/>
  <c r="AC29" i="3" s="1"/>
  <c r="AM25" i="3"/>
  <c r="AM27" i="3" s="1"/>
  <c r="AM29" i="3" s="1"/>
  <c r="X25" i="3"/>
  <c r="X27" i="3" s="1"/>
  <c r="X29" i="3" s="1"/>
  <c r="AA25" i="3"/>
  <c r="AA27" i="3" s="1"/>
  <c r="AA29" i="3" s="1"/>
  <c r="I25" i="3"/>
  <c r="I27" i="3" s="1"/>
  <c r="I29" i="3" s="1"/>
  <c r="J25" i="3"/>
  <c r="J27" i="3" s="1"/>
  <c r="J29" i="3" s="1"/>
  <c r="O25" i="3"/>
  <c r="O27" i="3" s="1"/>
  <c r="O29" i="3" s="1"/>
  <c r="H25" i="3"/>
  <c r="H27" i="3" s="1"/>
  <c r="H29" i="3" s="1"/>
  <c r="M25" i="3"/>
  <c r="M27" i="3" s="1"/>
  <c r="M29" i="3" s="1"/>
  <c r="W25" i="3"/>
  <c r="W27" i="3" s="1"/>
  <c r="W29" i="3" s="1"/>
  <c r="AG25" i="3"/>
  <c r="AG27" i="3" s="1"/>
  <c r="AG29" i="3" s="1"/>
  <c r="Y25" i="3"/>
  <c r="Y27" i="3" s="1"/>
  <c r="Y29" i="3" s="1"/>
  <c r="Z25" i="3"/>
  <c r="Z27" i="3" s="1"/>
  <c r="Z29" i="3" s="1"/>
  <c r="P25" i="3"/>
  <c r="P27" i="3" s="1"/>
  <c r="P29" i="3" s="1"/>
  <c r="S25" i="3"/>
  <c r="S27" i="3" s="1"/>
  <c r="S29" i="3" s="1"/>
  <c r="U25" i="3"/>
  <c r="U27" i="3" s="1"/>
  <c r="U29" i="3" s="1"/>
  <c r="AE25" i="3"/>
  <c r="AE27" i="3" s="1"/>
  <c r="AE29" i="3" s="1"/>
  <c r="P30" i="3" l="1"/>
  <c r="P31" i="3" s="1"/>
  <c r="P34" i="3" s="1"/>
  <c r="P36" i="3" s="1"/>
  <c r="AP30" i="3"/>
  <c r="AP31" i="3" s="1"/>
  <c r="AP34" i="3" s="1"/>
  <c r="AP36" i="3" s="1"/>
  <c r="AD30" i="3"/>
  <c r="AD31" i="3" s="1"/>
  <c r="AD34" i="3" s="1"/>
  <c r="AD36" i="3" s="1"/>
  <c r="J30" i="3"/>
  <c r="J31" i="3" s="1"/>
  <c r="J34" i="3" s="1"/>
  <c r="J36" i="3" s="1"/>
  <c r="AB30" i="3"/>
  <c r="AB31" i="3" s="1"/>
  <c r="AB34" i="3" s="1"/>
  <c r="AB36" i="3" s="1"/>
  <c r="I30" i="3"/>
  <c r="I31" i="3" s="1"/>
  <c r="I34" i="3" s="1"/>
  <c r="I36" i="3" s="1"/>
  <c r="Y30" i="3"/>
  <c r="Y31" i="3" s="1"/>
  <c r="Y34" i="3" s="1"/>
  <c r="Y36" i="3" s="1"/>
  <c r="AF30" i="3"/>
  <c r="AF31" i="3" s="1"/>
  <c r="AF34" i="3" s="1"/>
  <c r="AF36" i="3" s="1"/>
  <c r="AN30" i="3"/>
  <c r="AN31" i="3" s="1"/>
  <c r="AN34" i="3" s="1"/>
  <c r="AN36" i="3" s="1"/>
  <c r="V30" i="3"/>
  <c r="V31" i="3" s="1"/>
  <c r="V34" i="3" s="1"/>
  <c r="V36" i="3" s="1"/>
  <c r="M30" i="3"/>
  <c r="M31" i="3" s="1"/>
  <c r="M34" i="3" s="1"/>
  <c r="M36" i="3" s="1"/>
  <c r="G30" i="3"/>
  <c r="G31" i="3" s="1"/>
  <c r="G34" i="3" s="1"/>
  <c r="G36" i="3" s="1"/>
  <c r="T30" i="3"/>
  <c r="T31" i="3" s="1"/>
  <c r="T34" i="3" s="1"/>
  <c r="T36" i="3" s="1"/>
  <c r="Q30" i="3"/>
  <c r="Q31" i="3" s="1"/>
  <c r="Q34" i="3" s="1"/>
  <c r="Q36" i="3" s="1"/>
  <c r="AA30" i="3"/>
  <c r="AA31" i="3" s="1"/>
  <c r="AA34" i="3" s="1"/>
  <c r="AA36" i="3" s="1"/>
  <c r="L30" i="3"/>
  <c r="L31" i="3" s="1"/>
  <c r="L34" i="3" s="1"/>
  <c r="L36" i="3" s="1"/>
  <c r="AG30" i="3"/>
  <c r="AG31" i="3" s="1"/>
  <c r="AG34" i="3" s="1"/>
  <c r="AG36" i="3" s="1"/>
  <c r="AR30" i="3"/>
  <c r="AR31" i="3" s="1"/>
  <c r="AR34" i="3" s="1"/>
  <c r="AR36" i="3" s="1"/>
  <c r="W30" i="3"/>
  <c r="W31" i="3" s="1"/>
  <c r="W34" i="3" s="1"/>
  <c r="W36" i="3" s="1"/>
  <c r="N30" i="3"/>
  <c r="N31" i="3" s="1"/>
  <c r="N34" i="3" s="1"/>
  <c r="N36" i="3" s="1"/>
  <c r="AE30" i="3"/>
  <c r="AE31" i="3" s="1"/>
  <c r="AE34" i="3" s="1"/>
  <c r="AE36" i="3" s="1"/>
  <c r="U30" i="3"/>
  <c r="U31" i="3" s="1"/>
  <c r="U34" i="3" s="1"/>
  <c r="U36" i="3" s="1"/>
  <c r="H30" i="3"/>
  <c r="H31" i="3" s="1"/>
  <c r="H34" i="3" s="1"/>
  <c r="H36" i="3" s="1"/>
  <c r="AH30" i="3"/>
  <c r="AH31" i="3" s="1"/>
  <c r="AH34" i="3" s="1"/>
  <c r="AH36" i="3" s="1"/>
  <c r="AK30" i="3"/>
  <c r="AK31" i="3" s="1"/>
  <c r="AK34" i="3" s="1"/>
  <c r="AK36" i="3" s="1"/>
  <c r="AJ30" i="3"/>
  <c r="AJ31" i="3" s="1"/>
  <c r="AJ34" i="3" s="1"/>
  <c r="AJ36" i="3" s="1"/>
  <c r="R30" i="3"/>
  <c r="R31" i="3" s="1"/>
  <c r="R34" i="3" s="1"/>
  <c r="R36" i="3" s="1"/>
  <c r="Z30" i="3"/>
  <c r="Z31" i="3" s="1"/>
  <c r="Z34" i="3" s="1"/>
  <c r="Z36" i="3" s="1"/>
  <c r="AO30" i="3"/>
  <c r="AO31" i="3" s="1"/>
  <c r="AO34" i="3" s="1"/>
  <c r="AO36" i="3" s="1"/>
  <c r="AQ30" i="3"/>
  <c r="AQ31" i="3" s="1"/>
  <c r="AQ34" i="3" s="1"/>
  <c r="AQ36" i="3" s="1"/>
  <c r="X30" i="3"/>
  <c r="X31" i="3" s="1"/>
  <c r="X34" i="3" s="1"/>
  <c r="X36" i="3" s="1"/>
  <c r="AM30" i="3"/>
  <c r="AM31" i="3" s="1"/>
  <c r="AM34" i="3" s="1"/>
  <c r="AM36" i="3" s="1"/>
  <c r="AC30" i="3"/>
  <c r="AC31" i="3" s="1"/>
  <c r="AC34" i="3" s="1"/>
  <c r="AC36" i="3" s="1"/>
  <c r="S30" i="3"/>
  <c r="S31" i="3" s="1"/>
  <c r="S34" i="3" s="1"/>
  <c r="S36" i="3" s="1"/>
  <c r="O30" i="3"/>
  <c r="O31" i="3" s="1"/>
  <c r="O34" i="3" s="1"/>
  <c r="O36" i="3" s="1"/>
  <c r="K30" i="3"/>
  <c r="K31" i="3" s="1"/>
  <c r="K34" i="3" s="1"/>
  <c r="K36" i="3" s="1"/>
  <c r="AI30" i="3"/>
  <c r="AI31" i="3" s="1"/>
  <c r="AI34" i="3" s="1"/>
  <c r="AI36" i="3" s="1"/>
  <c r="AL30" i="3"/>
  <c r="AL31" i="3" s="1"/>
  <c r="AL34" i="3" s="1"/>
  <c r="AL36" i="3" s="1"/>
  <c r="B40" i="3" l="1"/>
  <c r="B42" i="3" l="1"/>
  <c r="B11" i="2"/>
  <c r="B43" i="3"/>
</calcChain>
</file>

<file path=xl/sharedStrings.xml><?xml version="1.0" encoding="utf-8"?>
<sst xmlns="http://schemas.openxmlformats.org/spreadsheetml/2006/main" count="174" uniqueCount="115">
  <si>
    <t xml:space="preserve">Price </t>
  </si>
  <si>
    <t>Shares</t>
  </si>
  <si>
    <t>Market Cap</t>
  </si>
  <si>
    <t>Cash</t>
  </si>
  <si>
    <t>Debt</t>
  </si>
  <si>
    <t>EV</t>
  </si>
  <si>
    <t>Share price</t>
  </si>
  <si>
    <t>Shares outstanding (M)</t>
  </si>
  <si>
    <t>Market cap ($M)</t>
  </si>
  <si>
    <t>Net debt ($M)</t>
  </si>
  <si>
    <t>PROJECT VALUE ANCHOR</t>
  </si>
  <si>
    <t>After-tax project NPV @ 8% ($M)</t>
  </si>
  <si>
    <t>Initial capex to fund ($M)</t>
  </si>
  <si>
    <t>% funded by equity</t>
  </si>
  <si>
    <t>% funded by debt / loan</t>
  </si>
  <si>
    <t>Equity to raise ($M)</t>
  </si>
  <si>
    <t>Assumed raise price ($/sh)</t>
  </si>
  <si>
    <t>New shares issued (M)</t>
  </si>
  <si>
    <t>Warrants + options (M)</t>
  </si>
  <si>
    <t>Fully diluted shares (M)</t>
  </si>
  <si>
    <t>EQUITY NAV</t>
  </si>
  <si>
    <t>Project NPV (after-tax) ($M)</t>
  </si>
  <si>
    <t>+ Cash &amp; equivalents ($M)</t>
  </si>
  <si>
    <t>- Existing net debt ($M)</t>
  </si>
  <si>
    <t>Equity NAV ($M)</t>
  </si>
  <si>
    <t>NAV per fully diluted share ($)</t>
  </si>
  <si>
    <t>Current price ($)</t>
  </si>
  <si>
    <t>Implied upside / (downside) to 1.0x NAV</t>
  </si>
  <si>
    <t>Implied price at 0.3x NAV</t>
  </si>
  <si>
    <t>Implied price at 0.5x NAV</t>
  </si>
  <si>
    <t>Implied price at 0.7x NAV</t>
  </si>
  <si>
    <t>Current price implies P/NAV of</t>
  </si>
  <si>
    <t>Product</t>
  </si>
  <si>
    <t>Payable (t)</t>
  </si>
  <si>
    <t>Price ($/kg)</t>
  </si>
  <si>
    <t>Niobium (Nb)</t>
  </si>
  <si>
    <t>Scandium (Sc2O3)</t>
  </si>
  <si>
    <t>Titanium (TiO2)</t>
  </si>
  <si>
    <t>Total LoM revenue</t>
  </si>
  <si>
    <t>Total operating cost</t>
  </si>
  <si>
    <t>EBITDA (LoM)</t>
  </si>
  <si>
    <t>Effective tax rate</t>
  </si>
  <si>
    <t>Initial capital</t>
  </si>
  <si>
    <t>Sustaining capital</t>
  </si>
  <si>
    <t>Closure &amp; reclamation</t>
  </si>
  <si>
    <t>Discount rate</t>
  </si>
  <si>
    <t>Production years</t>
  </si>
  <si>
    <t>Pre-production years</t>
  </si>
  <si>
    <t>Year</t>
  </si>
  <si>
    <t>Phase</t>
  </si>
  <si>
    <t>Pre-prod</t>
  </si>
  <si>
    <t>Prod</t>
  </si>
  <si>
    <t>Revenue</t>
  </si>
  <si>
    <t>Operating cost</t>
  </si>
  <si>
    <t>EBITDA</t>
  </si>
  <si>
    <t>Sustaining capex</t>
  </si>
  <si>
    <t>Op. profit (pre-tax)</t>
  </si>
  <si>
    <t>Tax</t>
  </si>
  <si>
    <t>After-tax op. CF</t>
  </si>
  <si>
    <t>Initial capex</t>
  </si>
  <si>
    <t>Closure</t>
  </si>
  <si>
    <t>Free cash flow</t>
  </si>
  <si>
    <t>Discount factor</t>
  </si>
  <si>
    <t>PV of FCF</t>
  </si>
  <si>
    <t>RESULTS</t>
  </si>
  <si>
    <t>Illustrative project NPV (this flat model)</t>
  </si>
  <si>
    <t>Flat model as % of published</t>
  </si>
  <si>
    <t>Input</t>
  </si>
  <si>
    <t>Value</t>
  </si>
  <si>
    <t>Unit</t>
  </si>
  <si>
    <t>Ore processed (LoM)</t>
  </si>
  <si>
    <t>kt</t>
  </si>
  <si>
    <t>yrs</t>
  </si>
  <si>
    <t>Pre-production period</t>
  </si>
  <si>
    <t>Payable niobium (Nb)</t>
  </si>
  <si>
    <t>t</t>
  </si>
  <si>
    <t>Payable scandium (Sc2O3)</t>
  </si>
  <si>
    <t>Payable titanium (TiO2)</t>
  </si>
  <si>
    <t>Niobium price</t>
  </si>
  <si>
    <t>$/kg</t>
  </si>
  <si>
    <t>Scandium oxide price</t>
  </si>
  <si>
    <t>Titanium dioxide price</t>
  </si>
  <si>
    <t>$/t ore</t>
  </si>
  <si>
    <t>$M</t>
  </si>
  <si>
    <t>%</t>
  </si>
  <si>
    <t>After-tax NPV @ 8%</t>
  </si>
  <si>
    <t>After-tax IRR</t>
  </si>
  <si>
    <t>Pre-tax NPV @ 8%</t>
  </si>
  <si>
    <t>Pre-tax IRR</t>
  </si>
  <si>
    <t>Cash &amp; equivalents</t>
  </si>
  <si>
    <t>Warrants + options outstanding</t>
  </si>
  <si>
    <t>NioCorp (NB)</t>
  </si>
  <si>
    <t>MARKET SNAPSHOT</t>
  </si>
  <si>
    <t>Project NAV</t>
  </si>
  <si>
    <t>FINANCING OF INITIAL CAPITAL</t>
  </si>
  <si>
    <t>REVENUE BUILD</t>
  </si>
  <si>
    <t>PROJECT</t>
  </si>
  <si>
    <t>PRICES</t>
  </si>
  <si>
    <t>COSTS</t>
  </si>
  <si>
    <t>PUBLISHED RESULTS</t>
  </si>
  <si>
    <t>MARKET</t>
  </si>
  <si>
    <t>Assumptions</t>
  </si>
  <si>
    <t>Mine life</t>
  </si>
  <si>
    <t>Rev ($M)</t>
  </si>
  <si>
    <t>% of Rev</t>
  </si>
  <si>
    <t xml:space="preserve">Published after-tax NPV @ 8% </t>
  </si>
  <si>
    <t>Difference</t>
  </si>
  <si>
    <t>P/NAV LENS</t>
  </si>
  <si>
    <t>(millions)</t>
  </si>
  <si>
    <t>M shares</t>
  </si>
  <si>
    <t>OPERATING &amp; CAPITAL</t>
  </si>
  <si>
    <t>ANNUAL CASH FLOW</t>
  </si>
  <si>
    <t xml:space="preserve">Corporate NAV per Share  </t>
  </si>
  <si>
    <t>NPV from NAV sheet</t>
  </si>
  <si>
    <t xml:space="preserve">Company published figure.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</si>
</sst>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\$#,##0.0"/>
    <numFmt numFmtId="165" formatCode="\$#,##0.00;&quot;($&quot;#,##0.00\);\-"/>
    <numFmt numFmtId="166" formatCode="#,##0;\(#,##0\);\-"/>
    <numFmt numFmtId="167" formatCode="\$#,##0;&quot;($&quot;#,##0\);\-"/>
    <numFmt numFmtId="168" formatCode="0.0%"/>
    <numFmt numFmtId="169" formatCode="0.00\x"/>
    <numFmt numFmtId="170" formatCode="0.000"/>
    <numFmt numFmtId="171" formatCode="#,##0.00;\(#,##0.00\);\-"/>
  </numFmts>
  <fonts count="7" x14ac:knownFonts="1">
    <font>
      <sz val="12"/>
      <color theme="1"/>
      <name val="Aptos Narrow"/>
      <family val="2"/>
      <charset val="1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b/>
      <sz val="12"/>
      <color rgb="FFFFFFFF"/>
      <name val="Arial"/>
      <family val="2"/>
    </font>
    <font>
      <b/>
      <sz val="10"/>
      <color rgb="FF000000"/>
      <name val="Arial"/>
      <family val="2"/>
    </font>
    <font>
      <i/>
      <sz val="8"/>
      <color rgb="FF595959"/>
      <name val="Arial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2EFDA"/>
      </patternFill>
    </fill>
    <fill>
      <patternFill patternType="solid">
        <fgColor rgb="FFFFFFCC"/>
        <bgColor rgb="FFFFFF00"/>
      </patternFill>
    </fill>
    <fill>
      <patternFill patternType="solid">
        <fgColor rgb="FFFFFF00"/>
        <bgColor rgb="FFF2F2F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2">
    <xf numFmtId="0" fontId="0" fillId="0" borderId="0" xfId="0"/>
    <xf numFmtId="164" fontId="2" fillId="0" borderId="0" xfId="0" applyNumberFormat="1" applyFont="1"/>
    <xf numFmtId="0" fontId="0" fillId="0" borderId="0" xfId="0" applyAlignment="1">
      <alignment horizontal="center"/>
    </xf>
    <xf numFmtId="0" fontId="3" fillId="2" borderId="0" xfId="0" applyFont="1" applyFill="1" applyAlignment="1">
      <alignment horizontal="left" vertical="center"/>
    </xf>
    <xf numFmtId="0" fontId="0" fillId="2" borderId="0" xfId="0" applyFill="1"/>
    <xf numFmtId="0" fontId="4" fillId="3" borderId="0" xfId="0" applyFont="1" applyFill="1"/>
    <xf numFmtId="0" fontId="2" fillId="3" borderId="0" xfId="0" applyFont="1" applyFill="1"/>
    <xf numFmtId="0" fontId="2" fillId="0" borderId="0" xfId="0" applyFont="1"/>
    <xf numFmtId="167" fontId="2" fillId="0" borderId="0" xfId="0" applyNumberFormat="1" applyFont="1"/>
    <xf numFmtId="0" fontId="5" fillId="0" borderId="0" xfId="0" applyFont="1"/>
    <xf numFmtId="168" fontId="2" fillId="0" borderId="0" xfId="0" applyNumberFormat="1" applyFont="1"/>
    <xf numFmtId="166" fontId="2" fillId="0" borderId="0" xfId="0" applyNumberFormat="1" applyFont="1"/>
    <xf numFmtId="166" fontId="4" fillId="0" borderId="0" xfId="0" applyNumberFormat="1" applyFont="1"/>
    <xf numFmtId="167" fontId="4" fillId="0" borderId="0" xfId="0" applyNumberFormat="1" applyFont="1"/>
    <xf numFmtId="165" fontId="2" fillId="0" borderId="0" xfId="0" applyNumberFormat="1" applyFont="1"/>
    <xf numFmtId="168" fontId="4" fillId="0" borderId="0" xfId="0" applyNumberFormat="1" applyFont="1"/>
    <xf numFmtId="169" fontId="4" fillId="0" borderId="0" xfId="0" applyNumberFormat="1" applyFont="1"/>
    <xf numFmtId="0" fontId="4" fillId="0" borderId="0" xfId="0" applyFont="1" applyAlignment="1">
      <alignment horizontal="center" vertical="center"/>
    </xf>
    <xf numFmtId="0" fontId="4" fillId="0" borderId="0" xfId="0" applyFont="1"/>
    <xf numFmtId="0" fontId="0" fillId="3" borderId="0" xfId="0" applyFill="1"/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70" fontId="2" fillId="0" borderId="0" xfId="0" applyNumberFormat="1" applyFont="1"/>
    <xf numFmtId="0" fontId="2" fillId="0" borderId="1" xfId="0" applyFont="1" applyBorder="1"/>
    <xf numFmtId="166" fontId="1" fillId="0" borderId="1" xfId="0" applyNumberFormat="1" applyFont="1" applyBorder="1"/>
    <xf numFmtId="0" fontId="2" fillId="0" borderId="1" xfId="0" applyFont="1" applyBorder="1" applyAlignment="1">
      <alignment horizontal="center" vertical="center"/>
    </xf>
    <xf numFmtId="0" fontId="5" fillId="0" borderId="1" xfId="0" applyFont="1" applyBorder="1"/>
    <xf numFmtId="165" fontId="1" fillId="0" borderId="1" xfId="0" applyNumberFormat="1" applyFont="1" applyBorder="1"/>
    <xf numFmtId="10" fontId="1" fillId="0" borderId="1" xfId="0" applyNumberFormat="1" applyFont="1" applyBorder="1"/>
    <xf numFmtId="0" fontId="3" fillId="2" borderId="0" xfId="0" applyFont="1" applyFill="1" applyAlignment="1">
      <alignment horizontal="right" vertical="center"/>
    </xf>
    <xf numFmtId="166" fontId="6" fillId="0" borderId="0" xfId="0" applyNumberFormat="1" applyFont="1"/>
    <xf numFmtId="165" fontId="6" fillId="0" borderId="0" xfId="0" applyNumberFormat="1" applyFont="1"/>
    <xf numFmtId="10" fontId="6" fillId="0" borderId="0" xfId="0" applyNumberFormat="1" applyFont="1"/>
    <xf numFmtId="167" fontId="6" fillId="0" borderId="0" xfId="0" applyNumberFormat="1" applyFont="1"/>
    <xf numFmtId="168" fontId="6" fillId="0" borderId="0" xfId="0" applyNumberFormat="1" applyFont="1"/>
    <xf numFmtId="171" fontId="6" fillId="0" borderId="0" xfId="0" applyNumberFormat="1" applyFont="1"/>
    <xf numFmtId="168" fontId="1" fillId="4" borderId="0" xfId="0" applyNumberFormat="1" applyFont="1" applyFill="1"/>
    <xf numFmtId="165" fontId="6" fillId="4" borderId="0" xfId="0" applyNumberFormat="1" applyFont="1" applyFill="1"/>
    <xf numFmtId="166" fontId="6" fillId="4" borderId="0" xfId="0" applyNumberFormat="1" applyFont="1" applyFill="1"/>
    <xf numFmtId="165" fontId="4" fillId="5" borderId="0" xfId="0" applyNumberFormat="1" applyFont="1" applyFill="1"/>
    <xf numFmtId="165" fontId="2" fillId="6" borderId="0" xfId="0" applyNumberFormat="1" applyFont="1" applyFill="1"/>
    <xf numFmtId="167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FBF3F75-FDC1-A14D-884E-A8FCCFF4495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2b371143-d91a-43eb-96e9-a33f46310203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tabSelected="1" zoomScale="120" zoomScaleNormal="120" workbookViewId="0">
      <selection activeCell="C19" sqref="C19"/>
    </sheetView>
  </sheetViews>
  <sheetFormatPr defaultColWidth="10.5" defaultRowHeight="15.75" x14ac:dyDescent="0.25"/>
  <cols>
    <col min="1" max="1" width="16" customWidth="1"/>
    <col min="2" max="2" width="17" customWidth="1"/>
    <col min="3" max="6" width="13.875" customWidth="1"/>
    <col min="7" max="7" width="13.5" customWidth="1"/>
    <col min="8" max="8" width="16.125" customWidth="1"/>
    <col min="9" max="9" width="14" customWidth="1"/>
  </cols>
  <sheetData>
    <row r="1" spans="1:2" ht="15.75" customHeight="1" x14ac:dyDescent="0.25">
      <c r="A1" s="3" t="s">
        <v>91</v>
      </c>
      <c r="B1" s="29" t="s">
        <v>108</v>
      </c>
    </row>
    <row r="2" spans="1:2" ht="15.75" customHeight="1" x14ac:dyDescent="0.25">
      <c r="A2" t="s">
        <v>0</v>
      </c>
      <c r="B2" s="1">
        <v>4.57</v>
      </c>
    </row>
    <row r="3" spans="1:2" ht="15.75" customHeight="1" x14ac:dyDescent="0.25">
      <c r="A3" t="s">
        <v>1</v>
      </c>
      <c r="B3" s="1">
        <v>45.072000000000003</v>
      </c>
    </row>
    <row r="4" spans="1:2" ht="15.75" customHeight="1" x14ac:dyDescent="0.25">
      <c r="A4" t="s">
        <v>2</v>
      </c>
      <c r="B4" s="1">
        <f>B2*B3</f>
        <v>205.97904000000003</v>
      </c>
    </row>
    <row r="5" spans="1:2" ht="15.75" customHeight="1" x14ac:dyDescent="0.25">
      <c r="A5" t="s">
        <v>3</v>
      </c>
      <c r="B5" s="1">
        <v>25.5</v>
      </c>
    </row>
    <row r="6" spans="1:2" ht="15.75" customHeight="1" x14ac:dyDescent="0.25">
      <c r="A6" t="s">
        <v>4</v>
      </c>
      <c r="B6" s="1">
        <v>14.66</v>
      </c>
    </row>
    <row r="7" spans="1:2" ht="15.75" customHeight="1" x14ac:dyDescent="0.25">
      <c r="A7" t="s">
        <v>5</v>
      </c>
      <c r="B7" s="1">
        <f>B4+B6-B5</f>
        <v>195.13904000000002</v>
      </c>
    </row>
    <row r="28" spans="3:3" ht="15.75" customHeight="1" x14ac:dyDescent="0.25">
      <c r="C28" s="2"/>
    </row>
    <row r="29" spans="3:3" ht="15.75" customHeight="1" x14ac:dyDescent="0.25">
      <c r="C29" s="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2"/>
  <sheetViews>
    <sheetView zoomScaleNormal="100" workbookViewId="0">
      <selection activeCell="G14" sqref="G14"/>
    </sheetView>
  </sheetViews>
  <sheetFormatPr defaultColWidth="8.5" defaultRowHeight="15.75" x14ac:dyDescent="0.25"/>
  <cols>
    <col min="1" max="1" width="34" customWidth="1"/>
    <col min="2" max="2" width="14" customWidth="1"/>
    <col min="3" max="3" width="10" customWidth="1"/>
    <col min="4" max="4" width="9.125" customWidth="1"/>
  </cols>
  <sheetData>
    <row r="1" spans="1:5" ht="21.75" customHeight="1" x14ac:dyDescent="0.25">
      <c r="A1" s="3" t="s">
        <v>101</v>
      </c>
      <c r="B1" s="3"/>
      <c r="C1" s="4"/>
      <c r="D1" s="4"/>
      <c r="E1" s="4"/>
    </row>
    <row r="3" spans="1:5" ht="15" customHeight="1" x14ac:dyDescent="0.25">
      <c r="A3" s="3" t="s">
        <v>67</v>
      </c>
      <c r="B3" s="3" t="s">
        <v>68</v>
      </c>
      <c r="C3" s="3" t="s">
        <v>69</v>
      </c>
      <c r="D3" s="26"/>
    </row>
    <row r="4" spans="1:5" ht="15" customHeight="1" x14ac:dyDescent="0.25">
      <c r="A4" s="5" t="s">
        <v>96</v>
      </c>
      <c r="B4" s="6"/>
      <c r="C4" s="6"/>
      <c r="D4" s="26"/>
    </row>
    <row r="5" spans="1:5" ht="15" customHeight="1" x14ac:dyDescent="0.25">
      <c r="A5" s="23" t="s">
        <v>70</v>
      </c>
      <c r="B5" s="24">
        <v>36655</v>
      </c>
      <c r="C5" s="25" t="s">
        <v>71</v>
      </c>
    </row>
    <row r="6" spans="1:5" ht="15" customHeight="1" x14ac:dyDescent="0.25">
      <c r="A6" s="23" t="s">
        <v>102</v>
      </c>
      <c r="B6" s="24">
        <v>38</v>
      </c>
      <c r="C6" s="25" t="s">
        <v>72</v>
      </c>
    </row>
    <row r="7" spans="1:5" ht="15" customHeight="1" x14ac:dyDescent="0.25">
      <c r="A7" s="23" t="s">
        <v>73</v>
      </c>
      <c r="B7" s="24">
        <v>4</v>
      </c>
      <c r="C7" s="25" t="s">
        <v>72</v>
      </c>
    </row>
    <row r="8" spans="1:5" ht="15" customHeight="1" x14ac:dyDescent="0.25">
      <c r="A8" s="23" t="s">
        <v>74</v>
      </c>
      <c r="B8" s="24">
        <v>171140</v>
      </c>
      <c r="C8" s="25" t="s">
        <v>75</v>
      </c>
    </row>
    <row r="9" spans="1:5" ht="15" customHeight="1" x14ac:dyDescent="0.25">
      <c r="A9" s="23" t="s">
        <v>76</v>
      </c>
      <c r="B9" s="24">
        <v>3676</v>
      </c>
      <c r="C9" s="25" t="s">
        <v>75</v>
      </c>
    </row>
    <row r="10" spans="1:5" ht="15" customHeight="1" x14ac:dyDescent="0.25">
      <c r="A10" s="23" t="s">
        <v>77</v>
      </c>
      <c r="B10" s="24">
        <v>431793</v>
      </c>
      <c r="C10" s="25" t="s">
        <v>75</v>
      </c>
    </row>
    <row r="11" spans="1:5" ht="15" customHeight="1" x14ac:dyDescent="0.25">
      <c r="A11" s="5" t="s">
        <v>97</v>
      </c>
      <c r="B11" s="6"/>
      <c r="C11" s="6"/>
    </row>
    <row r="12" spans="1:5" ht="15" customHeight="1" x14ac:dyDescent="0.25">
      <c r="A12" s="23" t="s">
        <v>78</v>
      </c>
      <c r="B12" s="27">
        <v>46.55</v>
      </c>
      <c r="C12" s="25" t="s">
        <v>79</v>
      </c>
    </row>
    <row r="13" spans="1:5" ht="15" customHeight="1" x14ac:dyDescent="0.25">
      <c r="A13" s="23" t="s">
        <v>80</v>
      </c>
      <c r="B13" s="27">
        <v>3674</v>
      </c>
      <c r="C13" s="25" t="s">
        <v>79</v>
      </c>
    </row>
    <row r="14" spans="1:5" ht="15" customHeight="1" x14ac:dyDescent="0.25">
      <c r="A14" s="23" t="s">
        <v>81</v>
      </c>
      <c r="B14" s="27">
        <v>0.99</v>
      </c>
      <c r="C14" s="25" t="s">
        <v>79</v>
      </c>
    </row>
    <row r="15" spans="1:5" ht="15" customHeight="1" x14ac:dyDescent="0.25">
      <c r="A15" s="5" t="s">
        <v>98</v>
      </c>
      <c r="B15" s="6"/>
      <c r="C15" s="6"/>
    </row>
    <row r="16" spans="1:5" ht="15" customHeight="1" x14ac:dyDescent="0.25">
      <c r="A16" s="23" t="s">
        <v>39</v>
      </c>
      <c r="B16" s="27">
        <v>195.94</v>
      </c>
      <c r="C16" s="25" t="s">
        <v>82</v>
      </c>
    </row>
    <row r="17" spans="1:3" ht="15" customHeight="1" x14ac:dyDescent="0.25">
      <c r="A17" s="23" t="s">
        <v>42</v>
      </c>
      <c r="B17" s="24">
        <v>1141</v>
      </c>
      <c r="C17" s="25" t="s">
        <v>83</v>
      </c>
    </row>
    <row r="18" spans="1:3" ht="15" customHeight="1" x14ac:dyDescent="0.25">
      <c r="A18" s="23" t="s">
        <v>43</v>
      </c>
      <c r="B18" s="24">
        <v>422</v>
      </c>
      <c r="C18" s="25" t="s">
        <v>83</v>
      </c>
    </row>
    <row r="19" spans="1:3" ht="15" customHeight="1" x14ac:dyDescent="0.25">
      <c r="A19" s="23" t="s">
        <v>44</v>
      </c>
      <c r="B19" s="24">
        <v>44</v>
      </c>
      <c r="C19" s="25" t="s">
        <v>83</v>
      </c>
    </row>
    <row r="20" spans="1:3" ht="15" customHeight="1" x14ac:dyDescent="0.25">
      <c r="A20" s="23" t="s">
        <v>41</v>
      </c>
      <c r="B20" s="28">
        <v>0.16420000000000001</v>
      </c>
      <c r="C20" s="25" t="s">
        <v>84</v>
      </c>
    </row>
    <row r="21" spans="1:3" ht="15" customHeight="1" x14ac:dyDescent="0.25">
      <c r="A21" s="23" t="s">
        <v>45</v>
      </c>
      <c r="B21" s="28">
        <v>0.08</v>
      </c>
      <c r="C21" s="25" t="s">
        <v>84</v>
      </c>
    </row>
    <row r="22" spans="1:3" ht="15" customHeight="1" x14ac:dyDescent="0.25">
      <c r="A22" s="5" t="s">
        <v>99</v>
      </c>
      <c r="B22" s="6"/>
      <c r="C22" s="6"/>
    </row>
    <row r="23" spans="1:3" ht="15" customHeight="1" x14ac:dyDescent="0.25">
      <c r="A23" s="23" t="s">
        <v>85</v>
      </c>
      <c r="B23" s="24">
        <v>2350</v>
      </c>
      <c r="C23" s="25" t="s">
        <v>83</v>
      </c>
    </row>
    <row r="24" spans="1:3" ht="15" customHeight="1" x14ac:dyDescent="0.25">
      <c r="A24" s="23" t="s">
        <v>86</v>
      </c>
      <c r="B24" s="28">
        <v>0.27600000000000002</v>
      </c>
      <c r="C24" s="25" t="s">
        <v>84</v>
      </c>
    </row>
    <row r="25" spans="1:3" ht="15" customHeight="1" x14ac:dyDescent="0.25">
      <c r="A25" s="23" t="s">
        <v>87</v>
      </c>
      <c r="B25" s="24">
        <v>2800</v>
      </c>
      <c r="C25" s="25" t="s">
        <v>83</v>
      </c>
    </row>
    <row r="26" spans="1:3" ht="15" customHeight="1" x14ac:dyDescent="0.25">
      <c r="A26" s="23" t="s">
        <v>88</v>
      </c>
      <c r="B26" s="28">
        <v>0.29199999999999998</v>
      </c>
      <c r="C26" s="25" t="s">
        <v>84</v>
      </c>
    </row>
    <row r="27" spans="1:3" ht="15" customHeight="1" x14ac:dyDescent="0.25">
      <c r="A27" s="5" t="s">
        <v>100</v>
      </c>
      <c r="B27" s="6"/>
      <c r="C27" s="6"/>
    </row>
    <row r="28" spans="1:3" ht="15" customHeight="1" x14ac:dyDescent="0.25">
      <c r="A28" s="23" t="s">
        <v>89</v>
      </c>
      <c r="B28" s="27">
        <f>Main!B5</f>
        <v>25.5</v>
      </c>
      <c r="C28" s="25" t="s">
        <v>83</v>
      </c>
    </row>
    <row r="29" spans="1:3" ht="15" customHeight="1" x14ac:dyDescent="0.25">
      <c r="A29" s="23" t="s">
        <v>90</v>
      </c>
      <c r="B29" s="24">
        <f>(29985922+3020000)/1000000</f>
        <v>33.005921999999998</v>
      </c>
      <c r="C29" s="25" t="s">
        <v>109</v>
      </c>
    </row>
    <row r="30" spans="1:3" x14ac:dyDescent="0.25">
      <c r="B30" s="24"/>
    </row>
    <row r="31" spans="1:3" ht="15" customHeight="1" x14ac:dyDescent="0.25">
      <c r="A31" s="9"/>
    </row>
    <row r="32" spans="1:3" ht="15" customHeight="1" x14ac:dyDescent="0.25">
      <c r="A32" s="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43"/>
  <sheetViews>
    <sheetView topLeftCell="A16" zoomScale="110" zoomScaleNormal="110" workbookViewId="0">
      <selection activeCell="D38" sqref="D38"/>
    </sheetView>
  </sheetViews>
  <sheetFormatPr defaultColWidth="8.5" defaultRowHeight="15.75" x14ac:dyDescent="0.25"/>
  <cols>
    <col min="1" max="1" width="29.5" bestFit="1" customWidth="1"/>
    <col min="2" max="44" width="13.875" customWidth="1"/>
    <col min="45" max="49" width="9" customWidth="1"/>
  </cols>
  <sheetData>
    <row r="1" spans="1:8" ht="21.75" customHeight="1" x14ac:dyDescent="0.25">
      <c r="A1" s="3" t="s">
        <v>93</v>
      </c>
      <c r="B1" s="4"/>
      <c r="C1" s="4"/>
      <c r="D1" s="4"/>
      <c r="E1" s="4"/>
      <c r="F1" s="4"/>
      <c r="G1" s="4"/>
      <c r="H1" s="4"/>
    </row>
    <row r="3" spans="1:8" ht="15" customHeight="1" x14ac:dyDescent="0.25">
      <c r="A3" s="5" t="s">
        <v>95</v>
      </c>
      <c r="B3" s="6"/>
      <c r="C3" s="6"/>
      <c r="D3" s="6"/>
      <c r="E3" s="6"/>
    </row>
    <row r="4" spans="1:8" ht="15" customHeight="1" x14ac:dyDescent="0.25">
      <c r="A4" s="7" t="s">
        <v>32</v>
      </c>
      <c r="B4" s="17" t="s">
        <v>33</v>
      </c>
      <c r="C4" s="17" t="s">
        <v>34</v>
      </c>
      <c r="D4" s="17" t="s">
        <v>103</v>
      </c>
      <c r="E4" s="17" t="s">
        <v>104</v>
      </c>
    </row>
    <row r="5" spans="1:8" ht="15" customHeight="1" x14ac:dyDescent="0.25">
      <c r="A5" s="7" t="s">
        <v>35</v>
      </c>
      <c r="B5" s="30">
        <f>Assumptions!$B$8</f>
        <v>171140</v>
      </c>
      <c r="C5" s="31">
        <f>Assumptions!$B$12</f>
        <v>46.55</v>
      </c>
      <c r="D5" s="13">
        <f>B5*C5/1000</f>
        <v>7966.5669999999991</v>
      </c>
      <c r="E5" s="15">
        <f>D5/$D$8</f>
        <v>0.36377572948079201</v>
      </c>
      <c r="F5" s="9"/>
    </row>
    <row r="6" spans="1:8" ht="15" customHeight="1" x14ac:dyDescent="0.25">
      <c r="A6" s="7" t="s">
        <v>36</v>
      </c>
      <c r="B6" s="30">
        <f>Assumptions!$B$9</f>
        <v>3676</v>
      </c>
      <c r="C6" s="31">
        <f>Assumptions!$B$13</f>
        <v>3674</v>
      </c>
      <c r="D6" s="13">
        <f>B6*C6/1000</f>
        <v>13505.624</v>
      </c>
      <c r="E6" s="15">
        <f>D6/$D$8</f>
        <v>0.61670456329474066</v>
      </c>
    </row>
    <row r="7" spans="1:8" ht="15" customHeight="1" x14ac:dyDescent="0.25">
      <c r="A7" s="7" t="s">
        <v>37</v>
      </c>
      <c r="B7" s="30">
        <f>Assumptions!$B$10</f>
        <v>431793</v>
      </c>
      <c r="C7" s="31">
        <f>Assumptions!$B$14</f>
        <v>0.99</v>
      </c>
      <c r="D7" s="13">
        <f>B7*C7/1000</f>
        <v>427.47507000000002</v>
      </c>
      <c r="E7" s="15">
        <f>D7/$D$8</f>
        <v>1.9519707224467282E-2</v>
      </c>
    </row>
    <row r="8" spans="1:8" ht="15" customHeight="1" x14ac:dyDescent="0.25">
      <c r="A8" s="18" t="s">
        <v>38</v>
      </c>
      <c r="D8" s="13">
        <f>SUM(D5:D7)</f>
        <v>21899.666069999999</v>
      </c>
      <c r="E8" s="15">
        <f>D8/$D$8</f>
        <v>1</v>
      </c>
    </row>
    <row r="10" spans="1:8" ht="15" customHeight="1" x14ac:dyDescent="0.25">
      <c r="A10" s="5" t="s">
        <v>110</v>
      </c>
      <c r="B10" s="6"/>
      <c r="C10" s="6"/>
      <c r="D10" s="6"/>
      <c r="E10" s="6"/>
    </row>
    <row r="11" spans="1:8" ht="15" customHeight="1" x14ac:dyDescent="0.25">
      <c r="A11" s="7" t="s">
        <v>39</v>
      </c>
      <c r="B11" s="8">
        <f>Assumptions!$B$16*Assumptions!$B$5/1000</f>
        <v>7182.1806999999999</v>
      </c>
      <c r="C11" s="9"/>
    </row>
    <row r="12" spans="1:8" ht="15" customHeight="1" x14ac:dyDescent="0.25">
      <c r="A12" s="7" t="s">
        <v>40</v>
      </c>
      <c r="B12" s="13">
        <f>D8-B11</f>
        <v>14717.485369999999</v>
      </c>
    </row>
    <row r="13" spans="1:8" ht="15" customHeight="1" x14ac:dyDescent="0.25">
      <c r="A13" s="7" t="s">
        <v>41</v>
      </c>
      <c r="B13" s="32">
        <f>Assumptions!$B$20</f>
        <v>0.16420000000000001</v>
      </c>
    </row>
    <row r="14" spans="1:8" ht="15" customHeight="1" x14ac:dyDescent="0.25">
      <c r="A14" s="7" t="s">
        <v>42</v>
      </c>
      <c r="B14" s="33">
        <f>Assumptions!$B$17</f>
        <v>1141</v>
      </c>
    </row>
    <row r="15" spans="1:8" ht="15" customHeight="1" x14ac:dyDescent="0.25">
      <c r="A15" s="7" t="s">
        <v>43</v>
      </c>
      <c r="B15" s="33">
        <f>Assumptions!$B$18</f>
        <v>422</v>
      </c>
    </row>
    <row r="16" spans="1:8" ht="15" customHeight="1" x14ac:dyDescent="0.25">
      <c r="A16" s="7" t="s">
        <v>44</v>
      </c>
      <c r="B16" s="33">
        <f>Assumptions!$B$19</f>
        <v>44</v>
      </c>
    </row>
    <row r="17" spans="1:44" ht="15" customHeight="1" x14ac:dyDescent="0.25">
      <c r="A17" s="7" t="s">
        <v>45</v>
      </c>
      <c r="B17" s="34">
        <f>Assumptions!$B$21</f>
        <v>0.08</v>
      </c>
    </row>
    <row r="18" spans="1:44" ht="15" customHeight="1" x14ac:dyDescent="0.25">
      <c r="A18" s="7" t="s">
        <v>46</v>
      </c>
      <c r="B18" s="30">
        <f>Assumptions!$B$6</f>
        <v>38</v>
      </c>
    </row>
    <row r="19" spans="1:44" ht="15" customHeight="1" x14ac:dyDescent="0.25">
      <c r="A19" s="7" t="s">
        <v>47</v>
      </c>
      <c r="B19" s="30">
        <f>Assumptions!$B$7</f>
        <v>4</v>
      </c>
    </row>
    <row r="22" spans="1:44" ht="15" customHeight="1" x14ac:dyDescent="0.25">
      <c r="A22" s="5" t="s">
        <v>111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</row>
    <row r="23" spans="1:44" ht="15" customHeight="1" x14ac:dyDescent="0.25">
      <c r="A23" s="7" t="s">
        <v>48</v>
      </c>
      <c r="C23" s="20">
        <v>1</v>
      </c>
      <c r="D23" s="20">
        <v>2</v>
      </c>
      <c r="E23" s="20">
        <v>3</v>
      </c>
      <c r="F23" s="20">
        <v>4</v>
      </c>
      <c r="G23" s="20">
        <v>5</v>
      </c>
      <c r="H23" s="20">
        <v>6</v>
      </c>
      <c r="I23" s="20">
        <v>7</v>
      </c>
      <c r="J23" s="20">
        <v>8</v>
      </c>
      <c r="K23" s="20">
        <v>9</v>
      </c>
      <c r="L23" s="20">
        <v>10</v>
      </c>
      <c r="M23" s="20">
        <v>11</v>
      </c>
      <c r="N23" s="20">
        <v>12</v>
      </c>
      <c r="O23" s="20">
        <v>13</v>
      </c>
      <c r="P23" s="20">
        <v>14</v>
      </c>
      <c r="Q23" s="20">
        <v>15</v>
      </c>
      <c r="R23" s="20">
        <v>16</v>
      </c>
      <c r="S23" s="20">
        <v>17</v>
      </c>
      <c r="T23" s="20">
        <v>18</v>
      </c>
      <c r="U23" s="20">
        <v>19</v>
      </c>
      <c r="V23" s="20">
        <v>20</v>
      </c>
      <c r="W23" s="20">
        <v>21</v>
      </c>
      <c r="X23" s="20">
        <v>22</v>
      </c>
      <c r="Y23" s="20">
        <v>23</v>
      </c>
      <c r="Z23" s="20">
        <v>24</v>
      </c>
      <c r="AA23" s="20">
        <v>25</v>
      </c>
      <c r="AB23" s="20">
        <v>26</v>
      </c>
      <c r="AC23" s="20">
        <v>27</v>
      </c>
      <c r="AD23" s="20">
        <v>28</v>
      </c>
      <c r="AE23" s="20">
        <v>29</v>
      </c>
      <c r="AF23" s="20">
        <v>30</v>
      </c>
      <c r="AG23" s="20">
        <v>31</v>
      </c>
      <c r="AH23" s="20">
        <v>32</v>
      </c>
      <c r="AI23" s="20">
        <v>33</v>
      </c>
      <c r="AJ23" s="20">
        <v>34</v>
      </c>
      <c r="AK23" s="20">
        <v>35</v>
      </c>
      <c r="AL23" s="20">
        <v>36</v>
      </c>
      <c r="AM23" s="20">
        <v>37</v>
      </c>
      <c r="AN23" s="20">
        <v>38</v>
      </c>
      <c r="AO23" s="20">
        <v>39</v>
      </c>
      <c r="AP23" s="20">
        <v>40</v>
      </c>
      <c r="AQ23" s="20">
        <v>41</v>
      </c>
      <c r="AR23" s="20">
        <v>42</v>
      </c>
    </row>
    <row r="24" spans="1:44" ht="15" customHeight="1" x14ac:dyDescent="0.25">
      <c r="A24" s="7" t="s">
        <v>49</v>
      </c>
      <c r="C24" s="21" t="s">
        <v>50</v>
      </c>
      <c r="D24" s="21" t="s">
        <v>50</v>
      </c>
      <c r="E24" s="21" t="s">
        <v>50</v>
      </c>
      <c r="F24" s="21" t="s">
        <v>50</v>
      </c>
      <c r="G24" s="21" t="s">
        <v>51</v>
      </c>
      <c r="H24" s="21" t="s">
        <v>51</v>
      </c>
      <c r="I24" s="21" t="s">
        <v>51</v>
      </c>
      <c r="J24" s="21" t="s">
        <v>51</v>
      </c>
      <c r="K24" s="21" t="s">
        <v>51</v>
      </c>
      <c r="L24" s="21" t="s">
        <v>51</v>
      </c>
      <c r="M24" s="21" t="s">
        <v>51</v>
      </c>
      <c r="N24" s="21" t="s">
        <v>51</v>
      </c>
      <c r="O24" s="21" t="s">
        <v>51</v>
      </c>
      <c r="P24" s="21" t="s">
        <v>51</v>
      </c>
      <c r="Q24" s="21" t="s">
        <v>51</v>
      </c>
      <c r="R24" s="21" t="s">
        <v>51</v>
      </c>
      <c r="S24" s="21" t="s">
        <v>51</v>
      </c>
      <c r="T24" s="21" t="s">
        <v>51</v>
      </c>
      <c r="U24" s="21" t="s">
        <v>51</v>
      </c>
      <c r="V24" s="21" t="s">
        <v>51</v>
      </c>
      <c r="W24" s="21" t="s">
        <v>51</v>
      </c>
      <c r="X24" s="21" t="s">
        <v>51</v>
      </c>
      <c r="Y24" s="21" t="s">
        <v>51</v>
      </c>
      <c r="Z24" s="21" t="s">
        <v>51</v>
      </c>
      <c r="AA24" s="21" t="s">
        <v>51</v>
      </c>
      <c r="AB24" s="21" t="s">
        <v>51</v>
      </c>
      <c r="AC24" s="21" t="s">
        <v>51</v>
      </c>
      <c r="AD24" s="21" t="s">
        <v>51</v>
      </c>
      <c r="AE24" s="21" t="s">
        <v>51</v>
      </c>
      <c r="AF24" s="21" t="s">
        <v>51</v>
      </c>
      <c r="AG24" s="21" t="s">
        <v>51</v>
      </c>
      <c r="AH24" s="21" t="s">
        <v>51</v>
      </c>
      <c r="AI24" s="21" t="s">
        <v>51</v>
      </c>
      <c r="AJ24" s="21" t="s">
        <v>51</v>
      </c>
      <c r="AK24" s="21" t="s">
        <v>51</v>
      </c>
      <c r="AL24" s="21" t="s">
        <v>51</v>
      </c>
      <c r="AM24" s="21" t="s">
        <v>51</v>
      </c>
      <c r="AN24" s="21" t="s">
        <v>51</v>
      </c>
      <c r="AO24" s="21" t="s">
        <v>51</v>
      </c>
      <c r="AP24" s="21" t="s">
        <v>51</v>
      </c>
      <c r="AQ24" s="21" t="s">
        <v>51</v>
      </c>
      <c r="AR24" s="21" t="s">
        <v>51</v>
      </c>
    </row>
    <row r="25" spans="1:44" ht="15" customHeight="1" x14ac:dyDescent="0.25">
      <c r="A25" s="7" t="s">
        <v>52</v>
      </c>
      <c r="C25" s="8">
        <f t="shared" ref="C25:AR25" si="0">IF(C23&gt;$B$19,$D$8/$B$18,0)</f>
        <v>0</v>
      </c>
      <c r="D25" s="8">
        <f t="shared" si="0"/>
        <v>0</v>
      </c>
      <c r="E25" s="8">
        <f t="shared" si="0"/>
        <v>0</v>
      </c>
      <c r="F25" s="8">
        <f t="shared" si="0"/>
        <v>0</v>
      </c>
      <c r="G25" s="8">
        <f>IF(G23&gt;$B$19,$D$8/$B$18,0)</f>
        <v>576.30700184210525</v>
      </c>
      <c r="H25" s="8">
        <f t="shared" si="0"/>
        <v>576.30700184210525</v>
      </c>
      <c r="I25" s="8">
        <f t="shared" si="0"/>
        <v>576.30700184210525</v>
      </c>
      <c r="J25" s="8">
        <f t="shared" si="0"/>
        <v>576.30700184210525</v>
      </c>
      <c r="K25" s="8">
        <f t="shared" si="0"/>
        <v>576.30700184210525</v>
      </c>
      <c r="L25" s="8">
        <f t="shared" si="0"/>
        <v>576.30700184210525</v>
      </c>
      <c r="M25" s="8">
        <f t="shared" si="0"/>
        <v>576.30700184210525</v>
      </c>
      <c r="N25" s="8">
        <f t="shared" si="0"/>
        <v>576.30700184210525</v>
      </c>
      <c r="O25" s="8">
        <f t="shared" si="0"/>
        <v>576.30700184210525</v>
      </c>
      <c r="P25" s="8">
        <f t="shared" si="0"/>
        <v>576.30700184210525</v>
      </c>
      <c r="Q25" s="8">
        <f t="shared" si="0"/>
        <v>576.30700184210525</v>
      </c>
      <c r="R25" s="8">
        <f t="shared" si="0"/>
        <v>576.30700184210525</v>
      </c>
      <c r="S25" s="8">
        <f t="shared" si="0"/>
        <v>576.30700184210525</v>
      </c>
      <c r="T25" s="8">
        <f t="shared" si="0"/>
        <v>576.30700184210525</v>
      </c>
      <c r="U25" s="8">
        <f t="shared" si="0"/>
        <v>576.30700184210525</v>
      </c>
      <c r="V25" s="8">
        <f t="shared" si="0"/>
        <v>576.30700184210525</v>
      </c>
      <c r="W25" s="8">
        <f t="shared" si="0"/>
        <v>576.30700184210525</v>
      </c>
      <c r="X25" s="8">
        <f t="shared" si="0"/>
        <v>576.30700184210525</v>
      </c>
      <c r="Y25" s="8">
        <f t="shared" si="0"/>
        <v>576.30700184210525</v>
      </c>
      <c r="Z25" s="8">
        <f t="shared" si="0"/>
        <v>576.30700184210525</v>
      </c>
      <c r="AA25" s="8">
        <f t="shared" si="0"/>
        <v>576.30700184210525</v>
      </c>
      <c r="AB25" s="8">
        <f t="shared" si="0"/>
        <v>576.30700184210525</v>
      </c>
      <c r="AC25" s="8">
        <f t="shared" si="0"/>
        <v>576.30700184210525</v>
      </c>
      <c r="AD25" s="8">
        <f t="shared" si="0"/>
        <v>576.30700184210525</v>
      </c>
      <c r="AE25" s="8">
        <f t="shared" si="0"/>
        <v>576.30700184210525</v>
      </c>
      <c r="AF25" s="8">
        <f t="shared" si="0"/>
        <v>576.30700184210525</v>
      </c>
      <c r="AG25" s="8">
        <f t="shared" si="0"/>
        <v>576.30700184210525</v>
      </c>
      <c r="AH25" s="8">
        <f t="shared" si="0"/>
        <v>576.30700184210525</v>
      </c>
      <c r="AI25" s="8">
        <f t="shared" si="0"/>
        <v>576.30700184210525</v>
      </c>
      <c r="AJ25" s="8">
        <f t="shared" si="0"/>
        <v>576.30700184210525</v>
      </c>
      <c r="AK25" s="8">
        <f t="shared" si="0"/>
        <v>576.30700184210525</v>
      </c>
      <c r="AL25" s="8">
        <f t="shared" si="0"/>
        <v>576.30700184210525</v>
      </c>
      <c r="AM25" s="8">
        <f t="shared" si="0"/>
        <v>576.30700184210525</v>
      </c>
      <c r="AN25" s="8">
        <f t="shared" si="0"/>
        <v>576.30700184210525</v>
      </c>
      <c r="AO25" s="8">
        <f t="shared" si="0"/>
        <v>576.30700184210525</v>
      </c>
      <c r="AP25" s="8">
        <f t="shared" si="0"/>
        <v>576.30700184210525</v>
      </c>
      <c r="AQ25" s="8">
        <f t="shared" si="0"/>
        <v>576.30700184210525</v>
      </c>
      <c r="AR25" s="8">
        <f t="shared" si="0"/>
        <v>576.30700184210525</v>
      </c>
    </row>
    <row r="26" spans="1:44" ht="15" customHeight="1" x14ac:dyDescent="0.25">
      <c r="A26" s="7" t="s">
        <v>53</v>
      </c>
      <c r="C26" s="8">
        <f>IF(C23&gt;$B$19,-$B$11/$B$18,0)</f>
        <v>0</v>
      </c>
      <c r="D26" s="8">
        <f t="shared" ref="D26:AR26" si="1">IF(D23&gt;$B$19,-$B$11/$B$18,0)</f>
        <v>0</v>
      </c>
      <c r="E26" s="8">
        <f t="shared" si="1"/>
        <v>0</v>
      </c>
      <c r="F26" s="8">
        <f t="shared" si="1"/>
        <v>0</v>
      </c>
      <c r="G26" s="8">
        <f t="shared" si="1"/>
        <v>-189.0047552631579</v>
      </c>
      <c r="H26" s="8">
        <f t="shared" si="1"/>
        <v>-189.0047552631579</v>
      </c>
      <c r="I26" s="8">
        <f t="shared" si="1"/>
        <v>-189.0047552631579</v>
      </c>
      <c r="J26" s="8">
        <f t="shared" si="1"/>
        <v>-189.0047552631579</v>
      </c>
      <c r="K26" s="8">
        <f t="shared" si="1"/>
        <v>-189.0047552631579</v>
      </c>
      <c r="L26" s="8">
        <f t="shared" si="1"/>
        <v>-189.0047552631579</v>
      </c>
      <c r="M26" s="8">
        <f t="shared" si="1"/>
        <v>-189.0047552631579</v>
      </c>
      <c r="N26" s="8">
        <f t="shared" si="1"/>
        <v>-189.0047552631579</v>
      </c>
      <c r="O26" s="8">
        <f t="shared" si="1"/>
        <v>-189.0047552631579</v>
      </c>
      <c r="P26" s="8">
        <f t="shared" si="1"/>
        <v>-189.0047552631579</v>
      </c>
      <c r="Q26" s="8">
        <f t="shared" si="1"/>
        <v>-189.0047552631579</v>
      </c>
      <c r="R26" s="8">
        <f t="shared" si="1"/>
        <v>-189.0047552631579</v>
      </c>
      <c r="S26" s="8">
        <f t="shared" si="1"/>
        <v>-189.0047552631579</v>
      </c>
      <c r="T26" s="8">
        <f t="shared" si="1"/>
        <v>-189.0047552631579</v>
      </c>
      <c r="U26" s="8">
        <f t="shared" si="1"/>
        <v>-189.0047552631579</v>
      </c>
      <c r="V26" s="8">
        <f t="shared" si="1"/>
        <v>-189.0047552631579</v>
      </c>
      <c r="W26" s="8">
        <f t="shared" si="1"/>
        <v>-189.0047552631579</v>
      </c>
      <c r="X26" s="8">
        <f t="shared" si="1"/>
        <v>-189.0047552631579</v>
      </c>
      <c r="Y26" s="8">
        <f t="shared" si="1"/>
        <v>-189.0047552631579</v>
      </c>
      <c r="Z26" s="8">
        <f t="shared" si="1"/>
        <v>-189.0047552631579</v>
      </c>
      <c r="AA26" s="8">
        <f t="shared" si="1"/>
        <v>-189.0047552631579</v>
      </c>
      <c r="AB26" s="8">
        <f t="shared" si="1"/>
        <v>-189.0047552631579</v>
      </c>
      <c r="AC26" s="8">
        <f t="shared" si="1"/>
        <v>-189.0047552631579</v>
      </c>
      <c r="AD26" s="8">
        <f t="shared" si="1"/>
        <v>-189.0047552631579</v>
      </c>
      <c r="AE26" s="8">
        <f t="shared" si="1"/>
        <v>-189.0047552631579</v>
      </c>
      <c r="AF26" s="8">
        <f t="shared" si="1"/>
        <v>-189.0047552631579</v>
      </c>
      <c r="AG26" s="8">
        <f t="shared" si="1"/>
        <v>-189.0047552631579</v>
      </c>
      <c r="AH26" s="8">
        <f t="shared" si="1"/>
        <v>-189.0047552631579</v>
      </c>
      <c r="AI26" s="8">
        <f t="shared" si="1"/>
        <v>-189.0047552631579</v>
      </c>
      <c r="AJ26" s="8">
        <f t="shared" si="1"/>
        <v>-189.0047552631579</v>
      </c>
      <c r="AK26" s="8">
        <f t="shared" si="1"/>
        <v>-189.0047552631579</v>
      </c>
      <c r="AL26" s="8">
        <f t="shared" si="1"/>
        <v>-189.0047552631579</v>
      </c>
      <c r="AM26" s="8">
        <f t="shared" si="1"/>
        <v>-189.0047552631579</v>
      </c>
      <c r="AN26" s="8">
        <f t="shared" si="1"/>
        <v>-189.0047552631579</v>
      </c>
      <c r="AO26" s="8">
        <f t="shared" si="1"/>
        <v>-189.0047552631579</v>
      </c>
      <c r="AP26" s="8">
        <f t="shared" si="1"/>
        <v>-189.0047552631579</v>
      </c>
      <c r="AQ26" s="8">
        <f t="shared" si="1"/>
        <v>-189.0047552631579</v>
      </c>
      <c r="AR26" s="8">
        <f t="shared" si="1"/>
        <v>-189.0047552631579</v>
      </c>
    </row>
    <row r="27" spans="1:44" ht="15" customHeight="1" x14ac:dyDescent="0.25">
      <c r="A27" s="7" t="s">
        <v>54</v>
      </c>
      <c r="C27" s="8">
        <f t="shared" ref="C27:AR27" si="2">C25+C26</f>
        <v>0</v>
      </c>
      <c r="D27" s="8">
        <f t="shared" si="2"/>
        <v>0</v>
      </c>
      <c r="E27" s="8">
        <f t="shared" si="2"/>
        <v>0</v>
      </c>
      <c r="F27" s="8">
        <f t="shared" si="2"/>
        <v>0</v>
      </c>
      <c r="G27" s="8">
        <f t="shared" si="2"/>
        <v>387.30224657894735</v>
      </c>
      <c r="H27" s="8">
        <f t="shared" si="2"/>
        <v>387.30224657894735</v>
      </c>
      <c r="I27" s="8">
        <f t="shared" si="2"/>
        <v>387.30224657894735</v>
      </c>
      <c r="J27" s="8">
        <f t="shared" si="2"/>
        <v>387.30224657894735</v>
      </c>
      <c r="K27" s="8">
        <f t="shared" si="2"/>
        <v>387.30224657894735</v>
      </c>
      <c r="L27" s="8">
        <f t="shared" si="2"/>
        <v>387.30224657894735</v>
      </c>
      <c r="M27" s="8">
        <f t="shared" si="2"/>
        <v>387.30224657894735</v>
      </c>
      <c r="N27" s="8">
        <f t="shared" si="2"/>
        <v>387.30224657894735</v>
      </c>
      <c r="O27" s="8">
        <f t="shared" si="2"/>
        <v>387.30224657894735</v>
      </c>
      <c r="P27" s="8">
        <f t="shared" si="2"/>
        <v>387.30224657894735</v>
      </c>
      <c r="Q27" s="8">
        <f t="shared" si="2"/>
        <v>387.30224657894735</v>
      </c>
      <c r="R27" s="8">
        <f t="shared" si="2"/>
        <v>387.30224657894735</v>
      </c>
      <c r="S27" s="8">
        <f t="shared" si="2"/>
        <v>387.30224657894735</v>
      </c>
      <c r="T27" s="8">
        <f t="shared" si="2"/>
        <v>387.30224657894735</v>
      </c>
      <c r="U27" s="8">
        <f t="shared" si="2"/>
        <v>387.30224657894735</v>
      </c>
      <c r="V27" s="8">
        <f t="shared" si="2"/>
        <v>387.30224657894735</v>
      </c>
      <c r="W27" s="8">
        <f t="shared" si="2"/>
        <v>387.30224657894735</v>
      </c>
      <c r="X27" s="8">
        <f t="shared" si="2"/>
        <v>387.30224657894735</v>
      </c>
      <c r="Y27" s="8">
        <f t="shared" si="2"/>
        <v>387.30224657894735</v>
      </c>
      <c r="Z27" s="8">
        <f t="shared" si="2"/>
        <v>387.30224657894735</v>
      </c>
      <c r="AA27" s="8">
        <f t="shared" si="2"/>
        <v>387.30224657894735</v>
      </c>
      <c r="AB27" s="8">
        <f t="shared" si="2"/>
        <v>387.30224657894735</v>
      </c>
      <c r="AC27" s="8">
        <f t="shared" si="2"/>
        <v>387.30224657894735</v>
      </c>
      <c r="AD27" s="8">
        <f t="shared" si="2"/>
        <v>387.30224657894735</v>
      </c>
      <c r="AE27" s="8">
        <f t="shared" si="2"/>
        <v>387.30224657894735</v>
      </c>
      <c r="AF27" s="8">
        <f t="shared" si="2"/>
        <v>387.30224657894735</v>
      </c>
      <c r="AG27" s="8">
        <f t="shared" si="2"/>
        <v>387.30224657894735</v>
      </c>
      <c r="AH27" s="8">
        <f t="shared" si="2"/>
        <v>387.30224657894735</v>
      </c>
      <c r="AI27" s="8">
        <f t="shared" si="2"/>
        <v>387.30224657894735</v>
      </c>
      <c r="AJ27" s="8">
        <f t="shared" si="2"/>
        <v>387.30224657894735</v>
      </c>
      <c r="AK27" s="8">
        <f t="shared" si="2"/>
        <v>387.30224657894735</v>
      </c>
      <c r="AL27" s="8">
        <f t="shared" si="2"/>
        <v>387.30224657894735</v>
      </c>
      <c r="AM27" s="8">
        <f t="shared" si="2"/>
        <v>387.30224657894735</v>
      </c>
      <c r="AN27" s="8">
        <f t="shared" si="2"/>
        <v>387.30224657894735</v>
      </c>
      <c r="AO27" s="8">
        <f t="shared" si="2"/>
        <v>387.30224657894735</v>
      </c>
      <c r="AP27" s="8">
        <f t="shared" si="2"/>
        <v>387.30224657894735</v>
      </c>
      <c r="AQ27" s="8">
        <f t="shared" si="2"/>
        <v>387.30224657894735</v>
      </c>
      <c r="AR27" s="8">
        <f t="shared" si="2"/>
        <v>387.30224657894735</v>
      </c>
    </row>
    <row r="28" spans="1:44" ht="15" customHeight="1" x14ac:dyDescent="0.25">
      <c r="A28" s="7" t="s">
        <v>55</v>
      </c>
      <c r="C28" s="8">
        <f t="shared" ref="C28:AR28" si="3">IF(C23&gt;$B$19,-$B$15/$B$18,0)</f>
        <v>0</v>
      </c>
      <c r="D28" s="8">
        <f t="shared" si="3"/>
        <v>0</v>
      </c>
      <c r="E28" s="8">
        <f t="shared" si="3"/>
        <v>0</v>
      </c>
      <c r="F28" s="8">
        <f t="shared" si="3"/>
        <v>0</v>
      </c>
      <c r="G28" s="8">
        <f t="shared" si="3"/>
        <v>-11.105263157894736</v>
      </c>
      <c r="H28" s="8">
        <f t="shared" si="3"/>
        <v>-11.105263157894736</v>
      </c>
      <c r="I28" s="8">
        <f t="shared" si="3"/>
        <v>-11.105263157894736</v>
      </c>
      <c r="J28" s="8">
        <f t="shared" si="3"/>
        <v>-11.105263157894736</v>
      </c>
      <c r="K28" s="8">
        <f>IF(K23&gt;$B$19,-$B$15/$B$18,0)</f>
        <v>-11.105263157894736</v>
      </c>
      <c r="L28" s="8">
        <f t="shared" si="3"/>
        <v>-11.105263157894736</v>
      </c>
      <c r="M28" s="8">
        <f t="shared" si="3"/>
        <v>-11.105263157894736</v>
      </c>
      <c r="N28" s="8">
        <f t="shared" si="3"/>
        <v>-11.105263157894736</v>
      </c>
      <c r="O28" s="8">
        <f t="shared" si="3"/>
        <v>-11.105263157894736</v>
      </c>
      <c r="P28" s="8">
        <f t="shared" si="3"/>
        <v>-11.105263157894736</v>
      </c>
      <c r="Q28" s="8">
        <f t="shared" si="3"/>
        <v>-11.105263157894736</v>
      </c>
      <c r="R28" s="8">
        <f t="shared" si="3"/>
        <v>-11.105263157894736</v>
      </c>
      <c r="S28" s="8">
        <f t="shared" si="3"/>
        <v>-11.105263157894736</v>
      </c>
      <c r="T28" s="8">
        <f t="shared" si="3"/>
        <v>-11.105263157894736</v>
      </c>
      <c r="U28" s="8">
        <f t="shared" si="3"/>
        <v>-11.105263157894736</v>
      </c>
      <c r="V28" s="8">
        <f t="shared" si="3"/>
        <v>-11.105263157894736</v>
      </c>
      <c r="W28" s="8">
        <f t="shared" si="3"/>
        <v>-11.105263157894736</v>
      </c>
      <c r="X28" s="8">
        <f t="shared" si="3"/>
        <v>-11.105263157894736</v>
      </c>
      <c r="Y28" s="8">
        <f t="shared" si="3"/>
        <v>-11.105263157894736</v>
      </c>
      <c r="Z28" s="8">
        <f t="shared" si="3"/>
        <v>-11.105263157894736</v>
      </c>
      <c r="AA28" s="8">
        <f t="shared" si="3"/>
        <v>-11.105263157894736</v>
      </c>
      <c r="AB28" s="8">
        <f t="shared" si="3"/>
        <v>-11.105263157894736</v>
      </c>
      <c r="AC28" s="8">
        <f t="shared" si="3"/>
        <v>-11.105263157894736</v>
      </c>
      <c r="AD28" s="8">
        <f t="shared" si="3"/>
        <v>-11.105263157894736</v>
      </c>
      <c r="AE28" s="8">
        <f t="shared" si="3"/>
        <v>-11.105263157894736</v>
      </c>
      <c r="AF28" s="8">
        <f t="shared" si="3"/>
        <v>-11.105263157894736</v>
      </c>
      <c r="AG28" s="8">
        <f t="shared" si="3"/>
        <v>-11.105263157894736</v>
      </c>
      <c r="AH28" s="8">
        <f t="shared" si="3"/>
        <v>-11.105263157894736</v>
      </c>
      <c r="AI28" s="8">
        <f t="shared" si="3"/>
        <v>-11.105263157894736</v>
      </c>
      <c r="AJ28" s="8">
        <f t="shared" si="3"/>
        <v>-11.105263157894736</v>
      </c>
      <c r="AK28" s="8">
        <f t="shared" si="3"/>
        <v>-11.105263157894736</v>
      </c>
      <c r="AL28" s="8">
        <f t="shared" si="3"/>
        <v>-11.105263157894736</v>
      </c>
      <c r="AM28" s="8">
        <f t="shared" si="3"/>
        <v>-11.105263157894736</v>
      </c>
      <c r="AN28" s="8">
        <f t="shared" si="3"/>
        <v>-11.105263157894736</v>
      </c>
      <c r="AO28" s="8">
        <f t="shared" si="3"/>
        <v>-11.105263157894736</v>
      </c>
      <c r="AP28" s="8">
        <f t="shared" si="3"/>
        <v>-11.105263157894736</v>
      </c>
      <c r="AQ28" s="8">
        <f t="shared" si="3"/>
        <v>-11.105263157894736</v>
      </c>
      <c r="AR28" s="8">
        <f t="shared" si="3"/>
        <v>-11.105263157894736</v>
      </c>
    </row>
    <row r="29" spans="1:44" ht="15" customHeight="1" x14ac:dyDescent="0.25">
      <c r="A29" s="7" t="s">
        <v>56</v>
      </c>
      <c r="C29" s="8">
        <f t="shared" ref="C29:AR29" si="4">C27+C28</f>
        <v>0</v>
      </c>
      <c r="D29" s="8">
        <f t="shared" si="4"/>
        <v>0</v>
      </c>
      <c r="E29" s="8">
        <f t="shared" si="4"/>
        <v>0</v>
      </c>
      <c r="F29" s="8">
        <f t="shared" si="4"/>
        <v>0</v>
      </c>
      <c r="G29" s="8">
        <f t="shared" si="4"/>
        <v>376.19698342105261</v>
      </c>
      <c r="H29" s="8">
        <f t="shared" si="4"/>
        <v>376.19698342105261</v>
      </c>
      <c r="I29" s="8">
        <f t="shared" si="4"/>
        <v>376.19698342105261</v>
      </c>
      <c r="J29" s="8">
        <f t="shared" si="4"/>
        <v>376.19698342105261</v>
      </c>
      <c r="K29" s="8">
        <f t="shared" si="4"/>
        <v>376.19698342105261</v>
      </c>
      <c r="L29" s="8">
        <f t="shared" si="4"/>
        <v>376.19698342105261</v>
      </c>
      <c r="M29" s="8">
        <f t="shared" si="4"/>
        <v>376.19698342105261</v>
      </c>
      <c r="N29" s="8">
        <f t="shared" si="4"/>
        <v>376.19698342105261</v>
      </c>
      <c r="O29" s="8">
        <f t="shared" si="4"/>
        <v>376.19698342105261</v>
      </c>
      <c r="P29" s="8">
        <f t="shared" si="4"/>
        <v>376.19698342105261</v>
      </c>
      <c r="Q29" s="8">
        <f t="shared" si="4"/>
        <v>376.19698342105261</v>
      </c>
      <c r="R29" s="8">
        <f t="shared" si="4"/>
        <v>376.19698342105261</v>
      </c>
      <c r="S29" s="8">
        <f t="shared" si="4"/>
        <v>376.19698342105261</v>
      </c>
      <c r="T29" s="8">
        <f t="shared" si="4"/>
        <v>376.19698342105261</v>
      </c>
      <c r="U29" s="8">
        <f t="shared" si="4"/>
        <v>376.19698342105261</v>
      </c>
      <c r="V29" s="8">
        <f t="shared" si="4"/>
        <v>376.19698342105261</v>
      </c>
      <c r="W29" s="8">
        <f t="shared" si="4"/>
        <v>376.19698342105261</v>
      </c>
      <c r="X29" s="8">
        <f t="shared" si="4"/>
        <v>376.19698342105261</v>
      </c>
      <c r="Y29" s="8">
        <f t="shared" si="4"/>
        <v>376.19698342105261</v>
      </c>
      <c r="Z29" s="8">
        <f t="shared" si="4"/>
        <v>376.19698342105261</v>
      </c>
      <c r="AA29" s="8">
        <f t="shared" si="4"/>
        <v>376.19698342105261</v>
      </c>
      <c r="AB29" s="8">
        <f t="shared" si="4"/>
        <v>376.19698342105261</v>
      </c>
      <c r="AC29" s="8">
        <f t="shared" si="4"/>
        <v>376.19698342105261</v>
      </c>
      <c r="AD29" s="8">
        <f t="shared" si="4"/>
        <v>376.19698342105261</v>
      </c>
      <c r="AE29" s="8">
        <f t="shared" si="4"/>
        <v>376.19698342105261</v>
      </c>
      <c r="AF29" s="8">
        <f t="shared" si="4"/>
        <v>376.19698342105261</v>
      </c>
      <c r="AG29" s="8">
        <f t="shared" si="4"/>
        <v>376.19698342105261</v>
      </c>
      <c r="AH29" s="8">
        <f t="shared" si="4"/>
        <v>376.19698342105261</v>
      </c>
      <c r="AI29" s="8">
        <f t="shared" si="4"/>
        <v>376.19698342105261</v>
      </c>
      <c r="AJ29" s="8">
        <f t="shared" si="4"/>
        <v>376.19698342105261</v>
      </c>
      <c r="AK29" s="8">
        <f t="shared" si="4"/>
        <v>376.19698342105261</v>
      </c>
      <c r="AL29" s="8">
        <f t="shared" si="4"/>
        <v>376.19698342105261</v>
      </c>
      <c r="AM29" s="8">
        <f t="shared" si="4"/>
        <v>376.19698342105261</v>
      </c>
      <c r="AN29" s="8">
        <f t="shared" si="4"/>
        <v>376.19698342105261</v>
      </c>
      <c r="AO29" s="8">
        <f t="shared" si="4"/>
        <v>376.19698342105261</v>
      </c>
      <c r="AP29" s="8">
        <f t="shared" si="4"/>
        <v>376.19698342105261</v>
      </c>
      <c r="AQ29" s="8">
        <f t="shared" si="4"/>
        <v>376.19698342105261</v>
      </c>
      <c r="AR29" s="8">
        <f t="shared" si="4"/>
        <v>376.19698342105261</v>
      </c>
    </row>
    <row r="30" spans="1:44" ht="15" customHeight="1" x14ac:dyDescent="0.25">
      <c r="A30" s="7" t="s">
        <v>57</v>
      </c>
      <c r="C30" s="8">
        <f t="shared" ref="C30:AR30" si="5">-MAX(C29,0)*$B$13</f>
        <v>0</v>
      </c>
      <c r="D30" s="8">
        <f t="shared" si="5"/>
        <v>0</v>
      </c>
      <c r="E30" s="8">
        <f t="shared" si="5"/>
        <v>0</v>
      </c>
      <c r="F30" s="8">
        <f t="shared" si="5"/>
        <v>0</v>
      </c>
      <c r="G30" s="8">
        <f t="shared" si="5"/>
        <v>-61.771544677736841</v>
      </c>
      <c r="H30" s="8">
        <f t="shared" si="5"/>
        <v>-61.771544677736841</v>
      </c>
      <c r="I30" s="8">
        <f t="shared" si="5"/>
        <v>-61.771544677736841</v>
      </c>
      <c r="J30" s="8">
        <f t="shared" si="5"/>
        <v>-61.771544677736841</v>
      </c>
      <c r="K30" s="8">
        <f t="shared" si="5"/>
        <v>-61.771544677736841</v>
      </c>
      <c r="L30" s="8">
        <f t="shared" si="5"/>
        <v>-61.771544677736841</v>
      </c>
      <c r="M30" s="8">
        <f t="shared" si="5"/>
        <v>-61.771544677736841</v>
      </c>
      <c r="N30" s="8">
        <f t="shared" si="5"/>
        <v>-61.771544677736841</v>
      </c>
      <c r="O30" s="8">
        <f t="shared" si="5"/>
        <v>-61.771544677736841</v>
      </c>
      <c r="P30" s="8">
        <f t="shared" si="5"/>
        <v>-61.771544677736841</v>
      </c>
      <c r="Q30" s="8">
        <f t="shared" si="5"/>
        <v>-61.771544677736841</v>
      </c>
      <c r="R30" s="8">
        <f t="shared" si="5"/>
        <v>-61.771544677736841</v>
      </c>
      <c r="S30" s="8">
        <f t="shared" si="5"/>
        <v>-61.771544677736841</v>
      </c>
      <c r="T30" s="8">
        <f t="shared" si="5"/>
        <v>-61.771544677736841</v>
      </c>
      <c r="U30" s="8">
        <f t="shared" si="5"/>
        <v>-61.771544677736841</v>
      </c>
      <c r="V30" s="8">
        <f t="shared" si="5"/>
        <v>-61.771544677736841</v>
      </c>
      <c r="W30" s="8">
        <f t="shared" si="5"/>
        <v>-61.771544677736841</v>
      </c>
      <c r="X30" s="8">
        <f t="shared" si="5"/>
        <v>-61.771544677736841</v>
      </c>
      <c r="Y30" s="8">
        <f t="shared" si="5"/>
        <v>-61.771544677736841</v>
      </c>
      <c r="Z30" s="8">
        <f t="shared" si="5"/>
        <v>-61.771544677736841</v>
      </c>
      <c r="AA30" s="8">
        <f t="shared" si="5"/>
        <v>-61.771544677736841</v>
      </c>
      <c r="AB30" s="8">
        <f t="shared" si="5"/>
        <v>-61.771544677736841</v>
      </c>
      <c r="AC30" s="8">
        <f t="shared" si="5"/>
        <v>-61.771544677736841</v>
      </c>
      <c r="AD30" s="8">
        <f t="shared" si="5"/>
        <v>-61.771544677736841</v>
      </c>
      <c r="AE30" s="8">
        <f t="shared" si="5"/>
        <v>-61.771544677736841</v>
      </c>
      <c r="AF30" s="8">
        <f t="shared" si="5"/>
        <v>-61.771544677736841</v>
      </c>
      <c r="AG30" s="8">
        <f t="shared" si="5"/>
        <v>-61.771544677736841</v>
      </c>
      <c r="AH30" s="8">
        <f t="shared" si="5"/>
        <v>-61.771544677736841</v>
      </c>
      <c r="AI30" s="8">
        <f t="shared" si="5"/>
        <v>-61.771544677736841</v>
      </c>
      <c r="AJ30" s="8">
        <f t="shared" si="5"/>
        <v>-61.771544677736841</v>
      </c>
      <c r="AK30" s="8">
        <f t="shared" si="5"/>
        <v>-61.771544677736841</v>
      </c>
      <c r="AL30" s="8">
        <f t="shared" si="5"/>
        <v>-61.771544677736841</v>
      </c>
      <c r="AM30" s="8">
        <f t="shared" si="5"/>
        <v>-61.771544677736841</v>
      </c>
      <c r="AN30" s="8">
        <f t="shared" si="5"/>
        <v>-61.771544677736841</v>
      </c>
      <c r="AO30" s="8">
        <f t="shared" si="5"/>
        <v>-61.771544677736841</v>
      </c>
      <c r="AP30" s="8">
        <f t="shared" si="5"/>
        <v>-61.771544677736841</v>
      </c>
      <c r="AQ30" s="8">
        <f t="shared" si="5"/>
        <v>-61.771544677736841</v>
      </c>
      <c r="AR30" s="8">
        <f t="shared" si="5"/>
        <v>-61.771544677736841</v>
      </c>
    </row>
    <row r="31" spans="1:44" ht="15" customHeight="1" x14ac:dyDescent="0.25">
      <c r="A31" s="7" t="s">
        <v>58</v>
      </c>
      <c r="C31" s="8">
        <f t="shared" ref="C31:AR31" si="6">C29+C30</f>
        <v>0</v>
      </c>
      <c r="D31" s="8">
        <f t="shared" si="6"/>
        <v>0</v>
      </c>
      <c r="E31" s="8">
        <f t="shared" si="6"/>
        <v>0</v>
      </c>
      <c r="F31" s="8">
        <f t="shared" si="6"/>
        <v>0</v>
      </c>
      <c r="G31" s="8">
        <f t="shared" si="6"/>
        <v>314.42543874331579</v>
      </c>
      <c r="H31" s="8">
        <f t="shared" si="6"/>
        <v>314.42543874331579</v>
      </c>
      <c r="I31" s="8">
        <f t="shared" si="6"/>
        <v>314.42543874331579</v>
      </c>
      <c r="J31" s="8">
        <f t="shared" si="6"/>
        <v>314.42543874331579</v>
      </c>
      <c r="K31" s="8">
        <f t="shared" si="6"/>
        <v>314.42543874331579</v>
      </c>
      <c r="L31" s="8">
        <f t="shared" si="6"/>
        <v>314.42543874331579</v>
      </c>
      <c r="M31" s="8">
        <f t="shared" si="6"/>
        <v>314.42543874331579</v>
      </c>
      <c r="N31" s="8">
        <f t="shared" si="6"/>
        <v>314.42543874331579</v>
      </c>
      <c r="O31" s="8">
        <f t="shared" si="6"/>
        <v>314.42543874331579</v>
      </c>
      <c r="P31" s="8">
        <f t="shared" si="6"/>
        <v>314.42543874331579</v>
      </c>
      <c r="Q31" s="8">
        <f t="shared" si="6"/>
        <v>314.42543874331579</v>
      </c>
      <c r="R31" s="8">
        <f t="shared" si="6"/>
        <v>314.42543874331579</v>
      </c>
      <c r="S31" s="8">
        <f t="shared" si="6"/>
        <v>314.42543874331579</v>
      </c>
      <c r="T31" s="8">
        <f t="shared" si="6"/>
        <v>314.42543874331579</v>
      </c>
      <c r="U31" s="8">
        <f t="shared" si="6"/>
        <v>314.42543874331579</v>
      </c>
      <c r="V31" s="8">
        <f t="shared" si="6"/>
        <v>314.42543874331579</v>
      </c>
      <c r="W31" s="8">
        <f t="shared" si="6"/>
        <v>314.42543874331579</v>
      </c>
      <c r="X31" s="8">
        <f t="shared" si="6"/>
        <v>314.42543874331579</v>
      </c>
      <c r="Y31" s="8">
        <f t="shared" si="6"/>
        <v>314.42543874331579</v>
      </c>
      <c r="Z31" s="8">
        <f t="shared" si="6"/>
        <v>314.42543874331579</v>
      </c>
      <c r="AA31" s="8">
        <f t="shared" si="6"/>
        <v>314.42543874331579</v>
      </c>
      <c r="AB31" s="8">
        <f t="shared" si="6"/>
        <v>314.42543874331579</v>
      </c>
      <c r="AC31" s="8">
        <f t="shared" si="6"/>
        <v>314.42543874331579</v>
      </c>
      <c r="AD31" s="8">
        <f t="shared" si="6"/>
        <v>314.42543874331579</v>
      </c>
      <c r="AE31" s="8">
        <f t="shared" si="6"/>
        <v>314.42543874331579</v>
      </c>
      <c r="AF31" s="8">
        <f t="shared" si="6"/>
        <v>314.42543874331579</v>
      </c>
      <c r="AG31" s="8">
        <f t="shared" si="6"/>
        <v>314.42543874331579</v>
      </c>
      <c r="AH31" s="8">
        <f t="shared" si="6"/>
        <v>314.42543874331579</v>
      </c>
      <c r="AI31" s="8">
        <f t="shared" si="6"/>
        <v>314.42543874331579</v>
      </c>
      <c r="AJ31" s="8">
        <f t="shared" si="6"/>
        <v>314.42543874331579</v>
      </c>
      <c r="AK31" s="8">
        <f t="shared" si="6"/>
        <v>314.42543874331579</v>
      </c>
      <c r="AL31" s="8">
        <f t="shared" si="6"/>
        <v>314.42543874331579</v>
      </c>
      <c r="AM31" s="8">
        <f t="shared" si="6"/>
        <v>314.42543874331579</v>
      </c>
      <c r="AN31" s="8">
        <f t="shared" si="6"/>
        <v>314.42543874331579</v>
      </c>
      <c r="AO31" s="8">
        <f t="shared" si="6"/>
        <v>314.42543874331579</v>
      </c>
      <c r="AP31" s="8">
        <f t="shared" si="6"/>
        <v>314.42543874331579</v>
      </c>
      <c r="AQ31" s="8">
        <f t="shared" si="6"/>
        <v>314.42543874331579</v>
      </c>
      <c r="AR31" s="8">
        <f t="shared" si="6"/>
        <v>314.42543874331579</v>
      </c>
    </row>
    <row r="32" spans="1:44" ht="15" customHeight="1" x14ac:dyDescent="0.25">
      <c r="A32" s="7" t="s">
        <v>59</v>
      </c>
      <c r="C32" s="8">
        <f t="shared" ref="C32:AR32" si="7">IF(C23&lt;=$B$19,-$B$14/$B$19,0)</f>
        <v>-285.25</v>
      </c>
      <c r="D32" s="8">
        <f t="shared" si="7"/>
        <v>-285.25</v>
      </c>
      <c r="E32" s="8">
        <f t="shared" si="7"/>
        <v>-285.25</v>
      </c>
      <c r="F32" s="8">
        <f t="shared" si="7"/>
        <v>-285.25</v>
      </c>
      <c r="G32" s="8">
        <f t="shared" si="7"/>
        <v>0</v>
      </c>
      <c r="H32" s="8">
        <f t="shared" si="7"/>
        <v>0</v>
      </c>
      <c r="I32" s="8">
        <f t="shared" si="7"/>
        <v>0</v>
      </c>
      <c r="J32" s="8">
        <f t="shared" si="7"/>
        <v>0</v>
      </c>
      <c r="K32" s="8">
        <f t="shared" si="7"/>
        <v>0</v>
      </c>
      <c r="L32" s="8">
        <f t="shared" si="7"/>
        <v>0</v>
      </c>
      <c r="M32" s="8">
        <f t="shared" si="7"/>
        <v>0</v>
      </c>
      <c r="N32" s="8">
        <f t="shared" si="7"/>
        <v>0</v>
      </c>
      <c r="O32" s="8">
        <f t="shared" si="7"/>
        <v>0</v>
      </c>
      <c r="P32" s="8">
        <f t="shared" si="7"/>
        <v>0</v>
      </c>
      <c r="Q32" s="8">
        <f t="shared" si="7"/>
        <v>0</v>
      </c>
      <c r="R32" s="8">
        <f t="shared" si="7"/>
        <v>0</v>
      </c>
      <c r="S32" s="8">
        <f t="shared" si="7"/>
        <v>0</v>
      </c>
      <c r="T32" s="8">
        <f t="shared" si="7"/>
        <v>0</v>
      </c>
      <c r="U32" s="8">
        <f t="shared" si="7"/>
        <v>0</v>
      </c>
      <c r="V32" s="8">
        <f t="shared" si="7"/>
        <v>0</v>
      </c>
      <c r="W32" s="8">
        <f t="shared" si="7"/>
        <v>0</v>
      </c>
      <c r="X32" s="8">
        <f t="shared" si="7"/>
        <v>0</v>
      </c>
      <c r="Y32" s="8">
        <f t="shared" si="7"/>
        <v>0</v>
      </c>
      <c r="Z32" s="8">
        <f t="shared" si="7"/>
        <v>0</v>
      </c>
      <c r="AA32" s="8">
        <f t="shared" si="7"/>
        <v>0</v>
      </c>
      <c r="AB32" s="8">
        <f t="shared" si="7"/>
        <v>0</v>
      </c>
      <c r="AC32" s="8">
        <f t="shared" si="7"/>
        <v>0</v>
      </c>
      <c r="AD32" s="8">
        <f t="shared" si="7"/>
        <v>0</v>
      </c>
      <c r="AE32" s="8">
        <f t="shared" si="7"/>
        <v>0</v>
      </c>
      <c r="AF32" s="8">
        <f t="shared" si="7"/>
        <v>0</v>
      </c>
      <c r="AG32" s="8">
        <f t="shared" si="7"/>
        <v>0</v>
      </c>
      <c r="AH32" s="8">
        <f t="shared" si="7"/>
        <v>0</v>
      </c>
      <c r="AI32" s="8">
        <f t="shared" si="7"/>
        <v>0</v>
      </c>
      <c r="AJ32" s="8">
        <f t="shared" si="7"/>
        <v>0</v>
      </c>
      <c r="AK32" s="8">
        <f t="shared" si="7"/>
        <v>0</v>
      </c>
      <c r="AL32" s="8">
        <f t="shared" si="7"/>
        <v>0</v>
      </c>
      <c r="AM32" s="8">
        <f t="shared" si="7"/>
        <v>0</v>
      </c>
      <c r="AN32" s="8">
        <f t="shared" si="7"/>
        <v>0</v>
      </c>
      <c r="AO32" s="8">
        <f t="shared" si="7"/>
        <v>0</v>
      </c>
      <c r="AP32" s="8">
        <f t="shared" si="7"/>
        <v>0</v>
      </c>
      <c r="AQ32" s="8">
        <f t="shared" si="7"/>
        <v>0</v>
      </c>
      <c r="AR32" s="8">
        <f t="shared" si="7"/>
        <v>0</v>
      </c>
    </row>
    <row r="33" spans="1:44" ht="15" customHeight="1" x14ac:dyDescent="0.25">
      <c r="A33" s="7" t="s">
        <v>60</v>
      </c>
      <c r="C33" s="8">
        <f t="shared" ref="C33:AR33" si="8">IF(C23=($B$18+$B$19),-$B$16,0)</f>
        <v>0</v>
      </c>
      <c r="D33" s="8">
        <f t="shared" si="8"/>
        <v>0</v>
      </c>
      <c r="E33" s="8">
        <f t="shared" si="8"/>
        <v>0</v>
      </c>
      <c r="F33" s="8">
        <f t="shared" si="8"/>
        <v>0</v>
      </c>
      <c r="G33" s="8">
        <f t="shared" si="8"/>
        <v>0</v>
      </c>
      <c r="H33" s="8">
        <f t="shared" si="8"/>
        <v>0</v>
      </c>
      <c r="I33" s="8">
        <f t="shared" si="8"/>
        <v>0</v>
      </c>
      <c r="J33" s="8">
        <f t="shared" si="8"/>
        <v>0</v>
      </c>
      <c r="K33" s="8">
        <f t="shared" si="8"/>
        <v>0</v>
      </c>
      <c r="L33" s="8">
        <f t="shared" si="8"/>
        <v>0</v>
      </c>
      <c r="M33" s="8">
        <f t="shared" si="8"/>
        <v>0</v>
      </c>
      <c r="N33" s="8">
        <f t="shared" si="8"/>
        <v>0</v>
      </c>
      <c r="O33" s="8">
        <f t="shared" si="8"/>
        <v>0</v>
      </c>
      <c r="P33" s="8">
        <f t="shared" si="8"/>
        <v>0</v>
      </c>
      <c r="Q33" s="8">
        <f t="shared" si="8"/>
        <v>0</v>
      </c>
      <c r="R33" s="8">
        <f t="shared" si="8"/>
        <v>0</v>
      </c>
      <c r="S33" s="8">
        <f t="shared" si="8"/>
        <v>0</v>
      </c>
      <c r="T33" s="8">
        <f t="shared" si="8"/>
        <v>0</v>
      </c>
      <c r="U33" s="8">
        <f t="shared" si="8"/>
        <v>0</v>
      </c>
      <c r="V33" s="8">
        <f t="shared" si="8"/>
        <v>0</v>
      </c>
      <c r="W33" s="8">
        <f t="shared" si="8"/>
        <v>0</v>
      </c>
      <c r="X33" s="8">
        <f t="shared" si="8"/>
        <v>0</v>
      </c>
      <c r="Y33" s="8">
        <f t="shared" si="8"/>
        <v>0</v>
      </c>
      <c r="Z33" s="8">
        <f t="shared" si="8"/>
        <v>0</v>
      </c>
      <c r="AA33" s="8">
        <f t="shared" si="8"/>
        <v>0</v>
      </c>
      <c r="AB33" s="8">
        <f t="shared" si="8"/>
        <v>0</v>
      </c>
      <c r="AC33" s="8">
        <f t="shared" si="8"/>
        <v>0</v>
      </c>
      <c r="AD33" s="8">
        <f t="shared" si="8"/>
        <v>0</v>
      </c>
      <c r="AE33" s="8">
        <f t="shared" si="8"/>
        <v>0</v>
      </c>
      <c r="AF33" s="8">
        <f t="shared" si="8"/>
        <v>0</v>
      </c>
      <c r="AG33" s="8">
        <f t="shared" si="8"/>
        <v>0</v>
      </c>
      <c r="AH33" s="8">
        <f t="shared" si="8"/>
        <v>0</v>
      </c>
      <c r="AI33" s="8">
        <f t="shared" si="8"/>
        <v>0</v>
      </c>
      <c r="AJ33" s="8">
        <f t="shared" si="8"/>
        <v>0</v>
      </c>
      <c r="AK33" s="8">
        <f t="shared" si="8"/>
        <v>0</v>
      </c>
      <c r="AL33" s="8">
        <f t="shared" si="8"/>
        <v>0</v>
      </c>
      <c r="AM33" s="8">
        <f t="shared" si="8"/>
        <v>0</v>
      </c>
      <c r="AN33" s="8">
        <f t="shared" si="8"/>
        <v>0</v>
      </c>
      <c r="AO33" s="8">
        <f t="shared" si="8"/>
        <v>0</v>
      </c>
      <c r="AP33" s="8">
        <f t="shared" si="8"/>
        <v>0</v>
      </c>
      <c r="AQ33" s="8">
        <f t="shared" si="8"/>
        <v>0</v>
      </c>
      <c r="AR33" s="8">
        <f t="shared" si="8"/>
        <v>-44</v>
      </c>
    </row>
    <row r="34" spans="1:44" ht="15" customHeight="1" x14ac:dyDescent="0.25">
      <c r="A34" s="18" t="s">
        <v>61</v>
      </c>
      <c r="C34" s="13">
        <f t="shared" ref="C34:AR34" si="9">C31+C32+C33</f>
        <v>-285.25</v>
      </c>
      <c r="D34" s="13">
        <f t="shared" si="9"/>
        <v>-285.25</v>
      </c>
      <c r="E34" s="13">
        <f t="shared" si="9"/>
        <v>-285.25</v>
      </c>
      <c r="F34" s="13">
        <f t="shared" si="9"/>
        <v>-285.25</v>
      </c>
      <c r="G34" s="13">
        <f t="shared" si="9"/>
        <v>314.42543874331579</v>
      </c>
      <c r="H34" s="13">
        <f t="shared" si="9"/>
        <v>314.42543874331579</v>
      </c>
      <c r="I34" s="13">
        <f t="shared" si="9"/>
        <v>314.42543874331579</v>
      </c>
      <c r="J34" s="13">
        <f t="shared" si="9"/>
        <v>314.42543874331579</v>
      </c>
      <c r="K34" s="13">
        <f t="shared" si="9"/>
        <v>314.42543874331579</v>
      </c>
      <c r="L34" s="13">
        <f t="shared" si="9"/>
        <v>314.42543874331579</v>
      </c>
      <c r="M34" s="13">
        <f t="shared" si="9"/>
        <v>314.42543874331579</v>
      </c>
      <c r="N34" s="13">
        <f t="shared" si="9"/>
        <v>314.42543874331579</v>
      </c>
      <c r="O34" s="13">
        <f t="shared" si="9"/>
        <v>314.42543874331579</v>
      </c>
      <c r="P34" s="13">
        <f t="shared" si="9"/>
        <v>314.42543874331579</v>
      </c>
      <c r="Q34" s="13">
        <f t="shared" si="9"/>
        <v>314.42543874331579</v>
      </c>
      <c r="R34" s="13">
        <f t="shared" si="9"/>
        <v>314.42543874331579</v>
      </c>
      <c r="S34" s="13">
        <f t="shared" si="9"/>
        <v>314.42543874331579</v>
      </c>
      <c r="T34" s="13">
        <f t="shared" si="9"/>
        <v>314.42543874331579</v>
      </c>
      <c r="U34" s="13">
        <f t="shared" si="9"/>
        <v>314.42543874331579</v>
      </c>
      <c r="V34" s="13">
        <f t="shared" si="9"/>
        <v>314.42543874331579</v>
      </c>
      <c r="W34" s="13">
        <f t="shared" si="9"/>
        <v>314.42543874331579</v>
      </c>
      <c r="X34" s="13">
        <f t="shared" si="9"/>
        <v>314.42543874331579</v>
      </c>
      <c r="Y34" s="13">
        <f t="shared" si="9"/>
        <v>314.42543874331579</v>
      </c>
      <c r="Z34" s="13">
        <f t="shared" si="9"/>
        <v>314.42543874331579</v>
      </c>
      <c r="AA34" s="13">
        <f t="shared" si="9"/>
        <v>314.42543874331579</v>
      </c>
      <c r="AB34" s="13">
        <f t="shared" si="9"/>
        <v>314.42543874331579</v>
      </c>
      <c r="AC34" s="13">
        <f t="shared" si="9"/>
        <v>314.42543874331579</v>
      </c>
      <c r="AD34" s="13">
        <f t="shared" si="9"/>
        <v>314.42543874331579</v>
      </c>
      <c r="AE34" s="13">
        <f t="shared" si="9"/>
        <v>314.42543874331579</v>
      </c>
      <c r="AF34" s="13">
        <f t="shared" si="9"/>
        <v>314.42543874331579</v>
      </c>
      <c r="AG34" s="13">
        <f t="shared" si="9"/>
        <v>314.42543874331579</v>
      </c>
      <c r="AH34" s="13">
        <f t="shared" si="9"/>
        <v>314.42543874331579</v>
      </c>
      <c r="AI34" s="13">
        <f t="shared" si="9"/>
        <v>314.42543874331579</v>
      </c>
      <c r="AJ34" s="13">
        <f t="shared" si="9"/>
        <v>314.42543874331579</v>
      </c>
      <c r="AK34" s="13">
        <f t="shared" si="9"/>
        <v>314.42543874331579</v>
      </c>
      <c r="AL34" s="13">
        <f t="shared" si="9"/>
        <v>314.42543874331579</v>
      </c>
      <c r="AM34" s="13">
        <f t="shared" si="9"/>
        <v>314.42543874331579</v>
      </c>
      <c r="AN34" s="13">
        <f t="shared" si="9"/>
        <v>314.42543874331579</v>
      </c>
      <c r="AO34" s="13">
        <f t="shared" si="9"/>
        <v>314.42543874331579</v>
      </c>
      <c r="AP34" s="13">
        <f t="shared" si="9"/>
        <v>314.42543874331579</v>
      </c>
      <c r="AQ34" s="13">
        <f t="shared" si="9"/>
        <v>314.42543874331579</v>
      </c>
      <c r="AR34" s="13">
        <f t="shared" si="9"/>
        <v>270.42543874331579</v>
      </c>
    </row>
    <row r="35" spans="1:44" ht="15" customHeight="1" x14ac:dyDescent="0.25">
      <c r="A35" s="7" t="s">
        <v>62</v>
      </c>
      <c r="C35" s="22">
        <f t="shared" ref="C35:AR35" si="10">1/(1+$B$17)^C23</f>
        <v>0.92592592592592582</v>
      </c>
      <c r="D35" s="22">
        <f t="shared" si="10"/>
        <v>0.85733882030178321</v>
      </c>
      <c r="E35" s="22">
        <f t="shared" si="10"/>
        <v>0.79383224102016958</v>
      </c>
      <c r="F35" s="22">
        <f t="shared" si="10"/>
        <v>0.73502985279645328</v>
      </c>
      <c r="G35" s="22">
        <f t="shared" si="10"/>
        <v>0.68058319703375303</v>
      </c>
      <c r="H35" s="22">
        <f t="shared" si="10"/>
        <v>0.63016962688310452</v>
      </c>
      <c r="I35" s="22">
        <f t="shared" si="10"/>
        <v>0.58349039526213387</v>
      </c>
      <c r="J35" s="22">
        <f t="shared" si="10"/>
        <v>0.54026888450197574</v>
      </c>
      <c r="K35" s="22">
        <f t="shared" si="10"/>
        <v>0.50024896713145905</v>
      </c>
      <c r="L35" s="22">
        <f t="shared" si="10"/>
        <v>0.46319348808468425</v>
      </c>
      <c r="M35" s="22">
        <f t="shared" si="10"/>
        <v>0.42888285933767062</v>
      </c>
      <c r="N35" s="22">
        <f t="shared" si="10"/>
        <v>0.39711375864599124</v>
      </c>
      <c r="O35" s="22">
        <f t="shared" si="10"/>
        <v>0.36769792467221413</v>
      </c>
      <c r="P35" s="22">
        <f t="shared" si="10"/>
        <v>0.34046104136316119</v>
      </c>
      <c r="Q35" s="22">
        <f t="shared" si="10"/>
        <v>0.31524170496588994</v>
      </c>
      <c r="R35" s="22">
        <f t="shared" si="10"/>
        <v>0.29189046756100923</v>
      </c>
      <c r="S35" s="22">
        <f t="shared" si="10"/>
        <v>0.27026895144537894</v>
      </c>
      <c r="T35" s="22">
        <f t="shared" si="10"/>
        <v>0.25024902911609154</v>
      </c>
      <c r="U35" s="22">
        <f t="shared" si="10"/>
        <v>0.23171206399638106</v>
      </c>
      <c r="V35" s="22">
        <f t="shared" si="10"/>
        <v>0.21454820740405653</v>
      </c>
      <c r="W35" s="22">
        <f t="shared" si="10"/>
        <v>0.19865574759634863</v>
      </c>
      <c r="X35" s="22">
        <f t="shared" si="10"/>
        <v>0.18394050703365611</v>
      </c>
      <c r="Y35" s="22">
        <f t="shared" si="10"/>
        <v>0.17031528429042234</v>
      </c>
      <c r="Z35" s="22">
        <f t="shared" si="10"/>
        <v>0.1576993373059466</v>
      </c>
      <c r="AA35" s="22">
        <f t="shared" si="10"/>
        <v>0.1460179049129135</v>
      </c>
      <c r="AB35" s="22">
        <f t="shared" si="10"/>
        <v>0.13520176380825324</v>
      </c>
      <c r="AC35" s="22">
        <f t="shared" si="10"/>
        <v>0.12518681834097523</v>
      </c>
      <c r="AD35" s="22">
        <f t="shared" si="10"/>
        <v>0.11591372068608817</v>
      </c>
      <c r="AE35" s="22">
        <f t="shared" si="10"/>
        <v>0.10732751915378534</v>
      </c>
      <c r="AF35" s="22">
        <f t="shared" si="10"/>
        <v>9.9377332549801231E-2</v>
      </c>
      <c r="AG35" s="22">
        <f t="shared" si="10"/>
        <v>9.2016048657223348E-2</v>
      </c>
      <c r="AH35" s="22">
        <f t="shared" si="10"/>
        <v>8.5200045052984577E-2</v>
      </c>
      <c r="AI35" s="22">
        <f t="shared" si="10"/>
        <v>7.8888930604615354E-2</v>
      </c>
      <c r="AJ35" s="22">
        <f t="shared" si="10"/>
        <v>7.3045306115384581E-2</v>
      </c>
      <c r="AK35" s="22">
        <f t="shared" si="10"/>
        <v>6.7634542699430159E-2</v>
      </c>
      <c r="AL35" s="22">
        <f t="shared" si="10"/>
        <v>6.2624576573546434E-2</v>
      </c>
      <c r="AM35" s="22">
        <f t="shared" si="10"/>
        <v>5.7985719049580033E-2</v>
      </c>
      <c r="AN35" s="22">
        <f t="shared" si="10"/>
        <v>5.3690480601462989E-2</v>
      </c>
      <c r="AO35" s="22">
        <f t="shared" si="10"/>
        <v>4.9713407964317585E-2</v>
      </c>
      <c r="AP35" s="22">
        <f t="shared" si="10"/>
        <v>4.6030933300294057E-2</v>
      </c>
      <c r="AQ35" s="22">
        <f t="shared" si="10"/>
        <v>4.2621234537309309E-2</v>
      </c>
      <c r="AR35" s="22">
        <f t="shared" si="10"/>
        <v>3.9464106053064177E-2</v>
      </c>
    </row>
    <row r="36" spans="1:44" ht="15" customHeight="1" x14ac:dyDescent="0.25">
      <c r="A36" s="18" t="s">
        <v>63</v>
      </c>
      <c r="C36" s="13">
        <f t="shared" ref="C36:AR36" si="11">C34*C35</f>
        <v>-264.12037037037032</v>
      </c>
      <c r="D36" s="13">
        <f t="shared" si="11"/>
        <v>-244.55589849108367</v>
      </c>
      <c r="E36" s="13">
        <f t="shared" si="11"/>
        <v>-226.44064675100338</v>
      </c>
      <c r="F36" s="13">
        <f t="shared" si="11"/>
        <v>-209.66726551018829</v>
      </c>
      <c r="G36" s="13">
        <f t="shared" si="11"/>
        <v>213.99267032866635</v>
      </c>
      <c r="H36" s="13">
        <f t="shared" si="11"/>
        <v>198.14136141543176</v>
      </c>
      <c r="I36" s="13">
        <f t="shared" si="11"/>
        <v>183.46422353280718</v>
      </c>
      <c r="J36" s="13">
        <f t="shared" si="11"/>
        <v>169.87428104889554</v>
      </c>
      <c r="K36" s="13">
        <f t="shared" si="11"/>
        <v>157.29100097119957</v>
      </c>
      <c r="L36" s="13">
        <f t="shared" si="11"/>
        <v>145.63981571407365</v>
      </c>
      <c r="M36" s="13">
        <f t="shared" si="11"/>
        <v>134.85168121673487</v>
      </c>
      <c r="N36" s="13">
        <f t="shared" si="11"/>
        <v>124.86266779327302</v>
      </c>
      <c r="O36" s="13">
        <f t="shared" si="11"/>
        <v>115.61358129006761</v>
      </c>
      <c r="P36" s="13">
        <f t="shared" si="11"/>
        <v>107.04961230561814</v>
      </c>
      <c r="Q36" s="13">
        <f t="shared" si="11"/>
        <v>99.120011394090852</v>
      </c>
      <c r="R36" s="13">
        <f t="shared" si="11"/>
        <v>91.777788327861913</v>
      </c>
      <c r="S36" s="13">
        <f t="shared" si="11"/>
        <v>84.979433636909192</v>
      </c>
      <c r="T36" s="13">
        <f t="shared" si="11"/>
        <v>78.684660774915884</v>
      </c>
      <c r="U36" s="13">
        <f t="shared" si="11"/>
        <v>72.856167384181376</v>
      </c>
      <c r="V36" s="13">
        <f t="shared" si="11"/>
        <v>67.45941424461239</v>
      </c>
      <c r="W36" s="13">
        <f t="shared" si="11"/>
        <v>62.462420596863318</v>
      </c>
      <c r="X36" s="13">
        <f t="shared" si="11"/>
        <v>57.83557462672529</v>
      </c>
      <c r="Y36" s="13">
        <f t="shared" si="11"/>
        <v>53.551457987708602</v>
      </c>
      <c r="Z36" s="13">
        <f t="shared" si="11"/>
        <v>49.584683321952404</v>
      </c>
      <c r="AA36" s="13">
        <f t="shared" si="11"/>
        <v>45.911743816622597</v>
      </c>
      <c r="AB36" s="13">
        <f t="shared" si="11"/>
        <v>42.510873904280182</v>
      </c>
      <c r="AC36" s="13">
        <f t="shared" si="11"/>
        <v>39.361920281740908</v>
      </c>
      <c r="AD36" s="13">
        <f t="shared" si="11"/>
        <v>36.446222483093436</v>
      </c>
      <c r="AE36" s="13">
        <f t="shared" si="11"/>
        <v>33.746502299160582</v>
      </c>
      <c r="AF36" s="13">
        <f t="shared" si="11"/>
        <v>31.246761388111651</v>
      </c>
      <c r="AG36" s="13">
        <f t="shared" si="11"/>
        <v>28.932186470473745</v>
      </c>
      <c r="AH36" s="13">
        <f t="shared" si="11"/>
        <v>26.789061546734949</v>
      </c>
      <c r="AI36" s="13">
        <f t="shared" si="11"/>
        <v>24.804686617347176</v>
      </c>
      <c r="AJ36" s="13">
        <f t="shared" si="11"/>
        <v>22.967302423469604</v>
      </c>
      <c r="AK36" s="13">
        <f t="shared" si="11"/>
        <v>21.266020762471854</v>
      </c>
      <c r="AL36" s="13">
        <f t="shared" si="11"/>
        <v>19.690759965251715</v>
      </c>
      <c r="AM36" s="13">
        <f t="shared" si="11"/>
        <v>18.232185153010846</v>
      </c>
      <c r="AN36" s="13">
        <f t="shared" si="11"/>
        <v>16.881652919454485</v>
      </c>
      <c r="AO36" s="13">
        <f t="shared" si="11"/>
        <v>15.631160110606006</v>
      </c>
      <c r="AP36" s="13">
        <f t="shared" si="11"/>
        <v>14.473296398709264</v>
      </c>
      <c r="AQ36" s="13">
        <f t="shared" si="11"/>
        <v>13.401200369175244</v>
      </c>
      <c r="AR36" s="13">
        <f t="shared" si="11"/>
        <v>10.672098194012625</v>
      </c>
    </row>
    <row r="39" spans="1:44" ht="15" customHeight="1" x14ac:dyDescent="0.25">
      <c r="A39" s="5" t="s">
        <v>64</v>
      </c>
      <c r="B39" s="6"/>
      <c r="C39" s="6"/>
      <c r="D39" s="6"/>
    </row>
    <row r="40" spans="1:44" ht="15" customHeight="1" x14ac:dyDescent="0.25">
      <c r="A40" s="7" t="s">
        <v>65</v>
      </c>
      <c r="B40" s="13">
        <f>SUM(C36:AR36)</f>
        <v>1787.27396189367</v>
      </c>
      <c r="D40" s="9"/>
    </row>
    <row r="41" spans="1:44" ht="15" customHeight="1" x14ac:dyDescent="0.25">
      <c r="A41" s="7" t="s">
        <v>105</v>
      </c>
      <c r="B41" s="41">
        <f>Assumptions!$B$23</f>
        <v>2350</v>
      </c>
    </row>
    <row r="42" spans="1:44" ht="15" customHeight="1" x14ac:dyDescent="0.25">
      <c r="A42" s="7" t="s">
        <v>106</v>
      </c>
      <c r="B42" s="8">
        <f>B40-B41</f>
        <v>-562.72603810632995</v>
      </c>
    </row>
    <row r="43" spans="1:44" ht="15" customHeight="1" x14ac:dyDescent="0.25">
      <c r="A43" s="7" t="s">
        <v>66</v>
      </c>
      <c r="B43" s="10">
        <f>B40/B41</f>
        <v>0.76054211144411488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8"/>
  <sheetViews>
    <sheetView zoomScale="110" zoomScaleNormal="110" workbookViewId="0">
      <selection activeCell="H5" sqref="H5"/>
    </sheetView>
  </sheetViews>
  <sheetFormatPr defaultColWidth="8.5" defaultRowHeight="15.75" x14ac:dyDescent="0.25"/>
  <cols>
    <col min="1" max="1" width="42" customWidth="1"/>
    <col min="2" max="2" width="14" customWidth="1"/>
    <col min="3" max="3" width="8" customWidth="1"/>
    <col min="4" max="4" width="18.75" bestFit="1" customWidth="1"/>
  </cols>
  <sheetData>
    <row r="1" spans="1:4" ht="21.75" customHeight="1" x14ac:dyDescent="0.25">
      <c r="A1" s="3" t="s">
        <v>112</v>
      </c>
      <c r="B1" s="4"/>
      <c r="C1" s="4"/>
      <c r="D1" s="4"/>
    </row>
    <row r="3" spans="1:4" ht="15" customHeight="1" x14ac:dyDescent="0.25">
      <c r="A3" s="5" t="s">
        <v>92</v>
      </c>
      <c r="B3" s="6"/>
      <c r="C3" s="6"/>
      <c r="D3" s="6"/>
    </row>
    <row r="4" spans="1:4" ht="15" customHeight="1" x14ac:dyDescent="0.25">
      <c r="A4" s="7" t="s">
        <v>6</v>
      </c>
      <c r="B4" s="31">
        <f>Main!B2</f>
        <v>4.57</v>
      </c>
    </row>
    <row r="5" spans="1:4" ht="15" customHeight="1" x14ac:dyDescent="0.25">
      <c r="A5" s="7" t="s">
        <v>7</v>
      </c>
      <c r="B5" s="35">
        <f>Main!B3</f>
        <v>45.072000000000003</v>
      </c>
    </row>
    <row r="6" spans="1:4" ht="15" customHeight="1" x14ac:dyDescent="0.25">
      <c r="A6" s="7" t="s">
        <v>8</v>
      </c>
      <c r="B6" s="8">
        <f>B4*B5</f>
        <v>205.97904000000003</v>
      </c>
    </row>
    <row r="7" spans="1:4" ht="15" customHeight="1" x14ac:dyDescent="0.25">
      <c r="A7" s="7" t="s">
        <v>9</v>
      </c>
      <c r="B7" s="33">
        <f>Main!B6-Main!B5</f>
        <v>-10.84</v>
      </c>
    </row>
    <row r="9" spans="1:4" ht="15" customHeight="1" x14ac:dyDescent="0.25">
      <c r="A9" s="5" t="s">
        <v>10</v>
      </c>
      <c r="B9" s="6"/>
      <c r="C9" s="6"/>
      <c r="D9" s="6"/>
    </row>
    <row r="10" spans="1:4" ht="15" customHeight="1" x14ac:dyDescent="0.25">
      <c r="A10" s="7" t="s">
        <v>11</v>
      </c>
      <c r="B10" s="33">
        <f>NAV!$B$41</f>
        <v>2350</v>
      </c>
      <c r="D10" s="9" t="s">
        <v>114</v>
      </c>
    </row>
    <row r="11" spans="1:4" ht="15" customHeight="1" x14ac:dyDescent="0.25">
      <c r="A11" s="7" t="s">
        <v>113</v>
      </c>
      <c r="B11" s="33">
        <f>NAV!$B$40</f>
        <v>1787.27396189367</v>
      </c>
    </row>
    <row r="13" spans="1:4" ht="15" customHeight="1" x14ac:dyDescent="0.25">
      <c r="A13" s="5" t="s">
        <v>94</v>
      </c>
      <c r="B13" s="6"/>
      <c r="C13" s="6"/>
      <c r="D13" s="6"/>
    </row>
    <row r="14" spans="1:4" ht="15" customHeight="1" x14ac:dyDescent="0.25">
      <c r="A14" s="7" t="s">
        <v>12</v>
      </c>
      <c r="B14" s="33">
        <f>Assumptions!$B$17</f>
        <v>1141</v>
      </c>
    </row>
    <row r="15" spans="1:4" ht="15" customHeight="1" x14ac:dyDescent="0.25">
      <c r="A15" s="7" t="s">
        <v>13</v>
      </c>
      <c r="B15" s="36">
        <v>0.5</v>
      </c>
      <c r="D15" s="9"/>
    </row>
    <row r="16" spans="1:4" ht="15" customHeight="1" x14ac:dyDescent="0.25">
      <c r="A16" s="7" t="s">
        <v>14</v>
      </c>
      <c r="B16" s="10">
        <f>1-B15</f>
        <v>0.5</v>
      </c>
    </row>
    <row r="17" spans="1:4" ht="15" customHeight="1" x14ac:dyDescent="0.25">
      <c r="A17" s="7" t="s">
        <v>15</v>
      </c>
      <c r="B17" s="8">
        <f>B14*B15</f>
        <v>570.5</v>
      </c>
    </row>
    <row r="18" spans="1:4" ht="15" customHeight="1" x14ac:dyDescent="0.25">
      <c r="A18" s="7" t="s">
        <v>16</v>
      </c>
      <c r="B18" s="37">
        <f>Main!B2</f>
        <v>4.57</v>
      </c>
      <c r="D18" s="9"/>
    </row>
    <row r="19" spans="1:4" ht="15" customHeight="1" x14ac:dyDescent="0.25">
      <c r="A19" s="7" t="s">
        <v>17</v>
      </c>
      <c r="B19" s="11">
        <f>B17/B18</f>
        <v>124.835886214442</v>
      </c>
    </row>
    <row r="20" spans="1:4" ht="15" customHeight="1" x14ac:dyDescent="0.25">
      <c r="A20" s="7" t="s">
        <v>18</v>
      </c>
      <c r="B20" s="38">
        <f>Assumptions!$B$29</f>
        <v>33.005921999999998</v>
      </c>
      <c r="D20" s="9"/>
    </row>
    <row r="21" spans="1:4" ht="15" customHeight="1" x14ac:dyDescent="0.25">
      <c r="A21" s="7" t="s">
        <v>19</v>
      </c>
      <c r="B21" s="12">
        <f>B5+B19+B20</f>
        <v>202.91380821444199</v>
      </c>
    </row>
    <row r="23" spans="1:4" ht="15" customHeight="1" x14ac:dyDescent="0.25">
      <c r="A23" s="5" t="s">
        <v>20</v>
      </c>
      <c r="B23" s="6"/>
      <c r="C23" s="6"/>
      <c r="D23" s="6"/>
    </row>
    <row r="24" spans="1:4" ht="15" customHeight="1" x14ac:dyDescent="0.25">
      <c r="A24" s="7" t="s">
        <v>21</v>
      </c>
      <c r="B24" s="8">
        <f>B10</f>
        <v>2350</v>
      </c>
    </row>
    <row r="25" spans="1:4" ht="15" customHeight="1" x14ac:dyDescent="0.25">
      <c r="A25" s="7" t="s">
        <v>22</v>
      </c>
      <c r="B25" s="37">
        <f>Assumptions!$B$28</f>
        <v>25.5</v>
      </c>
      <c r="D25" s="9"/>
    </row>
    <row r="26" spans="1:4" ht="15" customHeight="1" x14ac:dyDescent="0.25">
      <c r="A26" s="7" t="s">
        <v>23</v>
      </c>
      <c r="B26" s="8">
        <f>-B7</f>
        <v>10.84</v>
      </c>
    </row>
    <row r="27" spans="1:4" ht="15" customHeight="1" x14ac:dyDescent="0.25">
      <c r="A27" s="7" t="s">
        <v>24</v>
      </c>
      <c r="B27" s="13">
        <f>B24+B25+B26</f>
        <v>2386.34</v>
      </c>
    </row>
    <row r="28" spans="1:4" ht="15" customHeight="1" x14ac:dyDescent="0.25">
      <c r="A28" s="7" t="s">
        <v>25</v>
      </c>
      <c r="B28" s="39">
        <f>B27/B21</f>
        <v>11.760362791467028</v>
      </c>
    </row>
    <row r="29" spans="1:4" ht="15" customHeight="1" x14ac:dyDescent="0.25">
      <c r="A29" s="7" t="s">
        <v>26</v>
      </c>
      <c r="B29" s="14">
        <f>B4</f>
        <v>4.57</v>
      </c>
    </row>
    <row r="30" spans="1:4" ht="15" customHeight="1" x14ac:dyDescent="0.25">
      <c r="A30" s="7" t="s">
        <v>27</v>
      </c>
      <c r="B30" s="15">
        <f>B28/B29-1</f>
        <v>1.5733835429905967</v>
      </c>
    </row>
    <row r="32" spans="1:4" ht="15" customHeight="1" x14ac:dyDescent="0.25">
      <c r="A32" s="5" t="s">
        <v>107</v>
      </c>
      <c r="B32" s="6"/>
      <c r="C32" s="6"/>
      <c r="D32" s="6"/>
    </row>
    <row r="33" spans="1:2" ht="15" customHeight="1" x14ac:dyDescent="0.25">
      <c r="A33" s="7" t="s">
        <v>28</v>
      </c>
      <c r="B33" s="40">
        <f>0.3*B28</f>
        <v>3.5281088374401084</v>
      </c>
    </row>
    <row r="34" spans="1:2" ht="15" customHeight="1" x14ac:dyDescent="0.25">
      <c r="A34" s="7" t="s">
        <v>29</v>
      </c>
      <c r="B34" s="40">
        <f>0.5*B28</f>
        <v>5.8801813957335138</v>
      </c>
    </row>
    <row r="35" spans="1:2" ht="15" customHeight="1" x14ac:dyDescent="0.25">
      <c r="A35" s="7" t="s">
        <v>30</v>
      </c>
      <c r="B35" s="40">
        <f>0.7*B28</f>
        <v>8.2322539540269197</v>
      </c>
    </row>
    <row r="36" spans="1:2" ht="15" customHeight="1" x14ac:dyDescent="0.25">
      <c r="A36" s="7" t="s">
        <v>31</v>
      </c>
      <c r="B36" s="16">
        <f>B29/B28</f>
        <v>0.38859345421859415</v>
      </c>
    </row>
    <row r="38" spans="1:2" ht="15" customHeight="1" x14ac:dyDescent="0.25">
      <c r="A38" s="9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Assumptions</vt:lpstr>
      <vt:lpstr>NAV</vt:lpstr>
      <vt:lpstr>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 Heier</dc:creator>
  <dc:description/>
  <cp:lastModifiedBy>Sam Heier</cp:lastModifiedBy>
  <cp:revision>0</cp:revision>
  <dcterms:created xsi:type="dcterms:W3CDTF">2026-06-24T01:33:44Z</dcterms:created>
  <dcterms:modified xsi:type="dcterms:W3CDTF">2026-08-27T16:22:03Z</dcterms:modified>
  <dc:language>en-US</dc:language>
</cp:coreProperties>
</file>
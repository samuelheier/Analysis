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https://d.docs.live.net/1031d5e88fe9b877/Stock Analysis/"/>
    </mc:Choice>
  </mc:AlternateContent>
  <xr:revisionPtr revIDLastSave="288" documentId="8_{A552A25C-35E5-1D4B-8D76-F2809CEF67ED}" xr6:coauthVersionLast="47" xr6:coauthVersionMax="47" xr10:uidLastSave="{5CE088D6-A18F-7F4E-ACDF-D8D855018DED}"/>
  <bookViews>
    <workbookView xWindow="0" yWindow="500" windowWidth="38400" windowHeight="19580" activeTab="1" xr2:uid="{B7360AAF-28EE-334A-A571-E3EC8B03412C}"/>
  </bookViews>
  <sheets>
    <sheet name="Main" sheetId="2" r:id="rId1"/>
    <sheet name="Model" sheetId="3" r:id="rId2"/>
    <sheet name="Sheet1" sheetId="1"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6" i="2" l="1"/>
  <c r="E42" i="3" l="1"/>
  <c r="D42" i="3"/>
  <c r="C42" i="3"/>
  <c r="K40" i="3"/>
  <c r="J40" i="3"/>
  <c r="I40" i="3"/>
  <c r="H40" i="3"/>
  <c r="G40" i="3"/>
  <c r="E40" i="3"/>
  <c r="D40" i="3"/>
  <c r="C40" i="3"/>
  <c r="K39" i="3"/>
  <c r="J39" i="3"/>
  <c r="I39" i="3"/>
  <c r="H39" i="3"/>
  <c r="G39" i="3"/>
  <c r="E39" i="3"/>
  <c r="D39" i="3"/>
  <c r="C39" i="3"/>
  <c r="E38" i="3"/>
  <c r="D38" i="3"/>
  <c r="C38" i="3"/>
  <c r="E37" i="3"/>
  <c r="D37" i="3"/>
  <c r="C37" i="3"/>
  <c r="E36" i="3"/>
  <c r="D36" i="3"/>
  <c r="C36" i="3"/>
  <c r="E34" i="3"/>
  <c r="D34" i="3"/>
  <c r="C34" i="3"/>
  <c r="E33" i="3"/>
  <c r="D33" i="3"/>
  <c r="C33" i="3"/>
  <c r="F40" i="3"/>
  <c r="F39" i="3"/>
  <c r="B4" i="2" a="1"/>
  <c r="B4" i="2" s="1"/>
  <c r="B7" i="2" s="1"/>
  <c r="B3" i="2" a="1"/>
  <c r="B3" i="2" s="1"/>
  <c r="N44" i="3" s="1"/>
  <c r="B2" i="2" a="1"/>
  <c r="B2" i="2" s="1"/>
  <c r="C41" i="3" l="1"/>
  <c r="E35" i="3"/>
  <c r="D35" i="3"/>
  <c r="C35" i="3"/>
  <c r="F33" i="3" l="1"/>
  <c r="D41" i="3"/>
  <c r="E41" i="3"/>
  <c r="E43" i="3" l="1"/>
  <c r="C43" i="3"/>
  <c r="F37" i="3"/>
  <c r="F38" i="3"/>
  <c r="F34" i="3"/>
  <c r="F35" i="3"/>
  <c r="G33" i="3"/>
  <c r="D43" i="3"/>
  <c r="F36" i="3" l="1"/>
  <c r="F42" i="3"/>
  <c r="F41" i="3"/>
  <c r="G37" i="3"/>
  <c r="G38" i="3"/>
  <c r="G34" i="3"/>
  <c r="G35" i="3"/>
  <c r="H33" i="3"/>
  <c r="I33" i="3" l="1"/>
  <c r="G36" i="3"/>
  <c r="G41" i="3"/>
  <c r="H35" i="3"/>
  <c r="I35" i="3"/>
  <c r="F43" i="3"/>
  <c r="G42" i="3" l="1"/>
  <c r="H34" i="3"/>
  <c r="I34" i="3"/>
  <c r="J33" i="3"/>
  <c r="I41" i="3"/>
  <c r="I38" i="3"/>
  <c r="H38" i="3"/>
  <c r="H41" i="3"/>
  <c r="I37" i="3"/>
  <c r="H37" i="3"/>
  <c r="H36" i="3"/>
  <c r="G43" i="3"/>
  <c r="J37" i="3" l="1"/>
  <c r="J38" i="3"/>
  <c r="J34" i="3"/>
  <c r="J35" i="3"/>
  <c r="K33" i="3"/>
  <c r="I42" i="3"/>
  <c r="I36" i="3"/>
  <c r="H42" i="3" l="1"/>
  <c r="K37" i="3"/>
  <c r="K38" i="3"/>
  <c r="K34" i="3"/>
  <c r="K35" i="3"/>
  <c r="H43" i="3"/>
  <c r="I43" i="3" l="1"/>
  <c r="J36" i="3" l="1"/>
  <c r="J42" i="3" l="1"/>
  <c r="J41" i="3"/>
  <c r="J43" i="3" l="1"/>
  <c r="K42" i="3" l="1"/>
  <c r="K36" i="3"/>
  <c r="K41" i="3"/>
  <c r="K43" i="3" l="1"/>
  <c r="N43" i="3" l="1"/>
  <c r="N45"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<sst xmlns="http://schemas.openxmlformats.org/spreadsheetml/2006/main" count="91" uniqueCount="76">
  <si>
    <t xml:space="preserve">Price </t>
  </si>
  <si>
    <t>Shares</t>
  </si>
  <si>
    <t>Market Cap</t>
  </si>
  <si>
    <t>Cash</t>
  </si>
  <si>
    <t>Debt</t>
  </si>
  <si>
    <t>EV</t>
  </si>
  <si>
    <t>Eli Lilly and Company (LLY)</t>
  </si>
  <si>
    <t xml:space="preserve">Quarterly Income Statement </t>
  </si>
  <si>
    <t>Q1'23</t>
  </si>
  <si>
    <t>Q2'23</t>
  </si>
  <si>
    <t>Q3'23</t>
  </si>
  <si>
    <t>Q4'23</t>
  </si>
  <si>
    <t>Q1'24</t>
  </si>
  <si>
    <t>Q2'24</t>
  </si>
  <si>
    <t>Q3'24</t>
  </si>
  <si>
    <t>Q4'24</t>
  </si>
  <si>
    <t>Q1'25</t>
  </si>
  <si>
    <t>Q2'25</t>
  </si>
  <si>
    <t>Q3'25</t>
  </si>
  <si>
    <t>Q4'25</t>
  </si>
  <si>
    <t>Q1'26</t>
  </si>
  <si>
    <t>Q2'26</t>
  </si>
  <si>
    <t>Q3'26</t>
  </si>
  <si>
    <t>Q4'26</t>
  </si>
  <si>
    <t>Q1'27</t>
  </si>
  <si>
    <t>Q2'27</t>
  </si>
  <si>
    <t>Q3'27</t>
  </si>
  <si>
    <t>Q4'27</t>
  </si>
  <si>
    <t>Q1'28</t>
  </si>
  <si>
    <t>Q2'28</t>
  </si>
  <si>
    <t>Q3'28</t>
  </si>
  <si>
    <t>Q4'28</t>
  </si>
  <si>
    <t>Q1'29</t>
  </si>
  <si>
    <t>Q2'29</t>
  </si>
  <si>
    <t>Q3'29</t>
  </si>
  <si>
    <t>Q4'29</t>
  </si>
  <si>
    <t>Q1'30</t>
  </si>
  <si>
    <t>Q2'30</t>
  </si>
  <si>
    <t>Q3'30</t>
  </si>
  <si>
    <t>Q4'30</t>
  </si>
  <si>
    <t>Q1'31</t>
  </si>
  <si>
    <t>Q2'31</t>
  </si>
  <si>
    <t>Q3'31</t>
  </si>
  <si>
    <t>Q4'31</t>
  </si>
  <si>
    <t>Total Revenue</t>
  </si>
  <si>
    <t>COGS</t>
  </si>
  <si>
    <t>Gross Margin</t>
  </si>
  <si>
    <t>R&amp;D</t>
  </si>
  <si>
    <t>SG&amp;A</t>
  </si>
  <si>
    <t>IPR&amp;D</t>
  </si>
  <si>
    <t>Asset Impairement/Resturcturing</t>
  </si>
  <si>
    <t>Other expenses</t>
  </si>
  <si>
    <t>Pre Tax Income</t>
  </si>
  <si>
    <t>Taxes</t>
  </si>
  <si>
    <t>Net Income</t>
  </si>
  <si>
    <t>EPS</t>
  </si>
  <si>
    <t>Revenue Growth Rate</t>
  </si>
  <si>
    <t>Gross Margin %</t>
  </si>
  <si>
    <t>R&amp;D %</t>
  </si>
  <si>
    <t>SG&amp;A %</t>
  </si>
  <si>
    <t>IPR&amp;D &amp;</t>
  </si>
  <si>
    <t>Tax rate</t>
  </si>
  <si>
    <t>Annual Income Statement</t>
  </si>
  <si>
    <t>FY'23</t>
  </si>
  <si>
    <t>FY'24</t>
  </si>
  <si>
    <t>FY'25</t>
  </si>
  <si>
    <t>FY'26</t>
  </si>
  <si>
    <t>FY'27</t>
  </si>
  <si>
    <t>FY'28</t>
  </si>
  <si>
    <t>FY'29</t>
  </si>
  <si>
    <t>FY'30</t>
  </si>
  <si>
    <t>FY'31</t>
  </si>
  <si>
    <t>Maturity Rate</t>
  </si>
  <si>
    <t>Disocunt Rate</t>
  </si>
  <si>
    <t>NPV</t>
  </si>
  <si>
    <t>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</si>
</sst>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_(&quot;$&quot;* #,##0_);_(&quot;$&quot;* \(#,##0\);_(&quot;$&quot;* &quot;-&quot;??_);_(@_)"/>
  </numFmts>
  <fonts count="7" x14ac:knownFonts="1">
    <font>
      <sz val="12"/>
      <color theme="1"/>
      <name val="Aptos Narrow"/>
      <family val="2"/>
      <scheme val="minor"/>
    </font>
    <font>
      <sz val="12"/>
      <color theme="1"/>
      <name val="Aptos Narrow"/>
      <family val="2"/>
      <scheme val="minor"/>
    </font>
    <font>
      <b/>
      <sz val="14"/>
      <color theme="1"/>
      <name val="Aptos Narrow"/>
      <scheme val="minor"/>
    </font>
    <font>
      <sz val="12"/>
      <color theme="1"/>
      <name val="Aptos Narrow"/>
      <scheme val="minor"/>
    </font>
    <font>
      <b/>
      <sz val="12"/>
      <color theme="1"/>
      <name val="Aptos Narrow"/>
      <scheme val="minor"/>
    </font>
    <font>
      <sz val="12"/>
      <color rgb="FF000000"/>
      <name val="Aptos Narrow"/>
      <family val="2"/>
      <scheme val="minor"/>
    </font>
    <font>
      <i/>
      <sz val="12"/>
      <color theme="1"/>
      <name val="Aptos Narrow"/>
      <scheme val="minor"/>
    </font>
  </fonts>
  <fills count="2">
    <fill>
      <patternFill patternType="none"/>
    </fill>
    <fill>
      <patternFill patternType="gray125"/>
    </fill>
  </fills>
  <borders count="4">
    <border>
      <left/>
      <right/>
      <top/>
      <bottom/>
      <diagonal/>
    </border>
    <border>
      <left/>
      <right style="thin">
        <color auto="1"/>
      </right>
      <top/>
      <bottom/>
      <diagonal/>
    </border>
    <border>
      <left/>
      <right/>
      <top/>
      <bottom style="medium">
        <color auto="1"/>
      </bottom>
      <diagonal/>
    </border>
    <border>
      <left/>
      <right style="thin">
        <color auto="1"/>
      </right>
      <top/>
      <bottom style="medium">
        <color indexed="64"/>
      </bottom>
      <diagonal/>
    </border>
  </borders>
  <cellStyleXfs count="4">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cellStyleXfs>
  <cellXfs count="31">
    <xf numFmtId="0" fontId="0" fillId="0" borderId="0" xfId="0"/>
    <xf numFmtId="44" fontId="0" fillId="0" borderId="0" xfId="2" applyFont="1"/>
    <xf numFmtId="43" fontId="0" fillId="0" borderId="0" xfId="1" applyFont="1"/>
    <xf numFmtId="0" fontId="0" fillId="0" borderId="0" xfId="0" applyAlignment="1">
      <alignment horizontal="center"/>
    </xf>
    <xf numFmtId="44" fontId="0" fillId="0" borderId="0" xfId="0" applyNumberFormat="1"/>
    <xf numFmtId="0" fontId="2" fillId="0" borderId="0" xfId="0" applyFont="1"/>
    <xf numFmtId="0" fontId="3" fillId="0" borderId="0" xfId="0" applyFont="1"/>
    <xf numFmtId="0" fontId="0" fillId="0" borderId="2" xfId="0" applyBorder="1" applyAlignment="1">
      <alignment horizontal="center"/>
    </xf>
    <xf numFmtId="0" fontId="0" fillId="0" borderId="3" xfId="0" applyBorder="1" applyAlignment="1">
      <alignment horizontal="center"/>
    </xf>
    <xf numFmtId="164" fontId="0" fillId="0" borderId="0" xfId="2" applyNumberFormat="1" applyFont="1" applyBorder="1"/>
    <xf numFmtId="164" fontId="0" fillId="0" borderId="1" xfId="2" applyNumberFormat="1" applyFont="1" applyBorder="1"/>
    <xf numFmtId="164" fontId="0" fillId="0" borderId="0" xfId="0" applyNumberFormat="1"/>
    <xf numFmtId="164" fontId="4" fillId="0" borderId="0" xfId="2" applyNumberFormat="1" applyFont="1" applyBorder="1"/>
    <xf numFmtId="164" fontId="4" fillId="0" borderId="1" xfId="2" applyNumberFormat="1" applyFont="1" applyBorder="1"/>
    <xf numFmtId="164" fontId="0" fillId="0" borderId="1" xfId="0" applyNumberFormat="1" applyBorder="1"/>
    <xf numFmtId="9" fontId="0" fillId="0" borderId="0" xfId="3" applyFont="1"/>
    <xf numFmtId="9" fontId="0" fillId="0" borderId="0" xfId="0" applyNumberFormat="1"/>
    <xf numFmtId="43" fontId="6" fillId="0" borderId="0" xfId="1" applyFont="1" applyBorder="1"/>
    <xf numFmtId="9" fontId="6" fillId="0" borderId="0" xfId="3" applyFont="1" applyBorder="1"/>
    <xf numFmtId="9" fontId="6" fillId="0" borderId="0" xfId="0" applyNumberFormat="1" applyFont="1"/>
    <xf numFmtId="0" fontId="6" fillId="0" borderId="0" xfId="0" applyFont="1"/>
    <xf numFmtId="0" fontId="4" fillId="0" borderId="0" xfId="0" applyFont="1"/>
    <xf numFmtId="164" fontId="4" fillId="0" borderId="0" xfId="0" applyNumberFormat="1" applyFont="1"/>
    <xf numFmtId="164" fontId="0" fillId="0" borderId="0" xfId="2" applyNumberFormat="1" applyFont="1" applyFill="1" applyBorder="1"/>
    <xf numFmtId="44" fontId="0" fillId="0" borderId="1" xfId="0" applyNumberFormat="1" applyBorder="1"/>
    <xf numFmtId="43" fontId="0" fillId="0" borderId="0" xfId="1" applyFont="1" applyBorder="1"/>
    <xf numFmtId="43" fontId="0" fillId="0" borderId="1" xfId="1" applyFont="1" applyBorder="1"/>
    <xf numFmtId="9" fontId="6" fillId="0" borderId="1" xfId="3" applyFont="1" applyBorder="1"/>
    <xf numFmtId="44" fontId="5" fillId="0" borderId="0" xfId="0" applyNumberFormat="1" applyFont="1"/>
    <xf numFmtId="43" fontId="0" fillId="0" borderId="0" xfId="0" applyNumberFormat="1"/>
    <xf numFmtId="43" fontId="0" fillId="0" borderId="1" xfId="0" applyNumberFormat="1" applyBorder="1"/>
  </cellXfs>
  <cellStyles count="4">
    <cellStyle name="Comma" xfId="1" builtinId="3"/>
    <cellStyle name="Currency" xfId="2" builtinId="4"/>
    <cellStyle name="Normal" xfId="0" builtinId="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https://www.bing.com/financeapi/forcetrigger?t=a2pxgh&amp;q=OTCM%3aNIOBF&amp;form=skydnc</v>
    <v>Learn more on Bing</v>
  </rv>
  <rv s="1">
    <v>0</v>
    <v>NioCorp Developments Ltd. (XNAS:NB)</v>
    <v>2</v>
    <v>3</v>
    <v>Finance</v>
    <v>4</v>
    <v>en-US</v>
    <v>a2pxgh</v>
    <v>268435456</v>
    <v>1</v>
    <v>Powered by Refinitiv</v>
    <v>12.58</v>
    <v>2.17</v>
    <v>0.21199999999999999</v>
    <v>0.02</v>
    <v>4.3959999999999997E-3</v>
    <v>5.5800000000000002E-2</v>
    <v>1.221E-2</v>
    <v>USD</v>
    <v>NioCorp Developments Ltd. is developing the Elk Creek Project that is expected to produce niobium, scandium, and titanium. The Company is also evaluating the potential to produce several rare earths from the Elk Creek Project. The Elk Creek Project is a shovel-ready pure-play critical minerals project with the highest-grade Niobium resource in North America and an indicated rare earth resource in the United States. The Elk Creek Project is located approximately 105 kilometers (kms) southeast of Lincoln, Nebraska (the state capital); 129 kms south of Omaha, Nebraska, and three miles west of Elk Creek, Nebraska and six miles south of Tecumseh, Nebraska.</v>
    <v>7</v>
    <v>Nasdaq Stock Market</v>
    <v>XNAS</v>
    <v>XNAS</v>
    <v>7000 S Yosemite St Ste 115, CENTENNIAL, CO, 80112-2004 US</v>
    <v>4.59</v>
    <v>Metals &amp; Mining</v>
    <v>Stock</v>
    <v>46202.977165034376</v>
    <v>0</v>
    <v>4.28</v>
    <v>665333047</v>
    <v>NioCorp Developments Ltd.</v>
    <v>NioCorp Developments Ltd.</v>
    <v>4.4800000000000004</v>
    <v>0</v>
    <v>4.55</v>
    <v>4.57</v>
    <v>4.6257999999999999</v>
    <v>145587100</v>
    <v>NB</v>
    <v>NioCorp Developments Ltd. (XNAS:NB)</v>
    <v>3423411</v>
    <v>3603081</v>
    <v>1987</v>
  </rv>
  <rv s="2">
    <v>1</v>
  </rv>
</rvData>
</file>

<file path=xl/richData/rdrichvaluestructure.xml><?xml version="1.0" encoding="utf-8"?>
<rvStructures xmlns="http://schemas.microsoft.com/office/spreadsheetml/2017/richdata" count="3">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dxfs>
  <richProperties>
    <rPr n="NumberFormat" t="s"/>
    <rPr n="IsTitle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048E3-6DBE-D64B-A663-9AAE83946F63}">
  <dimension ref="A1:C29"/>
  <sheetViews>
    <sheetView workbookViewId="0">
      <selection activeCell="E11" sqref="E9:E11"/>
    </sheetView>
  </sheetViews>
  <sheetFormatPr baseColWidth="10" defaultRowHeight="16" x14ac:dyDescent="0.2"/>
  <cols>
    <col min="2" max="2" width="22.1640625" customWidth="1"/>
    <col min="3" max="3" width="2.83203125" customWidth="1"/>
    <col min="4" max="4" width="20.5" customWidth="1"/>
    <col min="5" max="5" width="21.83203125" customWidth="1"/>
    <col min="6" max="6" width="38.83203125" bestFit="1" customWidth="1"/>
    <col min="7" max="7" width="13.5" bestFit="1" customWidth="1"/>
    <col min="8" max="8" width="16.1640625" bestFit="1" customWidth="1"/>
    <col min="9" max="9" width="14" bestFit="1" customWidth="1"/>
  </cols>
  <sheetData>
    <row r="1" spans="1:2" x14ac:dyDescent="0.2">
      <c r="A1" t="e" vm="1">
        <v>#VALUE!</v>
      </c>
    </row>
    <row r="2" spans="1:2" x14ac:dyDescent="0.2">
      <c r="A2" t="s">
        <v>0</v>
      </c>
      <c r="B2" s="1" cm="1">
        <f t="array" aca="1" ref="B2" ca="1">_FV(A1,"Price")</f>
        <v>4.57</v>
      </c>
    </row>
    <row r="3" spans="1:2" x14ac:dyDescent="0.2">
      <c r="A3" t="s">
        <v>1</v>
      </c>
      <c r="B3" s="2" cm="1">
        <f t="array" aca="1" ref="B3" ca="1">_FV(A1,"Shares outstanding",TRUE)/1000000</f>
        <v>145.58709999999999</v>
      </c>
    </row>
    <row r="4" spans="1:2" x14ac:dyDescent="0.2">
      <c r="A4" t="s">
        <v>2</v>
      </c>
      <c r="B4" s="1" cm="1">
        <f t="array" aca="1" ref="B4" ca="1">_FV(A1,"Market cap",TRUE)/1000000</f>
        <v>665.33304699999997</v>
      </c>
    </row>
    <row r="5" spans="1:2" x14ac:dyDescent="0.2">
      <c r="A5" t="s">
        <v>3</v>
      </c>
      <c r="B5" s="1"/>
    </row>
    <row r="6" spans="1:2" x14ac:dyDescent="0.2">
      <c r="A6" t="s">
        <v>4</v>
      </c>
      <c r="B6" s="1">
        <f>+B5</f>
        <v>0</v>
      </c>
    </row>
    <row r="7" spans="1:2" x14ac:dyDescent="0.2">
      <c r="A7" t="s">
        <v>5</v>
      </c>
      <c r="B7" s="4">
        <f ca="1">B4+B6-B5</f>
        <v>665.33304699999997</v>
      </c>
    </row>
    <row r="28" spans="3:3" x14ac:dyDescent="0.2">
      <c r="C28" s="3"/>
    </row>
    <row r="29" spans="3:3" x14ac:dyDescent="0.2">
      <c r="C29"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7DDD2-DA0D-4549-8ACE-AE9651237758}">
  <dimension ref="B1:CM48"/>
  <sheetViews>
    <sheetView tabSelected="1" zoomScale="90" zoomScaleNormal="90" workbookViewId="0">
      <pane xSplit="2" topLeftCell="C1" activePane="topRight" state="frozen"/>
      <selection activeCell="E33" sqref="E33"/>
      <selection pane="topRight" activeCell="L30" sqref="L30"/>
    </sheetView>
  </sheetViews>
  <sheetFormatPr baseColWidth="10" defaultRowHeight="16" x14ac:dyDescent="0.2"/>
  <cols>
    <col min="1" max="1" width="2.33203125" customWidth="1"/>
    <col min="2" max="2" width="32.6640625" customWidth="1"/>
    <col min="3" max="12" width="13.33203125" customWidth="1"/>
    <col min="13" max="13" width="14" bestFit="1" customWidth="1"/>
    <col min="14" max="14" width="15.1640625" bestFit="1" customWidth="1"/>
    <col min="15" max="31" width="13.33203125" customWidth="1"/>
    <col min="32" max="38" width="13.1640625" customWidth="1"/>
    <col min="39" max="91" width="12.5" bestFit="1" customWidth="1"/>
  </cols>
  <sheetData>
    <row r="1" spans="2:38" ht="10" customHeight="1" x14ac:dyDescent="0.2"/>
    <row r="2" spans="2:38" ht="19" x14ac:dyDescent="0.25">
      <c r="B2" s="5" t="s">
        <v>6</v>
      </c>
    </row>
    <row r="3" spans="2:38" x14ac:dyDescent="0.2">
      <c r="B3" t="s">
        <v>7</v>
      </c>
    </row>
    <row r="4" spans="2:38" ht="17" thickBot="1" x14ac:dyDescent="0.25">
      <c r="B4" s="6"/>
      <c r="C4" s="7" t="s">
        <v>8</v>
      </c>
      <c r="D4" s="7" t="s">
        <v>9</v>
      </c>
      <c r="E4" s="7" t="s">
        <v>10</v>
      </c>
      <c r="F4" s="7" t="s">
        <v>11</v>
      </c>
      <c r="G4" s="7" t="s">
        <v>12</v>
      </c>
      <c r="H4" s="7" t="s">
        <v>13</v>
      </c>
      <c r="I4" s="7" t="s">
        <v>14</v>
      </c>
      <c r="J4" s="7" t="s">
        <v>15</v>
      </c>
      <c r="K4" s="7" t="s">
        <v>16</v>
      </c>
      <c r="L4" s="7" t="s">
        <v>17</v>
      </c>
      <c r="M4" s="7" t="s">
        <v>18</v>
      </c>
      <c r="N4" s="7" t="s">
        <v>19</v>
      </c>
      <c r="O4" s="8" t="s">
        <v>20</v>
      </c>
      <c r="P4" s="7" t="s">
        <v>21</v>
      </c>
      <c r="Q4" s="7" t="s">
        <v>22</v>
      </c>
      <c r="R4" s="7" t="s">
        <v>23</v>
      </c>
      <c r="S4" s="7" t="s">
        <v>24</v>
      </c>
      <c r="T4" s="7" t="s">
        <v>25</v>
      </c>
      <c r="U4" s="7" t="s">
        <v>26</v>
      </c>
      <c r="V4" s="7" t="s">
        <v>27</v>
      </c>
      <c r="W4" s="7" t="s">
        <v>28</v>
      </c>
      <c r="X4" s="7" t="s">
        <v>29</v>
      </c>
      <c r="Y4" s="7" t="s">
        <v>30</v>
      </c>
      <c r="Z4" s="7" t="s">
        <v>31</v>
      </c>
      <c r="AA4" s="7" t="s">
        <v>32</v>
      </c>
      <c r="AB4" s="7" t="s">
        <v>33</v>
      </c>
      <c r="AC4" s="7" t="s">
        <v>34</v>
      </c>
      <c r="AD4" s="7" t="s">
        <v>35</v>
      </c>
      <c r="AE4" s="7" t="s">
        <v>36</v>
      </c>
      <c r="AF4" s="7" t="s">
        <v>37</v>
      </c>
      <c r="AG4" s="7" t="s">
        <v>38</v>
      </c>
      <c r="AH4" s="7" t="s">
        <v>39</v>
      </c>
      <c r="AI4" s="7" t="s">
        <v>40</v>
      </c>
      <c r="AJ4" s="7" t="s">
        <v>41</v>
      </c>
      <c r="AK4" s="7" t="s">
        <v>42</v>
      </c>
      <c r="AL4" s="7" t="s">
        <v>43</v>
      </c>
    </row>
    <row r="5" spans="2:38" x14ac:dyDescent="0.2">
      <c r="C5" s="15"/>
      <c r="D5" s="15"/>
      <c r="E5" s="15"/>
      <c r="F5" s="15"/>
      <c r="G5" s="15"/>
      <c r="H5" s="15"/>
      <c r="I5" s="15"/>
      <c r="J5" s="15"/>
      <c r="K5" s="15"/>
      <c r="L5" s="15"/>
      <c r="M5" s="15"/>
      <c r="N5" s="15"/>
      <c r="O5" s="15"/>
      <c r="P5" s="16"/>
    </row>
    <row r="6" spans="2:38" x14ac:dyDescent="0.2">
      <c r="B6" s="21" t="s">
        <v>44</v>
      </c>
      <c r="C6" s="12"/>
      <c r="D6" s="12"/>
      <c r="E6" s="12"/>
      <c r="F6" s="12"/>
      <c r="G6" s="12"/>
      <c r="H6" s="12"/>
      <c r="I6" s="12"/>
      <c r="J6" s="12"/>
      <c r="K6" s="12"/>
      <c r="L6" s="12"/>
      <c r="M6" s="12"/>
      <c r="N6" s="12"/>
      <c r="O6" s="13"/>
      <c r="P6" s="22"/>
      <c r="Q6" s="22"/>
      <c r="R6" s="22"/>
      <c r="S6" s="22"/>
      <c r="T6" s="22"/>
      <c r="U6" s="22"/>
      <c r="V6" s="22"/>
      <c r="W6" s="22"/>
      <c r="X6" s="22"/>
      <c r="Y6" s="22"/>
      <c r="Z6" s="22"/>
      <c r="AA6" s="22"/>
      <c r="AB6" s="22"/>
      <c r="AC6" s="22"/>
      <c r="AD6" s="22"/>
      <c r="AE6" s="22"/>
      <c r="AF6" s="22"/>
      <c r="AG6" s="22"/>
      <c r="AH6" s="22"/>
      <c r="AI6" s="22"/>
      <c r="AJ6" s="22"/>
      <c r="AK6" s="22"/>
      <c r="AL6" s="22"/>
    </row>
    <row r="7" spans="2:38" x14ac:dyDescent="0.2">
      <c r="B7" t="s">
        <v>45</v>
      </c>
      <c r="C7" s="9"/>
      <c r="D7" s="9"/>
      <c r="E7" s="9"/>
      <c r="F7" s="9"/>
      <c r="G7" s="9"/>
      <c r="H7" s="9"/>
      <c r="I7" s="9"/>
      <c r="J7" s="9"/>
      <c r="K7" s="9"/>
      <c r="L7" s="9"/>
      <c r="M7" s="9"/>
      <c r="N7" s="9"/>
      <c r="O7" s="10"/>
      <c r="P7" s="11"/>
      <c r="Q7" s="11"/>
      <c r="R7" s="11"/>
      <c r="S7" s="11"/>
      <c r="T7" s="11"/>
      <c r="U7" s="11"/>
      <c r="V7" s="11"/>
      <c r="W7" s="11"/>
      <c r="X7" s="11"/>
      <c r="Y7" s="11"/>
      <c r="Z7" s="11"/>
      <c r="AA7" s="11"/>
      <c r="AB7" s="11"/>
      <c r="AC7" s="11"/>
      <c r="AD7" s="11"/>
      <c r="AE7" s="11"/>
      <c r="AF7" s="11"/>
      <c r="AG7" s="11"/>
      <c r="AH7" s="11"/>
      <c r="AI7" s="11"/>
      <c r="AJ7" s="11"/>
      <c r="AK7" s="11"/>
      <c r="AL7" s="11"/>
    </row>
    <row r="8" spans="2:38" x14ac:dyDescent="0.2">
      <c r="B8" s="21" t="s">
        <v>46</v>
      </c>
      <c r="C8" s="12"/>
      <c r="D8" s="12"/>
      <c r="E8" s="12"/>
      <c r="F8" s="12"/>
      <c r="G8" s="12"/>
      <c r="H8" s="12"/>
      <c r="I8" s="12"/>
      <c r="J8" s="12"/>
      <c r="K8" s="12"/>
      <c r="L8" s="12"/>
      <c r="M8" s="12"/>
      <c r="N8" s="12"/>
      <c r="O8" s="13"/>
      <c r="P8" s="22"/>
      <c r="Q8" s="22"/>
      <c r="R8" s="22"/>
      <c r="S8" s="22"/>
      <c r="T8" s="22"/>
      <c r="U8" s="22"/>
      <c r="V8" s="22"/>
      <c r="W8" s="22"/>
      <c r="X8" s="22"/>
      <c r="Y8" s="22"/>
      <c r="Z8" s="22"/>
      <c r="AA8" s="22"/>
      <c r="AB8" s="22"/>
      <c r="AC8" s="22"/>
      <c r="AD8" s="22"/>
      <c r="AE8" s="22"/>
      <c r="AF8" s="22"/>
      <c r="AG8" s="22"/>
      <c r="AH8" s="22"/>
      <c r="AI8" s="22"/>
      <c r="AJ8" s="22"/>
      <c r="AK8" s="22"/>
      <c r="AL8" s="22"/>
    </row>
    <row r="9" spans="2:38" x14ac:dyDescent="0.2">
      <c r="B9" t="s">
        <v>47</v>
      </c>
      <c r="C9" s="9"/>
      <c r="D9" s="9"/>
      <c r="E9" s="9"/>
      <c r="F9" s="9"/>
      <c r="G9" s="9"/>
      <c r="H9" s="9"/>
      <c r="I9" s="9"/>
      <c r="J9" s="9"/>
      <c r="K9" s="9"/>
      <c r="L9" s="9"/>
      <c r="M9" s="9"/>
      <c r="N9" s="9"/>
      <c r="O9" s="10"/>
      <c r="P9" s="11"/>
      <c r="Q9" s="11"/>
      <c r="R9" s="11"/>
      <c r="S9" s="11"/>
      <c r="T9" s="11"/>
      <c r="U9" s="11"/>
      <c r="V9" s="11"/>
      <c r="W9" s="11"/>
      <c r="X9" s="11"/>
      <c r="Y9" s="11"/>
      <c r="Z9" s="11"/>
      <c r="AA9" s="11"/>
      <c r="AB9" s="11"/>
      <c r="AC9" s="11"/>
      <c r="AD9" s="11"/>
      <c r="AE9" s="11"/>
      <c r="AF9" s="11"/>
      <c r="AG9" s="11"/>
      <c r="AH9" s="11"/>
      <c r="AI9" s="11"/>
      <c r="AJ9" s="11"/>
      <c r="AK9" s="11"/>
      <c r="AL9" s="11"/>
    </row>
    <row r="10" spans="2:38" ht="16" customHeight="1" x14ac:dyDescent="0.2">
      <c r="B10" t="s">
        <v>48</v>
      </c>
      <c r="C10" s="9"/>
      <c r="D10" s="9"/>
      <c r="E10" s="9"/>
      <c r="F10" s="9"/>
      <c r="G10" s="9"/>
      <c r="H10" s="9"/>
      <c r="I10" s="9"/>
      <c r="J10" s="9"/>
      <c r="K10" s="9"/>
      <c r="L10" s="9"/>
      <c r="M10" s="9"/>
      <c r="N10" s="9"/>
      <c r="O10" s="10"/>
      <c r="P10" s="11"/>
      <c r="Q10" s="11"/>
      <c r="R10" s="11"/>
      <c r="S10" s="11"/>
      <c r="T10" s="11"/>
      <c r="U10" s="11"/>
      <c r="V10" s="11"/>
      <c r="W10" s="11"/>
      <c r="X10" s="11"/>
      <c r="Y10" s="11"/>
      <c r="Z10" s="11"/>
      <c r="AA10" s="11"/>
      <c r="AB10" s="11"/>
      <c r="AC10" s="11"/>
      <c r="AD10" s="11"/>
      <c r="AE10" s="11"/>
      <c r="AF10" s="11"/>
      <c r="AG10" s="11"/>
      <c r="AH10" s="11"/>
      <c r="AI10" s="11"/>
      <c r="AJ10" s="11"/>
      <c r="AK10" s="11"/>
      <c r="AL10" s="11"/>
    </row>
    <row r="11" spans="2:38" x14ac:dyDescent="0.2">
      <c r="B11" t="s">
        <v>49</v>
      </c>
      <c r="C11" s="9"/>
      <c r="D11" s="9"/>
      <c r="E11" s="9"/>
      <c r="F11" s="9"/>
      <c r="G11" s="9"/>
      <c r="H11" s="9"/>
      <c r="I11" s="9"/>
      <c r="J11" s="9"/>
      <c r="K11" s="9"/>
      <c r="L11" s="9"/>
      <c r="M11" s="9"/>
      <c r="N11" s="9"/>
      <c r="O11" s="10"/>
      <c r="P11" s="11"/>
      <c r="Q11" s="11"/>
      <c r="R11" s="11"/>
      <c r="S11" s="11"/>
      <c r="T11" s="11"/>
      <c r="U11" s="11"/>
      <c r="V11" s="11"/>
      <c r="W11" s="11"/>
      <c r="X11" s="11"/>
      <c r="Y11" s="11"/>
      <c r="Z11" s="11"/>
      <c r="AA11" s="11"/>
      <c r="AB11" s="11"/>
      <c r="AC11" s="11"/>
      <c r="AD11" s="11"/>
      <c r="AE11" s="11"/>
      <c r="AF11" s="11"/>
      <c r="AG11" s="11"/>
      <c r="AH11" s="11"/>
      <c r="AI11" s="11"/>
      <c r="AJ11" s="11"/>
      <c r="AK11" s="11"/>
      <c r="AL11" s="11"/>
    </row>
    <row r="12" spans="2:38" x14ac:dyDescent="0.2">
      <c r="B12" t="s">
        <v>50</v>
      </c>
      <c r="C12" s="23"/>
      <c r="D12" s="9"/>
      <c r="E12" s="9"/>
      <c r="F12" s="9"/>
      <c r="G12" s="9"/>
      <c r="H12" s="9"/>
      <c r="I12" s="9"/>
      <c r="J12" s="9"/>
      <c r="K12" s="9"/>
      <c r="L12" s="9"/>
      <c r="M12" s="9"/>
      <c r="N12" s="9"/>
      <c r="O12" s="10"/>
      <c r="P12" s="11"/>
      <c r="Q12" s="11"/>
      <c r="R12" s="11"/>
      <c r="S12" s="11"/>
      <c r="T12" s="11"/>
      <c r="U12" s="11"/>
      <c r="V12" s="11"/>
      <c r="W12" s="11"/>
      <c r="X12" s="11"/>
      <c r="Y12" s="11"/>
      <c r="Z12" s="11"/>
      <c r="AA12" s="11"/>
      <c r="AB12" s="11"/>
      <c r="AC12" s="11"/>
      <c r="AD12" s="11"/>
      <c r="AE12" s="11"/>
      <c r="AF12" s="11"/>
      <c r="AG12" s="11"/>
      <c r="AH12" s="11"/>
      <c r="AI12" s="11"/>
      <c r="AJ12" s="11"/>
      <c r="AK12" s="11"/>
      <c r="AL12" s="11"/>
    </row>
    <row r="13" spans="2:38" x14ac:dyDescent="0.2">
      <c r="B13" t="s">
        <v>51</v>
      </c>
      <c r="C13" s="9"/>
      <c r="D13" s="9"/>
      <c r="E13" s="9"/>
      <c r="F13" s="9"/>
      <c r="G13" s="9"/>
      <c r="H13" s="9"/>
      <c r="I13" s="9"/>
      <c r="J13" s="9"/>
      <c r="K13" s="9"/>
      <c r="L13" s="9"/>
      <c r="M13" s="9"/>
      <c r="N13" s="9"/>
      <c r="O13" s="10"/>
      <c r="P13" s="11"/>
      <c r="Q13" s="11"/>
      <c r="R13" s="11"/>
      <c r="S13" s="11"/>
      <c r="T13" s="11"/>
      <c r="U13" s="11"/>
      <c r="V13" s="11"/>
      <c r="W13" s="11"/>
      <c r="X13" s="11"/>
      <c r="Y13" s="11"/>
      <c r="Z13" s="11"/>
      <c r="AA13" s="11"/>
      <c r="AB13" s="11"/>
      <c r="AC13" s="11"/>
      <c r="AD13" s="11"/>
      <c r="AE13" s="11"/>
      <c r="AF13" s="11"/>
      <c r="AG13" s="11"/>
      <c r="AH13" s="11"/>
      <c r="AI13" s="11"/>
      <c r="AJ13" s="11"/>
      <c r="AK13" s="11"/>
      <c r="AL13" s="11"/>
    </row>
    <row r="14" spans="2:38" x14ac:dyDescent="0.2">
      <c r="B14" t="s">
        <v>52</v>
      </c>
      <c r="C14" s="9"/>
      <c r="D14" s="9"/>
      <c r="E14" s="9"/>
      <c r="F14" s="9"/>
      <c r="G14" s="9"/>
      <c r="H14" s="9"/>
      <c r="I14" s="9"/>
      <c r="J14" s="9"/>
      <c r="K14" s="9"/>
      <c r="L14" s="9"/>
      <c r="M14" s="9"/>
      <c r="N14" s="9"/>
      <c r="O14" s="10"/>
      <c r="P14" s="9"/>
      <c r="Q14" s="9"/>
      <c r="R14" s="9"/>
      <c r="S14" s="9"/>
      <c r="T14" s="9"/>
      <c r="U14" s="9"/>
      <c r="V14" s="9"/>
      <c r="W14" s="9"/>
      <c r="X14" s="9"/>
      <c r="Y14" s="9"/>
      <c r="Z14" s="9"/>
      <c r="AA14" s="9"/>
      <c r="AB14" s="9"/>
      <c r="AC14" s="9"/>
      <c r="AD14" s="9"/>
      <c r="AE14" s="9"/>
      <c r="AF14" s="9"/>
      <c r="AG14" s="9"/>
      <c r="AH14" s="9"/>
      <c r="AI14" s="9"/>
      <c r="AJ14" s="9"/>
      <c r="AK14" s="9"/>
      <c r="AL14" s="9"/>
    </row>
    <row r="15" spans="2:38" x14ac:dyDescent="0.2">
      <c r="B15" t="s">
        <v>53</v>
      </c>
      <c r="C15" s="23"/>
      <c r="D15" s="23"/>
      <c r="E15" s="23"/>
      <c r="F15" s="23"/>
      <c r="G15" s="23"/>
      <c r="H15" s="23"/>
      <c r="I15" s="23"/>
      <c r="J15" s="9"/>
      <c r="K15" s="23"/>
      <c r="L15" s="23"/>
      <c r="M15" s="23"/>
      <c r="N15" s="9"/>
      <c r="O15" s="10"/>
      <c r="P15" s="11"/>
      <c r="Q15" s="11"/>
      <c r="R15" s="11"/>
      <c r="S15" s="11"/>
      <c r="T15" s="11"/>
      <c r="U15" s="11"/>
      <c r="V15" s="11"/>
      <c r="W15" s="11"/>
      <c r="X15" s="11"/>
      <c r="Y15" s="11"/>
      <c r="Z15" s="11"/>
      <c r="AA15" s="11"/>
      <c r="AB15" s="11"/>
      <c r="AC15" s="11"/>
      <c r="AD15" s="11"/>
      <c r="AE15" s="11"/>
      <c r="AF15" s="11"/>
      <c r="AG15" s="11"/>
      <c r="AH15" s="11"/>
      <c r="AI15" s="11"/>
      <c r="AJ15" s="11"/>
      <c r="AK15" s="11"/>
      <c r="AL15" s="11"/>
    </row>
    <row r="16" spans="2:38" x14ac:dyDescent="0.2">
      <c r="B16" s="21" t="s">
        <v>54</v>
      </c>
      <c r="C16" s="12"/>
      <c r="D16" s="12"/>
      <c r="E16" s="12"/>
      <c r="F16" s="12"/>
      <c r="G16" s="12"/>
      <c r="H16" s="12"/>
      <c r="I16" s="12"/>
      <c r="J16" s="12"/>
      <c r="K16" s="12"/>
      <c r="L16" s="12"/>
      <c r="M16" s="12"/>
      <c r="N16" s="12"/>
      <c r="O16" s="13"/>
      <c r="P16" s="12"/>
      <c r="Q16" s="12"/>
      <c r="R16" s="12"/>
      <c r="S16" s="12"/>
      <c r="T16" s="12"/>
      <c r="U16" s="12"/>
      <c r="V16" s="12"/>
      <c r="W16" s="12"/>
      <c r="X16" s="12"/>
      <c r="Y16" s="12"/>
      <c r="Z16" s="12"/>
      <c r="AA16" s="12"/>
      <c r="AB16" s="12"/>
      <c r="AC16" s="12"/>
      <c r="AD16" s="12"/>
      <c r="AE16" s="12"/>
      <c r="AF16" s="12"/>
      <c r="AG16" s="12"/>
      <c r="AH16" s="12"/>
      <c r="AI16" s="12"/>
      <c r="AJ16" s="12"/>
      <c r="AK16" s="12"/>
      <c r="AL16" s="12"/>
    </row>
    <row r="17" spans="2:38" x14ac:dyDescent="0.2">
      <c r="B17" t="s">
        <v>55</v>
      </c>
      <c r="C17" s="4"/>
      <c r="D17" s="4"/>
      <c r="E17" s="4"/>
      <c r="F17" s="4"/>
      <c r="G17" s="4"/>
      <c r="H17" s="4"/>
      <c r="I17" s="4"/>
      <c r="J17" s="4"/>
      <c r="K17" s="4"/>
      <c r="L17" s="4"/>
      <c r="M17" s="4"/>
      <c r="N17" s="4"/>
      <c r="O17" s="24"/>
      <c r="P17" s="4"/>
      <c r="Q17" s="4"/>
      <c r="R17" s="4"/>
      <c r="S17" s="4"/>
      <c r="T17" s="4"/>
      <c r="U17" s="4"/>
      <c r="V17" s="4"/>
      <c r="W17" s="4"/>
      <c r="X17" s="4"/>
      <c r="Y17" s="4"/>
      <c r="Z17" s="4"/>
      <c r="AA17" s="4"/>
      <c r="AB17" s="4"/>
      <c r="AC17" s="4"/>
      <c r="AD17" s="4"/>
      <c r="AE17" s="4"/>
      <c r="AF17" s="4"/>
      <c r="AG17" s="4"/>
      <c r="AH17" s="4"/>
      <c r="AI17" s="4"/>
      <c r="AJ17" s="4"/>
      <c r="AK17" s="4"/>
      <c r="AL17" s="4"/>
    </row>
    <row r="18" spans="2:38" x14ac:dyDescent="0.2">
      <c r="B18" t="s">
        <v>1</v>
      </c>
      <c r="C18" s="25"/>
      <c r="D18" s="25"/>
      <c r="E18" s="25"/>
      <c r="F18" s="25"/>
      <c r="G18" s="25"/>
      <c r="H18" s="25"/>
      <c r="I18" s="25"/>
      <c r="J18" s="25"/>
      <c r="K18" s="25"/>
      <c r="L18" s="25"/>
      <c r="M18" s="25"/>
      <c r="N18" s="25"/>
      <c r="O18" s="26"/>
      <c r="P18" s="25"/>
      <c r="Q18" s="25"/>
      <c r="R18" s="25"/>
      <c r="S18" s="25"/>
      <c r="T18" s="25"/>
      <c r="U18" s="25"/>
      <c r="V18" s="25"/>
      <c r="W18" s="25"/>
      <c r="X18" s="25"/>
      <c r="Y18" s="25"/>
      <c r="Z18" s="25"/>
      <c r="AA18" s="25"/>
      <c r="AB18" s="25"/>
      <c r="AC18" s="25"/>
      <c r="AD18" s="25"/>
      <c r="AE18" s="25"/>
      <c r="AF18" s="25"/>
      <c r="AG18" s="25"/>
      <c r="AH18" s="25"/>
      <c r="AI18" s="25"/>
      <c r="AJ18" s="25"/>
      <c r="AK18" s="25"/>
      <c r="AL18" s="25"/>
    </row>
    <row r="19" spans="2:38" x14ac:dyDescent="0.2">
      <c r="C19" s="4"/>
      <c r="D19" s="4"/>
      <c r="E19" s="4"/>
      <c r="F19" s="4"/>
      <c r="G19" s="4"/>
      <c r="H19" s="4"/>
      <c r="I19" s="4"/>
      <c r="J19" s="4"/>
      <c r="K19" s="4"/>
      <c r="L19" s="4"/>
      <c r="M19" s="4"/>
      <c r="N19" s="4"/>
      <c r="O19" s="24"/>
    </row>
    <row r="20" spans="2:38" x14ac:dyDescent="0.2">
      <c r="B20" s="20" t="s">
        <v>56</v>
      </c>
      <c r="C20" s="17"/>
      <c r="D20" s="17"/>
      <c r="E20" s="17"/>
      <c r="F20" s="17"/>
      <c r="G20" s="18"/>
      <c r="H20" s="18"/>
      <c r="I20" s="18"/>
      <c r="J20" s="18"/>
      <c r="K20" s="18"/>
      <c r="L20" s="18"/>
      <c r="M20" s="18"/>
      <c r="N20" s="18"/>
      <c r="O20" s="27"/>
      <c r="P20" s="19"/>
      <c r="Q20" s="19"/>
      <c r="R20" s="18"/>
      <c r="S20" s="18"/>
      <c r="T20" s="18"/>
      <c r="U20" s="18"/>
      <c r="V20" s="18"/>
      <c r="W20" s="18"/>
      <c r="X20" s="18"/>
      <c r="Y20" s="18"/>
      <c r="Z20" s="18"/>
      <c r="AA20" s="18"/>
      <c r="AB20" s="18"/>
      <c r="AC20" s="18"/>
      <c r="AD20" s="18"/>
      <c r="AE20" s="18"/>
      <c r="AF20" s="18"/>
      <c r="AG20" s="18"/>
      <c r="AH20" s="18"/>
      <c r="AI20" s="18"/>
      <c r="AJ20" s="18"/>
      <c r="AK20" s="18"/>
      <c r="AL20" s="18"/>
    </row>
    <row r="21" spans="2:38" x14ac:dyDescent="0.2">
      <c r="B21" s="20" t="s">
        <v>57</v>
      </c>
      <c r="C21" s="18"/>
      <c r="D21" s="18"/>
      <c r="E21" s="18"/>
      <c r="F21" s="18"/>
      <c r="G21" s="18"/>
      <c r="H21" s="18"/>
      <c r="I21" s="18"/>
      <c r="J21" s="18"/>
      <c r="K21" s="18"/>
      <c r="L21" s="18"/>
      <c r="M21" s="18"/>
      <c r="N21" s="18"/>
      <c r="O21" s="27"/>
      <c r="P21" s="19"/>
      <c r="Q21" s="19"/>
      <c r="R21" s="19"/>
      <c r="S21" s="19"/>
      <c r="T21" s="19"/>
      <c r="U21" s="19"/>
      <c r="V21" s="19"/>
      <c r="W21" s="19"/>
      <c r="X21" s="19"/>
      <c r="Y21" s="19"/>
      <c r="Z21" s="19"/>
      <c r="AA21" s="19"/>
      <c r="AB21" s="19"/>
      <c r="AC21" s="19"/>
      <c r="AD21" s="19"/>
      <c r="AE21" s="19"/>
      <c r="AF21" s="19"/>
      <c r="AG21" s="19"/>
      <c r="AH21" s="19"/>
      <c r="AI21" s="19"/>
      <c r="AJ21" s="19"/>
      <c r="AK21" s="19"/>
      <c r="AL21" s="19"/>
    </row>
    <row r="22" spans="2:38" x14ac:dyDescent="0.2">
      <c r="B22" s="20" t="s">
        <v>58</v>
      </c>
      <c r="C22" s="18"/>
      <c r="D22" s="18"/>
      <c r="E22" s="18"/>
      <c r="F22" s="18"/>
      <c r="G22" s="18"/>
      <c r="H22" s="18"/>
      <c r="I22" s="18"/>
      <c r="J22" s="18"/>
      <c r="K22" s="18"/>
      <c r="L22" s="18"/>
      <c r="M22" s="18"/>
      <c r="N22" s="18"/>
      <c r="O22" s="27"/>
      <c r="P22" s="19"/>
      <c r="Q22" s="19"/>
      <c r="R22" s="19"/>
      <c r="S22" s="19"/>
      <c r="T22" s="19"/>
      <c r="U22" s="19"/>
      <c r="V22" s="19"/>
      <c r="W22" s="19"/>
      <c r="X22" s="19"/>
      <c r="Y22" s="19"/>
      <c r="Z22" s="19"/>
      <c r="AA22" s="19"/>
      <c r="AB22" s="19"/>
      <c r="AC22" s="19"/>
      <c r="AD22" s="19"/>
      <c r="AE22" s="19"/>
      <c r="AF22" s="19"/>
      <c r="AG22" s="19"/>
      <c r="AH22" s="19"/>
      <c r="AI22" s="19"/>
      <c r="AJ22" s="19"/>
      <c r="AK22" s="19"/>
      <c r="AL22" s="19"/>
    </row>
    <row r="23" spans="2:38" x14ac:dyDescent="0.2">
      <c r="B23" s="20" t="s">
        <v>59</v>
      </c>
      <c r="C23" s="18"/>
      <c r="D23" s="18"/>
      <c r="E23" s="18"/>
      <c r="F23" s="18"/>
      <c r="G23" s="18"/>
      <c r="H23" s="18"/>
      <c r="I23" s="18"/>
      <c r="J23" s="18"/>
      <c r="K23" s="18"/>
      <c r="L23" s="18"/>
      <c r="M23" s="18"/>
      <c r="N23" s="18"/>
      <c r="O23" s="27"/>
      <c r="P23" s="19"/>
      <c r="Q23" s="19"/>
      <c r="R23" s="19"/>
      <c r="S23" s="19"/>
      <c r="T23" s="19"/>
      <c r="U23" s="19"/>
      <c r="V23" s="19"/>
      <c r="W23" s="19"/>
      <c r="X23" s="19"/>
      <c r="Y23" s="19"/>
      <c r="Z23" s="19"/>
      <c r="AA23" s="19"/>
      <c r="AB23" s="19"/>
      <c r="AC23" s="19"/>
      <c r="AD23" s="19"/>
      <c r="AE23" s="19"/>
      <c r="AF23" s="19"/>
      <c r="AG23" s="19"/>
      <c r="AH23" s="19"/>
      <c r="AI23" s="19"/>
      <c r="AJ23" s="19"/>
      <c r="AK23" s="19"/>
      <c r="AL23" s="19"/>
    </row>
    <row r="24" spans="2:38" x14ac:dyDescent="0.2">
      <c r="B24" s="20" t="s">
        <v>60</v>
      </c>
      <c r="C24" s="18"/>
      <c r="D24" s="18"/>
      <c r="E24" s="18"/>
      <c r="F24" s="18"/>
      <c r="G24" s="18"/>
      <c r="H24" s="18"/>
      <c r="I24" s="18"/>
      <c r="J24" s="18"/>
      <c r="K24" s="18"/>
      <c r="L24" s="18"/>
      <c r="M24" s="18"/>
      <c r="N24" s="18"/>
      <c r="O24" s="27"/>
      <c r="P24" s="19"/>
      <c r="Q24" s="19"/>
      <c r="R24" s="19"/>
      <c r="S24" s="19"/>
      <c r="T24" s="19"/>
      <c r="U24" s="19"/>
      <c r="V24" s="19"/>
      <c r="W24" s="19"/>
      <c r="X24" s="19"/>
      <c r="Y24" s="19"/>
      <c r="Z24" s="19"/>
      <c r="AA24" s="19"/>
      <c r="AB24" s="19"/>
      <c r="AC24" s="19"/>
      <c r="AD24" s="19"/>
      <c r="AE24" s="19"/>
      <c r="AF24" s="19"/>
      <c r="AG24" s="19"/>
      <c r="AH24" s="19"/>
      <c r="AI24" s="19"/>
      <c r="AJ24" s="19"/>
      <c r="AK24" s="19"/>
      <c r="AL24" s="19"/>
    </row>
    <row r="25" spans="2:38" x14ac:dyDescent="0.2">
      <c r="B25" s="20" t="s">
        <v>61</v>
      </c>
      <c r="C25" s="18"/>
      <c r="D25" s="18"/>
      <c r="E25" s="18"/>
      <c r="F25" s="18"/>
      <c r="G25" s="18"/>
      <c r="H25" s="18"/>
      <c r="I25" s="18"/>
      <c r="J25" s="18"/>
      <c r="K25" s="18"/>
      <c r="L25" s="18"/>
      <c r="M25" s="18"/>
      <c r="N25" s="18"/>
      <c r="O25" s="27"/>
      <c r="P25" s="19"/>
      <c r="Q25" s="19"/>
      <c r="R25" s="19"/>
      <c r="S25" s="19"/>
      <c r="T25" s="19"/>
      <c r="U25" s="19"/>
      <c r="V25" s="19"/>
      <c r="W25" s="19"/>
      <c r="X25" s="19"/>
      <c r="Y25" s="19"/>
      <c r="Z25" s="19"/>
      <c r="AA25" s="19"/>
      <c r="AB25" s="19"/>
      <c r="AC25" s="19"/>
      <c r="AD25" s="19"/>
      <c r="AE25" s="19"/>
      <c r="AF25" s="19"/>
      <c r="AG25" s="19"/>
      <c r="AH25" s="19"/>
      <c r="AI25" s="19"/>
      <c r="AJ25" s="19"/>
      <c r="AK25" s="19"/>
      <c r="AL25" s="19"/>
    </row>
    <row r="27" spans="2:38" x14ac:dyDescent="0.2">
      <c r="J27" s="28"/>
    </row>
    <row r="28" spans="2:38" x14ac:dyDescent="0.2">
      <c r="J28" s="28"/>
    </row>
    <row r="29" spans="2:38" x14ac:dyDescent="0.2">
      <c r="B29" t="s">
        <v>62</v>
      </c>
    </row>
    <row r="31" spans="2:38" ht="17" thickBot="1" x14ac:dyDescent="0.25">
      <c r="C31" s="7" t="s">
        <v>63</v>
      </c>
      <c r="D31" s="7" t="s">
        <v>64</v>
      </c>
      <c r="E31" s="8" t="s">
        <v>65</v>
      </c>
      <c r="F31" s="7" t="s">
        <v>66</v>
      </c>
      <c r="G31" s="7" t="s">
        <v>67</v>
      </c>
      <c r="H31" s="7" t="s">
        <v>68</v>
      </c>
      <c r="I31" s="7" t="s">
        <v>69</v>
      </c>
      <c r="J31" s="7" t="s">
        <v>70</v>
      </c>
      <c r="K31" s="7" t="s">
        <v>71</v>
      </c>
    </row>
    <row r="32" spans="2:38" x14ac:dyDescent="0.2">
      <c r="C32" s="11"/>
      <c r="D32" s="11"/>
      <c r="E32" s="14"/>
      <c r="F32" s="11"/>
      <c r="G32" s="11"/>
      <c r="H32" s="11"/>
      <c r="I32" s="11"/>
      <c r="J32" s="11"/>
      <c r="K32" s="11"/>
    </row>
    <row r="33" spans="2:91" x14ac:dyDescent="0.2">
      <c r="B33" s="21" t="s">
        <v>44</v>
      </c>
      <c r="C33" s="11">
        <f t="shared" ref="C33:C43" si="0">SUM(C6:F6)</f>
        <v>0</v>
      </c>
      <c r="D33" s="11">
        <f t="shared" ref="D33:D43" si="1">SUM(G6:J6)</f>
        <v>0</v>
      </c>
      <c r="E33" s="14">
        <f t="shared" ref="E33:E43" si="2">SUM(K6:N6)</f>
        <v>0</v>
      </c>
      <c r="F33" s="11">
        <f t="shared" ref="F33:F43" si="3">SUM(O6:R6)</f>
        <v>0</v>
      </c>
      <c r="G33" s="11">
        <f t="shared" ref="G33:G43" si="4">SUM(S6:V6)</f>
        <v>0</v>
      </c>
      <c r="H33" s="11">
        <f t="shared" ref="H33:H43" si="5">SUM(W6:Z6)</f>
        <v>0</v>
      </c>
      <c r="I33" s="11">
        <f>SUM(AA6:AD6)</f>
        <v>0</v>
      </c>
      <c r="J33" s="11">
        <f t="shared" ref="J33:J43" si="6">SUM(AE6:AH6)</f>
        <v>0</v>
      </c>
      <c r="K33" s="11">
        <f t="shared" ref="K33:K43" si="7">SUM(AI6:AL6)</f>
        <v>0</v>
      </c>
    </row>
    <row r="34" spans="2:91" x14ac:dyDescent="0.2">
      <c r="B34" t="s">
        <v>45</v>
      </c>
      <c r="C34" s="11">
        <f t="shared" si="0"/>
        <v>0</v>
      </c>
      <c r="D34" s="11">
        <f t="shared" si="1"/>
        <v>0</v>
      </c>
      <c r="E34" s="14">
        <f t="shared" si="2"/>
        <v>0</v>
      </c>
      <c r="F34" s="11">
        <f t="shared" si="3"/>
        <v>0</v>
      </c>
      <c r="G34" s="11">
        <f t="shared" si="4"/>
        <v>0</v>
      </c>
      <c r="H34" s="11">
        <f t="shared" si="5"/>
        <v>0</v>
      </c>
      <c r="I34" s="11">
        <f t="shared" ref="I34:I43" si="8">SUM(W7:Z7)</f>
        <v>0</v>
      </c>
      <c r="J34" s="11">
        <f t="shared" si="6"/>
        <v>0</v>
      </c>
      <c r="K34" s="11">
        <f t="shared" si="7"/>
        <v>0</v>
      </c>
    </row>
    <row r="35" spans="2:91" x14ac:dyDescent="0.2">
      <c r="B35" s="21" t="s">
        <v>46</v>
      </c>
      <c r="C35" s="11">
        <f t="shared" si="0"/>
        <v>0</v>
      </c>
      <c r="D35" s="11">
        <f t="shared" si="1"/>
        <v>0</v>
      </c>
      <c r="E35" s="14">
        <f t="shared" si="2"/>
        <v>0</v>
      </c>
      <c r="F35" s="11">
        <f t="shared" si="3"/>
        <v>0</v>
      </c>
      <c r="G35" s="11">
        <f t="shared" si="4"/>
        <v>0</v>
      </c>
      <c r="H35" s="11">
        <f t="shared" si="5"/>
        <v>0</v>
      </c>
      <c r="I35" s="11">
        <f t="shared" si="8"/>
        <v>0</v>
      </c>
      <c r="J35" s="11">
        <f t="shared" si="6"/>
        <v>0</v>
      </c>
      <c r="K35" s="11">
        <f t="shared" si="7"/>
        <v>0</v>
      </c>
    </row>
    <row r="36" spans="2:91" x14ac:dyDescent="0.2">
      <c r="B36" t="s">
        <v>47</v>
      </c>
      <c r="C36" s="11">
        <f t="shared" si="0"/>
        <v>0</v>
      </c>
      <c r="D36" s="11">
        <f t="shared" si="1"/>
        <v>0</v>
      </c>
      <c r="E36" s="14">
        <f t="shared" si="2"/>
        <v>0</v>
      </c>
      <c r="F36" s="11">
        <f t="shared" si="3"/>
        <v>0</v>
      </c>
      <c r="G36" s="11">
        <f t="shared" si="4"/>
        <v>0</v>
      </c>
      <c r="H36" s="11">
        <f t="shared" si="5"/>
        <v>0</v>
      </c>
      <c r="I36" s="11">
        <f t="shared" si="8"/>
        <v>0</v>
      </c>
      <c r="J36" s="11">
        <f t="shared" si="6"/>
        <v>0</v>
      </c>
      <c r="K36" s="11">
        <f t="shared" si="7"/>
        <v>0</v>
      </c>
    </row>
    <row r="37" spans="2:91" x14ac:dyDescent="0.2">
      <c r="B37" t="s">
        <v>48</v>
      </c>
      <c r="C37" s="11">
        <f t="shared" si="0"/>
        <v>0</v>
      </c>
      <c r="D37" s="11">
        <f t="shared" si="1"/>
        <v>0</v>
      </c>
      <c r="E37" s="14">
        <f t="shared" si="2"/>
        <v>0</v>
      </c>
      <c r="F37" s="11">
        <f t="shared" si="3"/>
        <v>0</v>
      </c>
      <c r="G37" s="11">
        <f t="shared" si="4"/>
        <v>0</v>
      </c>
      <c r="H37" s="11">
        <f t="shared" si="5"/>
        <v>0</v>
      </c>
      <c r="I37" s="11">
        <f t="shared" si="8"/>
        <v>0</v>
      </c>
      <c r="J37" s="11">
        <f t="shared" si="6"/>
        <v>0</v>
      </c>
      <c r="K37" s="11">
        <f t="shared" si="7"/>
        <v>0</v>
      </c>
    </row>
    <row r="38" spans="2:91" x14ac:dyDescent="0.2">
      <c r="B38" t="s">
        <v>49</v>
      </c>
      <c r="C38" s="11">
        <f t="shared" si="0"/>
        <v>0</v>
      </c>
      <c r="D38" s="11">
        <f t="shared" si="1"/>
        <v>0</v>
      </c>
      <c r="E38" s="14">
        <f t="shared" si="2"/>
        <v>0</v>
      </c>
      <c r="F38" s="11">
        <f t="shared" si="3"/>
        <v>0</v>
      </c>
      <c r="G38" s="11">
        <f t="shared" si="4"/>
        <v>0</v>
      </c>
      <c r="H38" s="11">
        <f t="shared" si="5"/>
        <v>0</v>
      </c>
      <c r="I38" s="11">
        <f t="shared" si="8"/>
        <v>0</v>
      </c>
      <c r="J38" s="11">
        <f t="shared" si="6"/>
        <v>0</v>
      </c>
      <c r="K38" s="11">
        <f t="shared" si="7"/>
        <v>0</v>
      </c>
    </row>
    <row r="39" spans="2:91" x14ac:dyDescent="0.2">
      <c r="B39" t="s">
        <v>50</v>
      </c>
      <c r="C39" s="11">
        <f t="shared" si="0"/>
        <v>0</v>
      </c>
      <c r="D39" s="11">
        <f t="shared" si="1"/>
        <v>0</v>
      </c>
      <c r="E39" s="14">
        <f t="shared" si="2"/>
        <v>0</v>
      </c>
      <c r="F39" s="11">
        <f t="shared" si="3"/>
        <v>0</v>
      </c>
      <c r="G39" s="11">
        <f t="shared" si="4"/>
        <v>0</v>
      </c>
      <c r="H39" s="11">
        <f t="shared" si="5"/>
        <v>0</v>
      </c>
      <c r="I39" s="11">
        <f t="shared" si="8"/>
        <v>0</v>
      </c>
      <c r="J39" s="11">
        <f t="shared" si="6"/>
        <v>0</v>
      </c>
      <c r="K39" s="11">
        <f t="shared" si="7"/>
        <v>0</v>
      </c>
    </row>
    <row r="40" spans="2:91" x14ac:dyDescent="0.2">
      <c r="B40" t="s">
        <v>51</v>
      </c>
      <c r="C40" s="11">
        <f t="shared" si="0"/>
        <v>0</v>
      </c>
      <c r="D40" s="11">
        <f t="shared" si="1"/>
        <v>0</v>
      </c>
      <c r="E40" s="14">
        <f t="shared" si="2"/>
        <v>0</v>
      </c>
      <c r="F40" s="11">
        <f t="shared" si="3"/>
        <v>0</v>
      </c>
      <c r="G40" s="11">
        <f t="shared" si="4"/>
        <v>0</v>
      </c>
      <c r="H40" s="11">
        <f t="shared" si="5"/>
        <v>0</v>
      </c>
      <c r="I40" s="11">
        <f t="shared" si="8"/>
        <v>0</v>
      </c>
      <c r="J40" s="11">
        <f t="shared" si="6"/>
        <v>0</v>
      </c>
      <c r="K40" s="11">
        <f t="shared" si="7"/>
        <v>0</v>
      </c>
    </row>
    <row r="41" spans="2:91" x14ac:dyDescent="0.2">
      <c r="B41" t="s">
        <v>52</v>
      </c>
      <c r="C41" s="11">
        <f t="shared" si="0"/>
        <v>0</v>
      </c>
      <c r="D41" s="11">
        <f t="shared" si="1"/>
        <v>0</v>
      </c>
      <c r="E41" s="14">
        <f t="shared" si="2"/>
        <v>0</v>
      </c>
      <c r="F41" s="11">
        <f t="shared" si="3"/>
        <v>0</v>
      </c>
      <c r="G41" s="11">
        <f t="shared" si="4"/>
        <v>0</v>
      </c>
      <c r="H41" s="11">
        <f t="shared" si="5"/>
        <v>0</v>
      </c>
      <c r="I41" s="11">
        <f t="shared" si="8"/>
        <v>0</v>
      </c>
      <c r="J41" s="11">
        <f t="shared" si="6"/>
        <v>0</v>
      </c>
      <c r="K41" s="11">
        <f t="shared" si="7"/>
        <v>0</v>
      </c>
      <c r="M41" t="s">
        <v>72</v>
      </c>
      <c r="N41" s="15">
        <v>0.01</v>
      </c>
    </row>
    <row r="42" spans="2:91" x14ac:dyDescent="0.2">
      <c r="B42" t="s">
        <v>53</v>
      </c>
      <c r="C42" s="11">
        <f t="shared" si="0"/>
        <v>0</v>
      </c>
      <c r="D42" s="11">
        <f t="shared" si="1"/>
        <v>0</v>
      </c>
      <c r="E42" s="14">
        <f t="shared" si="2"/>
        <v>0</v>
      </c>
      <c r="F42" s="11">
        <f t="shared" si="3"/>
        <v>0</v>
      </c>
      <c r="G42" s="11">
        <f t="shared" si="4"/>
        <v>0</v>
      </c>
      <c r="H42" s="11">
        <f t="shared" si="5"/>
        <v>0</v>
      </c>
      <c r="I42" s="11">
        <f t="shared" si="8"/>
        <v>0</v>
      </c>
      <c r="J42" s="11">
        <f t="shared" si="6"/>
        <v>0</v>
      </c>
      <c r="K42" s="11">
        <f t="shared" si="7"/>
        <v>0</v>
      </c>
      <c r="M42" t="s">
        <v>73</v>
      </c>
      <c r="N42" s="15">
        <v>0.09</v>
      </c>
    </row>
    <row r="43" spans="2:91" x14ac:dyDescent="0.2">
      <c r="B43" s="21" t="s">
        <v>54</v>
      </c>
      <c r="C43" s="11">
        <f t="shared" si="0"/>
        <v>0</v>
      </c>
      <c r="D43" s="11">
        <f t="shared" si="1"/>
        <v>0</v>
      </c>
      <c r="E43" s="14">
        <f t="shared" si="2"/>
        <v>0</v>
      </c>
      <c r="F43" s="11">
        <f t="shared" si="3"/>
        <v>0</v>
      </c>
      <c r="G43" s="11">
        <f t="shared" si="4"/>
        <v>0</v>
      </c>
      <c r="H43" s="11">
        <f t="shared" si="5"/>
        <v>0</v>
      </c>
      <c r="I43" s="11">
        <f t="shared" si="8"/>
        <v>0</v>
      </c>
      <c r="J43" s="11">
        <f t="shared" si="6"/>
        <v>0</v>
      </c>
      <c r="K43" s="11">
        <f t="shared" si="7"/>
        <v>0</v>
      </c>
      <c r="L43" s="4"/>
      <c r="M43" t="s">
        <v>74</v>
      </c>
      <c r="N43" s="1">
        <f>K43*(1+N41)/(N42-N41)</f>
        <v>0</v>
      </c>
    </row>
    <row r="44" spans="2:91" x14ac:dyDescent="0.2">
      <c r="B44" t="s">
        <v>55</v>
      </c>
      <c r="C44" s="4"/>
      <c r="D44" s="4"/>
      <c r="E44" s="24"/>
      <c r="F44" s="4"/>
      <c r="G44" s="4"/>
      <c r="H44" s="4"/>
      <c r="I44" s="4"/>
      <c r="J44" s="4"/>
      <c r="K44" s="4"/>
      <c r="M44" t="s">
        <v>1</v>
      </c>
      <c r="N44" s="2">
        <f ca="1">Main!B3</f>
        <v>145.58709999999999</v>
      </c>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c r="BR44" s="4"/>
      <c r="BS44" s="4"/>
      <c r="BT44" s="4"/>
      <c r="BU44" s="4"/>
      <c r="BV44" s="4"/>
      <c r="BW44" s="4"/>
      <c r="BX44" s="4"/>
      <c r="BY44" s="4"/>
      <c r="BZ44" s="4"/>
      <c r="CA44" s="4"/>
      <c r="CB44" s="4"/>
      <c r="CC44" s="4"/>
      <c r="CD44" s="4"/>
      <c r="CE44" s="4"/>
      <c r="CF44" s="4"/>
      <c r="CG44" s="4"/>
      <c r="CH44" s="4"/>
      <c r="CI44" s="4"/>
      <c r="CJ44" s="4"/>
      <c r="CK44" s="4"/>
      <c r="CL44" s="4"/>
      <c r="CM44" s="4"/>
    </row>
    <row r="45" spans="2:91" x14ac:dyDescent="0.2">
      <c r="B45" t="s">
        <v>1</v>
      </c>
      <c r="C45" s="29"/>
      <c r="D45" s="29"/>
      <c r="E45" s="30"/>
      <c r="F45" s="29"/>
      <c r="G45" s="29"/>
      <c r="H45" s="29"/>
      <c r="I45" s="29"/>
      <c r="J45" s="29"/>
      <c r="K45" s="29"/>
      <c r="M45" t="s">
        <v>75</v>
      </c>
      <c r="N45" s="1">
        <f ca="1">N43/N44</f>
        <v>0</v>
      </c>
    </row>
    <row r="48" spans="2:91" x14ac:dyDescent="0.2">
      <c r="C48" s="2"/>
      <c r="D48" s="15"/>
      <c r="E48"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FF9BF-BD4E-3E4C-9948-0B637DDB3D70}">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Main</vt:lpstr>
      <vt:lpstr>Model</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Heier</dc:creator>
  <cp:lastModifiedBy>Sam Heier</cp:lastModifiedBy>
  <dcterms:created xsi:type="dcterms:W3CDTF">2026-06-24T01:33:44Z</dcterms:created>
  <dcterms:modified xsi:type="dcterms:W3CDTF">2026-06-30T00:09:09Z</dcterms:modified>
</cp:coreProperties>
</file>
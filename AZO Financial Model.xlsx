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U:\Models\"/>
    </mc:Choice>
  </mc:AlternateContent>
  <xr:revisionPtr revIDLastSave="0" documentId="13_ncr:1_{E4B7DEB9-26D9-4026-ACC8-3973D4325903}" xr6:coauthVersionLast="47" xr6:coauthVersionMax="47" xr10:uidLastSave="{00000000-0000-0000-0000-000000000000}"/>
  <bookViews>
    <workbookView xWindow="-28920" yWindow="-120" windowWidth="29040" windowHeight="15720" tabRatio="500" activeTab="5" xr2:uid="{00000000-000D-0000-FFFF-FFFF00000000}"/>
  </bookViews>
  <sheets>
    <sheet name="IS Quarterly" sheetId="1" r:id="rId1"/>
    <sheet name="IS Annual" sheetId="2" r:id="rId2"/>
    <sheet name="BS Annual" sheetId="3" r:id="rId3"/>
    <sheet name="CF Quarterly" sheetId="4" r:id="rId4"/>
    <sheet name="CF Annual" sheetId="5" r:id="rId5"/>
    <sheet name="DCF Model" sheetId="6" r:id="rId6"/>
    <sheet name="Comps" sheetId="7" r:id="rId7"/>
    <sheet name="Liquidation" sheetId="8" r:id="rId8"/>
    <sheet name="Summary"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11" i="6" l="1"/>
  <c r="I3" i="6"/>
  <c r="X11" i="6"/>
  <c r="W11" i="6"/>
  <c r="X10" i="6"/>
  <c r="X4" i="6"/>
  <c r="I5" i="6"/>
  <c r="I4" i="6" a="1"/>
  <c r="I4" i="6"/>
  <c r="F18" i="9"/>
  <c r="C4" i="9"/>
  <c r="G18" i="8"/>
  <c r="E18" i="8"/>
  <c r="C16" i="8"/>
  <c r="C13" i="8"/>
  <c r="C12" i="8"/>
  <c r="C11" i="8"/>
  <c r="C10" i="8"/>
  <c r="C9" i="8"/>
  <c r="C8" i="8"/>
  <c r="C7" i="8"/>
  <c r="C6" i="8"/>
  <c r="C5" i="8"/>
  <c r="C41" i="7"/>
  <c r="C38" i="7"/>
  <c r="C37" i="7"/>
  <c r="C35" i="7"/>
  <c r="R25" i="7"/>
  <c r="P25" i="7"/>
  <c r="O25" i="7"/>
  <c r="N25" i="7"/>
  <c r="Q25" i="7" s="1"/>
  <c r="R24" i="7"/>
  <c r="P24" i="7"/>
  <c r="O24" i="7"/>
  <c r="N24" i="7"/>
  <c r="Q24" i="7" s="1"/>
  <c r="R23" i="7"/>
  <c r="P23" i="7"/>
  <c r="O23" i="7"/>
  <c r="N23" i="7"/>
  <c r="Q23" i="7" s="1"/>
  <c r="R22" i="7"/>
  <c r="P22" i="7"/>
  <c r="O22" i="7"/>
  <c r="N22" i="7"/>
  <c r="Q22" i="7" s="1"/>
  <c r="R21" i="7"/>
  <c r="P21" i="7"/>
  <c r="O21" i="7"/>
  <c r="N21" i="7"/>
  <c r="N10" i="7"/>
  <c r="Q10" i="7" s="1"/>
  <c r="F10" i="7"/>
  <c r="H10" i="7" s="1"/>
  <c r="N9" i="7"/>
  <c r="Q9" i="7" s="1"/>
  <c r="F9" i="7"/>
  <c r="H9" i="7" s="1"/>
  <c r="N8" i="7"/>
  <c r="Q8" i="7" s="1"/>
  <c r="F8" i="7"/>
  <c r="H8" i="7" s="1"/>
  <c r="N7" i="7"/>
  <c r="Q7" i="7" s="1"/>
  <c r="F7" i="7"/>
  <c r="H7" i="7" s="1"/>
  <c r="N6" i="7"/>
  <c r="F6" i="7"/>
  <c r="H6" i="7" s="1"/>
  <c r="AA17" i="6"/>
  <c r="N95" i="6"/>
  <c r="I95" i="6"/>
  <c r="N94" i="6"/>
  <c r="N93" i="6"/>
  <c r="I93" i="6"/>
  <c r="C40" i="7" s="1"/>
  <c r="I82" i="6"/>
  <c r="N81" i="6"/>
  <c r="I80" i="6"/>
  <c r="I76" i="6"/>
  <c r="I75" i="6"/>
  <c r="I83" i="6" s="1"/>
  <c r="I68" i="6"/>
  <c r="J52" i="6"/>
  <c r="I52" i="6"/>
  <c r="H52" i="6"/>
  <c r="G52" i="6"/>
  <c r="K48" i="6"/>
  <c r="J32" i="6"/>
  <c r="I32" i="6"/>
  <c r="H32" i="6"/>
  <c r="G32" i="6"/>
  <c r="J30" i="6"/>
  <c r="I30" i="6"/>
  <c r="I77" i="6" s="1"/>
  <c r="H30" i="6"/>
  <c r="G30" i="6"/>
  <c r="J28" i="6"/>
  <c r="I28" i="6"/>
  <c r="H28" i="6"/>
  <c r="G28" i="6"/>
  <c r="J27" i="6"/>
  <c r="I27" i="6"/>
  <c r="H27" i="6"/>
  <c r="G27" i="6"/>
  <c r="J25" i="6"/>
  <c r="I25" i="6"/>
  <c r="H25" i="6"/>
  <c r="G25" i="6"/>
  <c r="J24" i="6"/>
  <c r="I24" i="6"/>
  <c r="H24" i="6"/>
  <c r="G24" i="6"/>
  <c r="J23" i="6"/>
  <c r="I23" i="6"/>
  <c r="H23" i="6"/>
  <c r="G23" i="6"/>
  <c r="K22" i="6"/>
  <c r="L22" i="6" s="1"/>
  <c r="M22" i="6" s="1"/>
  <c r="N22" i="6" s="1"/>
  <c r="O22" i="6" s="1"/>
  <c r="J17" i="6"/>
  <c r="I17" i="6"/>
  <c r="H17" i="6"/>
  <c r="G17" i="6"/>
  <c r="J14" i="6"/>
  <c r="I14" i="6"/>
  <c r="H14" i="6"/>
  <c r="G14" i="6"/>
  <c r="J10" i="6"/>
  <c r="I10" i="6"/>
  <c r="H10" i="6"/>
  <c r="G10" i="6"/>
  <c r="G50" i="6" s="1"/>
  <c r="K9" i="6"/>
  <c r="L9" i="6" s="1"/>
  <c r="M9" i="6" s="1"/>
  <c r="N9" i="6" s="1"/>
  <c r="O9" i="6" s="1"/>
  <c r="R35" i="4"/>
  <c r="Q35" i="4"/>
  <c r="P35" i="4"/>
  <c r="O35" i="4"/>
  <c r="N35" i="4"/>
  <c r="M35" i="4"/>
  <c r="L35" i="4"/>
  <c r="K35" i="4"/>
  <c r="J35" i="4"/>
  <c r="I35" i="4"/>
  <c r="H35" i="4"/>
  <c r="G35" i="4"/>
  <c r="F35" i="4"/>
  <c r="E35" i="4"/>
  <c r="D35" i="4"/>
  <c r="C35" i="4"/>
  <c r="R34" i="4"/>
  <c r="Q34" i="4"/>
  <c r="P34" i="4"/>
  <c r="O34" i="4"/>
  <c r="N34" i="4"/>
  <c r="M34" i="4"/>
  <c r="L34" i="4"/>
  <c r="K34" i="4"/>
  <c r="J34" i="4"/>
  <c r="I34" i="4"/>
  <c r="H34" i="4"/>
  <c r="G34" i="4"/>
  <c r="F34" i="4"/>
  <c r="E34" i="4"/>
  <c r="D34" i="4"/>
  <c r="C34" i="4"/>
  <c r="R33" i="4"/>
  <c r="Q33" i="4"/>
  <c r="P33" i="4"/>
  <c r="O33" i="4"/>
  <c r="N33" i="4"/>
  <c r="M33" i="4"/>
  <c r="L33" i="4"/>
  <c r="K33" i="4"/>
  <c r="J33" i="4"/>
  <c r="I33" i="4"/>
  <c r="H33" i="4"/>
  <c r="G33" i="4"/>
  <c r="F33" i="4"/>
  <c r="E33" i="4"/>
  <c r="D33" i="4"/>
  <c r="C33" i="4"/>
  <c r="R32" i="4"/>
  <c r="Q32" i="4"/>
  <c r="P32" i="4"/>
  <c r="O32" i="4"/>
  <c r="N32" i="4"/>
  <c r="M32" i="4"/>
  <c r="L32" i="4"/>
  <c r="K32" i="4"/>
  <c r="J32" i="4"/>
  <c r="I32" i="4"/>
  <c r="H32" i="4"/>
  <c r="G32" i="4"/>
  <c r="F32" i="4"/>
  <c r="E32" i="4"/>
  <c r="D32" i="4"/>
  <c r="C32" i="4"/>
  <c r="R31" i="4"/>
  <c r="Q31" i="4"/>
  <c r="P31" i="4"/>
  <c r="O31" i="4"/>
  <c r="N31" i="4"/>
  <c r="M31" i="4"/>
  <c r="L31" i="4"/>
  <c r="K31" i="4"/>
  <c r="J31" i="4"/>
  <c r="I31" i="4"/>
  <c r="H31" i="4"/>
  <c r="G31" i="4"/>
  <c r="F31" i="4"/>
  <c r="E31" i="4"/>
  <c r="D31" i="4"/>
  <c r="C31" i="4"/>
  <c r="R30" i="4"/>
  <c r="Q30" i="4"/>
  <c r="P30" i="4"/>
  <c r="O30" i="4"/>
  <c r="N30" i="4"/>
  <c r="M30" i="4"/>
  <c r="L30" i="4"/>
  <c r="K30" i="4"/>
  <c r="J30" i="4"/>
  <c r="I30" i="4"/>
  <c r="H30" i="4"/>
  <c r="G30" i="4"/>
  <c r="F30" i="4"/>
  <c r="E30" i="4"/>
  <c r="D30" i="4"/>
  <c r="C30" i="4"/>
  <c r="R29" i="4"/>
  <c r="Q29" i="4"/>
  <c r="P29" i="4"/>
  <c r="O29" i="4"/>
  <c r="N29" i="4"/>
  <c r="M29" i="4"/>
  <c r="L29" i="4"/>
  <c r="K29" i="4"/>
  <c r="J29" i="4"/>
  <c r="I29" i="4"/>
  <c r="H29" i="4"/>
  <c r="G29" i="4"/>
  <c r="F29" i="4"/>
  <c r="E29" i="4"/>
  <c r="D29" i="4"/>
  <c r="C29" i="4"/>
  <c r="R28" i="4"/>
  <c r="Q28" i="4"/>
  <c r="P28" i="4"/>
  <c r="O28" i="4"/>
  <c r="N28" i="4"/>
  <c r="M28" i="4"/>
  <c r="L28" i="4"/>
  <c r="K28" i="4"/>
  <c r="J28" i="4"/>
  <c r="I28" i="4"/>
  <c r="H28" i="4"/>
  <c r="G28" i="4"/>
  <c r="F28" i="4"/>
  <c r="E28" i="4"/>
  <c r="D28" i="4"/>
  <c r="C28" i="4"/>
  <c r="R27" i="4"/>
  <c r="Q27" i="4"/>
  <c r="P27" i="4"/>
  <c r="O27" i="4"/>
  <c r="N27" i="4"/>
  <c r="M27" i="4"/>
  <c r="L27" i="4"/>
  <c r="K27" i="4"/>
  <c r="J27" i="4"/>
  <c r="I27" i="4"/>
  <c r="H27" i="4"/>
  <c r="G27" i="4"/>
  <c r="F27" i="4"/>
  <c r="E27" i="4"/>
  <c r="D27" i="4"/>
  <c r="C27" i="4"/>
  <c r="R26" i="4"/>
  <c r="Q26" i="4"/>
  <c r="P26" i="4"/>
  <c r="O26" i="4"/>
  <c r="N26" i="4"/>
  <c r="M26" i="4"/>
  <c r="L26" i="4"/>
  <c r="K26" i="4"/>
  <c r="J26" i="4"/>
  <c r="I26" i="4"/>
  <c r="H26" i="4"/>
  <c r="G26" i="4"/>
  <c r="F26" i="4"/>
  <c r="E26" i="4"/>
  <c r="D26" i="4"/>
  <c r="C26" i="4"/>
  <c r="R25" i="4"/>
  <c r="Q25" i="4"/>
  <c r="P25" i="4"/>
  <c r="O25" i="4"/>
  <c r="N25" i="4"/>
  <c r="M25" i="4"/>
  <c r="L25" i="4"/>
  <c r="K25" i="4"/>
  <c r="J25" i="4"/>
  <c r="I25" i="4"/>
  <c r="H25" i="4"/>
  <c r="G25" i="4"/>
  <c r="F25" i="4"/>
  <c r="E25" i="4"/>
  <c r="D25" i="4"/>
  <c r="C25" i="4"/>
  <c r="R24" i="4"/>
  <c r="Q24" i="4"/>
  <c r="P24" i="4"/>
  <c r="O24" i="4"/>
  <c r="N24" i="4"/>
  <c r="M24" i="4"/>
  <c r="L24" i="4"/>
  <c r="K24" i="4"/>
  <c r="J24" i="4"/>
  <c r="I24" i="4"/>
  <c r="H24" i="4"/>
  <c r="G24" i="4"/>
  <c r="F24" i="4"/>
  <c r="E24" i="4"/>
  <c r="D24" i="4"/>
  <c r="C24" i="4"/>
  <c r="R23" i="4"/>
  <c r="Q23" i="4"/>
  <c r="P23" i="4"/>
  <c r="O23" i="4"/>
  <c r="N23" i="4"/>
  <c r="M23" i="4"/>
  <c r="L23" i="4"/>
  <c r="K23" i="4"/>
  <c r="J23" i="4"/>
  <c r="I23" i="4"/>
  <c r="H23" i="4"/>
  <c r="G23" i="4"/>
  <c r="F23" i="4"/>
  <c r="E23" i="4"/>
  <c r="D23" i="4"/>
  <c r="C23" i="4"/>
  <c r="R22" i="4"/>
  <c r="Q22" i="4"/>
  <c r="P22" i="4"/>
  <c r="O22" i="4"/>
  <c r="N22" i="4"/>
  <c r="M22" i="4"/>
  <c r="L22" i="4"/>
  <c r="K22" i="4"/>
  <c r="J22" i="4"/>
  <c r="I22" i="4"/>
  <c r="H22" i="4"/>
  <c r="G22" i="4"/>
  <c r="F22" i="4"/>
  <c r="E22" i="4"/>
  <c r="D22" i="4"/>
  <c r="C22" i="4"/>
  <c r="R21" i="4"/>
  <c r="Q21" i="4"/>
  <c r="P21" i="4"/>
  <c r="O21" i="4"/>
  <c r="N21" i="4"/>
  <c r="M21" i="4"/>
  <c r="L21" i="4"/>
  <c r="K21" i="4"/>
  <c r="J21" i="4"/>
  <c r="I21" i="4"/>
  <c r="H21" i="4"/>
  <c r="G21" i="4"/>
  <c r="F21" i="4"/>
  <c r="E21" i="4"/>
  <c r="D21" i="4"/>
  <c r="C21" i="4"/>
  <c r="R20" i="4"/>
  <c r="Q20" i="4"/>
  <c r="P20" i="4"/>
  <c r="O20" i="4"/>
  <c r="N20" i="4"/>
  <c r="M20" i="4"/>
  <c r="L20" i="4"/>
  <c r="K20" i="4"/>
  <c r="J20" i="4"/>
  <c r="I20" i="4"/>
  <c r="H20" i="4"/>
  <c r="G20" i="4"/>
  <c r="F20" i="4"/>
  <c r="E20" i="4"/>
  <c r="D20" i="4"/>
  <c r="C20" i="4"/>
  <c r="R19" i="4"/>
  <c r="Q19" i="4"/>
  <c r="P19" i="4"/>
  <c r="O19" i="4"/>
  <c r="N19" i="4"/>
  <c r="M19" i="4"/>
  <c r="L19" i="4"/>
  <c r="K19" i="4"/>
  <c r="J19" i="4"/>
  <c r="I19" i="4"/>
  <c r="H19" i="4"/>
  <c r="G19" i="4"/>
  <c r="F19" i="4"/>
  <c r="E19" i="4"/>
  <c r="D19" i="4"/>
  <c r="C19" i="4"/>
  <c r="R18" i="4"/>
  <c r="Q18" i="4"/>
  <c r="P18" i="4"/>
  <c r="O18" i="4"/>
  <c r="N18" i="4"/>
  <c r="M18" i="4"/>
  <c r="L18" i="4"/>
  <c r="K18" i="4"/>
  <c r="J18" i="4"/>
  <c r="I18" i="4"/>
  <c r="H18" i="4"/>
  <c r="G18" i="4"/>
  <c r="F18" i="4"/>
  <c r="E18" i="4"/>
  <c r="D18" i="4"/>
  <c r="C18" i="4"/>
  <c r="R17" i="4"/>
  <c r="Q17" i="4"/>
  <c r="P17" i="4"/>
  <c r="O17" i="4"/>
  <c r="N17" i="4"/>
  <c r="M17" i="4"/>
  <c r="L17" i="4"/>
  <c r="K17" i="4"/>
  <c r="J17" i="4"/>
  <c r="I17" i="4"/>
  <c r="H17" i="4"/>
  <c r="G17" i="4"/>
  <c r="F17" i="4"/>
  <c r="E17" i="4"/>
  <c r="D17" i="4"/>
  <c r="C17" i="4"/>
  <c r="R16" i="4"/>
  <c r="Q16" i="4"/>
  <c r="P16" i="4"/>
  <c r="O16" i="4"/>
  <c r="N16" i="4"/>
  <c r="M16" i="4"/>
  <c r="L16" i="4"/>
  <c r="K16" i="4"/>
  <c r="J16" i="4"/>
  <c r="I16" i="4"/>
  <c r="H16" i="4"/>
  <c r="G16" i="4"/>
  <c r="F16" i="4"/>
  <c r="E16" i="4"/>
  <c r="D16" i="4"/>
  <c r="C16" i="4"/>
  <c r="R15" i="4"/>
  <c r="Q15" i="4"/>
  <c r="P15" i="4"/>
  <c r="O15" i="4"/>
  <c r="N15" i="4"/>
  <c r="M15" i="4"/>
  <c r="L15" i="4"/>
  <c r="K15" i="4"/>
  <c r="J15" i="4"/>
  <c r="I15" i="4"/>
  <c r="H15" i="4"/>
  <c r="G15" i="4"/>
  <c r="F15" i="4"/>
  <c r="E15" i="4"/>
  <c r="D15" i="4"/>
  <c r="C15" i="4"/>
  <c r="R14" i="4"/>
  <c r="Q14" i="4"/>
  <c r="P14" i="4"/>
  <c r="O14" i="4"/>
  <c r="N14" i="4"/>
  <c r="M14" i="4"/>
  <c r="L14" i="4"/>
  <c r="K14" i="4"/>
  <c r="J14" i="4"/>
  <c r="I14" i="4"/>
  <c r="H14" i="4"/>
  <c r="G14" i="4"/>
  <c r="F14" i="4"/>
  <c r="E14" i="4"/>
  <c r="D14" i="4"/>
  <c r="C14" i="4"/>
  <c r="R13" i="4"/>
  <c r="Q13" i="4"/>
  <c r="P13" i="4"/>
  <c r="O13" i="4"/>
  <c r="N13" i="4"/>
  <c r="M13" i="4"/>
  <c r="L13" i="4"/>
  <c r="K13" i="4"/>
  <c r="J13" i="4"/>
  <c r="I13" i="4"/>
  <c r="H13" i="4"/>
  <c r="G13" i="4"/>
  <c r="F13" i="4"/>
  <c r="E13" i="4"/>
  <c r="D13" i="4"/>
  <c r="C13" i="4"/>
  <c r="R12" i="4"/>
  <c r="Q12" i="4"/>
  <c r="P12" i="4"/>
  <c r="O12" i="4"/>
  <c r="N12" i="4"/>
  <c r="M12" i="4"/>
  <c r="L12" i="4"/>
  <c r="K12" i="4"/>
  <c r="J12" i="4"/>
  <c r="I12" i="4"/>
  <c r="H12" i="4"/>
  <c r="G12" i="4"/>
  <c r="F12" i="4"/>
  <c r="E12" i="4"/>
  <c r="D12" i="4"/>
  <c r="C12" i="4"/>
  <c r="R11" i="4"/>
  <c r="Q11" i="4"/>
  <c r="P11" i="4"/>
  <c r="O11" i="4"/>
  <c r="N11" i="4"/>
  <c r="M11" i="4"/>
  <c r="L11" i="4"/>
  <c r="K11" i="4"/>
  <c r="J11" i="4"/>
  <c r="I11" i="4"/>
  <c r="H11" i="4"/>
  <c r="G11" i="4"/>
  <c r="F11" i="4"/>
  <c r="E11" i="4"/>
  <c r="D11" i="4"/>
  <c r="C11" i="4"/>
  <c r="R10" i="4"/>
  <c r="Q10" i="4"/>
  <c r="P10" i="4"/>
  <c r="O10" i="4"/>
  <c r="N10" i="4"/>
  <c r="M10" i="4"/>
  <c r="L10" i="4"/>
  <c r="K10" i="4"/>
  <c r="J10" i="4"/>
  <c r="I10" i="4"/>
  <c r="H10" i="4"/>
  <c r="G10" i="4"/>
  <c r="F10" i="4"/>
  <c r="E10" i="4"/>
  <c r="D10" i="4"/>
  <c r="C10" i="4"/>
  <c r="R9" i="4"/>
  <c r="Q9" i="4"/>
  <c r="P9" i="4"/>
  <c r="O9" i="4"/>
  <c r="N9" i="4"/>
  <c r="M9" i="4"/>
  <c r="L9" i="4"/>
  <c r="K9" i="4"/>
  <c r="J9" i="4"/>
  <c r="I9" i="4"/>
  <c r="H9" i="4"/>
  <c r="G9" i="4"/>
  <c r="F9" i="4"/>
  <c r="E9" i="4"/>
  <c r="D9" i="4"/>
  <c r="C9" i="4"/>
  <c r="R8" i="4"/>
  <c r="Q8" i="4"/>
  <c r="P8" i="4"/>
  <c r="O8" i="4"/>
  <c r="N8" i="4"/>
  <c r="M8" i="4"/>
  <c r="L8" i="4"/>
  <c r="K8" i="4"/>
  <c r="J8" i="4"/>
  <c r="I8" i="4"/>
  <c r="H8" i="4"/>
  <c r="G8" i="4"/>
  <c r="F8" i="4"/>
  <c r="E8" i="4"/>
  <c r="D8" i="4"/>
  <c r="C8" i="4"/>
  <c r="R7" i="4"/>
  <c r="Q7" i="4"/>
  <c r="P7" i="4"/>
  <c r="O7" i="4"/>
  <c r="N7" i="4"/>
  <c r="M7" i="4"/>
  <c r="L7" i="4"/>
  <c r="K7" i="4"/>
  <c r="J7" i="4"/>
  <c r="I7" i="4"/>
  <c r="H7" i="4"/>
  <c r="G7" i="4"/>
  <c r="F7" i="4"/>
  <c r="E7" i="4"/>
  <c r="D7" i="4"/>
  <c r="C7" i="4"/>
  <c r="R6" i="4"/>
  <c r="Q6" i="4"/>
  <c r="P6" i="4"/>
  <c r="O6" i="4"/>
  <c r="N6" i="4"/>
  <c r="M6" i="4"/>
  <c r="L6" i="4"/>
  <c r="K6" i="4"/>
  <c r="J6" i="4"/>
  <c r="I6" i="4"/>
  <c r="H6" i="4"/>
  <c r="G6" i="4"/>
  <c r="F6" i="4"/>
  <c r="E6" i="4"/>
  <c r="D6" i="4"/>
  <c r="C6" i="4"/>
  <c r="R14" i="1"/>
  <c r="N14" i="1"/>
  <c r="J14" i="1"/>
  <c r="F14" i="1"/>
  <c r="R13" i="1"/>
  <c r="N13" i="1"/>
  <c r="J13" i="1"/>
  <c r="F13" i="1"/>
  <c r="R12" i="1"/>
  <c r="N12" i="1"/>
  <c r="J12" i="1"/>
  <c r="F12" i="1"/>
  <c r="R11" i="1"/>
  <c r="N11" i="1"/>
  <c r="J11" i="1"/>
  <c r="F11" i="1"/>
  <c r="R10" i="1"/>
  <c r="N10" i="1"/>
  <c r="J10" i="1"/>
  <c r="F10" i="1"/>
  <c r="R9" i="1"/>
  <c r="N9" i="1"/>
  <c r="J9" i="1"/>
  <c r="F9" i="1"/>
  <c r="R8" i="1"/>
  <c r="N8" i="1"/>
  <c r="J8" i="1"/>
  <c r="F8" i="1"/>
  <c r="R7" i="1"/>
  <c r="N7" i="1"/>
  <c r="J7" i="1"/>
  <c r="F7" i="1"/>
  <c r="R6" i="1"/>
  <c r="N6" i="1"/>
  <c r="J6" i="1"/>
  <c r="F6" i="1"/>
  <c r="H50" i="6" l="1"/>
  <c r="H11" i="6"/>
  <c r="I50" i="6"/>
  <c r="I11" i="6"/>
  <c r="I12" i="6" s="1"/>
  <c r="J50" i="6"/>
  <c r="J11" i="6"/>
  <c r="J12" i="6" s="1"/>
  <c r="G51" i="6"/>
  <c r="G53" i="6" s="1"/>
  <c r="G15" i="6"/>
  <c r="H51" i="6"/>
  <c r="H53" i="6" s="1"/>
  <c r="H15" i="6"/>
  <c r="I51" i="6"/>
  <c r="I53" i="6" s="1"/>
  <c r="I15" i="6"/>
  <c r="J51" i="6"/>
  <c r="J53" i="6" s="1"/>
  <c r="J15" i="6"/>
  <c r="G54" i="6"/>
  <c r="G18" i="6"/>
  <c r="H54" i="6"/>
  <c r="H18" i="6"/>
  <c r="I54" i="6"/>
  <c r="I18" i="6"/>
  <c r="J54" i="6"/>
  <c r="J18" i="6"/>
  <c r="G34" i="6"/>
  <c r="H55" i="6"/>
  <c r="H40" i="6"/>
  <c r="H34" i="6"/>
  <c r="I55" i="6"/>
  <c r="I40" i="6"/>
  <c r="I34" i="6"/>
  <c r="J55" i="6"/>
  <c r="J40" i="6"/>
  <c r="J34" i="6"/>
  <c r="G35" i="6"/>
  <c r="H56" i="6"/>
  <c r="H41" i="6"/>
  <c r="H35" i="6"/>
  <c r="I56" i="6"/>
  <c r="I41" i="6"/>
  <c r="I35" i="6"/>
  <c r="J56" i="6"/>
  <c r="J41" i="6"/>
  <c r="J35" i="6"/>
  <c r="G36" i="6"/>
  <c r="H57" i="6"/>
  <c r="H42" i="6"/>
  <c r="H36" i="6"/>
  <c r="I57" i="6"/>
  <c r="I42" i="6"/>
  <c r="I36" i="6"/>
  <c r="J57" i="6"/>
  <c r="J42" i="6"/>
  <c r="J36" i="6"/>
  <c r="G37" i="6"/>
  <c r="H58" i="6"/>
  <c r="H43" i="6"/>
  <c r="H37" i="6"/>
  <c r="I58" i="6"/>
  <c r="I43" i="6"/>
  <c r="I37" i="6"/>
  <c r="J58" i="6"/>
  <c r="J43" i="6"/>
  <c r="J37" i="6"/>
  <c r="G38" i="6"/>
  <c r="H59" i="6"/>
  <c r="H44" i="6"/>
  <c r="H38" i="6"/>
  <c r="I59" i="6"/>
  <c r="I44" i="6"/>
  <c r="I38" i="6"/>
  <c r="J59" i="6"/>
  <c r="J44" i="6"/>
  <c r="J38" i="6"/>
  <c r="G39" i="6"/>
  <c r="H60" i="6"/>
  <c r="H45" i="6"/>
  <c r="H39" i="6"/>
  <c r="I60" i="6"/>
  <c r="I45" i="6"/>
  <c r="I39" i="6"/>
  <c r="J60" i="6"/>
  <c r="J45" i="6"/>
  <c r="J39" i="6"/>
  <c r="I102" i="6"/>
  <c r="I103" i="6" s="1"/>
  <c r="K49" i="6" s="1"/>
  <c r="L49" i="6" s="1"/>
  <c r="M49" i="6" s="1"/>
  <c r="N49" i="6" s="1"/>
  <c r="O49" i="6" s="1"/>
  <c r="K69" i="6"/>
  <c r="L48" i="6"/>
  <c r="S52" i="6"/>
  <c r="R52" i="6"/>
  <c r="X15" i="6" s="1"/>
  <c r="AA15" i="6" s="1"/>
  <c r="Q52" i="6"/>
  <c r="I84" i="6"/>
  <c r="R6" i="7"/>
  <c r="P6" i="7"/>
  <c r="O6" i="7"/>
  <c r="N17" i="7"/>
  <c r="N16" i="7"/>
  <c r="N15" i="7"/>
  <c r="E46" i="7" s="1"/>
  <c r="E8" i="9" s="1"/>
  <c r="N14" i="7"/>
  <c r="C46" i="7" s="1"/>
  <c r="C8" i="9" s="1"/>
  <c r="N13" i="7"/>
  <c r="D46" i="7" s="1"/>
  <c r="D8" i="9" s="1"/>
  <c r="F8" i="9" s="1"/>
  <c r="N12" i="7"/>
  <c r="Q6" i="7"/>
  <c r="R7" i="7"/>
  <c r="P7" i="7"/>
  <c r="O7" i="7"/>
  <c r="R8" i="7"/>
  <c r="P8" i="7"/>
  <c r="O8" i="7"/>
  <c r="R9" i="7"/>
  <c r="P9" i="7"/>
  <c r="O9" i="7"/>
  <c r="R10" i="7"/>
  <c r="P10" i="7"/>
  <c r="O10" i="7"/>
  <c r="N32" i="7"/>
  <c r="N31" i="7"/>
  <c r="N30" i="7"/>
  <c r="E55" i="7" s="1"/>
  <c r="E13" i="9" s="1"/>
  <c r="N29" i="7"/>
  <c r="C55" i="7" s="1"/>
  <c r="C13" i="9" s="1"/>
  <c r="N28" i="7"/>
  <c r="D55" i="7" s="1"/>
  <c r="D13" i="9" s="1"/>
  <c r="F13" i="9" s="1"/>
  <c r="N27" i="7"/>
  <c r="Q21" i="7"/>
  <c r="O32" i="7"/>
  <c r="O31" i="7"/>
  <c r="O30" i="7"/>
  <c r="E56" i="7" s="1"/>
  <c r="E14" i="9" s="1"/>
  <c r="O29" i="7"/>
  <c r="C56" i="7" s="1"/>
  <c r="C14" i="9" s="1"/>
  <c r="O28" i="7"/>
  <c r="D56" i="7" s="1"/>
  <c r="D14" i="9" s="1"/>
  <c r="F14" i="9" s="1"/>
  <c r="O27" i="7"/>
  <c r="P32" i="7"/>
  <c r="P31" i="7"/>
  <c r="P30" i="7"/>
  <c r="E57" i="7" s="1"/>
  <c r="E15" i="9" s="1"/>
  <c r="P29" i="7"/>
  <c r="C57" i="7" s="1"/>
  <c r="C15" i="9" s="1"/>
  <c r="P28" i="7"/>
  <c r="D57" i="7" s="1"/>
  <c r="D15" i="9" s="1"/>
  <c r="F15" i="9" s="1"/>
  <c r="P27" i="7"/>
  <c r="R32" i="7"/>
  <c r="R31" i="7"/>
  <c r="R30" i="7"/>
  <c r="E59" i="7" s="1"/>
  <c r="E17" i="9" s="1"/>
  <c r="R29" i="7"/>
  <c r="C59" i="7" s="1"/>
  <c r="C17" i="9" s="1"/>
  <c r="R28" i="7"/>
  <c r="D59" i="7" s="1"/>
  <c r="D17" i="9" s="1"/>
  <c r="F17" i="9" s="1"/>
  <c r="R27" i="7"/>
  <c r="C14" i="8"/>
  <c r="G5" i="8"/>
  <c r="E5" i="8"/>
  <c r="G6" i="8"/>
  <c r="E6" i="8"/>
  <c r="G7" i="8"/>
  <c r="E7" i="8"/>
  <c r="G8" i="8"/>
  <c r="E8" i="8"/>
  <c r="G9" i="8"/>
  <c r="E9" i="8"/>
  <c r="G10" i="8"/>
  <c r="E10" i="8"/>
  <c r="G11" i="8"/>
  <c r="E11" i="8"/>
  <c r="G12" i="8"/>
  <c r="E12" i="8"/>
  <c r="G13" i="8"/>
  <c r="E13" i="8"/>
  <c r="G16" i="8"/>
  <c r="E16" i="8"/>
  <c r="E14" i="8" l="1"/>
  <c r="G14" i="8"/>
  <c r="I17" i="9"/>
  <c r="H17" i="9"/>
  <c r="I15" i="9"/>
  <c r="H15" i="9"/>
  <c r="I14" i="9"/>
  <c r="H14" i="9"/>
  <c r="Q32" i="7"/>
  <c r="Q31" i="7"/>
  <c r="Q30" i="7"/>
  <c r="E58" i="7" s="1"/>
  <c r="E16" i="9" s="1"/>
  <c r="Q29" i="7"/>
  <c r="C58" i="7" s="1"/>
  <c r="C16" i="9" s="1"/>
  <c r="Q28" i="7"/>
  <c r="D58" i="7" s="1"/>
  <c r="D16" i="9" s="1"/>
  <c r="F16" i="9" s="1"/>
  <c r="Q27" i="7"/>
  <c r="I13" i="9"/>
  <c r="H13" i="9"/>
  <c r="Q17" i="7"/>
  <c r="Q16" i="7"/>
  <c r="Q15" i="7"/>
  <c r="E49" i="7" s="1"/>
  <c r="E11" i="9" s="1"/>
  <c r="Q14" i="7"/>
  <c r="C49" i="7" s="1"/>
  <c r="C11" i="9" s="1"/>
  <c r="Q13" i="7"/>
  <c r="D49" i="7" s="1"/>
  <c r="D11" i="9" s="1"/>
  <c r="F11" i="9" s="1"/>
  <c r="Q12" i="7"/>
  <c r="I8" i="9"/>
  <c r="H8" i="9"/>
  <c r="O17" i="7"/>
  <c r="O16" i="7"/>
  <c r="O15" i="7"/>
  <c r="E47" i="7" s="1"/>
  <c r="E9" i="9" s="1"/>
  <c r="O14" i="7"/>
  <c r="C47" i="7" s="1"/>
  <c r="C9" i="9" s="1"/>
  <c r="O13" i="7"/>
  <c r="D47" i="7" s="1"/>
  <c r="D9" i="9" s="1"/>
  <c r="F9" i="9" s="1"/>
  <c r="O12" i="7"/>
  <c r="P17" i="7"/>
  <c r="P16" i="7"/>
  <c r="P15" i="7"/>
  <c r="E48" i="7" s="1"/>
  <c r="E10" i="9" s="1"/>
  <c r="P14" i="7"/>
  <c r="C48" i="7" s="1"/>
  <c r="C10" i="9" s="1"/>
  <c r="P13" i="7"/>
  <c r="D48" i="7" s="1"/>
  <c r="D10" i="9" s="1"/>
  <c r="F10" i="9" s="1"/>
  <c r="P12" i="7"/>
  <c r="R17" i="7"/>
  <c r="R16" i="7"/>
  <c r="R15" i="7"/>
  <c r="E50" i="7" s="1"/>
  <c r="E12" i="9" s="1"/>
  <c r="R14" i="7"/>
  <c r="C50" i="7" s="1"/>
  <c r="C12" i="9" s="1"/>
  <c r="R13" i="7"/>
  <c r="D50" i="7" s="1"/>
  <c r="D12" i="9" s="1"/>
  <c r="F12" i="9" s="1"/>
  <c r="R12" i="7"/>
  <c r="I87" i="6"/>
  <c r="I86" i="6"/>
  <c r="O52" i="6"/>
  <c r="N52" i="6"/>
  <c r="M52" i="6"/>
  <c r="L52" i="6"/>
  <c r="K52" i="6"/>
  <c r="I78" i="6" s="1"/>
  <c r="I79" i="6" s="1"/>
  <c r="L69" i="6"/>
  <c r="M48" i="6"/>
  <c r="S39" i="6"/>
  <c r="R39" i="6"/>
  <c r="Q39" i="6"/>
  <c r="AA14" i="6" s="1"/>
  <c r="S38" i="6"/>
  <c r="R38" i="6"/>
  <c r="Q38" i="6"/>
  <c r="AA12" i="6" s="1"/>
  <c r="S37" i="6"/>
  <c r="R37" i="6"/>
  <c r="Q37" i="6"/>
  <c r="AA11" i="6" s="1"/>
  <c r="S36" i="6"/>
  <c r="R36" i="6"/>
  <c r="Q36" i="6"/>
  <c r="AA10" i="6" s="1"/>
  <c r="S35" i="6"/>
  <c r="R35" i="6"/>
  <c r="Q35" i="6"/>
  <c r="AA9" i="6" s="1"/>
  <c r="S34" i="6"/>
  <c r="R34" i="6"/>
  <c r="Q34" i="6"/>
  <c r="S18" i="6"/>
  <c r="R18" i="6"/>
  <c r="AA6" i="6" s="1"/>
  <c r="K18" i="6" s="1"/>
  <c r="L18" i="6" s="1"/>
  <c r="M18" i="6" s="1"/>
  <c r="N18" i="6" s="1"/>
  <c r="O18" i="6" s="1"/>
  <c r="Q18" i="6"/>
  <c r="J61" i="6"/>
  <c r="I61" i="6"/>
  <c r="H61" i="6"/>
  <c r="S15" i="6"/>
  <c r="R15" i="6"/>
  <c r="Q15" i="6"/>
  <c r="H12" i="6"/>
  <c r="Q11" i="6"/>
  <c r="AA5" i="6" l="1"/>
  <c r="K15" i="6" s="1"/>
  <c r="AA8" i="6"/>
  <c r="R11" i="6"/>
  <c r="AA4" i="6" s="1"/>
  <c r="K11" i="6" s="1"/>
  <c r="L15" i="6"/>
  <c r="O34" i="6"/>
  <c r="N34" i="6"/>
  <c r="M34" i="6"/>
  <c r="L34" i="6"/>
  <c r="K34" i="6"/>
  <c r="O35" i="6"/>
  <c r="N35" i="6"/>
  <c r="M35" i="6"/>
  <c r="L35" i="6"/>
  <c r="K35" i="6"/>
  <c r="O36" i="6"/>
  <c r="N36" i="6"/>
  <c r="M36" i="6"/>
  <c r="L36" i="6"/>
  <c r="K36" i="6"/>
  <c r="O37" i="6"/>
  <c r="N37" i="6"/>
  <c r="M37" i="6"/>
  <c r="L37" i="6"/>
  <c r="K37" i="6"/>
  <c r="O38" i="6"/>
  <c r="N38" i="6"/>
  <c r="M38" i="6"/>
  <c r="L38" i="6"/>
  <c r="K38" i="6"/>
  <c r="O39" i="6"/>
  <c r="N39" i="6"/>
  <c r="M39" i="6"/>
  <c r="L39" i="6"/>
  <c r="K39" i="6"/>
  <c r="M69" i="6"/>
  <c r="N48" i="6"/>
  <c r="I89" i="6"/>
  <c r="I12" i="9"/>
  <c r="H12" i="9"/>
  <c r="I10" i="9"/>
  <c r="H10" i="9"/>
  <c r="I9" i="9"/>
  <c r="H9" i="9"/>
  <c r="I11" i="9"/>
  <c r="H11" i="9"/>
  <c r="I16" i="9"/>
  <c r="H16" i="9"/>
  <c r="G15" i="8"/>
  <c r="G17" i="8" s="1"/>
  <c r="G19" i="8" s="1"/>
  <c r="C18" i="9" s="1"/>
  <c r="E15" i="8"/>
  <c r="E17" i="8" s="1"/>
  <c r="E19" i="8" s="1"/>
  <c r="E18" i="9" s="1"/>
  <c r="L11" i="6" l="1"/>
  <c r="M11" i="6" s="1"/>
  <c r="N11" i="6" s="1"/>
  <c r="O11" i="6" s="1"/>
  <c r="K10" i="6"/>
  <c r="H18" i="9"/>
  <c r="I18" i="9" s="1"/>
  <c r="K100" i="6"/>
  <c r="J100" i="6"/>
  <c r="I100" i="6"/>
  <c r="I69" i="6"/>
  <c r="O62" i="6"/>
  <c r="N62" i="6"/>
  <c r="M62" i="6"/>
  <c r="L62" i="6"/>
  <c r="K62" i="6"/>
  <c r="N69" i="6"/>
  <c r="O48" i="6"/>
  <c r="O69" i="6" s="1"/>
  <c r="M15" i="6"/>
  <c r="K50" i="6"/>
  <c r="L10" i="6"/>
  <c r="K14" i="6" l="1"/>
  <c r="K51" i="6" s="1"/>
  <c r="K53" i="6" s="1"/>
  <c r="K17" i="6"/>
  <c r="K54" i="6" s="1"/>
  <c r="K32" i="6"/>
  <c r="K60" i="6" s="1"/>
  <c r="K28" i="6"/>
  <c r="K59" i="6" s="1"/>
  <c r="K27" i="6"/>
  <c r="K58" i="6" s="1"/>
  <c r="K25" i="6"/>
  <c r="K57" i="6" s="1"/>
  <c r="K24" i="6"/>
  <c r="K56" i="6" s="1"/>
  <c r="K23" i="6"/>
  <c r="K55" i="6" s="1"/>
  <c r="L50" i="6"/>
  <c r="M10" i="6"/>
  <c r="L32" i="6"/>
  <c r="L60" i="6" s="1"/>
  <c r="L28" i="6"/>
  <c r="L59" i="6" s="1"/>
  <c r="L27" i="6"/>
  <c r="L58" i="6" s="1"/>
  <c r="L25" i="6"/>
  <c r="L57" i="6" s="1"/>
  <c r="L24" i="6"/>
  <c r="L56" i="6" s="1"/>
  <c r="L23" i="6"/>
  <c r="L55" i="6" s="1"/>
  <c r="L17" i="6"/>
  <c r="L54" i="6" s="1"/>
  <c r="L14" i="6"/>
  <c r="L51" i="6" s="1"/>
  <c r="L53" i="6" s="1"/>
  <c r="L61" i="6" s="1"/>
  <c r="N15" i="6"/>
  <c r="M14" i="6"/>
  <c r="M51" i="6" s="1"/>
  <c r="M53" i="6" s="1"/>
  <c r="M17" i="6"/>
  <c r="M54" i="6" s="1"/>
  <c r="K61" i="6" l="1"/>
  <c r="O15" i="6"/>
  <c r="L70" i="6"/>
  <c r="L64" i="6"/>
  <c r="L63" i="6"/>
  <c r="M50" i="6"/>
  <c r="N10" i="6"/>
  <c r="M32" i="6"/>
  <c r="M60" i="6" s="1"/>
  <c r="M28" i="6"/>
  <c r="M59" i="6" s="1"/>
  <c r="M27" i="6"/>
  <c r="M58" i="6" s="1"/>
  <c r="M25" i="6"/>
  <c r="M57" i="6" s="1"/>
  <c r="M24" i="6"/>
  <c r="M56" i="6" s="1"/>
  <c r="M23" i="6"/>
  <c r="M55" i="6" s="1"/>
  <c r="M61" i="6" s="1"/>
  <c r="K70" i="6" l="1"/>
  <c r="K64" i="6"/>
  <c r="K63" i="6"/>
  <c r="M70" i="6"/>
  <c r="M64" i="6"/>
  <c r="M63" i="6"/>
  <c r="N50" i="6"/>
  <c r="O10" i="6"/>
  <c r="N32" i="6"/>
  <c r="N60" i="6" s="1"/>
  <c r="N28" i="6"/>
  <c r="N59" i="6" s="1"/>
  <c r="N27" i="6"/>
  <c r="N58" i="6" s="1"/>
  <c r="N25" i="6"/>
  <c r="N57" i="6" s="1"/>
  <c r="N24" i="6"/>
  <c r="N56" i="6" s="1"/>
  <c r="N23" i="6"/>
  <c r="N55" i="6" s="1"/>
  <c r="N17" i="6"/>
  <c r="N54" i="6" s="1"/>
  <c r="N14" i="6"/>
  <c r="N51" i="6" s="1"/>
  <c r="N53" i="6" s="1"/>
  <c r="N61" i="6" s="1"/>
  <c r="O14" i="6"/>
  <c r="O51" i="6" s="1"/>
  <c r="O53" i="6" s="1"/>
  <c r="O17" i="6"/>
  <c r="O54" i="6" s="1"/>
  <c r="N70" i="6" l="1"/>
  <c r="N64" i="6"/>
  <c r="N63" i="6"/>
  <c r="O50" i="6"/>
  <c r="O32" i="6"/>
  <c r="O60" i="6" s="1"/>
  <c r="O28" i="6"/>
  <c r="O59" i="6" s="1"/>
  <c r="O27" i="6"/>
  <c r="O58" i="6" s="1"/>
  <c r="O25" i="6"/>
  <c r="O57" i="6" s="1"/>
  <c r="O24" i="6"/>
  <c r="O56" i="6" s="1"/>
  <c r="O23" i="6"/>
  <c r="O55" i="6" s="1"/>
  <c r="O61" i="6" s="1"/>
  <c r="I70" i="6" s="1"/>
  <c r="I71" i="6" s="1"/>
  <c r="I72" i="6" l="1"/>
  <c r="O70" i="6"/>
  <c r="O64" i="6"/>
  <c r="O63" i="6"/>
  <c r="I64" i="6"/>
  <c r="I92" i="6" l="1"/>
  <c r="I94" i="6" s="1"/>
  <c r="I96" i="6" s="1"/>
  <c r="D7" i="9" l="1"/>
  <c r="F7" i="9" s="1"/>
  <c r="I97" i="6"/>
  <c r="K101" i="6"/>
  <c r="C7" i="9"/>
  <c r="I101" i="6"/>
  <c r="E7" i="9"/>
  <c r="H7" i="9"/>
  <c r="I7" i="9"/>
  <c r="J101"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<sst xmlns="http://schemas.openxmlformats.org/spreadsheetml/2006/main" count="460" uniqueCount="278">
  <si>
    <t>AutoZone, Inc. | Income Statement (Quarterly)</t>
  </si>
  <si>
    <t>$mm except per share</t>
  </si>
  <si>
    <t>Q1 FY2023</t>
  </si>
  <si>
    <t>Q2 FY2023</t>
  </si>
  <si>
    <t>Q3 FY2023</t>
  </si>
  <si>
    <t>Q4 FY2023</t>
  </si>
  <si>
    <t>Q1 FY2024</t>
  </si>
  <si>
    <t>Q2 FY2024</t>
  </si>
  <si>
    <t>Q3 FY2024</t>
  </si>
  <si>
    <t>Q4 FY2024</t>
  </si>
  <si>
    <t>Q1 FY2025</t>
  </si>
  <si>
    <t>Q2 FY2025</t>
  </si>
  <si>
    <t>Q3 FY2025</t>
  </si>
  <si>
    <t>Q4 FY2025</t>
  </si>
  <si>
    <t>Q1 FY2026</t>
  </si>
  <si>
    <t>Q2 FY2026</t>
  </si>
  <si>
    <t>Q3 FY2026</t>
  </si>
  <si>
    <t>Q4 FY2026</t>
  </si>
  <si>
    <t>Net sales</t>
  </si>
  <si>
    <t>Cost of sales, including warehouse and delivery expenses</t>
  </si>
  <si>
    <t>Gross profit</t>
  </si>
  <si>
    <t>Operating, selling, general and administrative expenses</t>
  </si>
  <si>
    <t>Operating profit</t>
  </si>
  <si>
    <t>Interest expense, net</t>
  </si>
  <si>
    <t>Income before income taxes</t>
  </si>
  <si>
    <t>Income tax expense</t>
  </si>
  <si>
    <t>Net income</t>
  </si>
  <si>
    <t>Weighted average shares for basic earnings per share</t>
  </si>
  <si>
    <t>Weighted average shares for diluted earnings per share</t>
  </si>
  <si>
    <t>Basic earnings per share</t>
  </si>
  <si>
    <t>Diluted earnings per share</t>
  </si>
  <si>
    <t>AutoZone, Inc. | Income Statement (Annual)</t>
  </si>
  <si>
    <t>FY2023</t>
  </si>
  <si>
    <t>FY2024</t>
  </si>
  <si>
    <t>FY2025</t>
  </si>
  <si>
    <t>TTM Q3 FY2026</t>
  </si>
  <si>
    <t>AutoZone, Inc. | Balance Sheet (Annual)</t>
  </si>
  <si>
    <t>Cash and cash equivalents</t>
  </si>
  <si>
    <t>Accounts receivable</t>
  </si>
  <si>
    <t>Merchandise inventories</t>
  </si>
  <si>
    <t>Other current assets</t>
  </si>
  <si>
    <t>Total current assets</t>
  </si>
  <si>
    <t>Property and equipment, net</t>
  </si>
  <si>
    <t>Operating lease right-of-use assets</t>
  </si>
  <si>
    <t>Goodwill</t>
  </si>
  <si>
    <t>Deferred income taxes (asset)</t>
  </si>
  <si>
    <t>Other long-term assets</t>
  </si>
  <si>
    <t>Total long-term assets</t>
  </si>
  <si>
    <t>Total assets</t>
  </si>
  <si>
    <t>Accounts payable</t>
  </si>
  <si>
    <t>Current portion of operating lease liabilities</t>
  </si>
  <si>
    <t>Accrued expenses and other</t>
  </si>
  <si>
    <t>Income taxes payable</t>
  </si>
  <si>
    <t>Total current liabilities</t>
  </si>
  <si>
    <t>Long-term debt</t>
  </si>
  <si>
    <t>Operating lease liabilities, less current portion</t>
  </si>
  <si>
    <t>Deferred income taxes (liability)</t>
  </si>
  <si>
    <t>Other long-term liabilities</t>
  </si>
  <si>
    <t>Common stock</t>
  </si>
  <si>
    <t>Additional paid-in capital</t>
  </si>
  <si>
    <t>Retained deficit</t>
  </si>
  <si>
    <t>Accumulated other comprehensive loss</t>
  </si>
  <si>
    <t>Treasury stock, at cost</t>
  </si>
  <si>
    <t>Total stockholders' deficit</t>
  </si>
  <si>
    <t>Total liabilities and stockholders' deficit</t>
  </si>
  <si>
    <t>AutoZone, Inc. | Cash Flow Statement (Quarterly)</t>
  </si>
  <si>
    <t>Depreciation and amortization of property and equipment</t>
  </si>
  <si>
    <t>Other non-cash charges (income)</t>
  </si>
  <si>
    <t>Amortization of debt origination fees</t>
  </si>
  <si>
    <t>Deferred income taxes</t>
  </si>
  <si>
    <t>Share-based compensation expense</t>
  </si>
  <si>
    <t>Accounts payable and accrued expenses</t>
  </si>
  <si>
    <t>Income taxes</t>
  </si>
  <si>
    <t>Other, net (operating)</t>
  </si>
  <si>
    <t>Net cash provided by operating activities</t>
  </si>
  <si>
    <t>Capital expenditures</t>
  </si>
  <si>
    <t>Purchase of marketable debt securities</t>
  </si>
  <si>
    <t>Proceeds from sale of marketable debt securities</t>
  </si>
  <si>
    <t>Investment in tax credit equity investments</t>
  </si>
  <si>
    <t>Other, net (investing)</t>
  </si>
  <si>
    <t>Net cash used in investing activities</t>
  </si>
  <si>
    <t>Net proceeds from (payments of) commercial paper</t>
  </si>
  <si>
    <t>Proceeds from issuance of debt</t>
  </si>
  <si>
    <t>Repayment of debt</t>
  </si>
  <si>
    <t>Net proceeds from sale of common stock</t>
  </si>
  <si>
    <t>Purchase of treasury stock</t>
  </si>
  <si>
    <t>Repayment of principal portion of finance lease liabilities</t>
  </si>
  <si>
    <t>Other, net (financing)</t>
  </si>
  <si>
    <t>Net cash used in financing activities</t>
  </si>
  <si>
    <t>Effect of exchange rate changes on cash</t>
  </si>
  <si>
    <t>Net increase (decrease) in cash and cash equivalents</t>
  </si>
  <si>
    <t>Cash and cash equivalents at beginning of period</t>
  </si>
  <si>
    <t>Cash and cash equivalents at end of period</t>
  </si>
  <si>
    <t>Year to Date, as Reported</t>
  </si>
  <si>
    <t>3M FY2023</t>
  </si>
  <si>
    <t>6M FY2023</t>
  </si>
  <si>
    <t>9M FY2023</t>
  </si>
  <si>
    <t>3M FY2024</t>
  </si>
  <si>
    <t>6M FY2024</t>
  </si>
  <si>
    <t>9M FY2024</t>
  </si>
  <si>
    <t>3M FY2025</t>
  </si>
  <si>
    <t>6M FY2025</t>
  </si>
  <si>
    <t>9M FY2025</t>
  </si>
  <si>
    <t>3M TTM Q3 FY2026</t>
  </si>
  <si>
    <t>6M TTM Q3 FY2026</t>
  </si>
  <si>
    <t>9M TTM Q3 FY2026</t>
  </si>
  <si>
    <t>AutoZone, Inc. | Cash Flow Statement (Annual)</t>
  </si>
  <si>
    <t>Interest paid, net of interest cost capitalized</t>
  </si>
  <si>
    <t>Income taxes paid</t>
  </si>
  <si>
    <t>Leased assets obtained in exchange for new finance lease liabilities</t>
  </si>
  <si>
    <t>Leased assets obtained in exchange for new operating lease liabilities</t>
  </si>
  <si>
    <t>Valuation Date:</t>
  </si>
  <si>
    <t>Share Price on Valuation Date:</t>
  </si>
  <si>
    <t>Diluted Shares Outstanding</t>
  </si>
  <si>
    <t>mm</t>
  </si>
  <si>
    <t>Scenario:</t>
  </si>
  <si>
    <t>Base</t>
  </si>
  <si>
    <t>Select Operating Data</t>
  </si>
  <si>
    <t>Projected Annual Forecast</t>
  </si>
  <si>
    <t>Revenue</t>
  </si>
  <si>
    <t>Arithmetic Avg</t>
  </si>
  <si>
    <t>Geometric Avg</t>
  </si>
  <si>
    <t>Harmean</t>
  </si>
  <si>
    <t>Revenue Growth Rate (%)</t>
  </si>
  <si>
    <t>Revenue Growth Rate (%) +1</t>
  </si>
  <si>
    <t>EBIT</t>
  </si>
  <si>
    <t>EBIT Margin (%)</t>
  </si>
  <si>
    <t xml:space="preserve">Depreciation &amp; Amortization </t>
  </si>
  <si>
    <t>D&amp;A as a % of revenue</t>
  </si>
  <si>
    <t>Select Balance Sheet And Other Data</t>
  </si>
  <si>
    <t>Accounts Receivable</t>
  </si>
  <si>
    <t>Inventories</t>
  </si>
  <si>
    <t>Prepaid Expenses</t>
  </si>
  <si>
    <t>Accounts Payable and Accruals</t>
  </si>
  <si>
    <t>Accrued Expenses</t>
  </si>
  <si>
    <t>Debt</t>
  </si>
  <si>
    <t>Capital Expenditures</t>
  </si>
  <si>
    <t>Accounts Receivable as a % of revenue</t>
  </si>
  <si>
    <t>Inventories as a % of revenue</t>
  </si>
  <si>
    <t>Prepaid Expenses as a % of revenue</t>
  </si>
  <si>
    <t>Accounts Payable/Accruals as a % of revenue</t>
  </si>
  <si>
    <t>Accrued Expenses as a % of revenue</t>
  </si>
  <si>
    <t>Capital Expenditures as a % of revenue</t>
  </si>
  <si>
    <t>Accounts Receivable Growth (%)</t>
  </si>
  <si>
    <t>Inventories Growth (%)</t>
  </si>
  <si>
    <t>Prepaid Expenses Growth (%)</t>
  </si>
  <si>
    <t>Accounts Payable/Accruals Growth (%)</t>
  </si>
  <si>
    <t>Accrued Expenses Growth (%)</t>
  </si>
  <si>
    <t>Capital Expenditures Growth (%)</t>
  </si>
  <si>
    <t>Free Cash Flow Buildup</t>
  </si>
  <si>
    <t>$mm</t>
  </si>
  <si>
    <t>Period</t>
  </si>
  <si>
    <t>Total Revenues</t>
  </si>
  <si>
    <t>Effective Tax rate</t>
  </si>
  <si>
    <t>EBIAT = EBIT(1-T) = NOPAT</t>
  </si>
  <si>
    <t>Depreciation &amp; Amortization</t>
  </si>
  <si>
    <t>Chg in Accounts receivable</t>
  </si>
  <si>
    <t>Chg in Inventories</t>
  </si>
  <si>
    <t>Chg in Prepaid expenses</t>
  </si>
  <si>
    <t>Chg in Accounts payable</t>
  </si>
  <si>
    <t>Chg in Accrued expenses</t>
  </si>
  <si>
    <t>Unlevered free cash flows</t>
  </si>
  <si>
    <t>Discount Rate (WACC)</t>
  </si>
  <si>
    <t>Present value of free cash flows</t>
  </si>
  <si>
    <t>Sum of present values of FCFs</t>
  </si>
  <si>
    <t>Terminal Value</t>
  </si>
  <si>
    <t>Growth in perpetuity method:</t>
  </si>
  <si>
    <t>Long term growth rate</t>
  </si>
  <si>
    <t>Unlevered Free Cash Flow Growth Rates</t>
  </si>
  <si>
    <t>WACC</t>
  </si>
  <si>
    <t>Free cash flow (t+1)</t>
  </si>
  <si>
    <t>Present Value of Terminal Value</t>
  </si>
  <si>
    <t>Share Price</t>
  </si>
  <si>
    <t>Cost of Debt</t>
  </si>
  <si>
    <t>Market Risk Premium</t>
  </si>
  <si>
    <t>Tax Rate</t>
  </si>
  <si>
    <t>Risk-Free Rate</t>
  </si>
  <si>
    <t>After-tax Cost of Debt</t>
  </si>
  <si>
    <t>Beta</t>
  </si>
  <si>
    <t>Cost of Equity</t>
  </si>
  <si>
    <t>CAPM</t>
  </si>
  <si>
    <t>Total Debt ($)</t>
  </si>
  <si>
    <t>Total Equity ($)</t>
  </si>
  <si>
    <t>Total Capital</t>
  </si>
  <si>
    <t>Debt Weighting</t>
  </si>
  <si>
    <t>Equity Weighting</t>
  </si>
  <si>
    <t>WACC =</t>
  </si>
  <si>
    <t>Enterprise Value to Equity Value</t>
  </si>
  <si>
    <t>Enterprise Value</t>
  </si>
  <si>
    <t>Less: Net debt</t>
  </si>
  <si>
    <t>ST Debt</t>
  </si>
  <si>
    <t>Equity Value</t>
  </si>
  <si>
    <t>LT Debt</t>
  </si>
  <si>
    <t>Cash</t>
  </si>
  <si>
    <t>Equity Value Per Share</t>
  </si>
  <si>
    <t>Upside</t>
  </si>
  <si>
    <t>WACC Sensitivity</t>
  </si>
  <si>
    <t>Next Fiscal Year-End (after last modeled year):</t>
  </si>
  <si>
    <t>Stub Period to Next FY-End (fraction of year):</t>
  </si>
  <si>
    <t>Scenario Assumptions</t>
  </si>
  <si>
    <t>Bear</t>
  </si>
  <si>
    <t>Bull</t>
  </si>
  <si>
    <t>Selected</t>
  </si>
  <si>
    <t>D&amp;A as a % of Revenue</t>
  </si>
  <si>
    <t>Accounts Receivable as a % of Revenue</t>
  </si>
  <si>
    <t>Inventories as a % of Revenue</t>
  </si>
  <si>
    <t>Prepaid Expenses as a % of Revenue</t>
  </si>
  <si>
    <t>Accounts Payable/Accruals as a % of Revenue</t>
  </si>
  <si>
    <t>Accrued Expenses as a % of Revenue</t>
  </si>
  <si>
    <t>Capital Expenditures as a % of Revenue</t>
  </si>
  <si>
    <t>Effective Tax Rate (%)</t>
  </si>
  <si>
    <t>Long-Term (Terminal) Growth Rate (%)</t>
  </si>
  <si>
    <t>AutoZone, Inc. | Comparable Companies and Precedent Transactions</t>
  </si>
  <si>
    <t>$mm except per share; blue cells on yellow are inputs</t>
  </si>
  <si>
    <t>Trading Comparables</t>
  </si>
  <si>
    <t>Company</t>
  </si>
  <si>
    <t>Ticker</t>
  </si>
  <si>
    <t>Diluted Shares (mm)</t>
  </si>
  <si>
    <t>Market Cap</t>
  </si>
  <si>
    <t>Net Debt</t>
  </si>
  <si>
    <t>EPS (LTM)</t>
  </si>
  <si>
    <t>EPS Growth (%)</t>
  </si>
  <si>
    <t>EBITDA (LTM)</t>
  </si>
  <si>
    <t>EBIT (LTM)</t>
  </si>
  <si>
    <t>EBITDAR (TTM)</t>
  </si>
  <si>
    <t>P/E</t>
  </si>
  <si>
    <t>EV/EBITDA</t>
  </si>
  <si>
    <t>EV/EBIT</t>
  </si>
  <si>
    <t>PEG</t>
  </si>
  <si>
    <t>EV/EBITDAR</t>
  </si>
  <si>
    <t>Mean</t>
  </si>
  <si>
    <t>Median</t>
  </si>
  <si>
    <t>25th Percentile</t>
  </si>
  <si>
    <t>75th Percentile</t>
  </si>
  <si>
    <t>High</t>
  </si>
  <si>
    <t>Low</t>
  </si>
  <si>
    <t>Precedent Transactions</t>
  </si>
  <si>
    <t>Target</t>
  </si>
  <si>
    <t>Acquirer</t>
  </si>
  <si>
    <t>Date Announced</t>
  </si>
  <si>
    <t>Net Income (LTM)</t>
  </si>
  <si>
    <t>Net Income Growth (%)</t>
  </si>
  <si>
    <t>AutoZone, Inc. Metrics (TTM Q3 FY2026)</t>
  </si>
  <si>
    <t>EPS (Diluted)</t>
  </si>
  <si>
    <t>EBITDA</t>
  </si>
  <si>
    <t>Implied Value Per Share: Trading Comps</t>
  </si>
  <si>
    <t>Multiple</t>
  </si>
  <si>
    <t>Implied Value Per Share: Precedent Transactions</t>
  </si>
  <si>
    <t>AutoZone, Inc. | Liquidation Value (TTM Q3 FY2026 Balance Sheet)</t>
  </si>
  <si>
    <t>Asset</t>
  </si>
  <si>
    <t>Book Value</t>
  </si>
  <si>
    <t>Orderly Recovery</t>
  </si>
  <si>
    <t>Orderly Value</t>
  </si>
  <si>
    <t>Fire Sale Recovery</t>
  </si>
  <si>
    <t>Fire Sale Value</t>
  </si>
  <si>
    <t>Gross Proceeds</t>
  </si>
  <si>
    <t>Less: Wind-Down Costs</t>
  </si>
  <si>
    <t>Less: Total Liabilities</t>
  </si>
  <si>
    <t>Net Liquidation Value</t>
  </si>
  <si>
    <t>Liquidation Value Per Share</t>
  </si>
  <si>
    <t>AutoZone, Inc. | Valuation Summary</t>
  </si>
  <si>
    <t>$ per share</t>
  </si>
  <si>
    <t>Current Share Price</t>
  </si>
  <si>
    <t>Method</t>
  </si>
  <si>
    <t>Base vs. Price</t>
  </si>
  <si>
    <t>DCF (WACC +/- 1%)</t>
  </si>
  <si>
    <t>Trading Comps: P/E</t>
  </si>
  <si>
    <t>Trading Comps: EV/EBITDA</t>
  </si>
  <si>
    <t>Trading Comps: EV/EBIT</t>
  </si>
  <si>
    <t>Trading Comps: PEG</t>
  </si>
  <si>
    <t>Trading Comps: EV/EBITDAR</t>
  </si>
  <si>
    <t>Precedent Transactions: P/E</t>
  </si>
  <si>
    <t>Precedent Transactions: EV/EBITDA</t>
  </si>
  <si>
    <t>Precedent Transactions: EV/EBIT</t>
  </si>
  <si>
    <t>Precedent Transactions: PEG</t>
  </si>
  <si>
    <t>Precedent Transactions: EV/EBITDAR</t>
  </si>
  <si>
    <t>Liquidation (Fire Sale to Orderly)</t>
  </si>
  <si>
    <t>FY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</si>
</sst>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0.0_);\(#,##0.0\);\-_)"/>
    <numFmt numFmtId="165" formatCode="\$#,##0.00_);&quot;($&quot;#,##0.00\);\-_)"/>
    <numFmt numFmtId="166" formatCode="\$#,##0.00"/>
    <numFmt numFmtId="167" formatCode="yyyy\A"/>
    <numFmt numFmtId="168" formatCode="yyyy\P"/>
    <numFmt numFmtId="169" formatCode="\$#,##0.0"/>
    <numFmt numFmtId="170" formatCode="\$#,##0.0_);&quot;($&quot;#,##0.0\)"/>
    <numFmt numFmtId="171" formatCode="\$#,##0.0_);&quot;($&quot;#,##0.0\);@_)"/>
    <numFmt numFmtId="172" formatCode="0.0%_);\(0.0%\);@_)"/>
    <numFmt numFmtId="173" formatCode="\$#,##0.00_);&quot;($&quot;#,##0.00\)"/>
    <numFmt numFmtId="174" formatCode="0.0%_);\(0.0%\);\-_)"/>
    <numFmt numFmtId="175" formatCode="0.0"/>
    <numFmt numFmtId="176" formatCode="#,##0.0_);\(#,##0.0\);\-_);@_)"/>
    <numFmt numFmtId="177" formatCode="0.0%"/>
    <numFmt numFmtId="178" formatCode="#,##0.0_);\(#,##0.0\)"/>
    <numFmt numFmtId="179" formatCode="#,##0.0_);\(#,##0.0\);@_)"/>
    <numFmt numFmtId="180" formatCode="0.000%"/>
    <numFmt numFmtId="181" formatCode="_(\$* #,##0.0_);_(\$* \(#,##0.0\);_(\$* \-??_);_(@_)"/>
    <numFmt numFmtId="182" formatCode="yyyy"/>
    <numFmt numFmtId="183" formatCode="_(* #,##0.0_);_(* \(#,##0.0\);_(* \-?_);_(@_)"/>
    <numFmt numFmtId="184" formatCode="_(\$* #,##0.00_);_(\$* \(#,##0.00\);_(\$* \-??_);_(@_)"/>
    <numFmt numFmtId="185" formatCode="0.0\x"/>
    <numFmt numFmtId="186" formatCode="0.00\x"/>
  </numFmts>
  <fonts count="27" x14ac:knownFonts="1">
    <font>
      <sz val="10"/>
      <color rgb="FF000000"/>
      <name val="Calibri"/>
      <charset val="1"/>
    </font>
    <font>
      <b/>
      <sz val="14"/>
      <color rgb="FF000000"/>
      <name val="Calibri"/>
      <family val="2"/>
    </font>
    <font>
      <i/>
      <sz val="11"/>
      <color rgb="FF000000"/>
      <name val="Calibri"/>
      <family val="2"/>
    </font>
    <font>
      <b/>
      <sz val="11"/>
      <color rgb="FF000000"/>
      <name val="Calibri"/>
      <family val="2"/>
    </font>
    <font>
      <b/>
      <sz val="11"/>
      <color rgb="FF0000FF"/>
      <name val="Calibri"/>
      <family val="2"/>
    </font>
    <font>
      <b/>
      <sz val="11"/>
      <color rgb="FF008000"/>
      <name val="Calibri"/>
      <family val="2"/>
    </font>
    <font>
      <sz val="11"/>
      <color rgb="FF000000"/>
      <name val="Calibri"/>
      <family val="2"/>
    </font>
    <font>
      <sz val="11"/>
      <color rgb="FF0000FF"/>
      <name val="Calibri"/>
      <family val="2"/>
    </font>
    <font>
      <sz val="11"/>
      <color rgb="FF008000"/>
      <name val="Calibri"/>
      <family val="2"/>
    </font>
    <font>
      <b/>
      <sz val="15"/>
      <color theme="1"/>
      <name val="Calibri"/>
      <family val="2"/>
      <charset val="1"/>
    </font>
    <font>
      <sz val="18"/>
      <color theme="1"/>
      <name val="Calibri"/>
      <family val="2"/>
      <charset val="1"/>
    </font>
    <font>
      <b/>
      <sz val="10"/>
      <color rgb="FF000000"/>
      <name val="Calibri"/>
      <family val="2"/>
      <charset val="1"/>
    </font>
    <font>
      <sz val="11"/>
      <color theme="1"/>
      <name val="Calibri"/>
      <family val="2"/>
      <charset val="1"/>
    </font>
    <font>
      <sz val="11"/>
      <color rgb="FF000000"/>
      <name val="Calibri"/>
      <family val="2"/>
      <charset val="1"/>
    </font>
    <font>
      <sz val="14"/>
      <name val="Calibri"/>
      <family val="2"/>
      <charset val="1"/>
    </font>
    <font>
      <sz val="14"/>
      <color rgb="FF000000"/>
      <name val="Aptos Narrow"/>
      <family val="2"/>
    </font>
    <font>
      <b/>
      <sz val="11"/>
      <color theme="1"/>
      <name val="Calibri"/>
      <family val="2"/>
      <charset val="1"/>
    </font>
    <font>
      <b/>
      <sz val="11"/>
      <color rgb="FF000000"/>
      <name val="Calibri"/>
      <family val="2"/>
      <charset val="1"/>
    </font>
    <font>
      <sz val="11"/>
      <color rgb="FF0000FF"/>
      <name val="Calibri"/>
      <family val="2"/>
      <charset val="1"/>
    </font>
    <font>
      <i/>
      <sz val="11"/>
      <color rgb="FF000000"/>
      <name val="Calibri"/>
      <family val="2"/>
      <charset val="1"/>
    </font>
    <font>
      <sz val="11"/>
      <color rgb="FF008000"/>
      <name val="Calibri"/>
      <family val="2"/>
      <charset val="1"/>
    </font>
    <font>
      <sz val="10"/>
      <color theme="1"/>
      <name val="Calibri"/>
      <family val="2"/>
      <charset val="1"/>
    </font>
    <font>
      <i/>
      <sz val="11"/>
      <color theme="1"/>
      <name val="Calibri"/>
      <family val="2"/>
      <charset val="1"/>
    </font>
    <font>
      <b/>
      <i/>
      <sz val="11"/>
      <color rgb="FF000000"/>
      <name val="Calibri"/>
      <family val="2"/>
      <charset val="1"/>
    </font>
    <font>
      <b/>
      <i/>
      <sz val="11"/>
      <color theme="1"/>
      <name val="Calibri"/>
      <family val="2"/>
      <charset val="1"/>
    </font>
    <font>
      <sz val="11"/>
      <color theme="1"/>
      <name val="Arial"/>
      <family val="2"/>
      <charset val="1"/>
    </font>
    <font>
      <sz val="10"/>
      <color theme="1"/>
      <name val="Arial"/>
      <family val="2"/>
      <charset val="1"/>
    </font>
  </fonts>
  <fills count="5">
    <fill>
      <patternFill patternType="none"/>
    </fill>
    <fill>
      <patternFill patternType="gray125"/>
    </fill>
    <fill>
      <patternFill patternType="solid">
        <fgColor rgb="FFC0E6F5"/>
        <bgColor rgb="FFD9D9D9"/>
      </patternFill>
    </fill>
    <fill>
      <patternFill patternType="solid">
        <fgColor rgb="FFFFFFCC"/>
        <bgColor rgb="FFFFFFFF"/>
      </patternFill>
    </fill>
    <fill>
      <patternFill patternType="solid">
        <fgColor rgb="FFFFFFFF"/>
        <bgColor rgb="FFFFFFCC"/>
      </patternFill>
    </fill>
  </fills>
  <borders count="14">
    <border>
      <left/>
      <right/>
      <top/>
      <bottom/>
      <diagonal/>
    </border>
    <border>
      <left/>
      <right/>
      <top/>
      <bottom style="thin">
        <color rgb="FF808080"/>
      </bottom>
      <diagonal/>
    </border>
    <border>
      <left/>
      <right/>
      <top style="thin">
        <color rgb="FF808080"/>
      </top>
      <bottom/>
      <diagonal/>
    </border>
    <border>
      <left/>
      <right/>
      <top/>
      <bottom style="thin">
        <color auto="1"/>
      </bottom>
      <diagonal/>
    </border>
    <border>
      <left/>
      <right/>
      <top/>
      <bottom style="medium">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90">
    <xf numFmtId="0" fontId="0" fillId="0" borderId="0" xfId="0"/>
    <xf numFmtId="0" fontId="0" fillId="0" borderId="0" xfId="0" applyAlignment="1"/>
    <xf numFmtId="0" fontId="1" fillId="0" borderId="0" xfId="0" applyFont="1" applyAlignment="1"/>
    <xf numFmtId="0" fontId="2" fillId="0" borderId="0" xfId="0" applyFont="1" applyAlignment="1"/>
    <xf numFmtId="0" fontId="3" fillId="2" borderId="1" xfId="0" applyFont="1" applyFill="1" applyBorder="1" applyAlignment="1"/>
    <xf numFmtId="0" fontId="3" fillId="2" borderId="1" xfId="0" applyFont="1" applyFill="1" applyBorder="1" applyAlignment="1">
      <alignment horizontal="right"/>
    </xf>
    <xf numFmtId="0" fontId="3" fillId="0" borderId="0" xfId="0" applyFont="1" applyAlignment="1"/>
    <xf numFmtId="164" fontId="4" fillId="0" borderId="2" xfId="0" applyNumberFormat="1" applyFont="1" applyBorder="1" applyAlignment="1"/>
    <xf numFmtId="164" fontId="5" fillId="0" borderId="2" xfId="0" applyNumberFormat="1" applyFont="1" applyBorder="1" applyAlignment="1"/>
    <xf numFmtId="0" fontId="6" fillId="0" borderId="0" xfId="0" applyFont="1" applyAlignment="1"/>
    <xf numFmtId="164" fontId="7" fillId="0" borderId="0" xfId="0" applyNumberFormat="1" applyFont="1" applyAlignment="1"/>
    <xf numFmtId="164" fontId="8" fillId="0" borderId="0" xfId="0" applyNumberFormat="1" applyFont="1" applyAlignment="1"/>
    <xf numFmtId="165" fontId="7" fillId="0" borderId="0" xfId="0" applyNumberFormat="1" applyFont="1" applyAlignment="1"/>
    <xf numFmtId="14" fontId="6" fillId="0" borderId="0" xfId="0" applyNumberFormat="1" applyFont="1" applyAlignment="1">
      <alignment horizontal="right"/>
    </xf>
    <xf numFmtId="164" fontId="3" fillId="0" borderId="2" xfId="0" applyNumberFormat="1" applyFont="1" applyBorder="1" applyAlignment="1"/>
    <xf numFmtId="164" fontId="6" fillId="0" borderId="0" xfId="0" applyNumberFormat="1" applyFont="1" applyAlignment="1"/>
    <xf numFmtId="164" fontId="4" fillId="0" borderId="0" xfId="0" applyNumberFormat="1" applyFont="1" applyAlignment="1"/>
    <xf numFmtId="0" fontId="9" fillId="0" borderId="0" xfId="0" applyFont="1" applyAlignment="1"/>
    <xf numFmtId="0" fontId="3" fillId="0" borderId="3" xfId="0" applyFont="1" applyBorder="1" applyAlignment="1"/>
    <xf numFmtId="0" fontId="0" fillId="0" borderId="3" xfId="0" applyBorder="1" applyAlignment="1"/>
    <xf numFmtId="0" fontId="10" fillId="0" borderId="3" xfId="0" applyFont="1" applyBorder="1" applyAlignment="1"/>
    <xf numFmtId="0" fontId="10" fillId="0" borderId="0" xfId="0" applyFont="1" applyAlignment="1"/>
    <xf numFmtId="0" fontId="11" fillId="0" borderId="0" xfId="0" applyFont="1" applyAlignment="1"/>
    <xf numFmtId="0" fontId="12" fillId="0" borderId="0" xfId="0" applyFont="1" applyAlignment="1">
      <alignment horizontal="left" readingOrder="1"/>
    </xf>
    <xf numFmtId="0" fontId="13" fillId="0" borderId="0" xfId="0" applyFont="1" applyAlignment="1">
      <alignment horizontal="left" vertical="top" readingOrder="1"/>
    </xf>
    <xf numFmtId="15" fontId="13" fillId="0" borderId="0" xfId="0" applyNumberFormat="1" applyFont="1" applyAlignment="1">
      <alignment horizontal="right" vertical="top" readingOrder="1"/>
    </xf>
    <xf numFmtId="14" fontId="7" fillId="3" borderId="0" xfId="0" applyNumberFormat="1" applyFont="1" applyFill="1" applyAlignment="1">
      <alignment horizontal="right" vertical="top" readingOrder="1"/>
    </xf>
    <xf numFmtId="166" fontId="7" fillId="3" borderId="0" xfId="0" applyNumberFormat="1" applyFont="1" applyFill="1" applyAlignment="1">
      <alignment horizontal="right" vertical="top" readingOrder="1"/>
    </xf>
    <xf numFmtId="164" fontId="7" fillId="3" borderId="0" xfId="0" applyNumberFormat="1" applyFont="1" applyFill="1" applyAlignment="1">
      <alignment horizontal="right" vertical="top" readingOrder="1"/>
    </xf>
    <xf numFmtId="0" fontId="6" fillId="0" borderId="0" xfId="0" applyFont="1" applyAlignment="1">
      <alignment horizontal="left" readingOrder="1"/>
    </xf>
    <xf numFmtId="0" fontId="3" fillId="0" borderId="0" xfId="0" applyFont="1" applyAlignment="1">
      <alignment horizontal="left" vertical="top" readingOrder="1"/>
    </xf>
    <xf numFmtId="0" fontId="14" fillId="2" borderId="0" xfId="0" applyFont="1" applyFill="1" applyAlignment="1"/>
    <xf numFmtId="0" fontId="15" fillId="2" borderId="4" xfId="0" applyFont="1" applyFill="1" applyBorder="1" applyAlignment="1"/>
    <xf numFmtId="0" fontId="16" fillId="0" borderId="0" xfId="0" applyFont="1" applyAlignment="1">
      <alignment horizontal="center"/>
    </xf>
    <xf numFmtId="0" fontId="16" fillId="0" borderId="5" xfId="0" applyFont="1" applyBorder="1" applyAlignment="1">
      <alignment horizontal="center"/>
    </xf>
    <xf numFmtId="0" fontId="16" fillId="0" borderId="6" xfId="0" applyFont="1" applyBorder="1" applyAlignment="1">
      <alignment horizontal="center"/>
    </xf>
    <xf numFmtId="167" fontId="17" fillId="0" borderId="8" xfId="0" applyNumberFormat="1" applyFont="1" applyBorder="1" applyAlignment="1"/>
    <xf numFmtId="168" fontId="17" fillId="0" borderId="8" xfId="0" applyNumberFormat="1" applyFont="1" applyBorder="1" applyAlignment="1"/>
    <xf numFmtId="10" fontId="12" fillId="0" borderId="0" xfId="0" applyNumberFormat="1" applyFont="1" applyAlignment="1">
      <alignment horizontal="left" readingOrder="1"/>
    </xf>
    <xf numFmtId="169" fontId="18" fillId="3" borderId="0" xfId="0" applyNumberFormat="1" applyFont="1" applyFill="1" applyAlignment="1">
      <alignment horizontal="right" vertical="top" readingOrder="1"/>
    </xf>
    <xf numFmtId="170" fontId="18" fillId="3" borderId="0" xfId="0" applyNumberFormat="1" applyFont="1" applyFill="1" applyAlignment="1"/>
    <xf numFmtId="170" fontId="8" fillId="0" borderId="0" xfId="0" applyNumberFormat="1" applyFont="1" applyAlignment="1"/>
    <xf numFmtId="171" fontId="8" fillId="0" borderId="0" xfId="0" applyNumberFormat="1" applyFont="1" applyAlignment="1"/>
    <xf numFmtId="171" fontId="13" fillId="0" borderId="0" xfId="0" applyNumberFormat="1" applyFont="1" applyAlignment="1">
      <alignment horizontal="left" readingOrder="1"/>
    </xf>
    <xf numFmtId="0" fontId="17" fillId="0" borderId="0" xfId="0" applyFont="1" applyAlignment="1">
      <alignment horizontal="center" readingOrder="1"/>
    </xf>
    <xf numFmtId="0" fontId="19" fillId="0" borderId="0" xfId="0" applyFont="1" applyAlignment="1">
      <alignment horizontal="left" vertical="top" readingOrder="1"/>
    </xf>
    <xf numFmtId="10" fontId="13" fillId="0" borderId="0" xfId="0" applyNumberFormat="1" applyFont="1" applyAlignment="1">
      <alignment horizontal="right" vertical="top" readingOrder="1"/>
    </xf>
    <xf numFmtId="172" fontId="8" fillId="3" borderId="0" xfId="0" applyNumberFormat="1" applyFont="1" applyFill="1" applyAlignment="1">
      <alignment horizontal="left" readingOrder="1"/>
    </xf>
    <xf numFmtId="172" fontId="18" fillId="3" borderId="0" xfId="0" applyNumberFormat="1" applyFont="1" applyFill="1" applyAlignment="1">
      <alignment horizontal="left" readingOrder="1"/>
    </xf>
    <xf numFmtId="10" fontId="13" fillId="0" borderId="0" xfId="0" applyNumberFormat="1" applyFont="1" applyAlignment="1">
      <alignment horizontal="center" readingOrder="1"/>
    </xf>
    <xf numFmtId="10" fontId="12" fillId="0" borderId="0" xfId="0" applyNumberFormat="1" applyFont="1" applyAlignment="1">
      <alignment horizontal="center" readingOrder="1"/>
    </xf>
    <xf numFmtId="10" fontId="16" fillId="0" borderId="0" xfId="0" applyNumberFormat="1" applyFont="1" applyAlignment="1">
      <alignment horizontal="center" readingOrder="1"/>
    </xf>
    <xf numFmtId="0" fontId="12" fillId="0" borderId="0" xfId="0" applyFont="1" applyAlignment="1">
      <alignment horizontal="center" readingOrder="1"/>
    </xf>
    <xf numFmtId="0" fontId="13" fillId="0" borderId="0" xfId="0" applyFont="1" applyAlignment="1">
      <alignment horizontal="right" vertical="top" readingOrder="1"/>
    </xf>
    <xf numFmtId="14" fontId="20" fillId="0" borderId="0" xfId="0" applyNumberFormat="1" applyFont="1" applyAlignment="1">
      <alignment horizontal="right" vertical="top" readingOrder="1"/>
    </xf>
    <xf numFmtId="171" fontId="18" fillId="3" borderId="0" xfId="0" applyNumberFormat="1" applyFont="1" applyFill="1" applyAlignment="1"/>
    <xf numFmtId="173" fontId="13" fillId="0" borderId="0" xfId="0" applyNumberFormat="1" applyFont="1" applyAlignment="1">
      <alignment horizontal="left" readingOrder="1"/>
    </xf>
    <xf numFmtId="174" fontId="13" fillId="0" borderId="0" xfId="0" applyNumberFormat="1" applyFont="1" applyAlignment="1">
      <alignment horizontal="right" vertical="top" readingOrder="1"/>
    </xf>
    <xf numFmtId="174" fontId="13" fillId="0" borderId="0" xfId="0" applyNumberFormat="1" applyFont="1" applyAlignment="1">
      <alignment horizontal="center" readingOrder="1"/>
    </xf>
    <xf numFmtId="0" fontId="13" fillId="0" borderId="0" xfId="0" applyFont="1" applyAlignment="1">
      <alignment horizontal="left"/>
    </xf>
    <xf numFmtId="175" fontId="18" fillId="3" borderId="0" xfId="0" applyNumberFormat="1" applyFont="1" applyFill="1" applyAlignment="1">
      <alignment horizontal="right" vertical="center"/>
    </xf>
    <xf numFmtId="171" fontId="8" fillId="0" borderId="0" xfId="0" applyNumberFormat="1" applyFont="1" applyAlignment="1">
      <alignment horizontal="right" vertical="center"/>
    </xf>
    <xf numFmtId="176" fontId="13" fillId="0" borderId="0" xfId="0" applyNumberFormat="1" applyFont="1" applyAlignment="1">
      <alignment horizontal="right" readingOrder="1"/>
    </xf>
    <xf numFmtId="176" fontId="13" fillId="0" borderId="0" xfId="0" applyNumberFormat="1" applyFont="1" applyAlignment="1">
      <alignment horizontal="right"/>
    </xf>
    <xf numFmtId="175" fontId="13" fillId="0" borderId="0" xfId="0" applyNumberFormat="1" applyFont="1" applyAlignment="1">
      <alignment horizontal="right" vertical="center"/>
    </xf>
    <xf numFmtId="176" fontId="12" fillId="0" borderId="0" xfId="0" applyNumberFormat="1" applyFont="1" applyAlignment="1">
      <alignment horizontal="left" readingOrder="1"/>
    </xf>
    <xf numFmtId="169" fontId="18" fillId="3" borderId="0" xfId="0" applyNumberFormat="1" applyFont="1" applyFill="1" applyAlignment="1">
      <alignment horizontal="right" vertical="center"/>
    </xf>
    <xf numFmtId="169" fontId="13" fillId="0" borderId="0" xfId="0" applyNumberFormat="1" applyFont="1" applyAlignment="1">
      <alignment horizontal="right" readingOrder="1"/>
    </xf>
    <xf numFmtId="176" fontId="21" fillId="0" borderId="0" xfId="0" applyNumberFormat="1" applyFont="1" applyAlignment="1"/>
    <xf numFmtId="176" fontId="13" fillId="0" borderId="0" xfId="0" applyNumberFormat="1" applyFont="1" applyAlignment="1"/>
    <xf numFmtId="0" fontId="17" fillId="0" borderId="0" xfId="0" applyFont="1" applyAlignment="1"/>
    <xf numFmtId="0" fontId="19" fillId="0" borderId="0" xfId="0" applyFont="1" applyAlignment="1">
      <alignment horizontal="left"/>
    </xf>
    <xf numFmtId="10" fontId="13" fillId="0" borderId="0" xfId="0" applyNumberFormat="1" applyFont="1" applyAlignment="1">
      <alignment horizontal="right"/>
    </xf>
    <xf numFmtId="174" fontId="13" fillId="0" borderId="0" xfId="0" applyNumberFormat="1" applyFont="1" applyAlignment="1">
      <alignment horizontal="right"/>
    </xf>
    <xf numFmtId="174" fontId="8" fillId="3" borderId="0" xfId="0" applyNumberFormat="1" applyFont="1" applyFill="1" applyAlignment="1">
      <alignment horizontal="right" readingOrder="1"/>
    </xf>
    <xf numFmtId="10" fontId="16" fillId="0" borderId="0" xfId="0" applyNumberFormat="1" applyFont="1" applyAlignment="1">
      <alignment horizontal="left" readingOrder="1"/>
    </xf>
    <xf numFmtId="0" fontId="19" fillId="0" borderId="0" xfId="0" applyFont="1" applyAlignment="1">
      <alignment vertical="top"/>
    </xf>
    <xf numFmtId="0" fontId="19" fillId="0" borderId="0" xfId="0" applyFont="1" applyAlignment="1">
      <alignment horizontal="right" vertical="top" readingOrder="1"/>
    </xf>
    <xf numFmtId="0" fontId="22" fillId="0" borderId="0" xfId="0" applyFont="1" applyAlignment="1">
      <alignment horizontal="right" readingOrder="1"/>
    </xf>
    <xf numFmtId="0" fontId="12" fillId="0" borderId="0" xfId="0" applyFont="1" applyAlignment="1"/>
    <xf numFmtId="0" fontId="19" fillId="0" borderId="0" xfId="0" applyFont="1" applyAlignment="1"/>
    <xf numFmtId="0" fontId="22" fillId="0" borderId="0" xfId="0" applyFont="1" applyAlignment="1"/>
    <xf numFmtId="0" fontId="16" fillId="0" borderId="9" xfId="0" applyFont="1" applyBorder="1" applyAlignment="1">
      <alignment horizontal="center"/>
    </xf>
    <xf numFmtId="0" fontId="16" fillId="0" borderId="10" xfId="0" applyFont="1" applyBorder="1" applyAlignment="1">
      <alignment horizontal="center"/>
    </xf>
    <xf numFmtId="0" fontId="16" fillId="0" borderId="0" xfId="0" applyFont="1" applyAlignment="1"/>
    <xf numFmtId="0" fontId="17" fillId="0" borderId="3" xfId="0" applyFont="1" applyBorder="1" applyAlignment="1"/>
    <xf numFmtId="0" fontId="16" fillId="0" borderId="3" xfId="0" applyFont="1" applyBorder="1" applyAlignment="1"/>
    <xf numFmtId="0" fontId="12" fillId="0" borderId="3" xfId="0" applyFont="1" applyBorder="1" applyAlignment="1"/>
    <xf numFmtId="0" fontId="12" fillId="0" borderId="8" xfId="0" applyFont="1" applyBorder="1" applyAlignment="1"/>
    <xf numFmtId="174" fontId="13" fillId="0" borderId="3" xfId="0" applyNumberFormat="1" applyFont="1" applyBorder="1" applyAlignment="1"/>
    <xf numFmtId="0" fontId="13" fillId="0" borderId="3" xfId="0" applyFont="1" applyBorder="1" applyAlignment="1"/>
    <xf numFmtId="169" fontId="13" fillId="0" borderId="0" xfId="0" applyNumberFormat="1" applyFont="1" applyAlignment="1"/>
    <xf numFmtId="170" fontId="13" fillId="0" borderId="0" xfId="0" applyNumberFormat="1" applyFont="1" applyAlignment="1"/>
    <xf numFmtId="171" fontId="13" fillId="0" borderId="0" xfId="0" applyNumberFormat="1" applyFont="1" applyAlignment="1"/>
    <xf numFmtId="0" fontId="13" fillId="0" borderId="0" xfId="0" applyFont="1" applyAlignment="1"/>
    <xf numFmtId="177" fontId="18" fillId="3" borderId="0" xfId="0" applyNumberFormat="1" applyFont="1" applyFill="1" applyAlignment="1"/>
    <xf numFmtId="174" fontId="8" fillId="0" borderId="0" xfId="0" applyNumberFormat="1" applyFont="1" applyAlignment="1"/>
    <xf numFmtId="172" fontId="8" fillId="3" borderId="0" xfId="0" applyNumberFormat="1" applyFont="1" applyFill="1" applyAlignment="1"/>
    <xf numFmtId="10" fontId="13" fillId="0" borderId="0" xfId="0" applyNumberFormat="1" applyFont="1" applyAlignment="1">
      <alignment horizontal="left" readingOrder="1"/>
    </xf>
    <xf numFmtId="171" fontId="13" fillId="0" borderId="11" xfId="0" applyNumberFormat="1" applyFont="1" applyBorder="1" applyAlignment="1"/>
    <xf numFmtId="178" fontId="12" fillId="0" borderId="0" xfId="0" applyNumberFormat="1" applyFont="1" applyAlignment="1">
      <alignment horizontal="left"/>
    </xf>
    <xf numFmtId="178" fontId="13" fillId="0" borderId="0" xfId="0" applyNumberFormat="1" applyFont="1" applyAlignment="1">
      <alignment horizontal="right"/>
    </xf>
    <xf numFmtId="0" fontId="12" fillId="0" borderId="0" xfId="0" applyFont="1" applyAlignment="1">
      <alignment horizontal="left"/>
    </xf>
    <xf numFmtId="179" fontId="13" fillId="0" borderId="0" xfId="0" applyNumberFormat="1" applyFont="1" applyAlignment="1"/>
    <xf numFmtId="178" fontId="13" fillId="0" borderId="3" xfId="0" applyNumberFormat="1" applyFont="1" applyBorder="1" applyAlignment="1">
      <alignment horizontal="left"/>
    </xf>
    <xf numFmtId="179" fontId="13" fillId="0" borderId="3" xfId="0" applyNumberFormat="1" applyFont="1" applyBorder="1" applyAlignment="1"/>
    <xf numFmtId="171" fontId="17" fillId="0" borderId="0" xfId="0" applyNumberFormat="1" applyFont="1" applyAlignment="1"/>
    <xf numFmtId="180" fontId="12" fillId="0" borderId="0" xfId="0" applyNumberFormat="1" applyFont="1" applyAlignment="1"/>
    <xf numFmtId="10" fontId="13" fillId="0" borderId="0" xfId="0" applyNumberFormat="1" applyFont="1" applyAlignment="1"/>
    <xf numFmtId="177" fontId="13" fillId="0" borderId="0" xfId="0" applyNumberFormat="1" applyFont="1" applyAlignment="1"/>
    <xf numFmtId="177" fontId="22" fillId="0" borderId="0" xfId="0" applyNumberFormat="1" applyFont="1" applyAlignment="1"/>
    <xf numFmtId="10" fontId="17" fillId="0" borderId="0" xfId="0" applyNumberFormat="1" applyFont="1" applyAlignment="1"/>
    <xf numFmtId="171" fontId="12" fillId="0" borderId="0" xfId="0" applyNumberFormat="1" applyFont="1" applyAlignment="1"/>
    <xf numFmtId="181" fontId="13" fillId="0" borderId="0" xfId="0" applyNumberFormat="1" applyFont="1" applyAlignment="1"/>
    <xf numFmtId="171" fontId="16" fillId="0" borderId="0" xfId="0" applyNumberFormat="1" applyFont="1" applyAlignment="1"/>
    <xf numFmtId="171" fontId="17" fillId="0" borderId="11" xfId="0" applyNumberFormat="1" applyFont="1" applyBorder="1" applyAlignment="1"/>
    <xf numFmtId="171" fontId="3" fillId="0" borderId="0" xfId="0" applyNumberFormat="1" applyFont="1" applyAlignment="1"/>
    <xf numFmtId="0" fontId="23" fillId="0" borderId="0" xfId="0" applyFont="1" applyAlignment="1"/>
    <xf numFmtId="0" fontId="24" fillId="0" borderId="0" xfId="0" applyFont="1" applyAlignment="1"/>
    <xf numFmtId="178" fontId="25" fillId="0" borderId="0" xfId="0" applyNumberFormat="1" applyFont="1" applyAlignment="1">
      <alignment horizontal="right"/>
    </xf>
    <xf numFmtId="178" fontId="21" fillId="0" borderId="0" xfId="0" applyNumberFormat="1" applyFont="1" applyAlignment="1"/>
    <xf numFmtId="0" fontId="21" fillId="0" borderId="0" xfId="0" applyFont="1" applyAlignment="1"/>
    <xf numFmtId="177" fontId="18" fillId="0" borderId="0" xfId="0" applyNumberFormat="1" applyFont="1" applyAlignment="1">
      <alignment horizontal="right"/>
    </xf>
    <xf numFmtId="10" fontId="18" fillId="0" borderId="0" xfId="0" applyNumberFormat="1" applyFont="1" applyAlignment="1">
      <alignment horizontal="right"/>
    </xf>
    <xf numFmtId="174" fontId="8" fillId="3" borderId="0" xfId="0" applyNumberFormat="1" applyFont="1" applyFill="1" applyAlignment="1">
      <alignment horizontal="center"/>
    </xf>
    <xf numFmtId="177" fontId="21" fillId="0" borderId="0" xfId="0" applyNumberFormat="1" applyFont="1" applyAlignment="1"/>
    <xf numFmtId="174" fontId="6" fillId="0" borderId="0" xfId="0" applyNumberFormat="1" applyFont="1" applyAlignment="1"/>
    <xf numFmtId="168" fontId="17" fillId="0" borderId="0" xfId="0" applyNumberFormat="1" applyFont="1" applyAlignment="1"/>
    <xf numFmtId="182" fontId="3" fillId="0" borderId="0" xfId="0" applyNumberFormat="1" applyFont="1" applyAlignment="1">
      <alignment horizontal="right"/>
    </xf>
    <xf numFmtId="178" fontId="12" fillId="0" borderId="0" xfId="0" applyNumberFormat="1" applyFont="1" applyAlignment="1">
      <alignment horizontal="right"/>
    </xf>
    <xf numFmtId="171" fontId="6" fillId="0" borderId="0" xfId="0" applyNumberFormat="1" applyFont="1" applyAlignment="1"/>
    <xf numFmtId="2" fontId="13" fillId="0" borderId="0" xfId="0" applyNumberFormat="1" applyFont="1" applyAlignment="1"/>
    <xf numFmtId="171" fontId="16" fillId="0" borderId="0" xfId="0" applyNumberFormat="1" applyFont="1" applyAlignment="1">
      <alignment horizontal="right"/>
    </xf>
    <xf numFmtId="171" fontId="17" fillId="0" borderId="11" xfId="0" applyNumberFormat="1" applyFont="1" applyBorder="1" applyAlignment="1">
      <alignment horizontal="right"/>
    </xf>
    <xf numFmtId="171" fontId="21" fillId="0" borderId="0" xfId="0" applyNumberFormat="1" applyFont="1" applyAlignment="1"/>
    <xf numFmtId="0" fontId="25" fillId="0" borderId="0" xfId="0" applyFont="1" applyAlignment="1"/>
    <xf numFmtId="166" fontId="6" fillId="0" borderId="0" xfId="0" applyNumberFormat="1" applyFont="1" applyAlignment="1"/>
    <xf numFmtId="10" fontId="12" fillId="0" borderId="0" xfId="0" applyNumberFormat="1" applyFont="1" applyAlignment="1"/>
    <xf numFmtId="174" fontId="8" fillId="0" borderId="0" xfId="0" applyNumberFormat="1" applyFont="1" applyAlignment="1">
      <alignment horizontal="right"/>
    </xf>
    <xf numFmtId="174" fontId="7" fillId="3" borderId="0" xfId="0" applyNumberFormat="1" applyFont="1" applyFill="1" applyAlignment="1"/>
    <xf numFmtId="174" fontId="6" fillId="0" borderId="0" xfId="0" applyNumberFormat="1" applyFont="1" applyAlignment="1">
      <alignment horizontal="right"/>
    </xf>
    <xf numFmtId="172" fontId="13" fillId="0" borderId="0" xfId="0" applyNumberFormat="1" applyFont="1" applyAlignment="1"/>
    <xf numFmtId="2" fontId="7" fillId="3" borderId="0" xfId="0" applyNumberFormat="1" applyFont="1" applyFill="1" applyAlignment="1"/>
    <xf numFmtId="174" fontId="13" fillId="0" borderId="0" xfId="0" applyNumberFormat="1" applyFont="1" applyAlignment="1"/>
    <xf numFmtId="171" fontId="6" fillId="3" borderId="0" xfId="0" applyNumberFormat="1" applyFont="1" applyFill="1" applyAlignment="1"/>
    <xf numFmtId="0" fontId="13" fillId="4" borderId="0" xfId="0" applyFont="1" applyFill="1" applyAlignment="1">
      <alignment horizontal="left"/>
    </xf>
    <xf numFmtId="0" fontId="16" fillId="0" borderId="0" xfId="0" applyFont="1" applyAlignment="1">
      <alignment horizontal="left"/>
    </xf>
    <xf numFmtId="183" fontId="12" fillId="0" borderId="0" xfId="0" applyNumberFormat="1" applyFont="1" applyAlignment="1"/>
    <xf numFmtId="171" fontId="12" fillId="0" borderId="0" xfId="0" applyNumberFormat="1" applyFont="1" applyAlignment="1">
      <alignment horizontal="right"/>
    </xf>
    <xf numFmtId="178" fontId="20" fillId="0" borderId="0" xfId="0" applyNumberFormat="1" applyFont="1" applyAlignment="1">
      <alignment horizontal="right"/>
    </xf>
    <xf numFmtId="179" fontId="13" fillId="0" borderId="0" xfId="0" applyNumberFormat="1" applyFont="1" applyAlignment="1">
      <alignment horizontal="right"/>
    </xf>
    <xf numFmtId="0" fontId="13" fillId="0" borderId="12" xfId="0" applyFont="1" applyBorder="1" applyAlignment="1"/>
    <xf numFmtId="165" fontId="17" fillId="0" borderId="13" xfId="0" applyNumberFormat="1" applyFont="1" applyBorder="1" applyAlignment="1">
      <alignment horizontal="right"/>
    </xf>
    <xf numFmtId="0" fontId="12" fillId="0" borderId="5" xfId="0" applyFont="1" applyBorder="1" applyAlignment="1">
      <alignment horizontal="left"/>
    </xf>
    <xf numFmtId="175" fontId="12" fillId="0" borderId="0" xfId="0" applyNumberFormat="1" applyFont="1" applyAlignment="1">
      <alignment horizontal="right"/>
    </xf>
    <xf numFmtId="10" fontId="13" fillId="0" borderId="11" xfId="0" applyNumberFormat="1" applyFont="1" applyBorder="1" applyAlignment="1"/>
    <xf numFmtId="0" fontId="3" fillId="2" borderId="0" xfId="0" applyFont="1" applyFill="1" applyAlignment="1"/>
    <xf numFmtId="0" fontId="12" fillId="2" borderId="0" xfId="0" applyFont="1" applyFill="1" applyAlignment="1"/>
    <xf numFmtId="184" fontId="26" fillId="2" borderId="0" xfId="0" applyNumberFormat="1" applyFont="1" applyFill="1" applyAlignment="1"/>
    <xf numFmtId="0" fontId="0" fillId="2" borderId="0" xfId="0" applyFill="1" applyAlignment="1"/>
    <xf numFmtId="184" fontId="26" fillId="0" borderId="0" xfId="0" applyNumberFormat="1" applyFont="1" applyAlignment="1"/>
    <xf numFmtId="174" fontId="3" fillId="0" borderId="0" xfId="0" applyNumberFormat="1" applyFont="1" applyAlignment="1"/>
    <xf numFmtId="165" fontId="6" fillId="0" borderId="0" xfId="0" applyNumberFormat="1" applyFont="1" applyAlignment="1"/>
    <xf numFmtId="165" fontId="3" fillId="0" borderId="0" xfId="0" applyNumberFormat="1" applyFont="1" applyAlignment="1"/>
    <xf numFmtId="14" fontId="8" fillId="0" borderId="0" xfId="0" applyNumberFormat="1" applyFont="1" applyAlignment="1"/>
    <xf numFmtId="166" fontId="21" fillId="0" borderId="0" xfId="0" applyNumberFormat="1" applyFont="1" applyAlignment="1"/>
    <xf numFmtId="0" fontId="26" fillId="0" borderId="0" xfId="0" applyFont="1" applyAlignment="1"/>
    <xf numFmtId="166" fontId="3" fillId="2" borderId="1" xfId="0" applyNumberFormat="1" applyFont="1" applyFill="1" applyBorder="1" applyAlignment="1">
      <alignment horizontal="center"/>
    </xf>
    <xf numFmtId="0" fontId="3" fillId="2" borderId="1" xfId="0" applyFont="1" applyFill="1" applyBorder="1" applyAlignment="1">
      <alignment horizontal="center"/>
    </xf>
    <xf numFmtId="10" fontId="21" fillId="0" borderId="0" xfId="0" applyNumberFormat="1" applyFont="1" applyAlignment="1"/>
    <xf numFmtId="169" fontId="21" fillId="0" borderId="0" xfId="0" applyNumberFormat="1" applyFont="1" applyAlignment="1"/>
    <xf numFmtId="173" fontId="21" fillId="0" borderId="0" xfId="0" applyNumberFormat="1" applyFont="1" applyAlignment="1"/>
    <xf numFmtId="0" fontId="3" fillId="2" borderId="1" xfId="0" applyFont="1" applyFill="1" applyBorder="1" applyAlignment="1">
      <alignment horizontal="center" wrapText="1"/>
    </xf>
    <xf numFmtId="49" fontId="7" fillId="3" borderId="0" xfId="0" applyNumberFormat="1" applyFont="1" applyFill="1" applyAlignment="1"/>
    <xf numFmtId="165" fontId="7" fillId="3" borderId="0" xfId="0" applyNumberFormat="1" applyFont="1" applyFill="1" applyAlignment="1"/>
    <xf numFmtId="164" fontId="7" fillId="3" borderId="0" xfId="0" applyNumberFormat="1" applyFont="1" applyFill="1" applyAlignment="1"/>
    <xf numFmtId="185" fontId="6" fillId="0" borderId="0" xfId="0" applyNumberFormat="1" applyFont="1" applyAlignment="1">
      <alignment horizontal="right"/>
    </xf>
    <xf numFmtId="186" fontId="6" fillId="0" borderId="0" xfId="0" applyNumberFormat="1" applyFont="1" applyAlignment="1">
      <alignment horizontal="right"/>
    </xf>
    <xf numFmtId="185" fontId="6" fillId="0" borderId="0" xfId="0" applyNumberFormat="1" applyFont="1" applyAlignment="1"/>
    <xf numFmtId="186" fontId="6" fillId="0" borderId="0" xfId="0" applyNumberFormat="1" applyFont="1" applyAlignment="1"/>
    <xf numFmtId="14" fontId="7" fillId="3" borderId="0" xfId="0" applyNumberFormat="1" applyFont="1" applyFill="1" applyAlignment="1"/>
    <xf numFmtId="165" fontId="8" fillId="0" borderId="0" xfId="0" applyNumberFormat="1" applyFont="1" applyAlignment="1"/>
    <xf numFmtId="165" fontId="6" fillId="0" borderId="0" xfId="0" applyNumberFormat="1" applyFont="1" applyAlignment="1">
      <alignment horizontal="right"/>
    </xf>
    <xf numFmtId="165" fontId="3" fillId="2" borderId="0" xfId="0" applyNumberFormat="1" applyFont="1" applyFill="1" applyAlignment="1"/>
    <xf numFmtId="165" fontId="5" fillId="0" borderId="0" xfId="0" applyNumberFormat="1" applyFont="1" applyAlignment="1"/>
    <xf numFmtId="165" fontId="8" fillId="0" borderId="0" xfId="0" applyNumberFormat="1" applyFont="1" applyAlignment="1">
      <alignment horizontal="right"/>
    </xf>
    <xf numFmtId="14" fontId="7" fillId="3" borderId="0" xfId="0" applyNumberFormat="1" applyFont="1" applyFill="1" applyAlignment="1">
      <alignment horizontal="center"/>
    </xf>
    <xf numFmtId="0" fontId="6" fillId="0" borderId="0" xfId="0" applyFont="1" applyAlignment="1">
      <alignment horizontal="right"/>
    </xf>
    <xf numFmtId="0" fontId="17" fillId="2" borderId="7" xfId="0" applyFont="1" applyFill="1" applyBorder="1" applyAlignment="1">
      <alignment horizontal="center" vertical="center"/>
    </xf>
    <xf numFmtId="0" fontId="3" fillId="0" borderId="0"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993366"/>
      <rgbColor rgb="FFFFFFCC"/>
      <rgbColor rgb="FFC0E6F5"/>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sz="1800" b="1" strike="noStrike" spc="-1">
                <a:solidFill>
                  <a:srgbClr val="000000"/>
                </a:solidFill>
                <a:latin typeface="Calibri"/>
                <a:ea typeface="Calibri"/>
              </a:rPr>
              <a:t>Valuation Range ($ per share)</a:t>
            </a:r>
          </a:p>
        </c:rich>
      </c:tx>
      <c:overlay val="0"/>
      <c:spPr>
        <a:noFill/>
        <a:ln w="0">
          <a:noFill/>
        </a:ln>
      </c:spPr>
    </c:title>
    <c:autoTitleDeleted val="0"/>
    <c:plotArea>
      <c:layout/>
      <c:barChart>
        <c:barDir val="bar"/>
        <c:grouping val="stacked"/>
        <c:varyColors val="0"/>
        <c:ser>
          <c:idx val="0"/>
          <c:order val="0"/>
          <c:spPr>
            <a:noFill/>
            <a:ln w="0">
              <a:noFill/>
            </a:ln>
          </c:spPr>
          <c:invertIfNegative val="0"/>
          <c:dLbls>
            <c:spPr>
              <a:noFill/>
              <a:ln>
                <a:noFill/>
              </a:ln>
              <a:effectLst/>
            </c:spPr>
            <c:txPr>
              <a:bodyPr wrap="square"/>
              <a:lstStyle/>
              <a:p>
                <a:pPr>
                  <a:defRPr sz="1000" b="0" strike="noStrike" spc="-1">
                    <a:solidFill>
                      <a:srgbClr val="000000"/>
                    </a:solidFill>
                    <a:latin typeface="Arial"/>
                    <a:ea typeface="Calibri"/>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Summary!$B$7:$B$18</c:f>
              <c:strCache>
                <c:ptCount val="12"/>
                <c:pt idx="0">
                  <c:v>DCF (WACC +/- 1%)</c:v>
                </c:pt>
                <c:pt idx="1">
                  <c:v>Trading Comps: P/E</c:v>
                </c:pt>
                <c:pt idx="2">
                  <c:v>Trading Comps: EV/EBITDA</c:v>
                </c:pt>
                <c:pt idx="3">
                  <c:v>Trading Comps: EV/EBIT</c:v>
                </c:pt>
                <c:pt idx="4">
                  <c:v>Trading Comps: PEG</c:v>
                </c:pt>
                <c:pt idx="5">
                  <c:v>Trading Comps: EV/EBITDAR</c:v>
                </c:pt>
                <c:pt idx="6">
                  <c:v>Precedent Transactions: P/E</c:v>
                </c:pt>
                <c:pt idx="7">
                  <c:v>Precedent Transactions: EV/EBITDA</c:v>
                </c:pt>
                <c:pt idx="8">
                  <c:v>Precedent Transactions: EV/EBIT</c:v>
                </c:pt>
                <c:pt idx="9">
                  <c:v>Precedent Transactions: PEG</c:v>
                </c:pt>
                <c:pt idx="10">
                  <c:v>Precedent Transactions: EV/EBITDAR</c:v>
                </c:pt>
                <c:pt idx="11">
                  <c:v>Liquidation (Fire Sale to Orderly)</c:v>
                </c:pt>
              </c:strCache>
            </c:strRef>
          </c:cat>
          <c:val>
            <c:numRef>
              <c:f>Summary!$H$7:$H$18</c:f>
              <c:numCache>
                <c:formatCode>General</c:formatCode>
                <c:ptCount val="12"/>
                <c:pt idx="0">
                  <c:v>2497.6920249913369</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A5E7-46A3-ACBC-E76FCC175314}"/>
            </c:ext>
          </c:extLst>
        </c:ser>
        <c:ser>
          <c:idx val="1"/>
          <c:order val="1"/>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ea typeface="Calibri"/>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Summary!$B$7:$B$18</c:f>
              <c:strCache>
                <c:ptCount val="12"/>
                <c:pt idx="0">
                  <c:v>DCF (WACC +/- 1%)</c:v>
                </c:pt>
                <c:pt idx="1">
                  <c:v>Trading Comps: P/E</c:v>
                </c:pt>
                <c:pt idx="2">
                  <c:v>Trading Comps: EV/EBITDA</c:v>
                </c:pt>
                <c:pt idx="3">
                  <c:v>Trading Comps: EV/EBIT</c:v>
                </c:pt>
                <c:pt idx="4">
                  <c:v>Trading Comps: PEG</c:v>
                </c:pt>
                <c:pt idx="5">
                  <c:v>Trading Comps: EV/EBITDAR</c:v>
                </c:pt>
                <c:pt idx="6">
                  <c:v>Precedent Transactions: P/E</c:v>
                </c:pt>
                <c:pt idx="7">
                  <c:v>Precedent Transactions: EV/EBITDA</c:v>
                </c:pt>
                <c:pt idx="8">
                  <c:v>Precedent Transactions: EV/EBIT</c:v>
                </c:pt>
                <c:pt idx="9">
                  <c:v>Precedent Transactions: PEG</c:v>
                </c:pt>
                <c:pt idx="10">
                  <c:v>Precedent Transactions: EV/EBITDAR</c:v>
                </c:pt>
                <c:pt idx="11">
                  <c:v>Liquidation (Fire Sale to Orderly)</c:v>
                </c:pt>
              </c:strCache>
            </c:strRef>
          </c:cat>
          <c:val>
            <c:numRef>
              <c:f>Summary!$I$7:$I$18</c:f>
              <c:numCache>
                <c:formatCode>General</c:formatCode>
                <c:ptCount val="12"/>
                <c:pt idx="0">
                  <c:v>1945.5114898250581</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A5E7-46A3-ACBC-E76FCC175314}"/>
            </c:ext>
          </c:extLst>
        </c:ser>
        <c:dLbls>
          <c:showLegendKey val="0"/>
          <c:showVal val="0"/>
          <c:showCatName val="0"/>
          <c:showSerName val="0"/>
          <c:showPercent val="0"/>
          <c:showBubbleSize val="0"/>
        </c:dLbls>
        <c:gapWidth val="150"/>
        <c:overlap val="100"/>
        <c:axId val="36263949"/>
        <c:axId val="87662327"/>
      </c:barChart>
      <c:catAx>
        <c:axId val="36263949"/>
        <c:scaling>
          <c:orientation val="maxMin"/>
        </c:scaling>
        <c:delete val="0"/>
        <c:axPos val="l"/>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87662327"/>
        <c:crosses val="autoZero"/>
        <c:auto val="1"/>
        <c:lblAlgn val="ctr"/>
        <c:lblOffset val="100"/>
        <c:noMultiLvlLbl val="0"/>
      </c:catAx>
      <c:valAx>
        <c:axId val="87662327"/>
        <c:scaling>
          <c:orientation val="minMax"/>
        </c:scaling>
        <c:delete val="0"/>
        <c:axPos val="t"/>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36263949"/>
        <c:crosses val="autoZero"/>
        <c:crossBetween val="between"/>
      </c:valAx>
      <c:spPr>
        <a:noFill/>
        <a:ln w="0">
          <a:noFill/>
        </a:ln>
      </c:spPr>
    </c:plotArea>
    <c:plotVisOnly val="0"/>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xdr:row>
      <xdr:rowOff>160560</xdr:rowOff>
    </xdr:from>
    <xdr:to>
      <xdr:col>6</xdr:col>
      <xdr:colOff>474480</xdr:colOff>
      <xdr:row>44</xdr:row>
      <xdr:rowOff>76680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https://www.bing.com/financeapi/forcetrigger?t=a1o3tc&amp;q=XNYS%3aAZO&amp;form=skydnc</v>
    <v>Learn more on Bing</v>
  </rv>
  <rv s="1">
    <v>en-US</v>
    <v>a1o3tc</v>
    <v>268435456</v>
    <v>1</v>
    <v>Powered by Refinitiv</v>
    <v>0</v>
    <v>AUTOZONE, INC. (XNYS:AZO)</v>
    <v>2</v>
    <v>3</v>
    <v>Finance</v>
    <v>4</v>
    <v>4332.68</v>
    <v>2764.88</v>
    <v>0.39439999999999997</v>
    <v>21.15</v>
    <v>4.2810000000000001E-3</v>
    <v>7.4380000000000002E-3</v>
    <v>12.25</v>
    <v>USD</v>
    <v>AutoZone, Inc. is a retailer and distributor of automotive replacement parts and accessories in the Americas. Its Auto Parts Stores segment is a retailer and distributor of automotive parts and accessories through its approximately 7,856 stores in the United States, Mexico and Brazil. Each store carries an extensive product line for cars, sport utility vehicles, vans and light duty trucks, including new and remanufactured automotive hard parts, maintenance items, accessories and non-automotive products. The Company also sells automotive hard parts, maintenance items, accessories and non-automotive products through www.autozone.com, and its commercial customers can make purchases through www.autozonepro.com. In addition, the Company sells the ALLDATA brand of automotive diagnostic, repair, collision and shop management software through www.alldata.com. It also provides product information on its Duralast-branded products through www.duralastparts.com.</v>
    <v>78000</v>
    <v>New York Stock Exchange</v>
    <v>XNYS</v>
    <v>XNYS</v>
    <v>123 South Front St, Dept 8074, MEMPHIS, TN, 38103 US</v>
    <v>2939.02</v>
    <v>Specialty Retailers</v>
    <v>Stock</v>
    <v>46289.879068691407</v>
    <v>0</v>
    <v>2839.44</v>
    <v>46327396770</v>
    <v>AUTOZONE, INC.</v>
    <v>AUTOZONE, INC.</v>
    <v>2875</v>
    <v>18.777200000000001</v>
    <v>2843.34</v>
    <v>2864.49</v>
    <v>2874</v>
    <v>16173000</v>
    <v>AZO</v>
    <v>AUTOZONE, INC. (XNYS:AZO)</v>
    <v>476583</v>
    <v>357494</v>
    <v>1991</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19"/>
  <sheetViews>
    <sheetView showGridLines="0" zoomScaleNormal="100" workbookViewId="0">
      <selection activeCell="B29" sqref="B29"/>
    </sheetView>
  </sheetViews>
  <sheetFormatPr defaultColWidth="8.7109375" defaultRowHeight="12.75" x14ac:dyDescent="0.2"/>
  <cols>
    <col min="1" max="1" width="2" style="1" customWidth="1"/>
    <col min="2" max="2" width="46" style="1" customWidth="1"/>
    <col min="3" max="18" width="13" style="1" customWidth="1"/>
  </cols>
  <sheetData>
    <row r="1" spans="2:18" ht="17.25" customHeight="1" x14ac:dyDescent="0.3">
      <c r="B1" s="2" t="s">
        <v>0</v>
      </c>
    </row>
    <row r="2" spans="2:18" ht="15" customHeight="1" x14ac:dyDescent="0.25">
      <c r="B2" s="3" t="s">
        <v>1</v>
      </c>
    </row>
    <row r="4" spans="2:18" ht="15" customHeight="1" x14ac:dyDescent="0.25">
      <c r="B4" s="4"/>
      <c r="C4" s="5" t="s">
        <v>2</v>
      </c>
      <c r="D4" s="5" t="s">
        <v>3</v>
      </c>
      <c r="E4" s="5" t="s">
        <v>4</v>
      </c>
      <c r="F4" s="5" t="s">
        <v>5</v>
      </c>
      <c r="G4" s="5" t="s">
        <v>6</v>
      </c>
      <c r="H4" s="5" t="s">
        <v>7</v>
      </c>
      <c r="I4" s="5" t="s">
        <v>8</v>
      </c>
      <c r="J4" s="5" t="s">
        <v>9</v>
      </c>
      <c r="K4" s="5" t="s">
        <v>10</v>
      </c>
      <c r="L4" s="5" t="s">
        <v>11</v>
      </c>
      <c r="M4" s="5" t="s">
        <v>12</v>
      </c>
      <c r="N4" s="5" t="s">
        <v>13</v>
      </c>
      <c r="O4" s="5" t="s">
        <v>14</v>
      </c>
      <c r="P4" s="5" t="s">
        <v>15</v>
      </c>
      <c r="Q4" s="5" t="s">
        <v>16</v>
      </c>
      <c r="R4" s="5" t="s">
        <v>17</v>
      </c>
    </row>
    <row r="6" spans="2:18" ht="15" customHeight="1" x14ac:dyDescent="0.25">
      <c r="B6" s="6" t="s">
        <v>18</v>
      </c>
      <c r="C6" s="7">
        <v>3985.067</v>
      </c>
      <c r="D6" s="7">
        <v>3690.982</v>
      </c>
      <c r="E6" s="7">
        <v>4090.5410000000002</v>
      </c>
      <c r="F6" s="8">
        <f>'IS Annual'!C6-SUM(C6:E6)</f>
        <v>5690.6189999999988</v>
      </c>
      <c r="G6" s="7">
        <v>4190.277</v>
      </c>
      <c r="H6" s="7">
        <v>3859.1260000000002</v>
      </c>
      <c r="I6" s="7">
        <v>4235.4849999999997</v>
      </c>
      <c r="J6" s="8">
        <f>'IS Annual'!D6-SUM(G6:I6)</f>
        <v>6205.380000000001</v>
      </c>
      <c r="K6" s="7">
        <v>4279.6409999999996</v>
      </c>
      <c r="L6" s="7">
        <v>3952.0120000000002</v>
      </c>
      <c r="M6" s="7">
        <v>4464.3389999999999</v>
      </c>
      <c r="N6" s="8">
        <f>'IS Annual'!E6-SUM(K6:M6)</f>
        <v>6242.7250000000004</v>
      </c>
      <c r="O6" s="7">
        <v>4628.63</v>
      </c>
      <c r="P6" s="7">
        <v>4274.098</v>
      </c>
      <c r="Q6" s="7">
        <v>4840.95</v>
      </c>
      <c r="R6" s="8">
        <f>'IS Annual'!F6-SUM(O6:Q6)</f>
        <v>6594.8770000000004</v>
      </c>
    </row>
    <row r="7" spans="2:18" ht="15" customHeight="1" x14ac:dyDescent="0.25">
      <c r="B7" s="9" t="s">
        <v>19</v>
      </c>
      <c r="C7" s="10">
        <v>1990.4449999999999</v>
      </c>
      <c r="D7" s="10">
        <v>1760.979</v>
      </c>
      <c r="E7" s="10">
        <v>1944.415</v>
      </c>
      <c r="F7" s="11">
        <f>'IS Annual'!C7-SUM(C7:E7)</f>
        <v>2690.9480000000003</v>
      </c>
      <c r="G7" s="10">
        <v>1976.261</v>
      </c>
      <c r="H7" s="10">
        <v>1779.4739999999999</v>
      </c>
      <c r="I7" s="10">
        <v>1969.963</v>
      </c>
      <c r="J7" s="11">
        <f>'IS Annual'!D7-SUM(G7:I7)</f>
        <v>2947.5180000000009</v>
      </c>
      <c r="K7" s="10">
        <v>2011.5840000000001</v>
      </c>
      <c r="L7" s="10">
        <v>1823.6110000000001</v>
      </c>
      <c r="M7" s="10">
        <v>2110.8159999999998</v>
      </c>
      <c r="N7" s="11">
        <f>'IS Annual'!E7-SUM(K7:M7)</f>
        <v>3026.232</v>
      </c>
      <c r="O7" s="10">
        <v>2269.317</v>
      </c>
      <c r="P7" s="10">
        <v>2030.74</v>
      </c>
      <c r="Q7" s="10">
        <v>2316.3760000000002</v>
      </c>
      <c r="R7" s="11">
        <f>'IS Annual'!F7-SUM(O7:Q7)</f>
        <v>3077.1480000000001</v>
      </c>
    </row>
    <row r="8" spans="2:18" ht="15" customHeight="1" x14ac:dyDescent="0.25">
      <c r="B8" s="6" t="s">
        <v>20</v>
      </c>
      <c r="C8" s="7">
        <v>1994.6220000000001</v>
      </c>
      <c r="D8" s="7">
        <v>1930.0029999999999</v>
      </c>
      <c r="E8" s="7">
        <v>2146.1260000000002</v>
      </c>
      <c r="F8" s="8">
        <f>'IS Annual'!C8-SUM(C8:E8)</f>
        <v>2999.6710000000003</v>
      </c>
      <c r="G8" s="7">
        <v>2214.0160000000001</v>
      </c>
      <c r="H8" s="7">
        <v>2079.652</v>
      </c>
      <c r="I8" s="7">
        <v>2265.5219999999999</v>
      </c>
      <c r="J8" s="8">
        <f>'IS Annual'!D8-SUM(G8:I8)</f>
        <v>3257.8620000000001</v>
      </c>
      <c r="K8" s="7">
        <v>2268.0569999999998</v>
      </c>
      <c r="L8" s="7">
        <v>2128.4009999999998</v>
      </c>
      <c r="M8" s="7">
        <v>2353.5230000000001</v>
      </c>
      <c r="N8" s="8">
        <f>'IS Annual'!E8-SUM(K8:M8)</f>
        <v>3216.4930000000004</v>
      </c>
      <c r="O8" s="7">
        <v>2359.3130000000001</v>
      </c>
      <c r="P8" s="7">
        <v>2243.3580000000002</v>
      </c>
      <c r="Q8" s="7">
        <v>2524.5740000000001</v>
      </c>
      <c r="R8" s="8">
        <f>'IS Annual'!F8-SUM(O8:Q8)</f>
        <v>3517.7289999999994</v>
      </c>
    </row>
    <row r="9" spans="2:18" ht="15" customHeight="1" x14ac:dyDescent="0.25">
      <c r="B9" s="9" t="s">
        <v>21</v>
      </c>
      <c r="C9" s="10">
        <v>1271.5889999999999</v>
      </c>
      <c r="D9" s="10">
        <v>1260.0260000000001</v>
      </c>
      <c r="E9" s="10">
        <v>1287.645</v>
      </c>
      <c r="F9" s="11">
        <f>'IS Annual'!C9-SUM(C9:E9)</f>
        <v>1777.1759999999999</v>
      </c>
      <c r="G9" s="10">
        <v>1365.412</v>
      </c>
      <c r="H9" s="10">
        <v>1336.41</v>
      </c>
      <c r="I9" s="10">
        <v>1365.3409999999999</v>
      </c>
      <c r="J9" s="11">
        <f>'IS Annual'!D9-SUM(G9:I9)</f>
        <v>1961.181</v>
      </c>
      <c r="K9" s="10">
        <v>1426.9079999999999</v>
      </c>
      <c r="L9" s="10">
        <v>1421.634</v>
      </c>
      <c r="M9" s="10">
        <v>1487.3489999999999</v>
      </c>
      <c r="N9" s="11">
        <f>'IS Annual'!E9-SUM(K9:M9)</f>
        <v>2020.4270000000006</v>
      </c>
      <c r="O9" s="10">
        <v>1575.1079999999999</v>
      </c>
      <c r="P9" s="10">
        <v>1544.902</v>
      </c>
      <c r="Q9" s="10">
        <v>1600.818</v>
      </c>
      <c r="R9" s="11">
        <f>'IS Annual'!F9-SUM(O9:Q9)</f>
        <v>2200.8319999999994</v>
      </c>
    </row>
    <row r="10" spans="2:18" ht="15" customHeight="1" x14ac:dyDescent="0.25">
      <c r="B10" s="6" t="s">
        <v>22</v>
      </c>
      <c r="C10" s="7">
        <v>723.03300000000002</v>
      </c>
      <c r="D10" s="7">
        <v>669.97699999999998</v>
      </c>
      <c r="E10" s="7">
        <v>858.48099999999999</v>
      </c>
      <c r="F10" s="8">
        <f>'IS Annual'!C10-SUM(C10:E10)</f>
        <v>1222.4949999999999</v>
      </c>
      <c r="G10" s="7">
        <v>848.60400000000004</v>
      </c>
      <c r="H10" s="7">
        <v>743.24199999999996</v>
      </c>
      <c r="I10" s="7">
        <v>900.18100000000004</v>
      </c>
      <c r="J10" s="8">
        <f>'IS Annual'!D10-SUM(G10:I10)</f>
        <v>1296.681</v>
      </c>
      <c r="K10" s="7">
        <v>841.149</v>
      </c>
      <c r="L10" s="7">
        <v>706.76700000000005</v>
      </c>
      <c r="M10" s="7">
        <v>866.17399999999998</v>
      </c>
      <c r="N10" s="8">
        <f>'IS Annual'!E10-SUM(K10:M10)</f>
        <v>1196.0659999999998</v>
      </c>
      <c r="O10" s="7">
        <v>784.20500000000004</v>
      </c>
      <c r="P10" s="7">
        <v>698.45600000000002</v>
      </c>
      <c r="Q10" s="7">
        <v>923.75599999999997</v>
      </c>
      <c r="R10" s="8">
        <f>'IS Annual'!F10-SUM(O10:Q10)</f>
        <v>1316.8969999999999</v>
      </c>
    </row>
    <row r="11" spans="2:18" ht="15" customHeight="1" x14ac:dyDescent="0.25">
      <c r="B11" s="9" t="s">
        <v>23</v>
      </c>
      <c r="C11" s="10">
        <v>57.722999999999999</v>
      </c>
      <c r="D11" s="10">
        <v>65.608999999999995</v>
      </c>
      <c r="E11" s="10">
        <v>74.313000000000002</v>
      </c>
      <c r="F11" s="11">
        <f>'IS Annual'!C11-SUM(C11:E11)</f>
        <v>108.72700000000003</v>
      </c>
      <c r="G11" s="10">
        <v>91.384</v>
      </c>
      <c r="H11" s="10">
        <v>102.619</v>
      </c>
      <c r="I11" s="10">
        <v>104.422</v>
      </c>
      <c r="J11" s="11">
        <f>'IS Annual'!D11-SUM(G11:I11)</f>
        <v>153.15300000000002</v>
      </c>
      <c r="K11" s="10">
        <v>107.629</v>
      </c>
      <c r="L11" s="10">
        <v>108.822</v>
      </c>
      <c r="M11" s="10">
        <v>111.285</v>
      </c>
      <c r="N11" s="11">
        <f>'IS Annual'!E11-SUM(K11:M11)</f>
        <v>148.08800000000002</v>
      </c>
      <c r="O11" s="10">
        <v>106.27</v>
      </c>
      <c r="P11" s="10">
        <v>107.205</v>
      </c>
      <c r="Q11" s="10">
        <v>110.49</v>
      </c>
      <c r="R11" s="11">
        <f>'IS Annual'!F11-SUM(O11:Q11)</f>
        <v>148.649</v>
      </c>
    </row>
    <row r="12" spans="2:18" ht="15" customHeight="1" x14ac:dyDescent="0.25">
      <c r="B12" s="6" t="s">
        <v>24</v>
      </c>
      <c r="C12" s="7">
        <v>665.31</v>
      </c>
      <c r="D12" s="7">
        <v>604.36800000000005</v>
      </c>
      <c r="E12" s="7">
        <v>784.16800000000001</v>
      </c>
      <c r="F12" s="8">
        <f>'IS Annual'!C12-SUM(C12:E12)</f>
        <v>1113.768</v>
      </c>
      <c r="G12" s="7">
        <v>757.22</v>
      </c>
      <c r="H12" s="7">
        <v>640.62300000000005</v>
      </c>
      <c r="I12" s="7">
        <v>795.75900000000001</v>
      </c>
      <c r="J12" s="8">
        <f>'IS Annual'!D12-SUM(G12:I12)</f>
        <v>1143.5280000000002</v>
      </c>
      <c r="K12" s="7">
        <v>733.52</v>
      </c>
      <c r="L12" s="7">
        <v>597.94500000000005</v>
      </c>
      <c r="M12" s="7">
        <v>754.88900000000001</v>
      </c>
      <c r="N12" s="8">
        <f>'IS Annual'!E12-SUM(K12:M12)</f>
        <v>1047.9779999999996</v>
      </c>
      <c r="O12" s="7">
        <v>677.93499999999995</v>
      </c>
      <c r="P12" s="7">
        <v>591.25099999999998</v>
      </c>
      <c r="Q12" s="7">
        <v>813.26599999999996</v>
      </c>
      <c r="R12" s="8">
        <f>'IS Annual'!F12-SUM(O12:Q12)</f>
        <v>1168.248</v>
      </c>
    </row>
    <row r="13" spans="2:18" ht="15" customHeight="1" x14ac:dyDescent="0.25">
      <c r="B13" s="9" t="s">
        <v>25</v>
      </c>
      <c r="C13" s="10">
        <v>125.992</v>
      </c>
      <c r="D13" s="10">
        <v>127.824</v>
      </c>
      <c r="E13" s="10">
        <v>136.44499999999999</v>
      </c>
      <c r="F13" s="11">
        <f>'IS Annual'!C13-SUM(C13:E13)</f>
        <v>248.92700000000002</v>
      </c>
      <c r="G13" s="10">
        <v>163.75700000000001</v>
      </c>
      <c r="H13" s="10">
        <v>125.593</v>
      </c>
      <c r="I13" s="10">
        <v>144.03299999999999</v>
      </c>
      <c r="J13" s="11">
        <f>'IS Annual'!D13-SUM(G13:I13)</f>
        <v>241.31999999999994</v>
      </c>
      <c r="K13" s="10">
        <v>168.58699999999999</v>
      </c>
      <c r="L13" s="10">
        <v>110.02200000000001</v>
      </c>
      <c r="M13" s="10">
        <v>146.44900000000001</v>
      </c>
      <c r="N13" s="11">
        <f>'IS Annual'!E13-SUM(K13:M13)</f>
        <v>211.02700000000004</v>
      </c>
      <c r="O13" s="10">
        <v>147.11199999999999</v>
      </c>
      <c r="P13" s="10">
        <v>122.39100000000001</v>
      </c>
      <c r="Q13" s="10">
        <v>171.77500000000001</v>
      </c>
      <c r="R13" s="11">
        <f>'IS Annual'!F13-SUM(O13:Q13)</f>
        <v>236.64499999999998</v>
      </c>
    </row>
    <row r="14" spans="2:18" ht="15" customHeight="1" x14ac:dyDescent="0.25">
      <c r="B14" s="6" t="s">
        <v>26</v>
      </c>
      <c r="C14" s="7">
        <v>539.31799999999998</v>
      </c>
      <c r="D14" s="7">
        <v>476.54399999999998</v>
      </c>
      <c r="E14" s="7">
        <v>647.72299999999996</v>
      </c>
      <c r="F14" s="8">
        <f>'IS Annual'!C14-SUM(C14:E14)</f>
        <v>864.84099999999989</v>
      </c>
      <c r="G14" s="7">
        <v>593.46299999999997</v>
      </c>
      <c r="H14" s="7">
        <v>515.03</v>
      </c>
      <c r="I14" s="7">
        <v>651.726</v>
      </c>
      <c r="J14" s="8">
        <f>'IS Annual'!D14-SUM(G14:I14)</f>
        <v>902.20800000000008</v>
      </c>
      <c r="K14" s="7">
        <v>564.93299999999999</v>
      </c>
      <c r="L14" s="7">
        <v>487.923</v>
      </c>
      <c r="M14" s="7">
        <v>608.44000000000005</v>
      </c>
      <c r="N14" s="8">
        <f>'IS Annual'!E14-SUM(K14:M14)</f>
        <v>836.95099999999979</v>
      </c>
      <c r="O14" s="7">
        <v>530.82299999999998</v>
      </c>
      <c r="P14" s="7">
        <v>468.86</v>
      </c>
      <c r="Q14" s="7">
        <v>641.49099999999999</v>
      </c>
      <c r="R14" s="8">
        <f>'IS Annual'!F14-SUM(O14:Q14)</f>
        <v>931.60300000000007</v>
      </c>
    </row>
    <row r="15" spans="2:18" ht="15" customHeight="1" x14ac:dyDescent="0.2"/>
    <row r="16" spans="2:18" ht="15" customHeight="1" x14ac:dyDescent="0.25">
      <c r="B16" s="9" t="s">
        <v>27</v>
      </c>
      <c r="C16" s="10">
        <v>19.007000000000001</v>
      </c>
      <c r="D16" s="10">
        <v>18.704999999999998</v>
      </c>
      <c r="E16" s="10">
        <v>18.388999999999999</v>
      </c>
      <c r="F16" s="10">
        <v>18.079999999999998</v>
      </c>
      <c r="G16" s="10">
        <v>17.709</v>
      </c>
      <c r="H16" s="10">
        <v>17.318999999999999</v>
      </c>
      <c r="I16" s="10">
        <v>17.273</v>
      </c>
      <c r="J16" s="10">
        <v>17.03</v>
      </c>
      <c r="K16" s="10">
        <v>16.913</v>
      </c>
      <c r="L16" s="10">
        <v>16.788</v>
      </c>
      <c r="M16" s="10">
        <v>16.745999999999999</v>
      </c>
      <c r="N16" s="10">
        <v>16.731000000000002</v>
      </c>
      <c r="O16" s="10">
        <v>16.652000000000001</v>
      </c>
      <c r="P16" s="10">
        <v>16.573</v>
      </c>
      <c r="Q16" s="10">
        <v>16.468</v>
      </c>
      <c r="R16" s="10">
        <v>16.294</v>
      </c>
    </row>
    <row r="17" spans="2:18" ht="15" customHeight="1" x14ac:dyDescent="0.25">
      <c r="B17" s="9" t="s">
        <v>28</v>
      </c>
      <c r="C17" s="10">
        <v>19.645</v>
      </c>
      <c r="D17" s="10">
        <v>19.337</v>
      </c>
      <c r="E17" s="10">
        <v>18.983000000000001</v>
      </c>
      <c r="F17" s="10">
        <v>18.613</v>
      </c>
      <c r="G17" s="10">
        <v>18.234000000000002</v>
      </c>
      <c r="H17" s="10">
        <v>17.827999999999999</v>
      </c>
      <c r="I17" s="10">
        <v>17.760999999999999</v>
      </c>
      <c r="J17" s="10">
        <v>17.491</v>
      </c>
      <c r="K17" s="10">
        <v>17.37</v>
      </c>
      <c r="L17" s="10">
        <v>17.245000000000001</v>
      </c>
      <c r="M17" s="10">
        <v>17.207000000000001</v>
      </c>
      <c r="N17" s="10">
        <v>17.181000000000001</v>
      </c>
      <c r="O17" s="10">
        <v>17.102</v>
      </c>
      <c r="P17" s="10">
        <v>16.969000000000001</v>
      </c>
      <c r="Q17" s="10">
        <v>16.852</v>
      </c>
      <c r="R17" s="10">
        <v>16.62</v>
      </c>
    </row>
    <row r="18" spans="2:18" ht="15" customHeight="1" x14ac:dyDescent="0.25">
      <c r="B18" s="9" t="s">
        <v>29</v>
      </c>
      <c r="C18" s="12">
        <v>28.37</v>
      </c>
      <c r="D18" s="12">
        <v>25.48</v>
      </c>
      <c r="E18" s="12">
        <v>35.22</v>
      </c>
      <c r="F18" s="12">
        <v>47.83</v>
      </c>
      <c r="G18" s="12">
        <v>33.51</v>
      </c>
      <c r="H18" s="12">
        <v>29.74</v>
      </c>
      <c r="I18" s="12">
        <v>37.729999999999997</v>
      </c>
      <c r="J18" s="12">
        <v>52.98</v>
      </c>
      <c r="K18" s="12">
        <v>33.4</v>
      </c>
      <c r="L18" s="12">
        <v>29.06</v>
      </c>
      <c r="M18" s="12">
        <v>36.33</v>
      </c>
      <c r="N18" s="12">
        <v>50.02</v>
      </c>
      <c r="O18" s="12">
        <v>31.88</v>
      </c>
      <c r="P18" s="12">
        <v>28.29</v>
      </c>
      <c r="Q18" s="12">
        <v>38.950000000000003</v>
      </c>
      <c r="R18" s="12">
        <v>57.17</v>
      </c>
    </row>
    <row r="19" spans="2:18" ht="15" x14ac:dyDescent="0.25">
      <c r="B19" s="9" t="s">
        <v>30</v>
      </c>
      <c r="C19" s="12">
        <v>27.45</v>
      </c>
      <c r="D19" s="12">
        <v>24.64</v>
      </c>
      <c r="E19" s="12">
        <v>34.119999999999997</v>
      </c>
      <c r="F19" s="12">
        <v>46.46</v>
      </c>
      <c r="G19" s="12">
        <v>32.549999999999997</v>
      </c>
      <c r="H19" s="12">
        <v>28.89</v>
      </c>
      <c r="I19" s="12">
        <v>36.69</v>
      </c>
      <c r="J19" s="12">
        <v>51.58</v>
      </c>
      <c r="K19" s="12">
        <v>32.520000000000003</v>
      </c>
      <c r="L19" s="12">
        <v>28.29</v>
      </c>
      <c r="M19" s="12">
        <v>35.36</v>
      </c>
      <c r="N19" s="12">
        <v>48.71</v>
      </c>
      <c r="O19" s="12">
        <v>31.04</v>
      </c>
      <c r="P19" s="12">
        <v>27.63</v>
      </c>
      <c r="Q19" s="12">
        <v>38.07</v>
      </c>
      <c r="R19" s="12">
        <v>56.05</v>
      </c>
    </row>
  </sheetData>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8"/>
  <sheetViews>
    <sheetView showGridLines="0" zoomScaleNormal="100" workbookViewId="0">
      <selection activeCell="G16" sqref="G16"/>
    </sheetView>
  </sheetViews>
  <sheetFormatPr defaultColWidth="8.7109375" defaultRowHeight="12.75" x14ac:dyDescent="0.2"/>
  <cols>
    <col min="1" max="1" width="2" style="1" customWidth="1"/>
    <col min="2" max="2" width="46" style="1" customWidth="1"/>
    <col min="3" max="6" width="18.85546875" style="1" customWidth="1"/>
  </cols>
  <sheetData>
    <row r="1" spans="2:6" ht="17.25" customHeight="1" x14ac:dyDescent="0.3">
      <c r="B1" s="2" t="s">
        <v>31</v>
      </c>
    </row>
    <row r="2" spans="2:6" ht="15" customHeight="1" x14ac:dyDescent="0.25">
      <c r="B2" s="3" t="s">
        <v>1</v>
      </c>
    </row>
    <row r="4" spans="2:6" ht="15" customHeight="1" x14ac:dyDescent="0.25">
      <c r="B4" s="4"/>
      <c r="C4" s="5" t="s">
        <v>32</v>
      </c>
      <c r="D4" s="5" t="s">
        <v>33</v>
      </c>
      <c r="E4" s="5" t="s">
        <v>34</v>
      </c>
      <c r="F4" s="5" t="s">
        <v>277</v>
      </c>
    </row>
    <row r="5" spans="2:6" ht="15" customHeight="1" x14ac:dyDescent="0.25">
      <c r="C5" s="13">
        <v>45164</v>
      </c>
      <c r="D5" s="13">
        <v>45535</v>
      </c>
      <c r="E5" s="13">
        <v>45899</v>
      </c>
      <c r="F5" s="13">
        <v>46151</v>
      </c>
    </row>
    <row r="6" spans="2:6" ht="15" customHeight="1" x14ac:dyDescent="0.25">
      <c r="B6" s="6" t="s">
        <v>18</v>
      </c>
      <c r="C6" s="7">
        <v>17457.208999999999</v>
      </c>
      <c r="D6" s="7">
        <v>18490.268</v>
      </c>
      <c r="E6" s="7">
        <v>18938.717000000001</v>
      </c>
      <c r="F6" s="7">
        <v>20338.555</v>
      </c>
    </row>
    <row r="7" spans="2:6" ht="15" customHeight="1" x14ac:dyDescent="0.25">
      <c r="B7" s="9" t="s">
        <v>19</v>
      </c>
      <c r="C7" s="10">
        <v>8386.7870000000003</v>
      </c>
      <c r="D7" s="10">
        <v>8673.2160000000003</v>
      </c>
      <c r="E7" s="10">
        <v>8972.2430000000004</v>
      </c>
      <c r="F7" s="10">
        <v>9693.5810000000001</v>
      </c>
    </row>
    <row r="8" spans="2:6" ht="15" customHeight="1" x14ac:dyDescent="0.25">
      <c r="B8" s="6" t="s">
        <v>20</v>
      </c>
      <c r="C8" s="7">
        <v>9070.4220000000005</v>
      </c>
      <c r="D8" s="7">
        <v>9817.0519999999997</v>
      </c>
      <c r="E8" s="7">
        <v>9966.4740000000002</v>
      </c>
      <c r="F8" s="7">
        <v>10644.974</v>
      </c>
    </row>
    <row r="9" spans="2:6" ht="15" customHeight="1" x14ac:dyDescent="0.25">
      <c r="B9" s="9" t="s">
        <v>21</v>
      </c>
      <c r="C9" s="10">
        <v>5596.4359999999997</v>
      </c>
      <c r="D9" s="10">
        <v>6028.3440000000001</v>
      </c>
      <c r="E9" s="10">
        <v>6356.3180000000002</v>
      </c>
      <c r="F9" s="10">
        <v>6921.66</v>
      </c>
    </row>
    <row r="10" spans="2:6" ht="15" customHeight="1" x14ac:dyDescent="0.25">
      <c r="B10" s="6" t="s">
        <v>22</v>
      </c>
      <c r="C10" s="7">
        <v>3473.9859999999999</v>
      </c>
      <c r="D10" s="7">
        <v>3788.7080000000001</v>
      </c>
      <c r="E10" s="7">
        <v>3610.1559999999999</v>
      </c>
      <c r="F10" s="7">
        <v>3723.3139999999999</v>
      </c>
    </row>
    <row r="11" spans="2:6" ht="15" customHeight="1" x14ac:dyDescent="0.25">
      <c r="B11" s="9" t="s">
        <v>23</v>
      </c>
      <c r="C11" s="10">
        <v>306.37200000000001</v>
      </c>
      <c r="D11" s="10">
        <v>451.57799999999997</v>
      </c>
      <c r="E11" s="10">
        <v>475.82400000000001</v>
      </c>
      <c r="F11" s="10">
        <v>472.61399999999998</v>
      </c>
    </row>
    <row r="12" spans="2:6" ht="15" customHeight="1" x14ac:dyDescent="0.25">
      <c r="B12" s="6" t="s">
        <v>24</v>
      </c>
      <c r="C12" s="7">
        <v>3167.614</v>
      </c>
      <c r="D12" s="7">
        <v>3337.13</v>
      </c>
      <c r="E12" s="7">
        <v>3134.3319999999999</v>
      </c>
      <c r="F12" s="7">
        <v>3250.7</v>
      </c>
    </row>
    <row r="13" spans="2:6" ht="15" customHeight="1" x14ac:dyDescent="0.25">
      <c r="B13" s="9" t="s">
        <v>25</v>
      </c>
      <c r="C13" s="10">
        <v>639.18799999999999</v>
      </c>
      <c r="D13" s="10">
        <v>674.70299999999997</v>
      </c>
      <c r="E13" s="10">
        <v>636.08500000000004</v>
      </c>
      <c r="F13" s="10">
        <v>677.923</v>
      </c>
    </row>
    <row r="14" spans="2:6" ht="15" customHeight="1" x14ac:dyDescent="0.25">
      <c r="B14" s="6" t="s">
        <v>26</v>
      </c>
      <c r="C14" s="7">
        <v>2528.4259999999999</v>
      </c>
      <c r="D14" s="7">
        <v>2662.4270000000001</v>
      </c>
      <c r="E14" s="7">
        <v>2498.2469999999998</v>
      </c>
      <c r="F14" s="7">
        <v>2572.777</v>
      </c>
    </row>
    <row r="15" spans="2:6" ht="15" customHeight="1" x14ac:dyDescent="0.25">
      <c r="B15" s="9" t="s">
        <v>27</v>
      </c>
      <c r="C15" s="10">
        <v>18.510000000000002</v>
      </c>
      <c r="D15" s="10">
        <v>17.309000000000001</v>
      </c>
      <c r="E15" s="10">
        <v>16.789000000000001</v>
      </c>
      <c r="F15" s="10">
        <v>16.481000000000002</v>
      </c>
    </row>
    <row r="16" spans="2:6" ht="15" customHeight="1" x14ac:dyDescent="0.25">
      <c r="B16" s="9" t="s">
        <v>28</v>
      </c>
      <c r="C16" s="10">
        <v>19.103000000000002</v>
      </c>
      <c r="D16" s="10">
        <v>17.803000000000001</v>
      </c>
      <c r="E16" s="10">
        <v>17.245000000000001</v>
      </c>
      <c r="F16" s="10">
        <v>16.864999999999998</v>
      </c>
    </row>
    <row r="17" spans="2:6" ht="15" customHeight="1" x14ac:dyDescent="0.25">
      <c r="B17" s="9" t="s">
        <v>29</v>
      </c>
      <c r="C17" s="12">
        <v>136.6</v>
      </c>
      <c r="D17" s="12">
        <v>153.82</v>
      </c>
      <c r="E17" s="12">
        <v>148.80000000000001</v>
      </c>
      <c r="F17" s="12">
        <v>156.11000000000001</v>
      </c>
    </row>
    <row r="18" spans="2:6" ht="15" customHeight="1" x14ac:dyDescent="0.25">
      <c r="B18" s="9" t="s">
        <v>30</v>
      </c>
      <c r="C18" s="12">
        <v>132.36000000000001</v>
      </c>
      <c r="D18" s="12">
        <v>149.55000000000001</v>
      </c>
      <c r="E18" s="12">
        <v>144.87</v>
      </c>
      <c r="F18" s="12">
        <v>152.55000000000001</v>
      </c>
    </row>
  </sheetData>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33"/>
  <sheetViews>
    <sheetView showGridLines="0" zoomScaleNormal="100" workbookViewId="0">
      <selection activeCell="I27" sqref="I27"/>
    </sheetView>
  </sheetViews>
  <sheetFormatPr defaultColWidth="8.7109375" defaultRowHeight="12.75" x14ac:dyDescent="0.2"/>
  <cols>
    <col min="1" max="1" width="2" style="1" customWidth="1"/>
    <col min="2" max="2" width="46" style="1" customWidth="1"/>
    <col min="3" max="6" width="16.7109375" style="1" customWidth="1"/>
  </cols>
  <sheetData>
    <row r="1" spans="2:6" ht="17.25" customHeight="1" x14ac:dyDescent="0.3">
      <c r="B1" s="2" t="s">
        <v>36</v>
      </c>
    </row>
    <row r="2" spans="2:6" ht="15" customHeight="1" x14ac:dyDescent="0.25">
      <c r="B2" s="3" t="s">
        <v>1</v>
      </c>
    </row>
    <row r="4" spans="2:6" ht="15" customHeight="1" x14ac:dyDescent="0.25">
      <c r="B4" s="4"/>
      <c r="C4" s="5" t="s">
        <v>32</v>
      </c>
      <c r="D4" s="5" t="s">
        <v>33</v>
      </c>
      <c r="E4" s="5" t="s">
        <v>34</v>
      </c>
      <c r="F4" s="5" t="s">
        <v>35</v>
      </c>
    </row>
    <row r="5" spans="2:6" ht="15" customHeight="1" x14ac:dyDescent="0.25">
      <c r="C5" s="13">
        <v>45164</v>
      </c>
      <c r="D5" s="13">
        <v>45535</v>
      </c>
      <c r="E5" s="13">
        <v>45899</v>
      </c>
      <c r="F5" s="13">
        <v>46151</v>
      </c>
    </row>
    <row r="6" spans="2:6" ht="15" customHeight="1" x14ac:dyDescent="0.25">
      <c r="B6" s="9" t="s">
        <v>37</v>
      </c>
      <c r="C6" s="10">
        <v>277.05399999999997</v>
      </c>
      <c r="D6" s="10">
        <v>298.17200000000003</v>
      </c>
      <c r="E6" s="10">
        <v>271.803</v>
      </c>
      <c r="F6" s="10">
        <v>253.72900000000001</v>
      </c>
    </row>
    <row r="7" spans="2:6" ht="15" customHeight="1" x14ac:dyDescent="0.25">
      <c r="B7" s="9" t="s">
        <v>38</v>
      </c>
      <c r="C7" s="10">
        <v>520.38499999999999</v>
      </c>
      <c r="D7" s="10">
        <v>545.57500000000005</v>
      </c>
      <c r="E7" s="10">
        <v>670.13699999999994</v>
      </c>
      <c r="F7" s="10">
        <v>764.92399999999998</v>
      </c>
    </row>
    <row r="8" spans="2:6" ht="15" customHeight="1" x14ac:dyDescent="0.25">
      <c r="B8" s="9" t="s">
        <v>39</v>
      </c>
      <c r="C8" s="10">
        <v>5764.143</v>
      </c>
      <c r="D8" s="10">
        <v>6155.2179999999998</v>
      </c>
      <c r="E8" s="10">
        <v>7025.6880000000001</v>
      </c>
      <c r="F8" s="10">
        <v>7559.0559999999996</v>
      </c>
    </row>
    <row r="9" spans="2:6" ht="15" customHeight="1" x14ac:dyDescent="0.25">
      <c r="B9" s="9" t="s">
        <v>40</v>
      </c>
      <c r="C9" s="10">
        <v>217.84399999999999</v>
      </c>
      <c r="D9" s="10">
        <v>307.79399999999998</v>
      </c>
      <c r="E9" s="10">
        <v>373.75099999999998</v>
      </c>
      <c r="F9" s="10">
        <v>356.86</v>
      </c>
    </row>
    <row r="10" spans="2:6" ht="15" customHeight="1" x14ac:dyDescent="0.25">
      <c r="B10" s="6" t="s">
        <v>41</v>
      </c>
      <c r="C10" s="7">
        <v>6779.4260000000004</v>
      </c>
      <c r="D10" s="7">
        <v>7306.759</v>
      </c>
      <c r="E10" s="7">
        <v>8341.3790000000008</v>
      </c>
      <c r="F10" s="7">
        <v>8934.5689999999995</v>
      </c>
    </row>
    <row r="11" spans="2:6" ht="15" customHeight="1" x14ac:dyDescent="0.25">
      <c r="B11" s="9" t="s">
        <v>42</v>
      </c>
      <c r="C11" s="10">
        <v>5596.5479999999998</v>
      </c>
      <c r="D11" s="10">
        <v>6183.5389999999998</v>
      </c>
      <c r="E11" s="10">
        <v>7062.509</v>
      </c>
      <c r="F11" s="10">
        <v>7796.9880000000003</v>
      </c>
    </row>
    <row r="12" spans="2:6" ht="15" customHeight="1" x14ac:dyDescent="0.25">
      <c r="B12" s="9" t="s">
        <v>43</v>
      </c>
      <c r="C12" s="10">
        <v>2998.0970000000002</v>
      </c>
      <c r="D12" s="10">
        <v>3057.78</v>
      </c>
      <c r="E12" s="10">
        <v>3194.6660000000002</v>
      </c>
      <c r="F12" s="10">
        <v>3413.97</v>
      </c>
    </row>
    <row r="13" spans="2:6" ht="15" customHeight="1" x14ac:dyDescent="0.25">
      <c r="B13" s="9" t="s">
        <v>44</v>
      </c>
      <c r="C13" s="10">
        <v>302.64499999999998</v>
      </c>
      <c r="D13" s="10">
        <v>302.64499999999998</v>
      </c>
      <c r="E13" s="10">
        <v>302.64499999999998</v>
      </c>
      <c r="F13" s="10">
        <v>302.64499999999998</v>
      </c>
    </row>
    <row r="14" spans="2:6" ht="15" customHeight="1" x14ac:dyDescent="0.25">
      <c r="B14" s="9" t="s">
        <v>45</v>
      </c>
      <c r="C14" s="10">
        <v>86.001999999999995</v>
      </c>
      <c r="D14" s="10">
        <v>83.688999999999993</v>
      </c>
      <c r="E14" s="10">
        <v>118.43300000000001</v>
      </c>
      <c r="F14" s="10">
        <v>132.10900000000001</v>
      </c>
    </row>
    <row r="15" spans="2:6" ht="15" customHeight="1" x14ac:dyDescent="0.25">
      <c r="B15" s="9" t="s">
        <v>46</v>
      </c>
      <c r="C15" s="10">
        <v>223.16</v>
      </c>
      <c r="D15" s="10">
        <v>242.126</v>
      </c>
      <c r="E15" s="10">
        <v>335.69200000000001</v>
      </c>
      <c r="F15" s="10">
        <v>336.18200000000002</v>
      </c>
    </row>
    <row r="16" spans="2:6" ht="15" customHeight="1" x14ac:dyDescent="0.25">
      <c r="B16" s="6" t="s">
        <v>47</v>
      </c>
      <c r="C16" s="7">
        <v>3609.904</v>
      </c>
      <c r="D16" s="7">
        <v>3686.24</v>
      </c>
      <c r="E16" s="7">
        <v>3951.4360000000001</v>
      </c>
      <c r="F16" s="7">
        <v>11981.894</v>
      </c>
    </row>
    <row r="17" spans="2:6" ht="15" customHeight="1" x14ac:dyDescent="0.25">
      <c r="B17" s="6" t="s">
        <v>48</v>
      </c>
      <c r="C17" s="7">
        <v>15985.878000000001</v>
      </c>
      <c r="D17" s="7">
        <v>17176.538</v>
      </c>
      <c r="E17" s="7">
        <v>19355.324000000001</v>
      </c>
      <c r="F17" s="7">
        <v>20916.463</v>
      </c>
    </row>
    <row r="18" spans="2:6" ht="15" customHeight="1" x14ac:dyDescent="0.25">
      <c r="B18" s="9" t="s">
        <v>49</v>
      </c>
      <c r="C18" s="10">
        <v>7201.2809999999999</v>
      </c>
      <c r="D18" s="10">
        <v>7355.701</v>
      </c>
      <c r="E18" s="10">
        <v>8025.59</v>
      </c>
      <c r="F18" s="10">
        <v>8401.277</v>
      </c>
    </row>
    <row r="19" spans="2:6" ht="15" customHeight="1" x14ac:dyDescent="0.25">
      <c r="B19" s="9" t="s">
        <v>50</v>
      </c>
      <c r="C19" s="10">
        <v>257.25599999999997</v>
      </c>
      <c r="D19" s="10">
        <v>266.85500000000002</v>
      </c>
      <c r="E19" s="10">
        <v>283.56400000000002</v>
      </c>
      <c r="F19" s="10">
        <v>336.34</v>
      </c>
    </row>
    <row r="20" spans="2:6" ht="15" customHeight="1" x14ac:dyDescent="0.25">
      <c r="B20" s="9" t="s">
        <v>51</v>
      </c>
      <c r="C20" s="10">
        <v>1000.841</v>
      </c>
      <c r="D20" s="10">
        <v>1060.7460000000001</v>
      </c>
      <c r="E20" s="10">
        <v>1151.5360000000001</v>
      </c>
      <c r="F20" s="10">
        <v>1226.7570000000001</v>
      </c>
    </row>
    <row r="21" spans="2:6" ht="15" customHeight="1" x14ac:dyDescent="0.25">
      <c r="B21" s="9" t="s">
        <v>52</v>
      </c>
      <c r="C21" s="10">
        <v>52.478000000000002</v>
      </c>
      <c r="D21" s="10">
        <v>30.940999999999999</v>
      </c>
      <c r="E21" s="10">
        <v>58.707000000000001</v>
      </c>
      <c r="F21" s="10">
        <v>70.938999999999993</v>
      </c>
    </row>
    <row r="22" spans="2:6" ht="15" customHeight="1" x14ac:dyDescent="0.25">
      <c r="B22" s="6" t="s">
        <v>53</v>
      </c>
      <c r="C22" s="7">
        <v>8511.8559999999998</v>
      </c>
      <c r="D22" s="7">
        <v>8714.2430000000004</v>
      </c>
      <c r="E22" s="7">
        <v>9519.3970000000008</v>
      </c>
      <c r="F22" s="7">
        <v>10035.313</v>
      </c>
    </row>
    <row r="23" spans="2:6" ht="15" customHeight="1" x14ac:dyDescent="0.25">
      <c r="B23" s="9" t="s">
        <v>54</v>
      </c>
      <c r="C23" s="10">
        <v>7668.549</v>
      </c>
      <c r="D23" s="10">
        <v>9024.3809999999994</v>
      </c>
      <c r="E23" s="10">
        <v>8799.7749999999996</v>
      </c>
      <c r="F23" s="10">
        <v>9016.4770000000008</v>
      </c>
    </row>
    <row r="24" spans="2:6" ht="15" customHeight="1" x14ac:dyDescent="0.25">
      <c r="B24" s="9" t="s">
        <v>55</v>
      </c>
      <c r="C24" s="10">
        <v>2917.0459999999998</v>
      </c>
      <c r="D24" s="10">
        <v>2960.174</v>
      </c>
      <c r="E24" s="10">
        <v>3093.9360000000001</v>
      </c>
      <c r="F24" s="10">
        <v>3278.3539999999998</v>
      </c>
    </row>
    <row r="25" spans="2:6" ht="15" customHeight="1" x14ac:dyDescent="0.25">
      <c r="B25" s="9" t="s">
        <v>56</v>
      </c>
      <c r="C25" s="10">
        <v>536.27800000000002</v>
      </c>
      <c r="D25" s="10">
        <v>447.06700000000001</v>
      </c>
      <c r="E25" s="10">
        <v>520.51</v>
      </c>
      <c r="F25" s="10">
        <v>483.71800000000002</v>
      </c>
    </row>
    <row r="26" spans="2:6" ht="15" customHeight="1" x14ac:dyDescent="0.25">
      <c r="B26" s="9" t="s">
        <v>57</v>
      </c>
      <c r="C26" s="10">
        <v>702.04300000000001</v>
      </c>
      <c r="D26" s="10">
        <v>780.28700000000003</v>
      </c>
      <c r="E26" s="10">
        <v>836.01900000000001</v>
      </c>
      <c r="F26" s="10">
        <v>887.15300000000002</v>
      </c>
    </row>
    <row r="27" spans="2:6" ht="15" customHeight="1" x14ac:dyDescent="0.25">
      <c r="B27" s="9" t="s">
        <v>58</v>
      </c>
      <c r="C27" s="10">
        <v>0.189</v>
      </c>
      <c r="D27" s="10">
        <v>0.17499999999999999</v>
      </c>
      <c r="E27" s="10">
        <v>0.16900000000000001</v>
      </c>
      <c r="F27" s="10">
        <v>0.16600000000000001</v>
      </c>
    </row>
    <row r="28" spans="2:6" ht="15" customHeight="1" x14ac:dyDescent="0.25">
      <c r="B28" s="9" t="s">
        <v>59</v>
      </c>
      <c r="C28" s="10">
        <v>1484.992</v>
      </c>
      <c r="D28" s="10">
        <v>1621.5530000000001</v>
      </c>
      <c r="E28" s="10">
        <v>1843.779</v>
      </c>
      <c r="F28" s="10">
        <v>1967.4839999999999</v>
      </c>
    </row>
    <row r="29" spans="2:6" ht="15" customHeight="1" x14ac:dyDescent="0.25">
      <c r="B29" s="9" t="s">
        <v>60</v>
      </c>
      <c r="C29" s="10">
        <v>-2959.2779999999998</v>
      </c>
      <c r="D29" s="10">
        <v>-4424.982</v>
      </c>
      <c r="E29" s="10">
        <v>-3975.8519999999999</v>
      </c>
      <c r="F29" s="10">
        <v>-3750.078</v>
      </c>
    </row>
    <row r="30" spans="2:6" ht="15" customHeight="1" x14ac:dyDescent="0.25">
      <c r="B30" s="9" t="s">
        <v>61</v>
      </c>
      <c r="C30" s="10">
        <v>-190.83600000000001</v>
      </c>
      <c r="D30" s="10">
        <v>-361.61799999999999</v>
      </c>
      <c r="E30" s="10">
        <v>-285.01</v>
      </c>
      <c r="F30" s="10">
        <v>-137.04900000000001</v>
      </c>
    </row>
    <row r="31" spans="2:6" ht="15" customHeight="1" x14ac:dyDescent="0.25">
      <c r="B31" s="9" t="s">
        <v>62</v>
      </c>
      <c r="C31" s="10">
        <v>-2684.9609999999998</v>
      </c>
      <c r="D31" s="10">
        <v>-1584.742</v>
      </c>
      <c r="E31" s="10">
        <v>-997.399</v>
      </c>
      <c r="F31" s="10">
        <v>-865.07500000000005</v>
      </c>
    </row>
    <row r="32" spans="2:6" ht="15" customHeight="1" x14ac:dyDescent="0.25">
      <c r="B32" s="6" t="s">
        <v>63</v>
      </c>
      <c r="C32" s="7">
        <v>-4349.8940000000002</v>
      </c>
      <c r="D32" s="7">
        <v>-4749.6139999999996</v>
      </c>
      <c r="E32" s="7">
        <v>-3414.3130000000001</v>
      </c>
      <c r="F32" s="7">
        <v>-2784.5520000000001</v>
      </c>
    </row>
    <row r="33" spans="2:6" ht="15" customHeight="1" x14ac:dyDescent="0.25">
      <c r="B33" s="6" t="s">
        <v>64</v>
      </c>
      <c r="C33" s="7">
        <v>15985.878000000001</v>
      </c>
      <c r="D33" s="7">
        <v>17176.538</v>
      </c>
      <c r="E33" s="7">
        <v>19355.324000000001</v>
      </c>
      <c r="F33" s="7">
        <v>20916.463</v>
      </c>
    </row>
  </sheetData>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R71"/>
  <sheetViews>
    <sheetView showGridLines="0" zoomScaleNormal="100" workbookViewId="0">
      <selection activeCell="P22" sqref="P22"/>
    </sheetView>
  </sheetViews>
  <sheetFormatPr defaultColWidth="8.7109375" defaultRowHeight="12.75" x14ac:dyDescent="0.2"/>
  <cols>
    <col min="1" max="1" width="2" style="1" customWidth="1"/>
    <col min="2" max="2" width="46" style="1" customWidth="1"/>
    <col min="3" max="18" width="13" style="1" customWidth="1"/>
  </cols>
  <sheetData>
    <row r="1" spans="2:18" ht="17.25" customHeight="1" x14ac:dyDescent="0.3">
      <c r="B1" s="2" t="s">
        <v>65</v>
      </c>
    </row>
    <row r="2" spans="2:18" ht="15" customHeight="1" x14ac:dyDescent="0.25">
      <c r="B2" s="3" t="s">
        <v>1</v>
      </c>
    </row>
    <row r="4" spans="2:18" ht="15" customHeight="1" x14ac:dyDescent="0.25">
      <c r="B4" s="4"/>
      <c r="C4" s="5" t="s">
        <v>2</v>
      </c>
      <c r="D4" s="5" t="s">
        <v>3</v>
      </c>
      <c r="E4" s="5" t="s">
        <v>4</v>
      </c>
      <c r="F4" s="5" t="s">
        <v>5</v>
      </c>
      <c r="G4" s="5" t="s">
        <v>6</v>
      </c>
      <c r="H4" s="5" t="s">
        <v>7</v>
      </c>
      <c r="I4" s="5" t="s">
        <v>8</v>
      </c>
      <c r="J4" s="5" t="s">
        <v>9</v>
      </c>
      <c r="K4" s="5" t="s">
        <v>10</v>
      </c>
      <c r="L4" s="5" t="s">
        <v>11</v>
      </c>
      <c r="M4" s="5" t="s">
        <v>12</v>
      </c>
      <c r="N4" s="5" t="s">
        <v>13</v>
      </c>
      <c r="O4" s="5" t="s">
        <v>14</v>
      </c>
      <c r="P4" s="5" t="s">
        <v>15</v>
      </c>
      <c r="Q4" s="5" t="s">
        <v>16</v>
      </c>
      <c r="R4" s="5" t="s">
        <v>17</v>
      </c>
    </row>
    <row r="6" spans="2:18" ht="15" customHeight="1" x14ac:dyDescent="0.25">
      <c r="B6" s="6" t="s">
        <v>26</v>
      </c>
      <c r="C6" s="14">
        <f t="shared" ref="C6:C35" si="0">C42</f>
        <v>539.31799999999998</v>
      </c>
      <c r="D6" s="14">
        <f t="shared" ref="D6:E35" si="1">D42-C42</f>
        <v>476.54399999999998</v>
      </c>
      <c r="E6" s="14">
        <f t="shared" si="1"/>
        <v>647.72300000000007</v>
      </c>
      <c r="F6" s="8">
        <f>'CF Annual'!C6-E42</f>
        <v>864.84099999999989</v>
      </c>
      <c r="G6" s="14">
        <f t="shared" ref="G6:G35" si="2">F42</f>
        <v>593.46299999999997</v>
      </c>
      <c r="H6" s="14">
        <f t="shared" ref="H6:H35" si="3">G42-F42</f>
        <v>515.03</v>
      </c>
      <c r="I6" s="14">
        <f t="shared" ref="I6:I35" si="4">H42-G42</f>
        <v>651.72600000000011</v>
      </c>
      <c r="J6" s="8">
        <f>'CF Annual'!D6-H42</f>
        <v>902.20800000000008</v>
      </c>
      <c r="K6" s="14">
        <f t="shared" ref="K6:K35" si="5">I42</f>
        <v>564.93299999999999</v>
      </c>
      <c r="L6" s="14">
        <f t="shared" ref="L6:L35" si="6">J42-I42</f>
        <v>487.923</v>
      </c>
      <c r="M6" s="14">
        <f t="shared" ref="M6:M35" si="7">K42-J42</f>
        <v>608.44100000000003</v>
      </c>
      <c r="N6" s="8">
        <f>'CF Annual'!E6-K42</f>
        <v>836.94999999999982</v>
      </c>
      <c r="O6" s="14">
        <f t="shared" ref="O6:O35" si="8">L42</f>
        <v>530.82299999999998</v>
      </c>
      <c r="P6" s="14">
        <f t="shared" ref="P6:P35" si="9">M42-L42</f>
        <v>468.86</v>
      </c>
      <c r="Q6" s="14">
        <f t="shared" ref="Q6:Q35" si="10">N42-M42</f>
        <v>641.49099999999999</v>
      </c>
      <c r="R6" s="8">
        <f>'CF Annual'!F6-N42</f>
        <v>836.94999999999982</v>
      </c>
    </row>
    <row r="7" spans="2:18" ht="15" customHeight="1" x14ac:dyDescent="0.25">
      <c r="B7" s="9" t="s">
        <v>66</v>
      </c>
      <c r="C7" s="15">
        <f t="shared" si="0"/>
        <v>109.253</v>
      </c>
      <c r="D7" s="15">
        <f t="shared" si="1"/>
        <v>113.711</v>
      </c>
      <c r="E7" s="15">
        <f t="shared" si="1"/>
        <v>116.12299999999999</v>
      </c>
      <c r="F7" s="11">
        <f>'CF Annual'!C7-E43</f>
        <v>158.49</v>
      </c>
      <c r="G7" s="15">
        <f t="shared" si="2"/>
        <v>120.224</v>
      </c>
      <c r="H7" s="15">
        <f t="shared" si="3"/>
        <v>124.968</v>
      </c>
      <c r="I7" s="15">
        <f t="shared" si="4"/>
        <v>129.22399999999999</v>
      </c>
      <c r="J7" s="11">
        <f>'CF Annual'!D7-H43</f>
        <v>175.339</v>
      </c>
      <c r="K7" s="15">
        <f t="shared" si="5"/>
        <v>133.173</v>
      </c>
      <c r="L7" s="15">
        <f t="shared" si="6"/>
        <v>137.91800000000001</v>
      </c>
      <c r="M7" s="15">
        <f t="shared" si="7"/>
        <v>144.69599999999997</v>
      </c>
      <c r="N7" s="11">
        <f>'CF Annual'!E7-K43</f>
        <v>197.41199999999998</v>
      </c>
      <c r="O7" s="15">
        <f t="shared" si="8"/>
        <v>148.19399999999999</v>
      </c>
      <c r="P7" s="15">
        <f t="shared" si="9"/>
        <v>155.64000000000001</v>
      </c>
      <c r="Q7" s="15">
        <f t="shared" si="10"/>
        <v>160.29199999999997</v>
      </c>
      <c r="R7" s="11">
        <f>'CF Annual'!F7-N43</f>
        <v>197.41200000000003</v>
      </c>
    </row>
    <row r="8" spans="2:18" ht="15" customHeight="1" x14ac:dyDescent="0.25">
      <c r="B8" s="9" t="s">
        <v>67</v>
      </c>
      <c r="C8" s="15">
        <f t="shared" si="0"/>
        <v>81</v>
      </c>
      <c r="D8" s="15">
        <f t="shared" si="1"/>
        <v>10</v>
      </c>
      <c r="E8" s="15">
        <f t="shared" si="1"/>
        <v>-17</v>
      </c>
      <c r="F8" s="11">
        <f>'CF Annual'!C8-E44</f>
        <v>-30</v>
      </c>
      <c r="G8" s="15">
        <f t="shared" si="2"/>
        <v>-2</v>
      </c>
      <c r="H8" s="15">
        <f t="shared" si="3"/>
        <v>-14</v>
      </c>
      <c r="I8" s="15">
        <f t="shared" si="4"/>
        <v>-24</v>
      </c>
      <c r="J8" s="11">
        <f>'CF Annual'!D8-H44</f>
        <v>0</v>
      </c>
      <c r="K8" s="15">
        <f t="shared" si="5"/>
        <v>0</v>
      </c>
      <c r="L8" s="15">
        <f t="shared" si="6"/>
        <v>0</v>
      </c>
      <c r="M8" s="15">
        <f t="shared" si="7"/>
        <v>-16</v>
      </c>
      <c r="N8" s="11">
        <f>'CF Annual'!E8-K44</f>
        <v>80</v>
      </c>
      <c r="O8" s="15">
        <f t="shared" si="8"/>
        <v>98</v>
      </c>
      <c r="P8" s="15">
        <f t="shared" si="9"/>
        <v>59</v>
      </c>
      <c r="Q8" s="15">
        <f t="shared" si="10"/>
        <v>20</v>
      </c>
      <c r="R8" s="11">
        <f>'CF Annual'!F8-N44</f>
        <v>80</v>
      </c>
    </row>
    <row r="9" spans="2:18" ht="15" customHeight="1" x14ac:dyDescent="0.25">
      <c r="B9" s="9" t="s">
        <v>68</v>
      </c>
      <c r="C9" s="15">
        <f t="shared" si="0"/>
        <v>1.905</v>
      </c>
      <c r="D9" s="15">
        <f t="shared" si="1"/>
        <v>2.0170000000000003</v>
      </c>
      <c r="E9" s="15">
        <f t="shared" si="1"/>
        <v>2.1430000000000002</v>
      </c>
      <c r="F9" s="11">
        <f>'CF Annual'!C9-E45</f>
        <v>3.198999999999999</v>
      </c>
      <c r="G9" s="15">
        <f t="shared" si="2"/>
        <v>2.81</v>
      </c>
      <c r="H9" s="15">
        <f t="shared" si="3"/>
        <v>2.7410000000000001</v>
      </c>
      <c r="I9" s="15">
        <f t="shared" si="4"/>
        <v>2.6039999999999992</v>
      </c>
      <c r="J9" s="11">
        <f>'CF Annual'!D9-H45</f>
        <v>3.8330000000000002</v>
      </c>
      <c r="K9" s="15">
        <f t="shared" si="5"/>
        <v>3.0179999999999998</v>
      </c>
      <c r="L9" s="15">
        <f t="shared" si="6"/>
        <v>3.0430000000000001</v>
      </c>
      <c r="M9" s="15">
        <f t="shared" si="7"/>
        <v>3.0220000000000002</v>
      </c>
      <c r="N9" s="11">
        <f>'CF Annual'!E9-K45</f>
        <v>3.7569999999999997</v>
      </c>
      <c r="O9" s="15">
        <f t="shared" si="8"/>
        <v>3.21</v>
      </c>
      <c r="P9" s="15">
        <f t="shared" si="9"/>
        <v>2.7679999999999998</v>
      </c>
      <c r="Q9" s="15">
        <f t="shared" si="10"/>
        <v>2.7949999999999999</v>
      </c>
      <c r="R9" s="11">
        <f>'CF Annual'!F9-N45</f>
        <v>3.7569999999999997</v>
      </c>
    </row>
    <row r="10" spans="2:18" ht="15" customHeight="1" x14ac:dyDescent="0.25">
      <c r="B10" s="9" t="s">
        <v>69</v>
      </c>
      <c r="C10" s="15">
        <f t="shared" si="0"/>
        <v>13.816000000000001</v>
      </c>
      <c r="D10" s="15">
        <f t="shared" si="1"/>
        <v>-18.513000000000002</v>
      </c>
      <c r="E10" s="15">
        <f t="shared" si="1"/>
        <v>1.2730000000000001</v>
      </c>
      <c r="F10" s="11">
        <f>'CF Annual'!C10-E46</f>
        <v>-22.283000000000001</v>
      </c>
      <c r="G10" s="15">
        <f t="shared" si="2"/>
        <v>0.88200000000000001</v>
      </c>
      <c r="H10" s="15">
        <f t="shared" si="3"/>
        <v>5.1160000000000005</v>
      </c>
      <c r="I10" s="15">
        <f t="shared" si="4"/>
        <v>3.0179999999999998</v>
      </c>
      <c r="J10" s="11">
        <f>'CF Annual'!D10-H46</f>
        <v>-263.40899999999999</v>
      </c>
      <c r="K10" s="15">
        <f t="shared" si="5"/>
        <v>-4.8310000000000004</v>
      </c>
      <c r="L10" s="15">
        <f t="shared" si="6"/>
        <v>-38.902999999999999</v>
      </c>
      <c r="M10" s="15">
        <f t="shared" si="7"/>
        <v>-15.585999999999999</v>
      </c>
      <c r="N10" s="11">
        <f>'CF Annual'!E10-K46</f>
        <v>174.709</v>
      </c>
      <c r="O10" s="15">
        <f t="shared" si="8"/>
        <v>-41.723999999999997</v>
      </c>
      <c r="P10" s="15">
        <f t="shared" si="9"/>
        <v>-95.352000000000004</v>
      </c>
      <c r="Q10" s="15">
        <f t="shared" si="10"/>
        <v>-20.658000000000015</v>
      </c>
      <c r="R10" s="11">
        <f>'CF Annual'!F10-N46</f>
        <v>174.709</v>
      </c>
    </row>
    <row r="11" spans="2:18" ht="15" customHeight="1" x14ac:dyDescent="0.25">
      <c r="B11" s="9" t="s">
        <v>70</v>
      </c>
      <c r="C11" s="15">
        <f t="shared" si="0"/>
        <v>19.004999999999999</v>
      </c>
      <c r="D11" s="15">
        <f t="shared" si="1"/>
        <v>23.373999999999999</v>
      </c>
      <c r="E11" s="15">
        <f t="shared" si="1"/>
        <v>20.010000000000005</v>
      </c>
      <c r="F11" s="11">
        <f>'CF Annual'!C11-E47</f>
        <v>30.698</v>
      </c>
      <c r="G11" s="15">
        <f t="shared" si="2"/>
        <v>22.913</v>
      </c>
      <c r="H11" s="15">
        <f t="shared" si="3"/>
        <v>23.047999999999998</v>
      </c>
      <c r="I11" s="15">
        <f t="shared" si="4"/>
        <v>25.352999999999994</v>
      </c>
      <c r="J11" s="11">
        <f>'CF Annual'!D11-H47</f>
        <v>34.932000000000002</v>
      </c>
      <c r="K11" s="15">
        <f t="shared" si="5"/>
        <v>26.117000000000001</v>
      </c>
      <c r="L11" s="15">
        <f t="shared" si="6"/>
        <v>30.446000000000002</v>
      </c>
      <c r="M11" s="15">
        <f t="shared" si="7"/>
        <v>29.021000000000001</v>
      </c>
      <c r="N11" s="11">
        <f>'CF Annual'!E11-K47</f>
        <v>39.132999999999996</v>
      </c>
      <c r="O11" s="15">
        <f t="shared" si="8"/>
        <v>30.727</v>
      </c>
      <c r="P11" s="15">
        <f t="shared" si="9"/>
        <v>36.74199999999999</v>
      </c>
      <c r="Q11" s="15">
        <f t="shared" si="10"/>
        <v>30.172000000000011</v>
      </c>
      <c r="R11" s="11">
        <f>'CF Annual'!F11-N47</f>
        <v>39.132999999999996</v>
      </c>
    </row>
    <row r="12" spans="2:18" ht="15" customHeight="1" x14ac:dyDescent="0.25">
      <c r="B12" s="9" t="s">
        <v>38</v>
      </c>
      <c r="C12" s="15">
        <f t="shared" si="0"/>
        <v>4.0999999999999996</v>
      </c>
      <c r="D12" s="15">
        <f t="shared" si="1"/>
        <v>18.173000000000002</v>
      </c>
      <c r="E12" s="15">
        <f t="shared" si="1"/>
        <v>16.044</v>
      </c>
      <c r="F12" s="11">
        <f>'CF Annual'!C12-E48</f>
        <v>-44.991</v>
      </c>
      <c r="G12" s="15">
        <f t="shared" si="2"/>
        <v>6.8559999999999999</v>
      </c>
      <c r="H12" s="15">
        <f t="shared" si="3"/>
        <v>11.508000000000001</v>
      </c>
      <c r="I12" s="15">
        <f t="shared" si="4"/>
        <v>-84.914000000000001</v>
      </c>
      <c r="J12" s="11">
        <f>'CF Annual'!D12-H48</f>
        <v>28.268000000000001</v>
      </c>
      <c r="K12" s="15">
        <f t="shared" si="5"/>
        <v>9.8729999999999993</v>
      </c>
      <c r="L12" s="15">
        <f t="shared" si="6"/>
        <v>-64.448000000000008</v>
      </c>
      <c r="M12" s="15">
        <f t="shared" si="7"/>
        <v>12.755000000000003</v>
      </c>
      <c r="N12" s="11">
        <f>'CF Annual'!E12-K48</f>
        <v>-76.786000000000001</v>
      </c>
      <c r="O12" s="15">
        <f t="shared" si="8"/>
        <v>36.700000000000003</v>
      </c>
      <c r="P12" s="15">
        <f t="shared" si="9"/>
        <v>-57.041000000000004</v>
      </c>
      <c r="Q12" s="15">
        <f t="shared" si="10"/>
        <v>-66.265999999999991</v>
      </c>
      <c r="R12" s="11">
        <f>'CF Annual'!F12-N48</f>
        <v>-76.786000000000001</v>
      </c>
    </row>
    <row r="13" spans="2:18" ht="15" customHeight="1" x14ac:dyDescent="0.25">
      <c r="B13" s="9" t="s">
        <v>39</v>
      </c>
      <c r="C13" s="15">
        <f t="shared" si="0"/>
        <v>-39.308</v>
      </c>
      <c r="D13" s="15">
        <f t="shared" si="1"/>
        <v>-122.238</v>
      </c>
      <c r="E13" s="15">
        <f t="shared" si="1"/>
        <v>68.382999999999996</v>
      </c>
      <c r="F13" s="11">
        <f>'CF Annual'!C13-E49</f>
        <v>3.9829999999999899</v>
      </c>
      <c r="G13" s="15">
        <f t="shared" si="2"/>
        <v>-21.899000000000001</v>
      </c>
      <c r="H13" s="15">
        <f t="shared" si="3"/>
        <v>-176.52600000000001</v>
      </c>
      <c r="I13" s="15">
        <f t="shared" si="4"/>
        <v>-155.38799999999998</v>
      </c>
      <c r="J13" s="11">
        <f>'CF Annual'!D13-H49</f>
        <v>-99.288000000000011</v>
      </c>
      <c r="K13" s="15">
        <f t="shared" si="5"/>
        <v>-136.18100000000001</v>
      </c>
      <c r="L13" s="15">
        <f t="shared" si="6"/>
        <v>-317.928</v>
      </c>
      <c r="M13" s="15">
        <f t="shared" si="7"/>
        <v>-188.20800000000003</v>
      </c>
      <c r="N13" s="11">
        <f>'CF Annual'!E13-K49</f>
        <v>-251.59100000000001</v>
      </c>
      <c r="O13" s="15">
        <f t="shared" si="8"/>
        <v>-205.33500000000001</v>
      </c>
      <c r="P13" s="15">
        <f t="shared" si="9"/>
        <v>-347.03800000000001</v>
      </c>
      <c r="Q13" s="15">
        <f t="shared" si="10"/>
        <v>-104.13499999999999</v>
      </c>
      <c r="R13" s="11">
        <f>'CF Annual'!F13-N49</f>
        <v>-251.59100000000001</v>
      </c>
    </row>
    <row r="14" spans="2:18" ht="15" customHeight="1" x14ac:dyDescent="0.25">
      <c r="B14" s="9" t="s">
        <v>71</v>
      </c>
      <c r="C14" s="15">
        <f t="shared" si="0"/>
        <v>6.5739999999999998</v>
      </c>
      <c r="D14" s="15">
        <f t="shared" si="1"/>
        <v>-117.88500000000001</v>
      </c>
      <c r="E14" s="15">
        <f t="shared" si="1"/>
        <v>-128.589</v>
      </c>
      <c r="F14" s="11">
        <f>'CF Annual'!C14-E50</f>
        <v>56.221000000000004</v>
      </c>
      <c r="G14" s="15">
        <f t="shared" si="2"/>
        <v>33.762</v>
      </c>
      <c r="H14" s="15">
        <f t="shared" si="3"/>
        <v>-50.823999999999998</v>
      </c>
      <c r="I14" s="15">
        <f t="shared" si="4"/>
        <v>143.55000000000001</v>
      </c>
      <c r="J14" s="11">
        <f>'CF Annual'!D14-H50</f>
        <v>117.64599999999999</v>
      </c>
      <c r="K14" s="15">
        <f t="shared" si="5"/>
        <v>170.03200000000001</v>
      </c>
      <c r="L14" s="15">
        <f t="shared" si="6"/>
        <v>279.755</v>
      </c>
      <c r="M14" s="15">
        <f t="shared" si="7"/>
        <v>153.82600000000008</v>
      </c>
      <c r="N14" s="11">
        <f>'CF Annual'!E14-K50</f>
        <v>53.794999999999959</v>
      </c>
      <c r="O14" s="15">
        <f t="shared" si="8"/>
        <v>243.49</v>
      </c>
      <c r="P14" s="15">
        <f t="shared" si="9"/>
        <v>-7.7340000000000089</v>
      </c>
      <c r="Q14" s="15">
        <f t="shared" si="10"/>
        <v>111.71200000000002</v>
      </c>
      <c r="R14" s="11">
        <f>'CF Annual'!F14-N50</f>
        <v>53.794999999999959</v>
      </c>
    </row>
    <row r="15" spans="2:18" ht="15" customHeight="1" x14ac:dyDescent="0.25">
      <c r="B15" s="9" t="s">
        <v>72</v>
      </c>
      <c r="C15" s="15">
        <f t="shared" si="0"/>
        <v>73.953999999999994</v>
      </c>
      <c r="D15" s="15">
        <f t="shared" si="1"/>
        <v>13.446000000000012</v>
      </c>
      <c r="E15" s="15">
        <f t="shared" si="1"/>
        <v>-23.359000000000009</v>
      </c>
      <c r="F15" s="11">
        <f>'CF Annual'!C15-E51</f>
        <v>28.790999999999997</v>
      </c>
      <c r="G15" s="15">
        <f t="shared" si="2"/>
        <v>96.793000000000006</v>
      </c>
      <c r="H15" s="15">
        <f t="shared" si="3"/>
        <v>-0.51100000000000989</v>
      </c>
      <c r="I15" s="15">
        <f t="shared" si="4"/>
        <v>-26.536000000000001</v>
      </c>
      <c r="J15" s="11">
        <f>'CF Annual'!D15-H51</f>
        <v>226.65200000000004</v>
      </c>
      <c r="K15" s="15">
        <f t="shared" si="5"/>
        <v>103.01900000000001</v>
      </c>
      <c r="L15" s="15">
        <f t="shared" si="6"/>
        <v>67.570999999999998</v>
      </c>
      <c r="M15" s="15">
        <f t="shared" si="7"/>
        <v>-34.637</v>
      </c>
      <c r="N15" s="11">
        <f>'CF Annual'!E15-K51</f>
        <v>-67.506</v>
      </c>
      <c r="O15" s="15">
        <f t="shared" si="8"/>
        <v>114.578</v>
      </c>
      <c r="P15" s="15">
        <f t="shared" si="9"/>
        <v>70.596000000000004</v>
      </c>
      <c r="Q15" s="15">
        <f t="shared" si="10"/>
        <v>21.034999999999997</v>
      </c>
      <c r="R15" s="11">
        <f>'CF Annual'!F15-N51</f>
        <v>-67.506</v>
      </c>
    </row>
    <row r="16" spans="2:18" ht="15" customHeight="1" x14ac:dyDescent="0.25">
      <c r="B16" s="9" t="s">
        <v>73</v>
      </c>
      <c r="C16" s="15">
        <f t="shared" si="0"/>
        <v>-16.03</v>
      </c>
      <c r="D16" s="15">
        <f t="shared" si="1"/>
        <v>-44.155000000000001</v>
      </c>
      <c r="E16" s="15">
        <f t="shared" si="1"/>
        <v>21.964000000000006</v>
      </c>
      <c r="F16" s="11">
        <f>'CF Annual'!C16-E52</f>
        <v>19.062999999999995</v>
      </c>
      <c r="G16" s="15">
        <f t="shared" si="2"/>
        <v>-23.545000000000002</v>
      </c>
      <c r="H16" s="15">
        <f t="shared" si="3"/>
        <v>-6.4229999999999983</v>
      </c>
      <c r="I16" s="15">
        <f t="shared" si="4"/>
        <v>4.843</v>
      </c>
      <c r="J16" s="11">
        <f>'CF Annual'!D16-H52</f>
        <v>-55.930999999999997</v>
      </c>
      <c r="K16" s="15">
        <f t="shared" si="5"/>
        <v>-57.35</v>
      </c>
      <c r="L16" s="15">
        <f t="shared" si="6"/>
        <v>-1.6280000000000001</v>
      </c>
      <c r="M16" s="15">
        <f t="shared" si="7"/>
        <v>71.7</v>
      </c>
      <c r="N16" s="11">
        <f>'CF Annual'!E16-K52</f>
        <v>-37.118000000000002</v>
      </c>
      <c r="O16" s="15">
        <f t="shared" si="8"/>
        <v>-14.492000000000001</v>
      </c>
      <c r="P16" s="15">
        <f t="shared" si="9"/>
        <v>86.988</v>
      </c>
      <c r="Q16" s="15">
        <f t="shared" si="10"/>
        <v>5.5490000000000066</v>
      </c>
      <c r="R16" s="11">
        <f>'CF Annual'!F16-N52</f>
        <v>-37.118000000000002</v>
      </c>
    </row>
    <row r="17" spans="2:18" ht="15" customHeight="1" x14ac:dyDescent="0.25">
      <c r="B17" s="6" t="s">
        <v>74</v>
      </c>
      <c r="C17" s="14">
        <f t="shared" si="0"/>
        <v>793.58699999999999</v>
      </c>
      <c r="D17" s="14">
        <f t="shared" si="1"/>
        <v>354.47399999999993</v>
      </c>
      <c r="E17" s="14">
        <f t="shared" si="1"/>
        <v>724.71500000000015</v>
      </c>
      <c r="F17" s="8">
        <f>'CF Annual'!C17-E53</f>
        <v>1068.0119999999999</v>
      </c>
      <c r="G17" s="14">
        <f t="shared" si="2"/>
        <v>830.25900000000001</v>
      </c>
      <c r="H17" s="14">
        <f t="shared" si="3"/>
        <v>434.12699999999995</v>
      </c>
      <c r="I17" s="14">
        <f t="shared" si="4"/>
        <v>669.48</v>
      </c>
      <c r="J17" s="8">
        <f>'CF Annual'!D17-H53</f>
        <v>1070.25</v>
      </c>
      <c r="K17" s="14">
        <f t="shared" si="5"/>
        <v>811.803</v>
      </c>
      <c r="L17" s="14">
        <f t="shared" si="6"/>
        <v>583.74899999999991</v>
      </c>
      <c r="M17" s="14">
        <f t="shared" si="7"/>
        <v>769.03</v>
      </c>
      <c r="N17" s="8">
        <f>'CF Annual'!E17-K53</f>
        <v>952.75500000000011</v>
      </c>
      <c r="O17" s="14">
        <f t="shared" si="8"/>
        <v>944.17100000000005</v>
      </c>
      <c r="P17" s="14">
        <f t="shared" si="9"/>
        <v>373.42899999999986</v>
      </c>
      <c r="Q17" s="14">
        <f t="shared" si="10"/>
        <v>801.98700000000008</v>
      </c>
      <c r="R17" s="8">
        <f>'CF Annual'!F17-N53</f>
        <v>952.75500000000011</v>
      </c>
    </row>
    <row r="18" spans="2:18" ht="15" customHeight="1" x14ac:dyDescent="0.25">
      <c r="B18" s="9" t="s">
        <v>75</v>
      </c>
      <c r="C18" s="15">
        <f t="shared" si="0"/>
        <v>-114.39700000000001</v>
      </c>
      <c r="D18" s="15">
        <f t="shared" si="1"/>
        <v>-144.83699999999999</v>
      </c>
      <c r="E18" s="15">
        <f t="shared" si="1"/>
        <v>-171.20699999999999</v>
      </c>
      <c r="F18" s="11">
        <f>'CF Annual'!C18-E54</f>
        <v>-366.21600000000007</v>
      </c>
      <c r="G18" s="15">
        <f t="shared" si="2"/>
        <v>-235.428</v>
      </c>
      <c r="H18" s="15">
        <f t="shared" si="3"/>
        <v>-255.37900000000002</v>
      </c>
      <c r="I18" s="15">
        <f t="shared" si="4"/>
        <v>-235.10299999999995</v>
      </c>
      <c r="J18" s="11">
        <f>'CF Annual'!D18-H54</f>
        <v>-346.78599999999994</v>
      </c>
      <c r="K18" s="15">
        <f t="shared" si="5"/>
        <v>-247.035</v>
      </c>
      <c r="L18" s="15">
        <f t="shared" si="6"/>
        <v>-292.702</v>
      </c>
      <c r="M18" s="15">
        <f t="shared" si="7"/>
        <v>-345.88600000000008</v>
      </c>
      <c r="N18" s="11">
        <f>'CF Annual'!E18-K54</f>
        <v>-441.63400000000001</v>
      </c>
      <c r="O18" s="15">
        <f t="shared" si="8"/>
        <v>-314.173</v>
      </c>
      <c r="P18" s="15">
        <f t="shared" si="9"/>
        <v>-337.80399999999997</v>
      </c>
      <c r="Q18" s="15">
        <f t="shared" si="10"/>
        <v>-345.50900000000001</v>
      </c>
      <c r="R18" s="11">
        <f>'CF Annual'!F18-N54</f>
        <v>-441.6339999999999</v>
      </c>
    </row>
    <row r="19" spans="2:18" ht="15" customHeight="1" x14ac:dyDescent="0.25">
      <c r="B19" s="9" t="s">
        <v>76</v>
      </c>
      <c r="C19" s="15">
        <f t="shared" si="0"/>
        <v>-11.989000000000001</v>
      </c>
      <c r="D19" s="15">
        <f t="shared" si="1"/>
        <v>-2.0109999999999992</v>
      </c>
      <c r="E19" s="15">
        <f t="shared" si="1"/>
        <v>-34.445</v>
      </c>
      <c r="F19" s="11">
        <f>'CF Annual'!C19-E55</f>
        <v>-18.472000000000001</v>
      </c>
      <c r="G19" s="15">
        <f t="shared" si="2"/>
        <v>-4.1150000000000002</v>
      </c>
      <c r="H19" s="15">
        <f t="shared" si="3"/>
        <v>-9.923</v>
      </c>
      <c r="I19" s="15">
        <f t="shared" si="4"/>
        <v>-3.5129999999999981</v>
      </c>
      <c r="J19" s="11">
        <f>'CF Annual'!D19-H55</f>
        <v>-21.206</v>
      </c>
      <c r="K19" s="15">
        <f t="shared" si="5"/>
        <v>-12.311</v>
      </c>
      <c r="L19" s="15">
        <f t="shared" si="6"/>
        <v>-18.946999999999999</v>
      </c>
      <c r="M19" s="15">
        <f t="shared" si="7"/>
        <v>-22.992000000000001</v>
      </c>
      <c r="N19" s="11">
        <f>'CF Annual'!E19-K55</f>
        <v>-10.254000000000005</v>
      </c>
      <c r="O19" s="15">
        <f t="shared" si="8"/>
        <v>-12.624000000000001</v>
      </c>
      <c r="P19" s="15">
        <f t="shared" si="9"/>
        <v>-10.333</v>
      </c>
      <c r="Q19" s="15">
        <f t="shared" si="10"/>
        <v>-12.488999999999997</v>
      </c>
      <c r="R19" s="11">
        <f>'CF Annual'!F19-N55</f>
        <v>-10.254000000000005</v>
      </c>
    </row>
    <row r="20" spans="2:18" ht="15" customHeight="1" x14ac:dyDescent="0.25">
      <c r="B20" s="9" t="s">
        <v>77</v>
      </c>
      <c r="C20" s="15">
        <f t="shared" si="0"/>
        <v>4.8929999999999998</v>
      </c>
      <c r="D20" s="15">
        <f t="shared" si="1"/>
        <v>-1.4429999999999996</v>
      </c>
      <c r="E20" s="15">
        <f t="shared" si="1"/>
        <v>34.093999999999994</v>
      </c>
      <c r="F20" s="11">
        <f>'CF Annual'!C20-E56</f>
        <v>20.813000000000002</v>
      </c>
      <c r="G20" s="15">
        <f t="shared" si="2"/>
        <v>1.944</v>
      </c>
      <c r="H20" s="15">
        <f t="shared" si="3"/>
        <v>10.681999999999999</v>
      </c>
      <c r="I20" s="15">
        <f t="shared" si="4"/>
        <v>8.6190000000000015</v>
      </c>
      <c r="J20" s="11">
        <f>'CF Annual'!D20-H56</f>
        <v>19.603999999999996</v>
      </c>
      <c r="K20" s="15">
        <f t="shared" si="5"/>
        <v>12.614000000000001</v>
      </c>
      <c r="L20" s="15">
        <f t="shared" si="6"/>
        <v>17.486000000000001</v>
      </c>
      <c r="M20" s="15">
        <f t="shared" si="7"/>
        <v>24.726999999999997</v>
      </c>
      <c r="N20" s="11">
        <f>'CF Annual'!E20-K56</f>
        <v>8.4990000000000023</v>
      </c>
      <c r="O20" s="15">
        <f t="shared" si="8"/>
        <v>6.2880000000000003</v>
      </c>
      <c r="P20" s="15">
        <f t="shared" si="9"/>
        <v>2.5570000000000004</v>
      </c>
      <c r="Q20" s="15">
        <f t="shared" si="10"/>
        <v>8.827</v>
      </c>
      <c r="R20" s="11">
        <f>'CF Annual'!F20-N56</f>
        <v>8.4989999999999988</v>
      </c>
    </row>
    <row r="21" spans="2:18" ht="15" customHeight="1" x14ac:dyDescent="0.25">
      <c r="B21" s="9" t="s">
        <v>78</v>
      </c>
      <c r="C21" s="15">
        <f t="shared" si="0"/>
        <v>-2.4740000000000002</v>
      </c>
      <c r="D21" s="15">
        <f t="shared" si="1"/>
        <v>-9.5960000000000001</v>
      </c>
      <c r="E21" s="15">
        <f t="shared" si="1"/>
        <v>-38.615000000000002</v>
      </c>
      <c r="F21" s="11">
        <f>'CF Annual'!C21-E57</f>
        <v>-47.317999999999998</v>
      </c>
      <c r="G21" s="15">
        <f t="shared" si="2"/>
        <v>-41.15</v>
      </c>
      <c r="H21" s="15">
        <f t="shared" si="3"/>
        <v>-1.3719999999999999</v>
      </c>
      <c r="I21" s="15">
        <f t="shared" si="4"/>
        <v>-150.80500000000001</v>
      </c>
      <c r="J21" s="11">
        <f>'CF Annual'!D21-H57</f>
        <v>-34.167000000000002</v>
      </c>
      <c r="K21" s="15">
        <f t="shared" si="5"/>
        <v>-31.018000000000001</v>
      </c>
      <c r="L21" s="15">
        <f t="shared" si="6"/>
        <v>-6.3629999999999995</v>
      </c>
      <c r="M21" s="15">
        <f t="shared" si="7"/>
        <v>-13.042999999999999</v>
      </c>
      <c r="N21" s="11">
        <f>'CF Annual'!E21-K57</f>
        <v>-61.390999999999998</v>
      </c>
      <c r="O21" s="15">
        <f t="shared" si="8"/>
        <v>-5.1059999999999999</v>
      </c>
      <c r="P21" s="15">
        <f t="shared" si="9"/>
        <v>-4.5779999999999994</v>
      </c>
      <c r="Q21" s="15">
        <f t="shared" si="10"/>
        <v>0.46799999999999997</v>
      </c>
      <c r="R21" s="11">
        <f>'CF Annual'!F21-N57</f>
        <v>-61.390999999999998</v>
      </c>
    </row>
    <row r="22" spans="2:18" ht="15" customHeight="1" x14ac:dyDescent="0.25">
      <c r="B22" s="9" t="s">
        <v>79</v>
      </c>
      <c r="C22" s="15">
        <f t="shared" si="0"/>
        <v>10.08</v>
      </c>
      <c r="D22" s="15">
        <f t="shared" si="1"/>
        <v>1.766</v>
      </c>
      <c r="E22" s="15">
        <f t="shared" si="1"/>
        <v>1.2050000000000001</v>
      </c>
      <c r="F22" s="11">
        <f>'CF Annual'!C22-E58</f>
        <v>13.991000000000001</v>
      </c>
      <c r="G22" s="15">
        <f t="shared" si="2"/>
        <v>8.2349999999999994</v>
      </c>
      <c r="H22" s="15">
        <f t="shared" si="3"/>
        <v>-17.488</v>
      </c>
      <c r="I22" s="15">
        <f t="shared" si="4"/>
        <v>8.5380000000000003</v>
      </c>
      <c r="J22" s="11">
        <f>'CF Annual'!D22-H58</f>
        <v>12.307</v>
      </c>
      <c r="K22" s="15">
        <f t="shared" si="5"/>
        <v>12.000999999999999</v>
      </c>
      <c r="L22" s="15">
        <f t="shared" si="6"/>
        <v>2.8559999999999999</v>
      </c>
      <c r="M22" s="15">
        <f t="shared" si="7"/>
        <v>3.3520000000000003</v>
      </c>
      <c r="N22" s="11">
        <f>'CF Annual'!E22-K58</f>
        <v>21.611000000000001</v>
      </c>
      <c r="O22" s="15">
        <f t="shared" si="8"/>
        <v>-1.091</v>
      </c>
      <c r="P22" s="15">
        <f t="shared" si="9"/>
        <v>9.3689999999999998</v>
      </c>
      <c r="Q22" s="15">
        <f t="shared" si="10"/>
        <v>3.1099999999999994</v>
      </c>
      <c r="R22" s="11">
        <f>'CF Annual'!F22-N58</f>
        <v>21.611000000000004</v>
      </c>
    </row>
    <row r="23" spans="2:18" ht="15" customHeight="1" x14ac:dyDescent="0.25">
      <c r="B23" s="6" t="s">
        <v>80</v>
      </c>
      <c r="C23" s="14">
        <f t="shared" si="0"/>
        <v>-113.887</v>
      </c>
      <c r="D23" s="14">
        <f t="shared" si="1"/>
        <v>-156.12099999999998</v>
      </c>
      <c r="E23" s="14">
        <f t="shared" si="1"/>
        <v>-208.96800000000002</v>
      </c>
      <c r="F23" s="8">
        <f>'CF Annual'!C23-E59</f>
        <v>-397.202</v>
      </c>
      <c r="G23" s="14">
        <f t="shared" si="2"/>
        <v>-270.51400000000001</v>
      </c>
      <c r="H23" s="14">
        <f t="shared" si="3"/>
        <v>-273.48</v>
      </c>
      <c r="I23" s="14">
        <f t="shared" si="4"/>
        <v>-372.26400000000001</v>
      </c>
      <c r="J23" s="8">
        <f>'CF Annual'!D23-H59</f>
        <v>-370.24800000000005</v>
      </c>
      <c r="K23" s="14">
        <f t="shared" si="5"/>
        <v>-265.74900000000002</v>
      </c>
      <c r="L23" s="14">
        <f t="shared" si="6"/>
        <v>-297.66999999999996</v>
      </c>
      <c r="M23" s="14">
        <f t="shared" si="7"/>
        <v>-353.84199999999998</v>
      </c>
      <c r="N23" s="8">
        <f>'CF Annual'!E23-K59</f>
        <v>-483.1690000000001</v>
      </c>
      <c r="O23" s="14">
        <f t="shared" si="8"/>
        <v>-326.70600000000002</v>
      </c>
      <c r="P23" s="14">
        <f t="shared" si="9"/>
        <v>-340.78899999999999</v>
      </c>
      <c r="Q23" s="14">
        <f t="shared" si="10"/>
        <v>-345.59299999999996</v>
      </c>
      <c r="R23" s="8">
        <f>'CF Annual'!F23-N59</f>
        <v>-483.1690000000001</v>
      </c>
    </row>
    <row r="24" spans="2:18" ht="15" customHeight="1" x14ac:dyDescent="0.25">
      <c r="B24" s="9" t="s">
        <v>81</v>
      </c>
      <c r="C24" s="15">
        <f t="shared" si="0"/>
        <v>204.9</v>
      </c>
      <c r="D24" s="15">
        <f t="shared" si="1"/>
        <v>22.699999999999989</v>
      </c>
      <c r="E24" s="15">
        <f t="shared" si="1"/>
        <v>296.39999999999998</v>
      </c>
      <c r="F24" s="11">
        <f>'CF Annual'!C24-E60</f>
        <v>82.200000000000045</v>
      </c>
      <c r="G24" s="15">
        <f t="shared" si="2"/>
        <v>-76.900000000000006</v>
      </c>
      <c r="H24" s="15">
        <f t="shared" si="3"/>
        <v>44.672000000000004</v>
      </c>
      <c r="I24" s="15">
        <f t="shared" si="4"/>
        <v>663.52799999999991</v>
      </c>
      <c r="J24" s="11">
        <f>'CF Annual'!D24-H60</f>
        <v>-1260.9000000000001</v>
      </c>
      <c r="K24" s="15">
        <f t="shared" si="5"/>
        <v>-15</v>
      </c>
      <c r="L24" s="15">
        <f t="shared" si="6"/>
        <v>37</v>
      </c>
      <c r="M24" s="15">
        <f t="shared" si="7"/>
        <v>203.5</v>
      </c>
      <c r="N24" s="11">
        <f>'CF Annual'!E24-K60</f>
        <v>-56.900000000000006</v>
      </c>
      <c r="O24" s="15">
        <f t="shared" si="8"/>
        <v>-179.1</v>
      </c>
      <c r="P24" s="15">
        <f t="shared" si="9"/>
        <v>281.5</v>
      </c>
      <c r="Q24" s="15">
        <f t="shared" si="10"/>
        <v>507</v>
      </c>
      <c r="R24" s="11">
        <f>'CF Annual'!F24-N60</f>
        <v>-56.899999999999977</v>
      </c>
    </row>
    <row r="25" spans="2:18" ht="15" customHeight="1" x14ac:dyDescent="0.25">
      <c r="B25" s="9" t="s">
        <v>82</v>
      </c>
      <c r="C25" s="15">
        <f t="shared" si="0"/>
        <v>0</v>
      </c>
      <c r="D25" s="15">
        <f t="shared" si="1"/>
        <v>1000</v>
      </c>
      <c r="E25" s="15">
        <f t="shared" si="1"/>
        <v>0</v>
      </c>
      <c r="F25" s="11">
        <f>'CF Annual'!C25-E61</f>
        <v>750</v>
      </c>
      <c r="G25" s="15">
        <f t="shared" si="2"/>
        <v>1000</v>
      </c>
      <c r="H25" s="15">
        <f t="shared" si="3"/>
        <v>0</v>
      </c>
      <c r="I25" s="15">
        <f t="shared" si="4"/>
        <v>0</v>
      </c>
      <c r="J25" s="11">
        <f>'CF Annual'!D25-H61</f>
        <v>1300</v>
      </c>
      <c r="K25" s="15">
        <f t="shared" si="5"/>
        <v>0</v>
      </c>
      <c r="L25" s="15">
        <f t="shared" si="6"/>
        <v>0</v>
      </c>
      <c r="M25" s="15">
        <f t="shared" si="7"/>
        <v>500</v>
      </c>
      <c r="N25" s="11">
        <f>'CF Annual'!E25-K61</f>
        <v>0</v>
      </c>
      <c r="O25" s="15">
        <f t="shared" si="8"/>
        <v>0</v>
      </c>
      <c r="P25" s="15">
        <f t="shared" si="9"/>
        <v>0</v>
      </c>
      <c r="Q25" s="15">
        <f t="shared" si="10"/>
        <v>0</v>
      </c>
      <c r="R25" s="11">
        <f>'CF Annual'!F25-N61</f>
        <v>0</v>
      </c>
    </row>
    <row r="26" spans="2:18" ht="15" customHeight="1" x14ac:dyDescent="0.25">
      <c r="B26" s="9" t="s">
        <v>83</v>
      </c>
      <c r="C26" s="15">
        <f t="shared" si="0"/>
        <v>0</v>
      </c>
      <c r="D26" s="15">
        <f t="shared" si="1"/>
        <v>0</v>
      </c>
      <c r="E26" s="15">
        <f t="shared" si="1"/>
        <v>0</v>
      </c>
      <c r="F26" s="11">
        <f>'CF Annual'!C26-E62</f>
        <v>-800</v>
      </c>
      <c r="G26" s="15">
        <f t="shared" si="2"/>
        <v>0</v>
      </c>
      <c r="H26" s="15">
        <f t="shared" si="3"/>
        <v>0</v>
      </c>
      <c r="I26" s="15">
        <f t="shared" si="4"/>
        <v>-300</v>
      </c>
      <c r="J26" s="11">
        <f>'CF Annual'!D26-H62</f>
        <v>0</v>
      </c>
      <c r="K26" s="15">
        <f t="shared" si="5"/>
        <v>0</v>
      </c>
      <c r="L26" s="15">
        <f t="shared" si="6"/>
        <v>0</v>
      </c>
      <c r="M26" s="15">
        <f t="shared" si="7"/>
        <v>-900</v>
      </c>
      <c r="N26" s="11">
        <f>'CF Annual'!E26-K62</f>
        <v>0</v>
      </c>
      <c r="O26" s="15">
        <f t="shared" si="8"/>
        <v>0</v>
      </c>
      <c r="P26" s="15">
        <f t="shared" si="9"/>
        <v>0</v>
      </c>
      <c r="Q26" s="15">
        <f t="shared" si="10"/>
        <v>-400</v>
      </c>
      <c r="R26" s="11">
        <f>'CF Annual'!F26-N62</f>
        <v>0</v>
      </c>
    </row>
    <row r="27" spans="2:18" ht="15" customHeight="1" x14ac:dyDescent="0.25">
      <c r="B27" s="9" t="s">
        <v>84</v>
      </c>
      <c r="C27" s="15">
        <f t="shared" si="0"/>
        <v>40.828000000000003</v>
      </c>
      <c r="D27" s="15">
        <f t="shared" si="1"/>
        <v>31.929999999999993</v>
      </c>
      <c r="E27" s="15">
        <f t="shared" si="1"/>
        <v>82.105000000000004</v>
      </c>
      <c r="F27" s="11">
        <f>'CF Annual'!C27-E63</f>
        <v>27.631</v>
      </c>
      <c r="G27" s="15">
        <f t="shared" si="2"/>
        <v>41.448</v>
      </c>
      <c r="H27" s="15">
        <f t="shared" si="3"/>
        <v>56.889999999999993</v>
      </c>
      <c r="I27" s="15">
        <f t="shared" si="4"/>
        <v>56.028999999999996</v>
      </c>
      <c r="J27" s="11">
        <f>'CF Annual'!D27-H63</f>
        <v>21.869</v>
      </c>
      <c r="K27" s="15">
        <f t="shared" si="5"/>
        <v>36.002000000000002</v>
      </c>
      <c r="L27" s="15">
        <f t="shared" si="6"/>
        <v>28.300000000000004</v>
      </c>
      <c r="M27" s="15">
        <f t="shared" si="7"/>
        <v>46.705999999999989</v>
      </c>
      <c r="N27" s="11">
        <f>'CF Annual'!E27-K63</f>
        <v>61.289000000000001</v>
      </c>
      <c r="O27" s="15">
        <f t="shared" si="8"/>
        <v>31.858000000000001</v>
      </c>
      <c r="P27" s="15">
        <f t="shared" si="9"/>
        <v>19.605</v>
      </c>
      <c r="Q27" s="15">
        <f t="shared" si="10"/>
        <v>16.277999999999999</v>
      </c>
      <c r="R27" s="11">
        <f>'CF Annual'!F27-N63</f>
        <v>61.289000000000001</v>
      </c>
    </row>
    <row r="28" spans="2:18" ht="15" customHeight="1" x14ac:dyDescent="0.25">
      <c r="B28" s="9" t="s">
        <v>85</v>
      </c>
      <c r="C28" s="15">
        <f t="shared" si="0"/>
        <v>-899.99800000000005</v>
      </c>
      <c r="D28" s="15">
        <f t="shared" si="1"/>
        <v>-899.99900000000002</v>
      </c>
      <c r="E28" s="15">
        <f t="shared" si="1"/>
        <v>-899.99900000000002</v>
      </c>
      <c r="F28" s="11">
        <f>'CF Annual'!C28-E64</f>
        <v>-999.55600000000004</v>
      </c>
      <c r="G28" s="15">
        <f t="shared" si="2"/>
        <v>-1486.876</v>
      </c>
      <c r="H28" s="15">
        <f t="shared" si="3"/>
        <v>-222.15800000000013</v>
      </c>
      <c r="I28" s="15">
        <f t="shared" si="4"/>
        <v>-728.14199999999983</v>
      </c>
      <c r="J28" s="11">
        <f>'CF Annual'!D28-H64</f>
        <v>-703.74099999999999</v>
      </c>
      <c r="K28" s="15">
        <f t="shared" si="5"/>
        <v>-540.08600000000001</v>
      </c>
      <c r="L28" s="15">
        <f t="shared" si="6"/>
        <v>-326.39400000000001</v>
      </c>
      <c r="M28" s="15">
        <f t="shared" si="7"/>
        <v>-268.77999999999997</v>
      </c>
      <c r="N28" s="11">
        <f>'CF Annual'!E28-K64</f>
        <v>-442.92599999999993</v>
      </c>
      <c r="O28" s="15">
        <f t="shared" si="8"/>
        <v>-427.178</v>
      </c>
      <c r="P28" s="15">
        <f t="shared" si="9"/>
        <v>-314.51599999999996</v>
      </c>
      <c r="Q28" s="15">
        <f t="shared" si="10"/>
        <v>-580.66300000000001</v>
      </c>
      <c r="R28" s="11">
        <f>'CF Annual'!F28-N64</f>
        <v>-442.92599999999993</v>
      </c>
    </row>
    <row r="29" spans="2:18" ht="15" customHeight="1" x14ac:dyDescent="0.25">
      <c r="B29" s="9" t="s">
        <v>86</v>
      </c>
      <c r="C29" s="15">
        <f t="shared" si="0"/>
        <v>-20.597999999999999</v>
      </c>
      <c r="D29" s="15">
        <f t="shared" si="1"/>
        <v>-19.974000000000004</v>
      </c>
      <c r="E29" s="15">
        <f t="shared" si="1"/>
        <v>-20.354999999999997</v>
      </c>
      <c r="F29" s="11">
        <f>'CF Annual'!C29-E65</f>
        <v>-20.128000000000007</v>
      </c>
      <c r="G29" s="15">
        <f t="shared" si="2"/>
        <v>-20.202000000000002</v>
      </c>
      <c r="H29" s="15">
        <f t="shared" si="3"/>
        <v>-21.257000000000001</v>
      </c>
      <c r="I29" s="15">
        <f t="shared" si="4"/>
        <v>-20.995999999999995</v>
      </c>
      <c r="J29" s="11">
        <f>'CF Annual'!D29-H65</f>
        <v>-22.802999999999997</v>
      </c>
      <c r="K29" s="15">
        <f t="shared" si="5"/>
        <v>-23.106000000000002</v>
      </c>
      <c r="L29" s="15">
        <f t="shared" si="6"/>
        <v>-24.305999999999997</v>
      </c>
      <c r="M29" s="15">
        <f t="shared" si="7"/>
        <v>-26.684000000000005</v>
      </c>
      <c r="N29" s="11">
        <f>'CF Annual'!E29-K65</f>
        <v>-22.057999999999993</v>
      </c>
      <c r="O29" s="15">
        <f t="shared" si="8"/>
        <v>-27.317</v>
      </c>
      <c r="P29" s="15">
        <f t="shared" si="9"/>
        <v>-26.780999999999999</v>
      </c>
      <c r="Q29" s="15">
        <f t="shared" si="10"/>
        <v>-28.063000000000002</v>
      </c>
      <c r="R29" s="11">
        <f>'CF Annual'!F29-N65</f>
        <v>-22.057999999999993</v>
      </c>
    </row>
    <row r="30" spans="2:18" ht="15" customHeight="1" x14ac:dyDescent="0.25">
      <c r="B30" s="9" t="s">
        <v>87</v>
      </c>
      <c r="C30" s="15">
        <f t="shared" si="0"/>
        <v>-0.78300000000000003</v>
      </c>
      <c r="D30" s="15">
        <f t="shared" si="1"/>
        <v>-3.7269999999999999</v>
      </c>
      <c r="E30" s="15">
        <f t="shared" si="1"/>
        <v>-1.7370000000000001</v>
      </c>
      <c r="F30" s="11">
        <f>'CF Annual'!C30-E66</f>
        <v>-11.922000000000001</v>
      </c>
      <c r="G30" s="15">
        <f t="shared" si="2"/>
        <v>-9.6959999999999997</v>
      </c>
      <c r="H30" s="15">
        <f t="shared" si="3"/>
        <v>1.234</v>
      </c>
      <c r="I30" s="15">
        <f t="shared" si="4"/>
        <v>3.4609999999999994</v>
      </c>
      <c r="J30" s="11">
        <f>'CF Annual'!D30-H66</f>
        <v>0.80400000000000027</v>
      </c>
      <c r="K30" s="15">
        <f t="shared" si="5"/>
        <v>4.0940000000000003</v>
      </c>
      <c r="L30" s="15">
        <f t="shared" si="6"/>
        <v>-2.95</v>
      </c>
      <c r="M30" s="15">
        <f t="shared" si="7"/>
        <v>-6.0709999999999997</v>
      </c>
      <c r="N30" s="11">
        <f>'CF Annual'!E30-K66</f>
        <v>-8.4489999999999998</v>
      </c>
      <c r="O30" s="15">
        <f t="shared" si="8"/>
        <v>-0.97399999999999998</v>
      </c>
      <c r="P30" s="15">
        <f t="shared" si="9"/>
        <v>0</v>
      </c>
      <c r="Q30" s="15">
        <f t="shared" si="10"/>
        <v>-2.2060000000000004</v>
      </c>
      <c r="R30" s="11">
        <f>'CF Annual'!F30-N66</f>
        <v>-8.4489999999999998</v>
      </c>
    </row>
    <row r="31" spans="2:18" ht="15" customHeight="1" x14ac:dyDescent="0.25">
      <c r="B31" s="6" t="s">
        <v>88</v>
      </c>
      <c r="C31" s="14">
        <f t="shared" si="0"/>
        <v>-675.65099999999995</v>
      </c>
      <c r="D31" s="14">
        <f t="shared" si="1"/>
        <v>-169.07000000000005</v>
      </c>
      <c r="E31" s="14">
        <f t="shared" si="1"/>
        <v>-543.58600000000001</v>
      </c>
      <c r="F31" s="8">
        <f>'CF Annual'!C31-E67</f>
        <v>-671.77499999999986</v>
      </c>
      <c r="G31" s="14">
        <f t="shared" si="2"/>
        <v>-552.226</v>
      </c>
      <c r="H31" s="14">
        <f t="shared" si="3"/>
        <v>-140.61900000000003</v>
      </c>
      <c r="I31" s="14">
        <f t="shared" si="4"/>
        <v>-326.12</v>
      </c>
      <c r="J31" s="8">
        <f>'CF Annual'!D31-H67</f>
        <v>-664.77100000000007</v>
      </c>
      <c r="K31" s="14">
        <f t="shared" si="5"/>
        <v>-538.096</v>
      </c>
      <c r="L31" s="14">
        <f t="shared" si="6"/>
        <v>-288.35000000000002</v>
      </c>
      <c r="M31" s="14">
        <f t="shared" si="7"/>
        <v>-451.32900000000006</v>
      </c>
      <c r="N31" s="8">
        <f>'CF Annual'!E31-K67</f>
        <v>-469.04399999999987</v>
      </c>
      <c r="O31" s="14">
        <f t="shared" si="8"/>
        <v>-602.71100000000001</v>
      </c>
      <c r="P31" s="14">
        <f t="shared" si="9"/>
        <v>-40.192000000000007</v>
      </c>
      <c r="Q31" s="14">
        <f t="shared" si="10"/>
        <v>-487.654</v>
      </c>
      <c r="R31" s="8">
        <f>'CF Annual'!F31-N67</f>
        <v>-469.0440000000001</v>
      </c>
    </row>
    <row r="32" spans="2:18" ht="15" customHeight="1" x14ac:dyDescent="0.25">
      <c r="B32" s="9" t="s">
        <v>89</v>
      </c>
      <c r="C32" s="15">
        <f t="shared" si="0"/>
        <v>1.361</v>
      </c>
      <c r="D32" s="15">
        <f t="shared" si="1"/>
        <v>2.2130000000000001</v>
      </c>
      <c r="E32" s="15">
        <f t="shared" si="1"/>
        <v>1.4690000000000003</v>
      </c>
      <c r="F32" s="11">
        <f>'CF Annual'!C32-E68</f>
        <v>3.1030000000000006</v>
      </c>
      <c r="G32" s="15">
        <f t="shared" si="2"/>
        <v>-1.5920000000000001</v>
      </c>
      <c r="H32" s="15">
        <f t="shared" si="3"/>
        <v>1.0870000000000002</v>
      </c>
      <c r="I32" s="15">
        <f t="shared" si="4"/>
        <v>0.16599999999999998</v>
      </c>
      <c r="J32" s="11">
        <f>'CF Annual'!D32-H68</f>
        <v>-12.417</v>
      </c>
      <c r="K32" s="15">
        <f t="shared" si="5"/>
        <v>-2.1120000000000001</v>
      </c>
      <c r="L32" s="15">
        <f t="shared" si="6"/>
        <v>-0.84200000000000008</v>
      </c>
      <c r="M32" s="15">
        <f t="shared" si="7"/>
        <v>3.8610000000000002</v>
      </c>
      <c r="N32" s="11">
        <f>'CF Annual'!E32-K68</f>
        <v>2.6360000000000001</v>
      </c>
      <c r="O32" s="15">
        <f t="shared" si="8"/>
        <v>1.0820000000000001</v>
      </c>
      <c r="P32" s="15">
        <f t="shared" si="9"/>
        <v>5.4050000000000002</v>
      </c>
      <c r="Q32" s="15">
        <f t="shared" si="10"/>
        <v>-0.50300000000000011</v>
      </c>
      <c r="R32" s="11">
        <f>'CF Annual'!F32-N68</f>
        <v>2.6359999999999992</v>
      </c>
    </row>
    <row r="33" spans="2:18" ht="15" customHeight="1" x14ac:dyDescent="0.25">
      <c r="B33" s="6" t="s">
        <v>90</v>
      </c>
      <c r="C33" s="14">
        <f t="shared" si="0"/>
        <v>5.41</v>
      </c>
      <c r="D33" s="14">
        <f t="shared" si="1"/>
        <v>31.495999999999999</v>
      </c>
      <c r="E33" s="14">
        <f t="shared" si="1"/>
        <v>-26.369999999999997</v>
      </c>
      <c r="F33" s="8">
        <f>'CF Annual'!C33-E69</f>
        <v>2.1379999999999999</v>
      </c>
      <c r="G33" s="14">
        <f t="shared" si="2"/>
        <v>5.9269999999999996</v>
      </c>
      <c r="H33" s="14">
        <f t="shared" si="3"/>
        <v>21.115000000000002</v>
      </c>
      <c r="I33" s="14">
        <f t="shared" si="4"/>
        <v>-28.738000000000003</v>
      </c>
      <c r="J33" s="8">
        <f>'CF Annual'!D33-H69</f>
        <v>22.814</v>
      </c>
      <c r="K33" s="14">
        <f t="shared" si="5"/>
        <v>5.8460000000000001</v>
      </c>
      <c r="L33" s="14">
        <f t="shared" si="6"/>
        <v>-3.113</v>
      </c>
      <c r="M33" s="14">
        <f t="shared" si="7"/>
        <v>-32.28</v>
      </c>
      <c r="N33" s="8">
        <f>'CF Annual'!E33-K69</f>
        <v>3.1780000000000008</v>
      </c>
      <c r="O33" s="14">
        <f t="shared" si="8"/>
        <v>15.836</v>
      </c>
      <c r="P33" s="14">
        <f t="shared" si="9"/>
        <v>-2.1470000000000002</v>
      </c>
      <c r="Q33" s="14">
        <f t="shared" si="10"/>
        <v>-31.763000000000002</v>
      </c>
      <c r="R33" s="8">
        <f>'CF Annual'!F33-N69</f>
        <v>3.1780000000000008</v>
      </c>
    </row>
    <row r="34" spans="2:18" ht="15" customHeight="1" x14ac:dyDescent="0.25">
      <c r="B34" s="9" t="s">
        <v>91</v>
      </c>
      <c r="C34" s="15">
        <f t="shared" si="0"/>
        <v>264.38</v>
      </c>
      <c r="D34" s="15">
        <f t="shared" si="1"/>
        <v>0</v>
      </c>
      <c r="E34" s="15">
        <f t="shared" si="1"/>
        <v>0</v>
      </c>
      <c r="F34" s="11">
        <f>'CF Annual'!C34-E70</f>
        <v>0</v>
      </c>
      <c r="G34" s="15">
        <f t="shared" si="2"/>
        <v>277.05399999999997</v>
      </c>
      <c r="H34" s="15">
        <f t="shared" si="3"/>
        <v>0</v>
      </c>
      <c r="I34" s="15">
        <f t="shared" si="4"/>
        <v>0</v>
      </c>
      <c r="J34" s="11">
        <f>'CF Annual'!D34-H70</f>
        <v>0</v>
      </c>
      <c r="K34" s="15">
        <f t="shared" si="5"/>
        <v>298.17200000000003</v>
      </c>
      <c r="L34" s="15">
        <f t="shared" si="6"/>
        <v>0</v>
      </c>
      <c r="M34" s="15">
        <f t="shared" si="7"/>
        <v>0</v>
      </c>
      <c r="N34" s="11">
        <f>'CF Annual'!E34-K70</f>
        <v>0</v>
      </c>
      <c r="O34" s="15">
        <f t="shared" si="8"/>
        <v>271.803</v>
      </c>
      <c r="P34" s="15">
        <f t="shared" si="9"/>
        <v>0</v>
      </c>
      <c r="Q34" s="15">
        <f t="shared" si="10"/>
        <v>0</v>
      </c>
      <c r="R34" s="11">
        <f>'CF Annual'!F34-N70</f>
        <v>-3.1779999999999973</v>
      </c>
    </row>
    <row r="35" spans="2:18" ht="15" customHeight="1" x14ac:dyDescent="0.25">
      <c r="B35" s="6" t="s">
        <v>92</v>
      </c>
      <c r="C35" s="14">
        <f t="shared" si="0"/>
        <v>269.79000000000002</v>
      </c>
      <c r="D35" s="14">
        <f t="shared" si="1"/>
        <v>31.495999999999981</v>
      </c>
      <c r="E35" s="14">
        <f t="shared" si="1"/>
        <v>-26.370000000000005</v>
      </c>
      <c r="F35" s="8">
        <f>'CF Annual'!C35-E71</f>
        <v>2.1379999999999768</v>
      </c>
      <c r="G35" s="14">
        <f t="shared" si="2"/>
        <v>282.98099999999999</v>
      </c>
      <c r="H35" s="14">
        <f t="shared" si="3"/>
        <v>21.115000000000009</v>
      </c>
      <c r="I35" s="14">
        <f t="shared" si="4"/>
        <v>-28.738</v>
      </c>
      <c r="J35" s="8">
        <f>'CF Annual'!D35-H71</f>
        <v>22.814000000000021</v>
      </c>
      <c r="K35" s="14">
        <f t="shared" si="5"/>
        <v>304.01799999999997</v>
      </c>
      <c r="L35" s="14">
        <f t="shared" si="6"/>
        <v>-3.1129999999999995</v>
      </c>
      <c r="M35" s="14">
        <f t="shared" si="7"/>
        <v>-32.279999999999973</v>
      </c>
      <c r="N35" s="8">
        <f>'CF Annual'!E35-K71</f>
        <v>3.1779999999999973</v>
      </c>
      <c r="O35" s="14">
        <f t="shared" si="8"/>
        <v>287.63900000000001</v>
      </c>
      <c r="P35" s="14">
        <f t="shared" si="9"/>
        <v>-2.1469999999999914</v>
      </c>
      <c r="Q35" s="14">
        <f t="shared" si="10"/>
        <v>-31.763000000000005</v>
      </c>
      <c r="R35" s="8">
        <f>'CF Annual'!F35-N71</f>
        <v>0</v>
      </c>
    </row>
    <row r="40" spans="2:18" ht="15" customHeight="1" x14ac:dyDescent="0.25">
      <c r="B40" s="6" t="s">
        <v>93</v>
      </c>
    </row>
    <row r="41" spans="2:18" ht="15" customHeight="1" x14ac:dyDescent="0.25">
      <c r="B41" s="4"/>
      <c r="C41" s="5" t="s">
        <v>94</v>
      </c>
      <c r="D41" s="5" t="s">
        <v>95</v>
      </c>
      <c r="E41" s="5" t="s">
        <v>96</v>
      </c>
      <c r="F41" s="5" t="s">
        <v>97</v>
      </c>
      <c r="G41" s="5" t="s">
        <v>98</v>
      </c>
      <c r="H41" s="5" t="s">
        <v>99</v>
      </c>
      <c r="I41" s="5" t="s">
        <v>100</v>
      </c>
      <c r="J41" s="5" t="s">
        <v>101</v>
      </c>
      <c r="K41" s="5" t="s">
        <v>102</v>
      </c>
      <c r="L41" s="5" t="s">
        <v>103</v>
      </c>
      <c r="M41" s="5" t="s">
        <v>104</v>
      </c>
      <c r="N41" s="5" t="s">
        <v>105</v>
      </c>
      <c r="O41" s="4"/>
      <c r="P41" s="4"/>
      <c r="Q41" s="4"/>
      <c r="R41" s="4"/>
    </row>
    <row r="42" spans="2:18" ht="15" customHeight="1" x14ac:dyDescent="0.25">
      <c r="B42" s="6" t="s">
        <v>26</v>
      </c>
      <c r="C42" s="16">
        <v>539.31799999999998</v>
      </c>
      <c r="D42" s="16">
        <v>1015.862</v>
      </c>
      <c r="E42" s="16">
        <v>1663.585</v>
      </c>
      <c r="F42" s="16">
        <v>593.46299999999997</v>
      </c>
      <c r="G42" s="16">
        <v>1108.4929999999999</v>
      </c>
      <c r="H42" s="16">
        <v>1760.2190000000001</v>
      </c>
      <c r="I42" s="16">
        <v>564.93299999999999</v>
      </c>
      <c r="J42" s="16">
        <v>1052.856</v>
      </c>
      <c r="K42" s="16">
        <v>1661.297</v>
      </c>
      <c r="L42" s="16">
        <v>530.82299999999998</v>
      </c>
      <c r="M42" s="16">
        <v>999.68299999999999</v>
      </c>
      <c r="N42" s="16">
        <v>1641.174</v>
      </c>
    </row>
    <row r="43" spans="2:18" ht="15" customHeight="1" x14ac:dyDescent="0.25">
      <c r="B43" s="9" t="s">
        <v>66</v>
      </c>
      <c r="C43" s="10">
        <v>109.253</v>
      </c>
      <c r="D43" s="10">
        <v>222.964</v>
      </c>
      <c r="E43" s="10">
        <v>339.08699999999999</v>
      </c>
      <c r="F43" s="10">
        <v>120.224</v>
      </c>
      <c r="G43" s="10">
        <v>245.19200000000001</v>
      </c>
      <c r="H43" s="10">
        <v>374.416</v>
      </c>
      <c r="I43" s="10">
        <v>133.173</v>
      </c>
      <c r="J43" s="10">
        <v>271.09100000000001</v>
      </c>
      <c r="K43" s="10">
        <v>415.78699999999998</v>
      </c>
      <c r="L43" s="10">
        <v>148.19399999999999</v>
      </c>
      <c r="M43" s="10">
        <v>303.834</v>
      </c>
      <c r="N43" s="10">
        <v>464.12599999999998</v>
      </c>
    </row>
    <row r="44" spans="2:18" ht="15" customHeight="1" x14ac:dyDescent="0.25">
      <c r="B44" s="9" t="s">
        <v>67</v>
      </c>
      <c r="C44" s="10">
        <v>81</v>
      </c>
      <c r="D44" s="10">
        <v>91</v>
      </c>
      <c r="E44" s="10">
        <v>74</v>
      </c>
      <c r="F44" s="10">
        <v>-2</v>
      </c>
      <c r="G44" s="10">
        <v>-16</v>
      </c>
      <c r="H44" s="10">
        <v>-40</v>
      </c>
      <c r="I44" s="10">
        <v>0</v>
      </c>
      <c r="J44" s="10">
        <v>0</v>
      </c>
      <c r="K44" s="10">
        <v>-16</v>
      </c>
      <c r="L44" s="10">
        <v>98</v>
      </c>
      <c r="M44" s="10">
        <v>157</v>
      </c>
      <c r="N44" s="10">
        <v>177</v>
      </c>
    </row>
    <row r="45" spans="2:18" ht="15" customHeight="1" x14ac:dyDescent="0.25">
      <c r="B45" s="9" t="s">
        <v>68</v>
      </c>
      <c r="C45" s="10">
        <v>1.905</v>
      </c>
      <c r="D45" s="10">
        <v>3.9220000000000002</v>
      </c>
      <c r="E45" s="10">
        <v>6.0650000000000004</v>
      </c>
      <c r="F45" s="10">
        <v>2.81</v>
      </c>
      <c r="G45" s="10">
        <v>5.5510000000000002</v>
      </c>
      <c r="H45" s="10">
        <v>8.1549999999999994</v>
      </c>
      <c r="I45" s="10">
        <v>3.0179999999999998</v>
      </c>
      <c r="J45" s="10">
        <v>6.0609999999999999</v>
      </c>
      <c r="K45" s="10">
        <v>9.0830000000000002</v>
      </c>
      <c r="L45" s="10">
        <v>3.21</v>
      </c>
      <c r="M45" s="10">
        <v>5.9779999999999998</v>
      </c>
      <c r="N45" s="10">
        <v>8.7729999999999997</v>
      </c>
    </row>
    <row r="46" spans="2:18" ht="15" customHeight="1" x14ac:dyDescent="0.25">
      <c r="B46" s="9" t="s">
        <v>69</v>
      </c>
      <c r="C46" s="10">
        <v>13.816000000000001</v>
      </c>
      <c r="D46" s="10">
        <v>-4.6970000000000001</v>
      </c>
      <c r="E46" s="10">
        <v>-3.4239999999999999</v>
      </c>
      <c r="F46" s="10">
        <v>0.88200000000000001</v>
      </c>
      <c r="G46" s="10">
        <v>5.9980000000000002</v>
      </c>
      <c r="H46" s="10">
        <v>9.016</v>
      </c>
      <c r="I46" s="10">
        <v>-4.8310000000000004</v>
      </c>
      <c r="J46" s="10">
        <v>-43.734000000000002</v>
      </c>
      <c r="K46" s="10">
        <v>-59.32</v>
      </c>
      <c r="L46" s="10">
        <v>-41.723999999999997</v>
      </c>
      <c r="M46" s="10">
        <v>-137.07599999999999</v>
      </c>
      <c r="N46" s="10">
        <v>-157.73400000000001</v>
      </c>
    </row>
    <row r="47" spans="2:18" ht="15" customHeight="1" x14ac:dyDescent="0.25">
      <c r="B47" s="9" t="s">
        <v>70</v>
      </c>
      <c r="C47" s="10">
        <v>19.004999999999999</v>
      </c>
      <c r="D47" s="10">
        <v>42.378999999999998</v>
      </c>
      <c r="E47" s="10">
        <v>62.389000000000003</v>
      </c>
      <c r="F47" s="10">
        <v>22.913</v>
      </c>
      <c r="G47" s="10">
        <v>45.960999999999999</v>
      </c>
      <c r="H47" s="10">
        <v>71.313999999999993</v>
      </c>
      <c r="I47" s="10">
        <v>26.117000000000001</v>
      </c>
      <c r="J47" s="10">
        <v>56.563000000000002</v>
      </c>
      <c r="K47" s="10">
        <v>85.584000000000003</v>
      </c>
      <c r="L47" s="10">
        <v>30.727</v>
      </c>
      <c r="M47" s="10">
        <v>67.468999999999994</v>
      </c>
      <c r="N47" s="10">
        <v>97.641000000000005</v>
      </c>
    </row>
    <row r="48" spans="2:18" ht="15" customHeight="1" x14ac:dyDescent="0.25">
      <c r="B48" s="9" t="s">
        <v>38</v>
      </c>
      <c r="C48" s="10">
        <v>4.0999999999999996</v>
      </c>
      <c r="D48" s="10">
        <v>22.273</v>
      </c>
      <c r="E48" s="10">
        <v>38.317</v>
      </c>
      <c r="F48" s="10">
        <v>6.8559999999999999</v>
      </c>
      <c r="G48" s="10">
        <v>18.364000000000001</v>
      </c>
      <c r="H48" s="10">
        <v>-66.55</v>
      </c>
      <c r="I48" s="10">
        <v>9.8729999999999993</v>
      </c>
      <c r="J48" s="10">
        <v>-54.575000000000003</v>
      </c>
      <c r="K48" s="10">
        <v>-41.82</v>
      </c>
      <c r="L48" s="10">
        <v>36.700000000000003</v>
      </c>
      <c r="M48" s="10">
        <v>-20.341000000000001</v>
      </c>
      <c r="N48" s="10">
        <v>-86.606999999999999</v>
      </c>
    </row>
    <row r="49" spans="2:14" ht="15" customHeight="1" x14ac:dyDescent="0.25">
      <c r="B49" s="9" t="s">
        <v>39</v>
      </c>
      <c r="C49" s="10">
        <v>-39.308</v>
      </c>
      <c r="D49" s="10">
        <v>-161.54599999999999</v>
      </c>
      <c r="E49" s="10">
        <v>-93.162999999999997</v>
      </c>
      <c r="F49" s="10">
        <v>-21.899000000000001</v>
      </c>
      <c r="G49" s="10">
        <v>-198.42500000000001</v>
      </c>
      <c r="H49" s="10">
        <v>-353.81299999999999</v>
      </c>
      <c r="I49" s="10">
        <v>-136.18100000000001</v>
      </c>
      <c r="J49" s="10">
        <v>-454.10899999999998</v>
      </c>
      <c r="K49" s="10">
        <v>-642.31700000000001</v>
      </c>
      <c r="L49" s="10">
        <v>-205.33500000000001</v>
      </c>
      <c r="M49" s="10">
        <v>-552.37300000000005</v>
      </c>
      <c r="N49" s="10">
        <v>-656.50800000000004</v>
      </c>
    </row>
    <row r="50" spans="2:14" ht="15" customHeight="1" x14ac:dyDescent="0.25">
      <c r="B50" s="9" t="s">
        <v>71</v>
      </c>
      <c r="C50" s="10">
        <v>6.5739999999999998</v>
      </c>
      <c r="D50" s="10">
        <v>-111.31100000000001</v>
      </c>
      <c r="E50" s="10">
        <v>-239.9</v>
      </c>
      <c r="F50" s="10">
        <v>33.762</v>
      </c>
      <c r="G50" s="10">
        <v>-17.062000000000001</v>
      </c>
      <c r="H50" s="10">
        <v>126.488</v>
      </c>
      <c r="I50" s="10">
        <v>170.03200000000001</v>
      </c>
      <c r="J50" s="10">
        <v>449.78699999999998</v>
      </c>
      <c r="K50" s="10">
        <v>603.61300000000006</v>
      </c>
      <c r="L50" s="10">
        <v>243.49</v>
      </c>
      <c r="M50" s="10">
        <v>235.756</v>
      </c>
      <c r="N50" s="10">
        <v>347.46800000000002</v>
      </c>
    </row>
    <row r="51" spans="2:14" ht="15" customHeight="1" x14ac:dyDescent="0.25">
      <c r="B51" s="9" t="s">
        <v>72</v>
      </c>
      <c r="C51" s="10">
        <v>73.953999999999994</v>
      </c>
      <c r="D51" s="10">
        <v>87.4</v>
      </c>
      <c r="E51" s="10">
        <v>64.040999999999997</v>
      </c>
      <c r="F51" s="10">
        <v>96.793000000000006</v>
      </c>
      <c r="G51" s="10">
        <v>96.281999999999996</v>
      </c>
      <c r="H51" s="10">
        <v>69.745999999999995</v>
      </c>
      <c r="I51" s="10">
        <v>103.01900000000001</v>
      </c>
      <c r="J51" s="10">
        <v>170.59</v>
      </c>
      <c r="K51" s="10">
        <v>135.953</v>
      </c>
      <c r="L51" s="10">
        <v>114.578</v>
      </c>
      <c r="M51" s="10">
        <v>185.17400000000001</v>
      </c>
      <c r="N51" s="10">
        <v>206.209</v>
      </c>
    </row>
    <row r="52" spans="2:14" ht="15" customHeight="1" x14ac:dyDescent="0.25">
      <c r="B52" s="9" t="s">
        <v>73</v>
      </c>
      <c r="C52" s="10">
        <v>-16.03</v>
      </c>
      <c r="D52" s="10">
        <v>-60.185000000000002</v>
      </c>
      <c r="E52" s="10">
        <v>-38.220999999999997</v>
      </c>
      <c r="F52" s="10">
        <v>-23.545000000000002</v>
      </c>
      <c r="G52" s="10">
        <v>-29.968</v>
      </c>
      <c r="H52" s="10">
        <v>-25.125</v>
      </c>
      <c r="I52" s="10">
        <v>-57.35</v>
      </c>
      <c r="J52" s="10">
        <v>-58.978000000000002</v>
      </c>
      <c r="K52" s="10">
        <v>12.722</v>
      </c>
      <c r="L52" s="10">
        <v>-14.492000000000001</v>
      </c>
      <c r="M52" s="10">
        <v>72.495999999999995</v>
      </c>
      <c r="N52" s="10">
        <v>78.045000000000002</v>
      </c>
    </row>
    <row r="53" spans="2:14" ht="15" customHeight="1" x14ac:dyDescent="0.25">
      <c r="B53" s="6" t="s">
        <v>74</v>
      </c>
      <c r="C53" s="16">
        <v>793.58699999999999</v>
      </c>
      <c r="D53" s="16">
        <v>1148.0609999999999</v>
      </c>
      <c r="E53" s="16">
        <v>1872.7760000000001</v>
      </c>
      <c r="F53" s="16">
        <v>830.25900000000001</v>
      </c>
      <c r="G53" s="16">
        <v>1264.386</v>
      </c>
      <c r="H53" s="16">
        <v>1933.866</v>
      </c>
      <c r="I53" s="16">
        <v>811.803</v>
      </c>
      <c r="J53" s="16">
        <v>1395.5519999999999</v>
      </c>
      <c r="K53" s="16">
        <v>2164.5819999999999</v>
      </c>
      <c r="L53" s="16">
        <v>944.17100000000005</v>
      </c>
      <c r="M53" s="16">
        <v>1317.6</v>
      </c>
      <c r="N53" s="16">
        <v>2119.587</v>
      </c>
    </row>
    <row r="54" spans="2:14" ht="15" customHeight="1" x14ac:dyDescent="0.25">
      <c r="B54" s="9" t="s">
        <v>75</v>
      </c>
      <c r="C54" s="10">
        <v>-114.39700000000001</v>
      </c>
      <c r="D54" s="10">
        <v>-259.23399999999998</v>
      </c>
      <c r="E54" s="10">
        <v>-430.44099999999997</v>
      </c>
      <c r="F54" s="10">
        <v>-235.428</v>
      </c>
      <c r="G54" s="10">
        <v>-490.80700000000002</v>
      </c>
      <c r="H54" s="10">
        <v>-725.91</v>
      </c>
      <c r="I54" s="10">
        <v>-247.035</v>
      </c>
      <c r="J54" s="10">
        <v>-539.73699999999997</v>
      </c>
      <c r="K54" s="10">
        <v>-885.62300000000005</v>
      </c>
      <c r="L54" s="10">
        <v>-314.173</v>
      </c>
      <c r="M54" s="10">
        <v>-651.97699999999998</v>
      </c>
      <c r="N54" s="10">
        <v>-997.48599999999999</v>
      </c>
    </row>
    <row r="55" spans="2:14" ht="15" customHeight="1" x14ac:dyDescent="0.25">
      <c r="B55" s="9" t="s">
        <v>76</v>
      </c>
      <c r="C55" s="10">
        <v>-11.989000000000001</v>
      </c>
      <c r="D55" s="10">
        <v>-14</v>
      </c>
      <c r="E55" s="10">
        <v>-48.445</v>
      </c>
      <c r="F55" s="10">
        <v>-4.1150000000000002</v>
      </c>
      <c r="G55" s="10">
        <v>-14.038</v>
      </c>
      <c r="H55" s="10">
        <v>-17.550999999999998</v>
      </c>
      <c r="I55" s="10">
        <v>-12.311</v>
      </c>
      <c r="J55" s="10">
        <v>-31.257999999999999</v>
      </c>
      <c r="K55" s="10">
        <v>-54.25</v>
      </c>
      <c r="L55" s="10">
        <v>-12.624000000000001</v>
      </c>
      <c r="M55" s="10">
        <v>-22.957000000000001</v>
      </c>
      <c r="N55" s="10">
        <v>-35.445999999999998</v>
      </c>
    </row>
    <row r="56" spans="2:14" ht="15" customHeight="1" x14ac:dyDescent="0.25">
      <c r="B56" s="9" t="s">
        <v>77</v>
      </c>
      <c r="C56" s="10">
        <v>4.8929999999999998</v>
      </c>
      <c r="D56" s="10">
        <v>3.45</v>
      </c>
      <c r="E56" s="10">
        <v>37.543999999999997</v>
      </c>
      <c r="F56" s="10">
        <v>1.944</v>
      </c>
      <c r="G56" s="10">
        <v>12.625999999999999</v>
      </c>
      <c r="H56" s="10">
        <v>21.245000000000001</v>
      </c>
      <c r="I56" s="10">
        <v>12.614000000000001</v>
      </c>
      <c r="J56" s="10">
        <v>30.1</v>
      </c>
      <c r="K56" s="10">
        <v>54.826999999999998</v>
      </c>
      <c r="L56" s="10">
        <v>6.2880000000000003</v>
      </c>
      <c r="M56" s="10">
        <v>8.8450000000000006</v>
      </c>
      <c r="N56" s="10">
        <v>17.672000000000001</v>
      </c>
    </row>
    <row r="57" spans="2:14" ht="15" customHeight="1" x14ac:dyDescent="0.25">
      <c r="B57" s="9" t="s">
        <v>78</v>
      </c>
      <c r="C57" s="10">
        <v>-2.4740000000000002</v>
      </c>
      <c r="D57" s="10">
        <v>-12.07</v>
      </c>
      <c r="E57" s="10">
        <v>-50.685000000000002</v>
      </c>
      <c r="F57" s="10">
        <v>-41.15</v>
      </c>
      <c r="G57" s="10">
        <v>-42.521999999999998</v>
      </c>
      <c r="H57" s="10">
        <v>-193.327</v>
      </c>
      <c r="I57" s="10">
        <v>-31.018000000000001</v>
      </c>
      <c r="J57" s="10">
        <v>-37.381</v>
      </c>
      <c r="K57" s="10">
        <v>-50.423999999999999</v>
      </c>
      <c r="L57" s="10">
        <v>-5.1059999999999999</v>
      </c>
      <c r="M57" s="10">
        <v>-9.6839999999999993</v>
      </c>
      <c r="N57" s="10">
        <v>-9.2159999999999993</v>
      </c>
    </row>
    <row r="58" spans="2:14" ht="15" customHeight="1" x14ac:dyDescent="0.25">
      <c r="B58" s="9" t="s">
        <v>79</v>
      </c>
      <c r="C58" s="10">
        <v>10.08</v>
      </c>
      <c r="D58" s="10">
        <v>11.846</v>
      </c>
      <c r="E58" s="10">
        <v>13.051</v>
      </c>
      <c r="F58" s="10">
        <v>8.2349999999999994</v>
      </c>
      <c r="G58" s="10">
        <v>-9.2530000000000001</v>
      </c>
      <c r="H58" s="10">
        <v>-0.71499999999999997</v>
      </c>
      <c r="I58" s="10">
        <v>12.000999999999999</v>
      </c>
      <c r="J58" s="10">
        <v>14.856999999999999</v>
      </c>
      <c r="K58" s="10">
        <v>18.209</v>
      </c>
      <c r="L58" s="10">
        <v>-1.091</v>
      </c>
      <c r="M58" s="10">
        <v>8.2780000000000005</v>
      </c>
      <c r="N58" s="10">
        <v>11.388</v>
      </c>
    </row>
    <row r="59" spans="2:14" ht="15" customHeight="1" x14ac:dyDescent="0.25">
      <c r="B59" s="6" t="s">
        <v>80</v>
      </c>
      <c r="C59" s="16">
        <v>-113.887</v>
      </c>
      <c r="D59" s="16">
        <v>-270.00799999999998</v>
      </c>
      <c r="E59" s="16">
        <v>-478.976</v>
      </c>
      <c r="F59" s="16">
        <v>-270.51400000000001</v>
      </c>
      <c r="G59" s="16">
        <v>-543.99400000000003</v>
      </c>
      <c r="H59" s="16">
        <v>-916.25800000000004</v>
      </c>
      <c r="I59" s="16">
        <v>-265.74900000000002</v>
      </c>
      <c r="J59" s="16">
        <v>-563.41899999999998</v>
      </c>
      <c r="K59" s="16">
        <v>-917.26099999999997</v>
      </c>
      <c r="L59" s="16">
        <v>-326.70600000000002</v>
      </c>
      <c r="M59" s="16">
        <v>-667.495</v>
      </c>
      <c r="N59" s="16">
        <v>-1013.088</v>
      </c>
    </row>
    <row r="60" spans="2:14" ht="15" customHeight="1" x14ac:dyDescent="0.25">
      <c r="B60" s="9" t="s">
        <v>81</v>
      </c>
      <c r="C60" s="10">
        <v>204.9</v>
      </c>
      <c r="D60" s="10">
        <v>227.6</v>
      </c>
      <c r="E60" s="10">
        <v>524</v>
      </c>
      <c r="F60" s="10">
        <v>-76.900000000000006</v>
      </c>
      <c r="G60" s="10">
        <v>-32.228000000000002</v>
      </c>
      <c r="H60" s="10">
        <v>631.29999999999995</v>
      </c>
      <c r="I60" s="10">
        <v>-15</v>
      </c>
      <c r="J60" s="10">
        <v>22</v>
      </c>
      <c r="K60" s="10">
        <v>225.5</v>
      </c>
      <c r="L60" s="10">
        <v>-179.1</v>
      </c>
      <c r="M60" s="10">
        <v>102.4</v>
      </c>
      <c r="N60" s="10">
        <v>609.4</v>
      </c>
    </row>
    <row r="61" spans="2:14" ht="15" customHeight="1" x14ac:dyDescent="0.25">
      <c r="B61" s="9" t="s">
        <v>82</v>
      </c>
      <c r="C61" s="10">
        <v>0</v>
      </c>
      <c r="D61" s="10">
        <v>1000</v>
      </c>
      <c r="E61" s="10">
        <v>1000</v>
      </c>
      <c r="F61" s="10">
        <v>1000</v>
      </c>
      <c r="G61" s="10">
        <v>1000</v>
      </c>
      <c r="H61" s="10">
        <v>1000</v>
      </c>
      <c r="I61" s="10">
        <v>0</v>
      </c>
      <c r="J61" s="10">
        <v>0</v>
      </c>
      <c r="K61" s="10">
        <v>500</v>
      </c>
      <c r="L61" s="10">
        <v>0</v>
      </c>
      <c r="M61" s="10">
        <v>0</v>
      </c>
      <c r="N61" s="10">
        <v>0</v>
      </c>
    </row>
    <row r="62" spans="2:14" ht="15" customHeight="1" x14ac:dyDescent="0.25">
      <c r="B62" s="9" t="s">
        <v>83</v>
      </c>
      <c r="C62" s="10">
        <v>0</v>
      </c>
      <c r="D62" s="10">
        <v>0</v>
      </c>
      <c r="E62" s="10">
        <v>0</v>
      </c>
      <c r="F62" s="10">
        <v>0</v>
      </c>
      <c r="G62" s="10">
        <v>0</v>
      </c>
      <c r="H62" s="10">
        <v>-300</v>
      </c>
      <c r="I62" s="10">
        <v>0</v>
      </c>
      <c r="J62" s="10">
        <v>0</v>
      </c>
      <c r="K62" s="10">
        <v>-900</v>
      </c>
      <c r="L62" s="10">
        <v>0</v>
      </c>
      <c r="M62" s="10">
        <v>0</v>
      </c>
      <c r="N62" s="10">
        <v>-400</v>
      </c>
    </row>
    <row r="63" spans="2:14" ht="15" customHeight="1" x14ac:dyDescent="0.25">
      <c r="B63" s="9" t="s">
        <v>84</v>
      </c>
      <c r="C63" s="10">
        <v>40.828000000000003</v>
      </c>
      <c r="D63" s="10">
        <v>72.757999999999996</v>
      </c>
      <c r="E63" s="10">
        <v>154.863</v>
      </c>
      <c r="F63" s="10">
        <v>41.448</v>
      </c>
      <c r="G63" s="10">
        <v>98.337999999999994</v>
      </c>
      <c r="H63" s="10">
        <v>154.36699999999999</v>
      </c>
      <c r="I63" s="10">
        <v>36.002000000000002</v>
      </c>
      <c r="J63" s="10">
        <v>64.302000000000007</v>
      </c>
      <c r="K63" s="10">
        <v>111.008</v>
      </c>
      <c r="L63" s="10">
        <v>31.858000000000001</v>
      </c>
      <c r="M63" s="10">
        <v>51.463000000000001</v>
      </c>
      <c r="N63" s="10">
        <v>67.741</v>
      </c>
    </row>
    <row r="64" spans="2:14" ht="15" customHeight="1" x14ac:dyDescent="0.25">
      <c r="B64" s="9" t="s">
        <v>85</v>
      </c>
      <c r="C64" s="10">
        <v>-899.99800000000005</v>
      </c>
      <c r="D64" s="10">
        <v>-1799.9970000000001</v>
      </c>
      <c r="E64" s="10">
        <v>-2699.9960000000001</v>
      </c>
      <c r="F64" s="10">
        <v>-1486.876</v>
      </c>
      <c r="G64" s="10">
        <v>-1709.0340000000001</v>
      </c>
      <c r="H64" s="10">
        <v>-2437.1759999999999</v>
      </c>
      <c r="I64" s="10">
        <v>-540.08600000000001</v>
      </c>
      <c r="J64" s="10">
        <v>-866.48</v>
      </c>
      <c r="K64" s="10">
        <v>-1135.26</v>
      </c>
      <c r="L64" s="10">
        <v>-427.178</v>
      </c>
      <c r="M64" s="10">
        <v>-741.69399999999996</v>
      </c>
      <c r="N64" s="10">
        <v>-1322.357</v>
      </c>
    </row>
    <row r="65" spans="2:14" ht="15" customHeight="1" x14ac:dyDescent="0.25">
      <c r="B65" s="9" t="s">
        <v>86</v>
      </c>
      <c r="C65" s="10">
        <v>-20.597999999999999</v>
      </c>
      <c r="D65" s="10">
        <v>-40.572000000000003</v>
      </c>
      <c r="E65" s="10">
        <v>-60.927</v>
      </c>
      <c r="F65" s="10">
        <v>-20.202000000000002</v>
      </c>
      <c r="G65" s="10">
        <v>-41.459000000000003</v>
      </c>
      <c r="H65" s="10">
        <v>-62.454999999999998</v>
      </c>
      <c r="I65" s="10">
        <v>-23.106000000000002</v>
      </c>
      <c r="J65" s="10">
        <v>-47.411999999999999</v>
      </c>
      <c r="K65" s="10">
        <v>-74.096000000000004</v>
      </c>
      <c r="L65" s="10">
        <v>-27.317</v>
      </c>
      <c r="M65" s="10">
        <v>-54.097999999999999</v>
      </c>
      <c r="N65" s="10">
        <v>-82.161000000000001</v>
      </c>
    </row>
    <row r="66" spans="2:14" ht="15" customHeight="1" x14ac:dyDescent="0.25">
      <c r="B66" s="9" t="s">
        <v>87</v>
      </c>
      <c r="C66" s="10">
        <v>-0.78300000000000003</v>
      </c>
      <c r="D66" s="10">
        <v>-4.51</v>
      </c>
      <c r="E66" s="10">
        <v>-6.2469999999999999</v>
      </c>
      <c r="F66" s="10">
        <v>-9.6959999999999997</v>
      </c>
      <c r="G66" s="10">
        <v>-8.4619999999999997</v>
      </c>
      <c r="H66" s="10">
        <v>-5.0010000000000003</v>
      </c>
      <c r="I66" s="10">
        <v>4.0940000000000003</v>
      </c>
      <c r="J66" s="10">
        <v>1.1439999999999999</v>
      </c>
      <c r="K66" s="10">
        <v>-4.9269999999999996</v>
      </c>
      <c r="L66" s="10">
        <v>-0.97399999999999998</v>
      </c>
      <c r="M66" s="10">
        <v>-0.97399999999999998</v>
      </c>
      <c r="N66" s="10">
        <v>-3.18</v>
      </c>
    </row>
    <row r="67" spans="2:14" ht="15" customHeight="1" x14ac:dyDescent="0.25">
      <c r="B67" s="6" t="s">
        <v>88</v>
      </c>
      <c r="C67" s="16">
        <v>-675.65099999999995</v>
      </c>
      <c r="D67" s="16">
        <v>-844.721</v>
      </c>
      <c r="E67" s="16">
        <v>-1388.307</v>
      </c>
      <c r="F67" s="16">
        <v>-552.226</v>
      </c>
      <c r="G67" s="16">
        <v>-692.84500000000003</v>
      </c>
      <c r="H67" s="16">
        <v>-1018.965</v>
      </c>
      <c r="I67" s="16">
        <v>-538.096</v>
      </c>
      <c r="J67" s="16">
        <v>-826.44600000000003</v>
      </c>
      <c r="K67" s="16">
        <v>-1277.7750000000001</v>
      </c>
      <c r="L67" s="16">
        <v>-602.71100000000001</v>
      </c>
      <c r="M67" s="16">
        <v>-642.90300000000002</v>
      </c>
      <c r="N67" s="16">
        <v>-1130.557</v>
      </c>
    </row>
    <row r="68" spans="2:14" ht="15" customHeight="1" x14ac:dyDescent="0.25">
      <c r="B68" s="9" t="s">
        <v>89</v>
      </c>
      <c r="C68" s="10">
        <v>1.361</v>
      </c>
      <c r="D68" s="10">
        <v>3.5739999999999998</v>
      </c>
      <c r="E68" s="10">
        <v>5.0430000000000001</v>
      </c>
      <c r="F68" s="10">
        <v>-1.5920000000000001</v>
      </c>
      <c r="G68" s="10">
        <v>-0.505</v>
      </c>
      <c r="H68" s="10">
        <v>-0.33900000000000002</v>
      </c>
      <c r="I68" s="10">
        <v>-2.1120000000000001</v>
      </c>
      <c r="J68" s="10">
        <v>-2.9540000000000002</v>
      </c>
      <c r="K68" s="10">
        <v>0.90700000000000003</v>
      </c>
      <c r="L68" s="10">
        <v>1.0820000000000001</v>
      </c>
      <c r="M68" s="10">
        <v>6.4870000000000001</v>
      </c>
      <c r="N68" s="10">
        <v>5.984</v>
      </c>
    </row>
    <row r="69" spans="2:14" ht="15" customHeight="1" x14ac:dyDescent="0.25">
      <c r="B69" s="6" t="s">
        <v>90</v>
      </c>
      <c r="C69" s="16">
        <v>5.41</v>
      </c>
      <c r="D69" s="16">
        <v>36.905999999999999</v>
      </c>
      <c r="E69" s="16">
        <v>10.536</v>
      </c>
      <c r="F69" s="16">
        <v>5.9269999999999996</v>
      </c>
      <c r="G69" s="16">
        <v>27.042000000000002</v>
      </c>
      <c r="H69" s="16">
        <v>-1.696</v>
      </c>
      <c r="I69" s="16">
        <v>5.8460000000000001</v>
      </c>
      <c r="J69" s="16">
        <v>2.7330000000000001</v>
      </c>
      <c r="K69" s="16">
        <v>-29.547000000000001</v>
      </c>
      <c r="L69" s="16">
        <v>15.836</v>
      </c>
      <c r="M69" s="16">
        <v>13.689</v>
      </c>
      <c r="N69" s="16">
        <v>-18.074000000000002</v>
      </c>
    </row>
    <row r="70" spans="2:14" ht="15" customHeight="1" x14ac:dyDescent="0.25">
      <c r="B70" s="9" t="s">
        <v>91</v>
      </c>
      <c r="C70" s="10">
        <v>264.38</v>
      </c>
      <c r="D70" s="10">
        <v>264.38</v>
      </c>
      <c r="E70" s="10">
        <v>264.38</v>
      </c>
      <c r="F70" s="10">
        <v>277.05399999999997</v>
      </c>
      <c r="G70" s="10">
        <v>277.05399999999997</v>
      </c>
      <c r="H70" s="10">
        <v>277.05399999999997</v>
      </c>
      <c r="I70" s="10">
        <v>298.17200000000003</v>
      </c>
      <c r="J70" s="10">
        <v>298.17200000000003</v>
      </c>
      <c r="K70" s="10">
        <v>298.17200000000003</v>
      </c>
      <c r="L70" s="10">
        <v>271.803</v>
      </c>
      <c r="M70" s="10">
        <v>271.803</v>
      </c>
      <c r="N70" s="10">
        <v>271.803</v>
      </c>
    </row>
    <row r="71" spans="2:14" ht="15" customHeight="1" x14ac:dyDescent="0.25">
      <c r="B71" s="6" t="s">
        <v>92</v>
      </c>
      <c r="C71" s="16">
        <v>269.79000000000002</v>
      </c>
      <c r="D71" s="16">
        <v>301.286</v>
      </c>
      <c r="E71" s="16">
        <v>274.916</v>
      </c>
      <c r="F71" s="16">
        <v>282.98099999999999</v>
      </c>
      <c r="G71" s="16">
        <v>304.096</v>
      </c>
      <c r="H71" s="16">
        <v>275.358</v>
      </c>
      <c r="I71" s="16">
        <v>304.01799999999997</v>
      </c>
      <c r="J71" s="16">
        <v>300.90499999999997</v>
      </c>
      <c r="K71" s="16">
        <v>268.625</v>
      </c>
      <c r="L71" s="16">
        <v>287.63900000000001</v>
      </c>
      <c r="M71" s="16">
        <v>285.49200000000002</v>
      </c>
      <c r="N71" s="16">
        <v>253.72900000000001</v>
      </c>
    </row>
  </sheetData>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39"/>
  <sheetViews>
    <sheetView showGridLines="0" zoomScaleNormal="100" workbookViewId="0">
      <selection activeCell="H21" sqref="H20:H21"/>
    </sheetView>
  </sheetViews>
  <sheetFormatPr defaultColWidth="8.7109375" defaultRowHeight="12.75" x14ac:dyDescent="0.2"/>
  <cols>
    <col min="1" max="1" width="2" style="1" customWidth="1"/>
    <col min="2" max="2" width="46" style="1" customWidth="1"/>
    <col min="3" max="6" width="18.42578125" style="1" customWidth="1"/>
  </cols>
  <sheetData>
    <row r="1" spans="2:6" ht="17.25" customHeight="1" x14ac:dyDescent="0.3">
      <c r="B1" s="2" t="s">
        <v>106</v>
      </c>
    </row>
    <row r="2" spans="2:6" ht="15" customHeight="1" x14ac:dyDescent="0.25">
      <c r="B2" s="3" t="s">
        <v>1</v>
      </c>
    </row>
    <row r="4" spans="2:6" ht="15" customHeight="1" x14ac:dyDescent="0.25">
      <c r="B4" s="4"/>
      <c r="C4" s="5" t="s">
        <v>32</v>
      </c>
      <c r="D4" s="5" t="s">
        <v>33</v>
      </c>
      <c r="E4" s="5" t="s">
        <v>34</v>
      </c>
      <c r="F4" s="5" t="s">
        <v>35</v>
      </c>
    </row>
    <row r="5" spans="2:6" ht="15" customHeight="1" x14ac:dyDescent="0.25">
      <c r="C5" s="13">
        <v>45164</v>
      </c>
      <c r="D5" s="13">
        <v>45535</v>
      </c>
      <c r="E5" s="13">
        <v>45899</v>
      </c>
      <c r="F5" s="13">
        <v>46151</v>
      </c>
    </row>
    <row r="6" spans="2:6" ht="15" customHeight="1" x14ac:dyDescent="0.25">
      <c r="B6" s="6" t="s">
        <v>26</v>
      </c>
      <c r="C6" s="7">
        <v>2528.4259999999999</v>
      </c>
      <c r="D6" s="7">
        <v>2662.4270000000001</v>
      </c>
      <c r="E6" s="7">
        <v>2498.2469999999998</v>
      </c>
      <c r="F6" s="7">
        <v>2478.1239999999998</v>
      </c>
    </row>
    <row r="7" spans="2:6" ht="15" customHeight="1" x14ac:dyDescent="0.25">
      <c r="B7" s="9" t="s">
        <v>66</v>
      </c>
      <c r="C7" s="10">
        <v>497.577</v>
      </c>
      <c r="D7" s="10">
        <v>549.755</v>
      </c>
      <c r="E7" s="10">
        <v>613.19899999999996</v>
      </c>
      <c r="F7" s="10">
        <v>661.53800000000001</v>
      </c>
    </row>
    <row r="8" spans="2:6" ht="15" customHeight="1" x14ac:dyDescent="0.25">
      <c r="B8" s="9" t="s">
        <v>67</v>
      </c>
      <c r="C8" s="10">
        <v>44</v>
      </c>
      <c r="D8" s="10">
        <v>-40</v>
      </c>
      <c r="E8" s="10">
        <v>64</v>
      </c>
      <c r="F8" s="10">
        <v>257</v>
      </c>
    </row>
    <row r="9" spans="2:6" ht="15" customHeight="1" x14ac:dyDescent="0.25">
      <c r="B9" s="9" t="s">
        <v>68</v>
      </c>
      <c r="C9" s="10">
        <v>9.2639999999999993</v>
      </c>
      <c r="D9" s="10">
        <v>11.988</v>
      </c>
      <c r="E9" s="10">
        <v>12.84</v>
      </c>
      <c r="F9" s="10">
        <v>12.53</v>
      </c>
    </row>
    <row r="10" spans="2:6" ht="15" customHeight="1" x14ac:dyDescent="0.25">
      <c r="B10" s="9" t="s">
        <v>69</v>
      </c>
      <c r="C10" s="10">
        <v>-25.707000000000001</v>
      </c>
      <c r="D10" s="10">
        <v>-254.393</v>
      </c>
      <c r="E10" s="10">
        <v>115.389</v>
      </c>
      <c r="F10" s="10">
        <v>16.975000000000001</v>
      </c>
    </row>
    <row r="11" spans="2:6" ht="15" customHeight="1" x14ac:dyDescent="0.25">
      <c r="B11" s="9" t="s">
        <v>70</v>
      </c>
      <c r="C11" s="10">
        <v>93.087000000000003</v>
      </c>
      <c r="D11" s="10">
        <v>106.246</v>
      </c>
      <c r="E11" s="10">
        <v>124.717</v>
      </c>
      <c r="F11" s="10">
        <v>136.774</v>
      </c>
    </row>
    <row r="12" spans="2:6" ht="15" customHeight="1" x14ac:dyDescent="0.25">
      <c r="B12" s="9" t="s">
        <v>38</v>
      </c>
      <c r="C12" s="10">
        <v>-6.6740000000000004</v>
      </c>
      <c r="D12" s="10">
        <v>-38.281999999999996</v>
      </c>
      <c r="E12" s="10">
        <v>-118.60599999999999</v>
      </c>
      <c r="F12" s="10">
        <v>-163.393</v>
      </c>
    </row>
    <row r="13" spans="2:6" ht="15" customHeight="1" x14ac:dyDescent="0.25">
      <c r="B13" s="9" t="s">
        <v>39</v>
      </c>
      <c r="C13" s="10">
        <v>-89.18</v>
      </c>
      <c r="D13" s="10">
        <v>-453.101</v>
      </c>
      <c r="E13" s="10">
        <v>-893.90800000000002</v>
      </c>
      <c r="F13" s="10">
        <v>-908.09900000000005</v>
      </c>
    </row>
    <row r="14" spans="2:6" ht="15" customHeight="1" x14ac:dyDescent="0.25">
      <c r="B14" s="9" t="s">
        <v>71</v>
      </c>
      <c r="C14" s="10">
        <v>-183.679</v>
      </c>
      <c r="D14" s="10">
        <v>244.13399999999999</v>
      </c>
      <c r="E14" s="10">
        <v>657.40800000000002</v>
      </c>
      <c r="F14" s="10">
        <v>401.26299999999998</v>
      </c>
    </row>
    <row r="15" spans="2:6" ht="15" customHeight="1" x14ac:dyDescent="0.25">
      <c r="B15" s="9" t="s">
        <v>72</v>
      </c>
      <c r="C15" s="10">
        <v>92.831999999999994</v>
      </c>
      <c r="D15" s="10">
        <v>296.39800000000002</v>
      </c>
      <c r="E15" s="10">
        <v>68.447000000000003</v>
      </c>
      <c r="F15" s="10">
        <v>138.703</v>
      </c>
    </row>
    <row r="16" spans="2:6" ht="15" customHeight="1" x14ac:dyDescent="0.25">
      <c r="B16" s="9" t="s">
        <v>73</v>
      </c>
      <c r="C16" s="10">
        <v>-19.158000000000001</v>
      </c>
      <c r="D16" s="10">
        <v>-81.055999999999997</v>
      </c>
      <c r="E16" s="10">
        <v>-24.396000000000001</v>
      </c>
      <c r="F16" s="10">
        <v>40.927</v>
      </c>
    </row>
    <row r="17" spans="2:6" ht="15" customHeight="1" x14ac:dyDescent="0.25">
      <c r="B17" s="6" t="s">
        <v>74</v>
      </c>
      <c r="C17" s="7">
        <v>2940.788</v>
      </c>
      <c r="D17" s="7">
        <v>3004.116</v>
      </c>
      <c r="E17" s="7">
        <v>3117.337</v>
      </c>
      <c r="F17" s="7">
        <v>3072.3420000000001</v>
      </c>
    </row>
    <row r="18" spans="2:6" ht="15" customHeight="1" x14ac:dyDescent="0.25">
      <c r="B18" s="9" t="s">
        <v>75</v>
      </c>
      <c r="C18" s="10">
        <v>-796.65700000000004</v>
      </c>
      <c r="D18" s="10">
        <v>-1072.6959999999999</v>
      </c>
      <c r="E18" s="10">
        <v>-1327.2570000000001</v>
      </c>
      <c r="F18" s="10">
        <v>-1439.12</v>
      </c>
    </row>
    <row r="19" spans="2:6" ht="15" customHeight="1" x14ac:dyDescent="0.25">
      <c r="B19" s="9" t="s">
        <v>76</v>
      </c>
      <c r="C19" s="10">
        <v>-66.917000000000002</v>
      </c>
      <c r="D19" s="10">
        <v>-38.756999999999998</v>
      </c>
      <c r="E19" s="10">
        <v>-64.504000000000005</v>
      </c>
      <c r="F19" s="10">
        <v>-45.7</v>
      </c>
    </row>
    <row r="20" spans="2:6" ht="15" customHeight="1" x14ac:dyDescent="0.25">
      <c r="B20" s="9" t="s">
        <v>77</v>
      </c>
      <c r="C20" s="10">
        <v>58.356999999999999</v>
      </c>
      <c r="D20" s="10">
        <v>40.848999999999997</v>
      </c>
      <c r="E20" s="10">
        <v>63.326000000000001</v>
      </c>
      <c r="F20" s="10">
        <v>26.170999999999999</v>
      </c>
    </row>
    <row r="21" spans="2:6" ht="15" customHeight="1" x14ac:dyDescent="0.25">
      <c r="B21" s="9" t="s">
        <v>78</v>
      </c>
      <c r="C21" s="10">
        <v>-98.003</v>
      </c>
      <c r="D21" s="10">
        <v>-227.494</v>
      </c>
      <c r="E21" s="10">
        <v>-111.815</v>
      </c>
      <c r="F21" s="10">
        <v>-70.606999999999999</v>
      </c>
    </row>
    <row r="22" spans="2:6" ht="15" customHeight="1" x14ac:dyDescent="0.25">
      <c r="B22" s="9" t="s">
        <v>79</v>
      </c>
      <c r="C22" s="10">
        <v>27.042000000000002</v>
      </c>
      <c r="D22" s="10">
        <v>11.592000000000001</v>
      </c>
      <c r="E22" s="10">
        <v>39.82</v>
      </c>
      <c r="F22" s="10">
        <v>32.999000000000002</v>
      </c>
    </row>
    <row r="23" spans="2:6" ht="15" customHeight="1" x14ac:dyDescent="0.25">
      <c r="B23" s="6" t="s">
        <v>80</v>
      </c>
      <c r="C23" s="7">
        <v>-876.178</v>
      </c>
      <c r="D23" s="7">
        <v>-1286.5060000000001</v>
      </c>
      <c r="E23" s="7">
        <v>-1400.43</v>
      </c>
      <c r="F23" s="7">
        <v>-1496.2570000000001</v>
      </c>
    </row>
    <row r="24" spans="2:6" ht="15" customHeight="1" x14ac:dyDescent="0.25">
      <c r="B24" s="9" t="s">
        <v>81</v>
      </c>
      <c r="C24" s="10">
        <v>606.20000000000005</v>
      </c>
      <c r="D24" s="10">
        <v>-629.6</v>
      </c>
      <c r="E24" s="10">
        <v>168.6</v>
      </c>
      <c r="F24" s="10">
        <v>552.5</v>
      </c>
    </row>
    <row r="25" spans="2:6" ht="15" customHeight="1" x14ac:dyDescent="0.25">
      <c r="B25" s="9" t="s">
        <v>82</v>
      </c>
      <c r="C25" s="10">
        <v>1750</v>
      </c>
      <c r="D25" s="10">
        <v>2300</v>
      </c>
      <c r="E25" s="10">
        <v>500</v>
      </c>
      <c r="F25" s="10">
        <v>0</v>
      </c>
    </row>
    <row r="26" spans="2:6" ht="15" customHeight="1" x14ac:dyDescent="0.25">
      <c r="B26" s="9" t="s">
        <v>83</v>
      </c>
      <c r="C26" s="10">
        <v>-800</v>
      </c>
      <c r="D26" s="10">
        <v>-300</v>
      </c>
      <c r="E26" s="10">
        <v>-900</v>
      </c>
      <c r="F26" s="10">
        <v>-400</v>
      </c>
    </row>
    <row r="27" spans="2:6" ht="15" customHeight="1" x14ac:dyDescent="0.25">
      <c r="B27" s="9" t="s">
        <v>84</v>
      </c>
      <c r="C27" s="10">
        <v>182.494</v>
      </c>
      <c r="D27" s="10">
        <v>176.23599999999999</v>
      </c>
      <c r="E27" s="10">
        <v>172.297</v>
      </c>
      <c r="F27" s="10">
        <v>129.03</v>
      </c>
    </row>
    <row r="28" spans="2:6" ht="15" customHeight="1" x14ac:dyDescent="0.25">
      <c r="B28" s="9" t="s">
        <v>85</v>
      </c>
      <c r="C28" s="10">
        <v>-3699.5520000000001</v>
      </c>
      <c r="D28" s="10">
        <v>-3140.9169999999999</v>
      </c>
      <c r="E28" s="10">
        <v>-1578.1859999999999</v>
      </c>
      <c r="F28" s="10">
        <v>-1765.2829999999999</v>
      </c>
    </row>
    <row r="29" spans="2:6" ht="15" customHeight="1" x14ac:dyDescent="0.25">
      <c r="B29" s="9" t="s">
        <v>86</v>
      </c>
      <c r="C29" s="10">
        <v>-81.055000000000007</v>
      </c>
      <c r="D29" s="10">
        <v>-85.257999999999996</v>
      </c>
      <c r="E29" s="10">
        <v>-96.153999999999996</v>
      </c>
      <c r="F29" s="10">
        <v>-104.21899999999999</v>
      </c>
    </row>
    <row r="30" spans="2:6" ht="15" customHeight="1" x14ac:dyDescent="0.25">
      <c r="B30" s="9" t="s">
        <v>87</v>
      </c>
      <c r="C30" s="10">
        <v>-18.169</v>
      </c>
      <c r="D30" s="10">
        <v>-4.1970000000000001</v>
      </c>
      <c r="E30" s="10">
        <v>-13.375999999999999</v>
      </c>
      <c r="F30" s="10">
        <v>-11.629</v>
      </c>
    </row>
    <row r="31" spans="2:6" ht="15" customHeight="1" x14ac:dyDescent="0.25">
      <c r="B31" s="6" t="s">
        <v>88</v>
      </c>
      <c r="C31" s="7">
        <v>-2060.0819999999999</v>
      </c>
      <c r="D31" s="7">
        <v>-1683.7360000000001</v>
      </c>
      <c r="E31" s="7">
        <v>-1746.819</v>
      </c>
      <c r="F31" s="7">
        <v>-1599.6010000000001</v>
      </c>
    </row>
    <row r="32" spans="2:6" ht="15" customHeight="1" x14ac:dyDescent="0.25">
      <c r="B32" s="9" t="s">
        <v>89</v>
      </c>
      <c r="C32" s="10">
        <v>8.1460000000000008</v>
      </c>
      <c r="D32" s="10">
        <v>-12.756</v>
      </c>
      <c r="E32" s="10">
        <v>3.5430000000000001</v>
      </c>
      <c r="F32" s="10">
        <v>8.6199999999999992</v>
      </c>
    </row>
    <row r="33" spans="2:6" ht="15" customHeight="1" x14ac:dyDescent="0.25">
      <c r="B33" s="6" t="s">
        <v>90</v>
      </c>
      <c r="C33" s="7">
        <v>12.673999999999999</v>
      </c>
      <c r="D33" s="7">
        <v>21.117999999999999</v>
      </c>
      <c r="E33" s="7">
        <v>-26.369</v>
      </c>
      <c r="F33" s="7">
        <v>-14.896000000000001</v>
      </c>
    </row>
    <row r="34" spans="2:6" ht="15" customHeight="1" x14ac:dyDescent="0.25">
      <c r="B34" s="9" t="s">
        <v>91</v>
      </c>
      <c r="C34" s="10">
        <v>264.38</v>
      </c>
      <c r="D34" s="10">
        <v>277.05399999999997</v>
      </c>
      <c r="E34" s="10">
        <v>298.17200000000003</v>
      </c>
      <c r="F34" s="10">
        <v>268.625</v>
      </c>
    </row>
    <row r="35" spans="2:6" ht="15" customHeight="1" x14ac:dyDescent="0.25">
      <c r="B35" s="6" t="s">
        <v>92</v>
      </c>
      <c r="C35" s="7">
        <v>277.05399999999997</v>
      </c>
      <c r="D35" s="7">
        <v>298.17200000000003</v>
      </c>
      <c r="E35" s="7">
        <v>271.803</v>
      </c>
      <c r="F35" s="7">
        <v>253.72900000000001</v>
      </c>
    </row>
    <row r="36" spans="2:6" ht="15" customHeight="1" x14ac:dyDescent="0.25">
      <c r="B36" s="9" t="s">
        <v>107</v>
      </c>
      <c r="C36" s="10">
        <v>260.86599999999999</v>
      </c>
      <c r="D36" s="10">
        <v>353.81900000000002</v>
      </c>
      <c r="E36" s="10">
        <v>413.02600000000001</v>
      </c>
      <c r="F36" s="10"/>
    </row>
    <row r="37" spans="2:6" ht="15" customHeight="1" x14ac:dyDescent="0.25">
      <c r="B37" s="9" t="s">
        <v>108</v>
      </c>
      <c r="C37" s="10">
        <v>570.25</v>
      </c>
      <c r="D37" s="10">
        <v>437.55200000000002</v>
      </c>
      <c r="E37" s="10">
        <v>313.488</v>
      </c>
      <c r="F37" s="10"/>
    </row>
    <row r="38" spans="2:6" ht="15" customHeight="1" x14ac:dyDescent="0.25">
      <c r="B38" s="9" t="s">
        <v>109</v>
      </c>
      <c r="C38" s="10">
        <v>58.316000000000003</v>
      </c>
      <c r="D38" s="10">
        <v>196.11199999999999</v>
      </c>
      <c r="E38" s="10">
        <v>95.759</v>
      </c>
      <c r="F38" s="10"/>
    </row>
    <row r="39" spans="2:6" ht="15" customHeight="1" x14ac:dyDescent="0.25">
      <c r="B39" s="9" t="s">
        <v>110</v>
      </c>
      <c r="C39" s="10">
        <v>428.15</v>
      </c>
      <c r="D39" s="10">
        <v>415.21199999999999</v>
      </c>
      <c r="E39" s="10">
        <v>533.197</v>
      </c>
      <c r="F39" s="10"/>
    </row>
  </sheetData>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A1006"/>
  <sheetViews>
    <sheetView tabSelected="1" topLeftCell="A85" zoomScaleNormal="100" workbookViewId="0">
      <selection activeCell="J109" sqref="J109"/>
    </sheetView>
  </sheetViews>
  <sheetFormatPr defaultColWidth="14.42578125" defaultRowHeight="12.75" x14ac:dyDescent="0.2"/>
  <cols>
    <col min="1" max="2" width="1.85546875" style="1" customWidth="1"/>
    <col min="3" max="3" width="42" style="1" customWidth="1"/>
    <col min="4" max="6" width="14.5703125" style="1" hidden="1" customWidth="1"/>
    <col min="7" max="10" width="14.5703125" style="1" customWidth="1"/>
    <col min="11" max="13" width="12.140625" style="1" customWidth="1"/>
    <col min="14" max="14" width="14.140625" style="1" customWidth="1"/>
    <col min="15" max="15" width="12.140625" style="1" customWidth="1"/>
    <col min="16" max="16" width="9.140625" style="1" customWidth="1"/>
    <col min="17" max="17" width="16.85546875" style="1" customWidth="1"/>
    <col min="18" max="18" width="15.5703125" style="1" customWidth="1"/>
    <col min="19" max="19" width="17.140625" style="1" customWidth="1"/>
    <col min="20" max="20" width="10" style="1" customWidth="1"/>
    <col min="21" max="21" width="8" style="1" customWidth="1"/>
    <col min="22" max="22" width="42.42578125" customWidth="1"/>
  </cols>
  <sheetData>
    <row r="1" spans="1:27" ht="23.25" customHeight="1" x14ac:dyDescent="0.35">
      <c r="A1" s="17"/>
      <c r="C1" s="18" t="e" vm="1">
        <v>#VALUE!</v>
      </c>
      <c r="D1" s="19"/>
      <c r="E1" s="19"/>
      <c r="F1" s="19"/>
      <c r="G1" s="19"/>
      <c r="H1" s="19"/>
      <c r="I1" s="20"/>
      <c r="J1" s="20"/>
      <c r="K1" s="20"/>
      <c r="L1" s="20"/>
      <c r="M1" s="20"/>
      <c r="N1" s="20"/>
      <c r="O1" s="20"/>
      <c r="P1" s="20"/>
      <c r="Q1" s="20"/>
      <c r="R1" s="20"/>
      <c r="S1" s="20"/>
      <c r="T1" s="21"/>
      <c r="U1" s="21"/>
    </row>
    <row r="2" spans="1:27" ht="12.75" customHeight="1" x14ac:dyDescent="0.2">
      <c r="S2" s="22"/>
    </row>
    <row r="3" spans="1:27" ht="14.25" customHeight="1" x14ac:dyDescent="0.25">
      <c r="A3" s="23"/>
      <c r="B3" s="23"/>
      <c r="C3" s="24" t="s">
        <v>111</v>
      </c>
      <c r="D3" s="24"/>
      <c r="E3" s="25"/>
      <c r="F3" s="25"/>
      <c r="G3" s="25"/>
      <c r="H3" s="25"/>
      <c r="I3" s="26">
        <f ca="1">TODAY()</f>
        <v>46289</v>
      </c>
      <c r="J3" s="23"/>
      <c r="K3" s="23"/>
      <c r="L3" s="23"/>
      <c r="M3" s="23"/>
      <c r="N3" s="23"/>
      <c r="O3" s="23"/>
      <c r="P3" s="23"/>
      <c r="Q3" s="23"/>
      <c r="R3" s="23"/>
      <c r="S3" s="23"/>
      <c r="V3" s="18" t="s">
        <v>199</v>
      </c>
      <c r="W3" s="167" t="s">
        <v>200</v>
      </c>
      <c r="X3" s="168" t="s">
        <v>116</v>
      </c>
      <c r="Y3" s="168" t="s">
        <v>201</v>
      </c>
      <c r="Z3" s="1"/>
      <c r="AA3" s="168" t="s">
        <v>202</v>
      </c>
    </row>
    <row r="4" spans="1:27" ht="14.25" customHeight="1" x14ac:dyDescent="0.25">
      <c r="A4" s="23"/>
      <c r="B4" s="23"/>
      <c r="C4" s="24" t="s">
        <v>112</v>
      </c>
      <c r="D4" s="24"/>
      <c r="E4" s="25"/>
      <c r="F4" s="25"/>
      <c r="G4" s="25"/>
      <c r="H4" s="25"/>
      <c r="I4" s="27" cm="1">
        <f t="array" aca="1" ref="I4" ca="1">_FV(C1,"Price")</f>
        <v>2864.49</v>
      </c>
      <c r="J4" s="23"/>
      <c r="K4" s="23"/>
      <c r="L4" s="23"/>
      <c r="M4" s="23"/>
      <c r="N4" s="23"/>
      <c r="O4" s="23"/>
      <c r="P4" s="23"/>
      <c r="Q4" s="23"/>
      <c r="R4" s="23"/>
      <c r="S4" s="23"/>
      <c r="T4" s="23"/>
      <c r="U4" s="23"/>
      <c r="V4" s="9" t="s">
        <v>123</v>
      </c>
      <c r="W4" s="139">
        <v>0.02</v>
      </c>
      <c r="X4" s="96">
        <f>$R$11</f>
        <v>5.2240695788565938E-2</v>
      </c>
      <c r="Y4" s="139">
        <v>0</v>
      </c>
      <c r="Z4" s="1"/>
      <c r="AA4" s="140">
        <f t="shared" ref="AA4:AA14" si="0">INDEX(W4:Y4,MATCH($I$6,$W$3:$Y$3,0))</f>
        <v>5.2240695788565938E-2</v>
      </c>
    </row>
    <row r="5" spans="1:27" ht="14.25" customHeight="1" x14ac:dyDescent="0.25">
      <c r="A5" s="23"/>
      <c r="B5" s="23"/>
      <c r="C5" s="24" t="s">
        <v>113</v>
      </c>
      <c r="D5" s="24"/>
      <c r="E5" s="25"/>
      <c r="F5" s="25"/>
      <c r="G5" s="25"/>
      <c r="H5" s="25"/>
      <c r="I5" s="28">
        <f>'IS Quarterly'!R17</f>
        <v>16.62</v>
      </c>
      <c r="J5" s="29" t="s">
        <v>114</v>
      </c>
      <c r="K5" s="23"/>
      <c r="L5" s="23"/>
      <c r="M5" s="23"/>
      <c r="N5" s="23"/>
      <c r="O5" s="23"/>
      <c r="P5" s="23"/>
      <c r="Q5" s="23"/>
      <c r="R5" s="23"/>
      <c r="S5" s="23"/>
      <c r="T5" s="23"/>
      <c r="U5" s="23"/>
      <c r="V5" s="9" t="s">
        <v>126</v>
      </c>
      <c r="W5" s="139">
        <v>0.15</v>
      </c>
      <c r="X5" s="96">
        <v>0.18</v>
      </c>
      <c r="Y5" s="139">
        <v>0</v>
      </c>
      <c r="Z5" s="1"/>
      <c r="AA5" s="140">
        <f t="shared" si="0"/>
        <v>0.18</v>
      </c>
    </row>
    <row r="6" spans="1:27" ht="14.25" customHeight="1" x14ac:dyDescent="0.25">
      <c r="A6" s="23"/>
      <c r="B6" s="23"/>
      <c r="C6" s="30" t="s">
        <v>115</v>
      </c>
      <c r="D6" s="24"/>
      <c r="E6" s="25"/>
      <c r="F6" s="25"/>
      <c r="G6" s="25"/>
      <c r="H6" s="25"/>
      <c r="I6" s="186" t="s">
        <v>116</v>
      </c>
      <c r="J6" s="23"/>
      <c r="K6" s="23"/>
      <c r="L6" s="23"/>
      <c r="M6" s="23"/>
      <c r="N6" s="23"/>
      <c r="O6" s="23"/>
      <c r="P6" s="23"/>
      <c r="Q6" s="23"/>
      <c r="R6" s="23"/>
      <c r="S6" s="23"/>
      <c r="T6" s="23"/>
      <c r="U6" s="23"/>
      <c r="V6" s="9" t="s">
        <v>203</v>
      </c>
      <c r="W6" s="139">
        <v>0.04</v>
      </c>
      <c r="X6" s="96">
        <v>3.5000000000000003E-2</v>
      </c>
      <c r="Y6" s="139">
        <v>0</v>
      </c>
      <c r="Z6" s="1"/>
      <c r="AA6" s="140">
        <f t="shared" si="0"/>
        <v>3.5000000000000003E-2</v>
      </c>
    </row>
    <row r="7" spans="1:27" ht="18" customHeight="1" x14ac:dyDescent="0.3">
      <c r="A7" s="23"/>
      <c r="B7" s="23"/>
      <c r="C7" s="31" t="s">
        <v>117</v>
      </c>
      <c r="D7" s="32"/>
      <c r="E7" s="32"/>
      <c r="F7" s="32"/>
      <c r="G7" s="32"/>
      <c r="H7" s="32"/>
      <c r="I7" s="32"/>
      <c r="J7" s="32"/>
      <c r="K7" s="32"/>
      <c r="L7" s="32"/>
      <c r="M7" s="32"/>
      <c r="N7" s="32"/>
      <c r="O7" s="32"/>
      <c r="P7" s="23"/>
      <c r="Q7" s="23"/>
      <c r="R7" s="23"/>
      <c r="S7" s="23"/>
      <c r="T7" s="23"/>
      <c r="U7" s="23"/>
    </row>
    <row r="8" spans="1:27" ht="14.25" customHeight="1" x14ac:dyDescent="0.25">
      <c r="A8" s="23"/>
      <c r="B8" s="23"/>
      <c r="C8" s="24"/>
      <c r="D8" s="24"/>
      <c r="E8" s="33"/>
      <c r="F8" s="34"/>
      <c r="G8" s="33"/>
      <c r="H8" s="33"/>
      <c r="I8" s="33"/>
      <c r="J8" s="35"/>
      <c r="K8" s="188" t="s">
        <v>118</v>
      </c>
      <c r="L8" s="188"/>
      <c r="M8" s="188"/>
      <c r="N8" s="188"/>
      <c r="O8" s="188"/>
      <c r="P8" s="23"/>
      <c r="Q8" s="23"/>
      <c r="R8" s="23"/>
      <c r="S8" s="23"/>
      <c r="T8" s="23"/>
      <c r="U8" s="23"/>
      <c r="V8" s="9" t="s">
        <v>204</v>
      </c>
      <c r="W8" s="139">
        <v>0.05</v>
      </c>
      <c r="X8" s="96">
        <v>0.04</v>
      </c>
      <c r="Y8" s="139">
        <v>0</v>
      </c>
      <c r="Z8" s="1"/>
      <c r="AA8" s="140">
        <f>INDEX(W8:Y8,MATCH($I$6,$W$3:$Y$3,0))</f>
        <v>0.04</v>
      </c>
    </row>
    <row r="9" spans="1:27" ht="14.25" customHeight="1" x14ac:dyDescent="0.25">
      <c r="A9" s="23"/>
      <c r="B9" s="23"/>
      <c r="C9" s="24"/>
      <c r="D9" s="36"/>
      <c r="E9" s="36"/>
      <c r="F9" s="36"/>
      <c r="G9" s="36">
        <v>45164</v>
      </c>
      <c r="H9" s="36">
        <v>45535</v>
      </c>
      <c r="I9" s="36">
        <v>45899</v>
      </c>
      <c r="J9" s="36">
        <v>46263</v>
      </c>
      <c r="K9" s="37">
        <f>EDATE(J9,12)</f>
        <v>46628</v>
      </c>
      <c r="L9" s="37">
        <f>EDATE(K9,12)</f>
        <v>46994</v>
      </c>
      <c r="M9" s="37">
        <f>EDATE(L9,12)</f>
        <v>47359</v>
      </c>
      <c r="N9" s="37">
        <f>EDATE(M9,12)</f>
        <v>47724</v>
      </c>
      <c r="O9" s="37">
        <f>EDATE(N9,12)</f>
        <v>48089</v>
      </c>
      <c r="P9" s="23"/>
      <c r="Q9" s="38"/>
      <c r="R9" s="38"/>
      <c r="S9" s="38"/>
      <c r="T9" s="38"/>
      <c r="U9" s="23"/>
      <c r="V9" s="9" t="s">
        <v>205</v>
      </c>
      <c r="W9" s="139">
        <v>0.4</v>
      </c>
      <c r="X9" s="96">
        <v>0.38</v>
      </c>
      <c r="Y9" s="139">
        <v>0</v>
      </c>
      <c r="Z9" s="1"/>
      <c r="AA9" s="140">
        <f>INDEX(W9:Y9,MATCH($I$6,$W$3:$Y$3,0))</f>
        <v>0.38</v>
      </c>
    </row>
    <row r="10" spans="1:27" ht="14.25" customHeight="1" x14ac:dyDescent="0.25">
      <c r="A10" s="23"/>
      <c r="B10" s="23"/>
      <c r="C10" s="24" t="s">
        <v>119</v>
      </c>
      <c r="D10" s="39"/>
      <c r="E10" s="40"/>
      <c r="F10" s="40"/>
      <c r="G10" s="41">
        <f>'IS Annual'!C6</f>
        <v>17457.208999999999</v>
      </c>
      <c r="H10" s="41">
        <f>'IS Annual'!D6</f>
        <v>18490.268</v>
      </c>
      <c r="I10" s="41">
        <f>'IS Annual'!E6</f>
        <v>18938.717000000001</v>
      </c>
      <c r="J10" s="42">
        <f>'IS Annual'!F6</f>
        <v>20338.555</v>
      </c>
      <c r="K10" s="43">
        <f ca="1">J10*(1+K11)*$I$103</f>
        <v>19876.596533361731</v>
      </c>
      <c r="L10" s="43">
        <f ca="1">(K10/$I$103)*(1+L11)</f>
        <v>22519.061282162827</v>
      </c>
      <c r="M10" s="43">
        <f ca="1">L10*(1+M11)</f>
        <v>23695.472712048369</v>
      </c>
      <c r="N10" s="43">
        <f ca="1">M10*(1+N11)</f>
        <v>24933.340693564754</v>
      </c>
      <c r="O10" s="43">
        <f ca="1">N10*(1+O11)</f>
        <v>26235.875759729941</v>
      </c>
      <c r="P10" s="23"/>
      <c r="Q10" s="44" t="s">
        <v>120</v>
      </c>
      <c r="R10" s="44" t="s">
        <v>121</v>
      </c>
      <c r="S10" s="44" t="s">
        <v>122</v>
      </c>
      <c r="T10" s="23"/>
      <c r="U10" s="23"/>
      <c r="V10" s="9" t="s">
        <v>206</v>
      </c>
      <c r="W10" s="139">
        <v>0.02</v>
      </c>
      <c r="X10" s="96">
        <f>$R$36</f>
        <v>1.6376622201486921E-2</v>
      </c>
      <c r="Y10" s="139">
        <v>0</v>
      </c>
      <c r="Z10" s="1"/>
      <c r="AA10" s="140">
        <f>INDEX(W10:Y10,MATCH($I$6,$W$3:$Y$3,0))</f>
        <v>1.6376622201486921E-2</v>
      </c>
    </row>
    <row r="11" spans="1:27" ht="14.25" customHeight="1" x14ac:dyDescent="0.25">
      <c r="A11" s="23"/>
      <c r="B11" s="23"/>
      <c r="C11" s="45" t="s">
        <v>123</v>
      </c>
      <c r="D11" s="45"/>
      <c r="E11" s="46"/>
      <c r="F11" s="46"/>
      <c r="G11" s="46"/>
      <c r="H11" s="46">
        <f>(H10/G10)-1</f>
        <v>5.9176641581137224E-2</v>
      </c>
      <c r="I11" s="46">
        <f>(I10/H10)-1</f>
        <v>2.4253245004345114E-2</v>
      </c>
      <c r="J11" s="46">
        <f>(J10/I10)-1</f>
        <v>7.3914088266908484E-2</v>
      </c>
      <c r="K11" s="47">
        <f>$AA$4</f>
        <v>5.2240695788565938E-2</v>
      </c>
      <c r="L11" s="48">
        <f>+K11</f>
        <v>5.2240695788565938E-2</v>
      </c>
      <c r="M11" s="48">
        <f>+L11</f>
        <v>5.2240695788565938E-2</v>
      </c>
      <c r="N11" s="48">
        <f>+M11</f>
        <v>5.2240695788565938E-2</v>
      </c>
      <c r="O11" s="48">
        <f>+N11</f>
        <v>5.2240695788565938E-2</v>
      </c>
      <c r="P11" s="23"/>
      <c r="Q11" s="49">
        <f>AVERAGE(H11:J11)</f>
        <v>5.2447991617463607E-2</v>
      </c>
      <c r="R11" s="49">
        <f>GEOMEAN(H12:J12)-1</f>
        <v>5.2240695788565938E-2</v>
      </c>
      <c r="S11" s="49">
        <f>HARMEAN(H12:J12)-1</f>
        <v>5.2032174675617382E-2</v>
      </c>
      <c r="T11" s="23"/>
      <c r="U11" s="23"/>
      <c r="V11" s="9" t="s">
        <v>207</v>
      </c>
      <c r="W11" s="139">
        <f>R37</f>
        <v>0.41168672021036584</v>
      </c>
      <c r="X11" s="96">
        <f>$R$37</f>
        <v>0.41168672021036584</v>
      </c>
      <c r="Y11" s="139">
        <v>0</v>
      </c>
      <c r="Z11" s="1"/>
      <c r="AA11" s="140">
        <f>INDEX(W11:Y11,MATCH($I$6,$W$3:$Y$3,0))</f>
        <v>0.41168672021036584</v>
      </c>
    </row>
    <row r="12" spans="1:27" ht="14.25" customHeight="1" x14ac:dyDescent="0.25">
      <c r="A12" s="23"/>
      <c r="B12" s="23"/>
      <c r="C12" s="45" t="s">
        <v>124</v>
      </c>
      <c r="D12" s="45"/>
      <c r="E12" s="46"/>
      <c r="F12" s="46"/>
      <c r="G12" s="46"/>
      <c r="H12" s="46">
        <f>H11+1</f>
        <v>1.0591766415811372</v>
      </c>
      <c r="I12" s="46">
        <f>I11+1</f>
        <v>1.0242532450043451</v>
      </c>
      <c r="J12" s="46">
        <f>J11+1</f>
        <v>1.0739140882669085</v>
      </c>
      <c r="P12" s="23"/>
      <c r="Q12" s="50"/>
      <c r="R12" s="51"/>
      <c r="S12" s="52"/>
      <c r="T12" s="23"/>
      <c r="U12" s="23"/>
      <c r="V12" s="9" t="s">
        <v>208</v>
      </c>
      <c r="W12" s="139">
        <v>0.08</v>
      </c>
      <c r="X12" s="96">
        <v>7.4999999999999997E-2</v>
      </c>
      <c r="Y12" s="139">
        <v>0</v>
      </c>
      <c r="Z12" s="1"/>
      <c r="AA12" s="140">
        <f>INDEX(W12:Y12,MATCH($I$6,$W$3:$Y$3,0))</f>
        <v>7.4999999999999997E-2</v>
      </c>
    </row>
    <row r="13" spans="1:27" ht="14.25" customHeight="1" x14ac:dyDescent="0.25">
      <c r="A13" s="23"/>
      <c r="B13" s="23"/>
      <c r="C13" s="24"/>
      <c r="D13" s="53"/>
      <c r="E13" s="25"/>
      <c r="F13" s="25"/>
      <c r="G13" s="25"/>
      <c r="H13" s="25"/>
      <c r="I13" s="54"/>
      <c r="J13" s="23"/>
      <c r="K13" s="23"/>
      <c r="L13" s="23"/>
      <c r="M13" s="23"/>
      <c r="N13" s="23"/>
      <c r="O13" s="23"/>
      <c r="P13" s="23"/>
      <c r="Q13" s="52"/>
      <c r="R13" s="52"/>
      <c r="S13" s="52"/>
      <c r="T13" s="23"/>
      <c r="U13" s="23"/>
    </row>
    <row r="14" spans="1:27" ht="14.25" customHeight="1" x14ac:dyDescent="0.25">
      <c r="A14" s="23"/>
      <c r="B14" s="23"/>
      <c r="C14" s="24" t="s">
        <v>125</v>
      </c>
      <c r="D14" s="39"/>
      <c r="E14" s="55"/>
      <c r="F14" s="55"/>
      <c r="G14" s="42">
        <f>'IS Annual'!C10</f>
        <v>3473.9859999999999</v>
      </c>
      <c r="H14" s="42">
        <f>'IS Annual'!D10</f>
        <v>3788.7080000000001</v>
      </c>
      <c r="I14" s="42">
        <f>'IS Annual'!E10</f>
        <v>3610.1559999999999</v>
      </c>
      <c r="J14" s="42">
        <f>'IS Annual'!F10</f>
        <v>3723.3139999999999</v>
      </c>
      <c r="K14" s="56">
        <f ca="1">K15*K10</f>
        <v>3577.7873760051116</v>
      </c>
      <c r="L14" s="56">
        <f ca="1">L15*L10</f>
        <v>4053.4310307893088</v>
      </c>
      <c r="M14" s="56">
        <f ca="1">M15*M10</f>
        <v>4265.185088168706</v>
      </c>
      <c r="N14" s="56">
        <f ca="1">N15*N10</f>
        <v>4488.0013248416553</v>
      </c>
      <c r="O14" s="56">
        <f ca="1">O15*O10</f>
        <v>4722.4576367513891</v>
      </c>
      <c r="P14" s="23"/>
      <c r="Q14" s="44" t="s">
        <v>120</v>
      </c>
      <c r="R14" s="44" t="s">
        <v>121</v>
      </c>
      <c r="S14" s="44" t="s">
        <v>122</v>
      </c>
      <c r="T14" s="23"/>
      <c r="U14" s="23"/>
      <c r="V14" s="9" t="s">
        <v>209</v>
      </c>
      <c r="W14" s="139">
        <v>0.08</v>
      </c>
      <c r="X14" s="96">
        <v>7.2999999999999995E-2</v>
      </c>
      <c r="Y14" s="139">
        <v>0</v>
      </c>
      <c r="Z14" s="1"/>
      <c r="AA14" s="140">
        <f>INDEX(W14:Y14,MATCH($I$6,$W$3:$Y$3,0))</f>
        <v>7.2999999999999995E-2</v>
      </c>
    </row>
    <row r="15" spans="1:27" ht="14.25" customHeight="1" x14ac:dyDescent="0.25">
      <c r="A15" s="23"/>
      <c r="B15" s="23"/>
      <c r="C15" s="45" t="s">
        <v>126</v>
      </c>
      <c r="D15" s="46"/>
      <c r="E15" s="46"/>
      <c r="F15" s="46"/>
      <c r="G15" s="57">
        <f>IFERROR(G14/G10,"")</f>
        <v>0.19900008071164182</v>
      </c>
      <c r="H15" s="57">
        <f>IFERROR(H14/H10,"")</f>
        <v>0.20490281698458887</v>
      </c>
      <c r="I15" s="57">
        <f>IFERROR(I14/I10,"")</f>
        <v>0.19062305012530678</v>
      </c>
      <c r="J15" s="57">
        <f>IFERROR(J14/J10,"")</f>
        <v>0.18306679112650823</v>
      </c>
      <c r="K15" s="47">
        <f>$AA$5</f>
        <v>0.18</v>
      </c>
      <c r="L15" s="48">
        <f>+K15</f>
        <v>0.18</v>
      </c>
      <c r="M15" s="48">
        <f>+L15</f>
        <v>0.18</v>
      </c>
      <c r="N15" s="48">
        <f>+M15</f>
        <v>0.18</v>
      </c>
      <c r="O15" s="48">
        <f>+N15</f>
        <v>0.18</v>
      </c>
      <c r="P15" s="23"/>
      <c r="Q15" s="58">
        <f>AVERAGE(G15:J15)</f>
        <v>0.19439818473701143</v>
      </c>
      <c r="R15" s="58">
        <f>IFERROR(GEOMEAN(G15:J15),"")</f>
        <v>0.19422115893534014</v>
      </c>
      <c r="S15" s="58">
        <f>IFERROR(HARMEAN(G15:J15),"")</f>
        <v>0.19404355695648998</v>
      </c>
      <c r="T15" s="23"/>
      <c r="U15" s="23"/>
      <c r="V15" s="9" t="s">
        <v>210</v>
      </c>
      <c r="W15" s="139">
        <v>0.21299999999999999</v>
      </c>
      <c r="X15" s="96">
        <f>IFERROR($R$52+0,$Q$52)</f>
        <v>0.20384608621555628</v>
      </c>
      <c r="Y15" s="139">
        <v>0</v>
      </c>
      <c r="Z15" s="1"/>
      <c r="AA15" s="140">
        <f>INDEX(W15:Y15,MATCH($I$6,$W$3:$Y$3,0))</f>
        <v>0.20384608621555628</v>
      </c>
    </row>
    <row r="16" spans="1:27" ht="14.25" customHeight="1" x14ac:dyDescent="0.25">
      <c r="A16" s="23"/>
      <c r="B16" s="23"/>
      <c r="C16" s="24"/>
      <c r="D16" s="53"/>
      <c r="E16" s="25"/>
      <c r="F16" s="25"/>
      <c r="G16" s="25"/>
      <c r="H16" s="25"/>
      <c r="I16" s="54"/>
      <c r="J16" s="23"/>
      <c r="K16" s="23"/>
      <c r="L16" s="23"/>
      <c r="M16" s="23"/>
      <c r="N16" s="23"/>
      <c r="O16" s="23"/>
      <c r="P16" s="23"/>
      <c r="Q16" s="52"/>
      <c r="R16" s="52"/>
      <c r="S16" s="52"/>
      <c r="T16" s="23"/>
      <c r="U16" s="23"/>
    </row>
    <row r="17" spans="1:27" ht="14.25" customHeight="1" x14ac:dyDescent="0.25">
      <c r="A17" s="23"/>
      <c r="B17" s="23"/>
      <c r="C17" s="24" t="s">
        <v>127</v>
      </c>
      <c r="D17" s="39"/>
      <c r="E17" s="55"/>
      <c r="F17" s="55"/>
      <c r="G17" s="42">
        <f>'CF Annual'!C7</f>
        <v>497.577</v>
      </c>
      <c r="H17" s="42">
        <f>'CF Annual'!D7</f>
        <v>549.755</v>
      </c>
      <c r="I17" s="42">
        <f>'CF Annual'!E7</f>
        <v>613.19899999999996</v>
      </c>
      <c r="J17" s="42">
        <f>'CF Annual'!F7</f>
        <v>661.53800000000001</v>
      </c>
      <c r="K17" s="56">
        <f ca="1">K18*K10</f>
        <v>695.68087866766064</v>
      </c>
      <c r="L17" s="56">
        <f ca="1">L18*L10</f>
        <v>788.16714487569902</v>
      </c>
      <c r="M17" s="56">
        <f ca="1">M18*M10</f>
        <v>829.34154492169296</v>
      </c>
      <c r="N17" s="56">
        <f ca="1">N18*N10</f>
        <v>872.66692427476653</v>
      </c>
      <c r="O17" s="56">
        <f ca="1">O18*O10</f>
        <v>918.25565159054804</v>
      </c>
      <c r="P17" s="23"/>
      <c r="Q17" s="44" t="s">
        <v>120</v>
      </c>
      <c r="R17" s="44" t="s">
        <v>121</v>
      </c>
      <c r="S17" s="44" t="s">
        <v>122</v>
      </c>
      <c r="T17" s="23"/>
      <c r="U17" s="23"/>
      <c r="V17" s="9" t="s">
        <v>211</v>
      </c>
      <c r="W17" s="139">
        <v>0.01</v>
      </c>
      <c r="X17" s="139">
        <v>0.02</v>
      </c>
      <c r="Y17" s="139">
        <v>2.5000000000000001E-2</v>
      </c>
      <c r="Z17" s="121"/>
      <c r="AA17" s="140">
        <f>INDEX(W17:Y17,MATCH($I$6,$W$3:$Y$3,0))</f>
        <v>0.02</v>
      </c>
    </row>
    <row r="18" spans="1:27" ht="14.25" customHeight="1" x14ac:dyDescent="0.25">
      <c r="A18" s="23"/>
      <c r="B18" s="23"/>
      <c r="C18" s="45" t="s">
        <v>128</v>
      </c>
      <c r="D18" s="46"/>
      <c r="E18" s="46"/>
      <c r="F18" s="46"/>
      <c r="G18" s="57">
        <f>IFERROR(G17/G10,"")</f>
        <v>2.8502666147836118E-2</v>
      </c>
      <c r="H18" s="57">
        <f>IFERROR(H17/H10,"")</f>
        <v>2.9732127192531769E-2</v>
      </c>
      <c r="I18" s="57">
        <f>IFERROR(I17/I10,"")</f>
        <v>3.2378064469731502E-2</v>
      </c>
      <c r="J18" s="57">
        <f>IFERROR(J17/J10,"")</f>
        <v>3.2526302876482623E-2</v>
      </c>
      <c r="K18" s="47">
        <f>$AA$6</f>
        <v>3.5000000000000003E-2</v>
      </c>
      <c r="L18" s="48">
        <f>+K18</f>
        <v>3.5000000000000003E-2</v>
      </c>
      <c r="M18" s="48">
        <f t="shared" ref="M18:O18" si="1">+L18</f>
        <v>3.5000000000000003E-2</v>
      </c>
      <c r="N18" s="48">
        <f t="shared" si="1"/>
        <v>3.5000000000000003E-2</v>
      </c>
      <c r="O18" s="48">
        <f t="shared" si="1"/>
        <v>3.5000000000000003E-2</v>
      </c>
      <c r="P18" s="23"/>
      <c r="Q18" s="58">
        <f>AVERAGE(G18:J18)</f>
        <v>3.0784790171645503E-2</v>
      </c>
      <c r="R18" s="58">
        <f>IFERROR(GEOMEAN(G18:J18),"")</f>
        <v>3.0736135583929014E-2</v>
      </c>
      <c r="S18" s="58">
        <f>IFERROR(HARMEAN(G18:J18),"")</f>
        <v>3.0687190982236792E-2</v>
      </c>
      <c r="T18" s="23"/>
      <c r="U18" s="23"/>
    </row>
    <row r="19" spans="1:27" ht="14.25" customHeight="1" x14ac:dyDescent="0.25">
      <c r="A19" s="23"/>
      <c r="B19" s="23"/>
      <c r="C19" s="24"/>
      <c r="D19" s="24"/>
      <c r="E19" s="25"/>
      <c r="F19" s="25"/>
      <c r="G19" s="25"/>
      <c r="H19" s="25"/>
      <c r="I19" s="54"/>
      <c r="J19" s="23"/>
      <c r="K19" s="23"/>
      <c r="L19" s="23"/>
      <c r="M19" s="23"/>
      <c r="N19" s="23"/>
      <c r="O19" s="23"/>
      <c r="P19" s="23"/>
      <c r="Q19" s="52"/>
      <c r="R19" s="52"/>
      <c r="S19" s="52"/>
      <c r="T19" s="23"/>
      <c r="U19" s="23"/>
    </row>
    <row r="20" spans="1:27" ht="18" customHeight="1" x14ac:dyDescent="0.3">
      <c r="A20" s="23"/>
      <c r="B20" s="23"/>
      <c r="C20" s="32" t="s">
        <v>129</v>
      </c>
      <c r="D20" s="32"/>
      <c r="E20" s="32"/>
      <c r="F20" s="32"/>
      <c r="G20" s="32"/>
      <c r="H20" s="32"/>
      <c r="I20" s="32"/>
      <c r="J20" s="32"/>
      <c r="K20" s="32"/>
      <c r="L20" s="32"/>
      <c r="M20" s="32"/>
      <c r="N20" s="32"/>
      <c r="O20" s="32"/>
      <c r="P20" s="23"/>
      <c r="Q20" s="52"/>
      <c r="R20" s="52"/>
      <c r="S20" s="52"/>
      <c r="T20" s="23"/>
      <c r="U20" s="23"/>
    </row>
    <row r="21" spans="1:27" ht="14.25" customHeight="1" x14ac:dyDescent="0.25">
      <c r="A21" s="23"/>
      <c r="B21" s="23"/>
      <c r="C21" s="24"/>
      <c r="D21" s="24"/>
      <c r="E21" s="33"/>
      <c r="F21" s="34"/>
      <c r="G21" s="33"/>
      <c r="H21" s="33"/>
      <c r="I21" s="33"/>
      <c r="J21" s="35"/>
      <c r="K21" s="188" t="s">
        <v>118</v>
      </c>
      <c r="L21" s="188"/>
      <c r="M21" s="188"/>
      <c r="N21" s="188"/>
      <c r="O21" s="188"/>
      <c r="P21" s="23"/>
      <c r="Q21" s="52"/>
      <c r="R21" s="52"/>
      <c r="S21" s="52"/>
      <c r="T21" s="23"/>
      <c r="U21" s="23"/>
    </row>
    <row r="22" spans="1:27" ht="14.25" customHeight="1" x14ac:dyDescent="0.25">
      <c r="A22" s="23"/>
      <c r="B22" s="23"/>
      <c r="C22" s="24"/>
      <c r="D22" s="36"/>
      <c r="E22" s="36"/>
      <c r="F22" s="36"/>
      <c r="G22" s="36">
        <v>45164</v>
      </c>
      <c r="H22" s="36">
        <v>45535</v>
      </c>
      <c r="I22" s="36">
        <v>45899</v>
      </c>
      <c r="J22" s="36">
        <v>46263</v>
      </c>
      <c r="K22" s="37">
        <f>EDATE(J22,12)</f>
        <v>46628</v>
      </c>
      <c r="L22" s="37">
        <f>EDATE(K22,12)</f>
        <v>46994</v>
      </c>
      <c r="M22" s="37">
        <f>EDATE(L22,12)</f>
        <v>47359</v>
      </c>
      <c r="N22" s="37">
        <f>EDATE(M22,12)</f>
        <v>47724</v>
      </c>
      <c r="O22" s="37">
        <f>EDATE(N22,12)</f>
        <v>48089</v>
      </c>
      <c r="P22" s="23"/>
      <c r="Q22" s="52"/>
      <c r="R22" s="52"/>
      <c r="S22" s="52"/>
      <c r="T22" s="23"/>
      <c r="U22" s="23"/>
    </row>
    <row r="23" spans="1:27" ht="14.25" customHeight="1" x14ac:dyDescent="0.25">
      <c r="A23" s="23"/>
      <c r="B23" s="23"/>
      <c r="C23" s="59" t="s">
        <v>130</v>
      </c>
      <c r="D23" s="60"/>
      <c r="E23" s="60"/>
      <c r="F23" s="60"/>
      <c r="G23" s="61">
        <f>'BS Annual'!C7</f>
        <v>520.38499999999999</v>
      </c>
      <c r="H23" s="61">
        <f>'BS Annual'!D7</f>
        <v>545.57500000000005</v>
      </c>
      <c r="I23" s="61">
        <f>'BS Annual'!E7</f>
        <v>670.13699999999994</v>
      </c>
      <c r="J23" s="61">
        <f>'BS Annual'!F7</f>
        <v>764.92399999999998</v>
      </c>
      <c r="K23" s="62">
        <f ca="1">K34*(K10/$I$103)</f>
        <v>856.04221058136068</v>
      </c>
      <c r="L23" s="62">
        <f ca="1">L34*L10</f>
        <v>900.76245128651317</v>
      </c>
      <c r="M23" s="62">
        <f ca="1">M34*M10</f>
        <v>947.81890848193484</v>
      </c>
      <c r="N23" s="62">
        <f ca="1">N34*N10</f>
        <v>997.33362774259024</v>
      </c>
      <c r="O23" s="62">
        <f ca="1">O34*O10</f>
        <v>1049.4350303891977</v>
      </c>
      <c r="P23" s="23"/>
      <c r="Q23" s="52"/>
      <c r="R23" s="52"/>
      <c r="S23" s="52"/>
      <c r="T23" s="23"/>
      <c r="U23" s="23"/>
    </row>
    <row r="24" spans="1:27" ht="14.25" customHeight="1" x14ac:dyDescent="0.25">
      <c r="A24" s="23"/>
      <c r="B24" s="23"/>
      <c r="C24" s="59" t="s">
        <v>131</v>
      </c>
      <c r="D24" s="60"/>
      <c r="E24" s="60"/>
      <c r="F24" s="60"/>
      <c r="G24" s="61">
        <f>'BS Annual'!C8</f>
        <v>5764.143</v>
      </c>
      <c r="H24" s="61">
        <f>'BS Annual'!D8</f>
        <v>6155.2179999999998</v>
      </c>
      <c r="I24" s="61">
        <f>'BS Annual'!E8</f>
        <v>7025.6880000000001</v>
      </c>
      <c r="J24" s="61">
        <f>'BS Annual'!F8</f>
        <v>7559.0559999999996</v>
      </c>
      <c r="K24" s="63">
        <f ca="1">K35*(K10/$I$103)</f>
        <v>8132.4010005229266</v>
      </c>
      <c r="L24" s="63">
        <f ca="1">L35*L10</f>
        <v>8557.2432872218742</v>
      </c>
      <c r="M24" s="63">
        <f ca="1">M35*M10</f>
        <v>9004.2796305783813</v>
      </c>
      <c r="N24" s="63">
        <f ca="1">N35*N10</f>
        <v>9474.6694635546064</v>
      </c>
      <c r="O24" s="63">
        <f ca="1">O35*O10</f>
        <v>9969.6327886973777</v>
      </c>
      <c r="P24" s="23"/>
      <c r="Q24" s="52"/>
      <c r="R24" s="52"/>
      <c r="S24" s="52"/>
      <c r="T24" s="23"/>
      <c r="U24" s="23"/>
    </row>
    <row r="25" spans="1:27" ht="14.25" customHeight="1" x14ac:dyDescent="0.25">
      <c r="A25" s="23"/>
      <c r="B25" s="23"/>
      <c r="C25" s="59" t="s">
        <v>132</v>
      </c>
      <c r="D25" s="60"/>
      <c r="E25" s="60"/>
      <c r="F25" s="60"/>
      <c r="G25" s="61">
        <f>'BS Annual'!C9</f>
        <v>217.84399999999999</v>
      </c>
      <c r="H25" s="61">
        <f>'BS Annual'!D9</f>
        <v>307.79399999999998</v>
      </c>
      <c r="I25" s="61">
        <f>'BS Annual'!E9</f>
        <v>373.75099999999998</v>
      </c>
      <c r="J25" s="61">
        <f>'BS Annual'!F9</f>
        <v>356.86</v>
      </c>
      <c r="K25" s="62">
        <f ca="1">K36*(K10/$I$103)</f>
        <v>350.47699678041636</v>
      </c>
      <c r="L25" s="62">
        <f ca="1">L36*L10</f>
        <v>368.78615895011228</v>
      </c>
      <c r="M25" s="62">
        <f ca="1">M36*M10</f>
        <v>388.05180449085884</v>
      </c>
      <c r="N25" s="62">
        <f ca="1">N36*N10</f>
        <v>408.32390075946989</v>
      </c>
      <c r="O25" s="62">
        <f ca="1">O36*O10</f>
        <v>429.65502544224591</v>
      </c>
      <c r="P25" s="23"/>
      <c r="Q25" s="52"/>
      <c r="R25" s="52"/>
      <c r="S25" s="52"/>
      <c r="T25" s="23"/>
      <c r="U25" s="23"/>
    </row>
    <row r="26" spans="1:27" ht="14.25" customHeight="1" x14ac:dyDescent="0.25">
      <c r="A26" s="23"/>
      <c r="B26" s="23"/>
      <c r="C26" s="24"/>
      <c r="D26" s="64"/>
      <c r="E26" s="64"/>
      <c r="F26" s="64"/>
      <c r="G26" s="64"/>
      <c r="H26" s="64"/>
      <c r="I26" s="64"/>
      <c r="J26" s="64"/>
      <c r="K26" s="65"/>
      <c r="L26" s="65"/>
      <c r="M26" s="65"/>
      <c r="N26" s="65"/>
      <c r="O26" s="65"/>
      <c r="P26" s="23"/>
      <c r="Q26" s="52"/>
      <c r="R26" s="52"/>
      <c r="S26" s="52"/>
      <c r="T26" s="23"/>
      <c r="U26" s="23"/>
    </row>
    <row r="27" spans="1:27" ht="14.25" customHeight="1" x14ac:dyDescent="0.25">
      <c r="A27" s="23"/>
      <c r="B27" s="23"/>
      <c r="C27" s="59" t="s">
        <v>133</v>
      </c>
      <c r="D27" s="66"/>
      <c r="E27" s="66"/>
      <c r="F27" s="66"/>
      <c r="G27" s="61">
        <f>'BS Annual'!C18</f>
        <v>7201.2809999999999</v>
      </c>
      <c r="H27" s="61">
        <f>'BS Annual'!D18</f>
        <v>7355.701</v>
      </c>
      <c r="I27" s="61">
        <f>'BS Annual'!E18</f>
        <v>8025.59</v>
      </c>
      <c r="J27" s="61">
        <f>'BS Annual'!F18</f>
        <v>8401.277</v>
      </c>
      <c r="K27" s="67">
        <f ca="1">K37*(K10/$I$103)</f>
        <v>8810.5302508967925</v>
      </c>
      <c r="L27" s="67">
        <f ca="1">L37*L10</f>
        <v>9270.7984814698502</v>
      </c>
      <c r="M27" s="67">
        <f ca="1">M37*M10</f>
        <v>9755.1114446574156</v>
      </c>
      <c r="N27" s="67">
        <f ca="1">N37*N10</f>
        <v>10264.725254021321</v>
      </c>
      <c r="O27" s="67">
        <f ca="1">O37*O10</f>
        <v>10800.961643369859</v>
      </c>
      <c r="P27" s="23"/>
      <c r="Q27" s="52"/>
      <c r="R27" s="52"/>
      <c r="S27" s="52"/>
      <c r="T27" s="23"/>
      <c r="U27" s="23"/>
    </row>
    <row r="28" spans="1:27" ht="14.25" customHeight="1" x14ac:dyDescent="0.25">
      <c r="A28" s="23"/>
      <c r="B28" s="23"/>
      <c r="C28" s="59" t="s">
        <v>134</v>
      </c>
      <c r="D28" s="60"/>
      <c r="E28" s="60"/>
      <c r="F28" s="60"/>
      <c r="G28" s="61">
        <f>'BS Annual'!C20</f>
        <v>1000.841</v>
      </c>
      <c r="H28" s="61">
        <f>'BS Annual'!D20</f>
        <v>1060.7460000000001</v>
      </c>
      <c r="I28" s="61">
        <f>'BS Annual'!E20</f>
        <v>1151.5360000000001</v>
      </c>
      <c r="J28" s="61">
        <f>'BS Annual'!F20</f>
        <v>1226.7570000000001</v>
      </c>
      <c r="K28" s="62">
        <f ca="1">K38*(K10/$I$103)</f>
        <v>1605.0791448400512</v>
      </c>
      <c r="L28" s="62">
        <f ca="1">L38*L10</f>
        <v>1688.929596162212</v>
      </c>
      <c r="M28" s="62">
        <f ca="1">M38*M10</f>
        <v>1777.1604534036276</v>
      </c>
      <c r="N28" s="62">
        <f ca="1">N38*N10</f>
        <v>1870.0005520173565</v>
      </c>
      <c r="O28" s="62">
        <f ca="1">O38*O10</f>
        <v>1967.6906819797455</v>
      </c>
      <c r="P28" s="23"/>
      <c r="Q28" s="52"/>
      <c r="R28" s="52"/>
      <c r="S28" s="52"/>
      <c r="T28" s="23"/>
      <c r="U28" s="23"/>
    </row>
    <row r="29" spans="1:27" ht="14.25" customHeight="1" x14ac:dyDescent="0.25">
      <c r="A29" s="23"/>
      <c r="B29" s="23"/>
      <c r="C29" s="24"/>
      <c r="D29" s="64"/>
      <c r="E29" s="64"/>
      <c r="F29" s="64"/>
      <c r="G29" s="64"/>
      <c r="H29" s="64"/>
      <c r="I29" s="64"/>
      <c r="J29" s="64"/>
      <c r="K29" s="68"/>
      <c r="L29" s="68"/>
      <c r="M29" s="68"/>
      <c r="N29" s="68"/>
      <c r="O29" s="68"/>
      <c r="P29" s="23"/>
      <c r="Q29" s="52"/>
      <c r="R29" s="52"/>
      <c r="S29" s="52"/>
      <c r="T29" s="23"/>
      <c r="U29" s="23"/>
    </row>
    <row r="30" spans="1:27" ht="14.25" customHeight="1" x14ac:dyDescent="0.25">
      <c r="A30" s="23"/>
      <c r="B30" s="23"/>
      <c r="C30" s="24" t="s">
        <v>135</v>
      </c>
      <c r="D30" s="60"/>
      <c r="E30" s="60"/>
      <c r="F30" s="60"/>
      <c r="G30" s="61">
        <f>0+'BS Annual'!C23</f>
        <v>7668.549</v>
      </c>
      <c r="H30" s="61">
        <f>0+'BS Annual'!D23</f>
        <v>9024.3809999999994</v>
      </c>
      <c r="I30" s="61">
        <f>0+'BS Annual'!E23</f>
        <v>8799.7749999999996</v>
      </c>
      <c r="J30" s="61">
        <f>0+'BS Annual'!F23</f>
        <v>9016.4770000000008</v>
      </c>
      <c r="K30" s="69"/>
      <c r="L30" s="69"/>
      <c r="M30" s="69"/>
      <c r="N30" s="69"/>
      <c r="O30" s="69"/>
      <c r="P30" s="23"/>
      <c r="Q30" s="52"/>
      <c r="R30" s="52"/>
      <c r="S30" s="52"/>
      <c r="T30" s="23"/>
      <c r="U30" s="23"/>
    </row>
    <row r="31" spans="1:27" ht="14.25" customHeight="1" x14ac:dyDescent="0.25">
      <c r="A31" s="23"/>
      <c r="B31" s="23"/>
      <c r="C31" s="24"/>
      <c r="D31" s="64"/>
      <c r="E31" s="64"/>
      <c r="F31" s="64"/>
      <c r="G31" s="64"/>
      <c r="H31" s="64"/>
      <c r="I31" s="64"/>
      <c r="J31" s="64"/>
      <c r="K31" s="68"/>
      <c r="L31" s="68"/>
      <c r="M31" s="68"/>
      <c r="N31" s="68"/>
      <c r="O31" s="68"/>
      <c r="P31" s="23"/>
      <c r="Q31" s="52"/>
      <c r="R31" s="52"/>
      <c r="S31" s="52"/>
      <c r="T31" s="23"/>
      <c r="U31" s="23"/>
    </row>
    <row r="32" spans="1:27" ht="14.25" customHeight="1" x14ac:dyDescent="0.25">
      <c r="A32" s="23"/>
      <c r="B32" s="23"/>
      <c r="C32" s="24" t="s">
        <v>136</v>
      </c>
      <c r="D32" s="60"/>
      <c r="E32" s="60"/>
      <c r="F32" s="60"/>
      <c r="G32" s="61">
        <f>-('CF Annual'!C18)</f>
        <v>796.65700000000004</v>
      </c>
      <c r="H32" s="61">
        <f>-('CF Annual'!D18)</f>
        <v>1072.6959999999999</v>
      </c>
      <c r="I32" s="61">
        <f>-('CF Annual'!E18)</f>
        <v>1327.2570000000001</v>
      </c>
      <c r="J32" s="61">
        <f>-('CF Annual'!F18)</f>
        <v>1439.12</v>
      </c>
      <c r="K32" s="62">
        <f ca="1">K39*K10</f>
        <v>1450.9915469354064</v>
      </c>
      <c r="L32" s="62">
        <f ca="1">L39*L10</f>
        <v>1643.8914735978863</v>
      </c>
      <c r="M32" s="62">
        <f ca="1">M39*M10</f>
        <v>1729.7695079795308</v>
      </c>
      <c r="N32" s="62">
        <f ca="1">N39*N10</f>
        <v>1820.133870630227</v>
      </c>
      <c r="O32" s="62">
        <f ca="1">O39*O10</f>
        <v>1915.2189304602855</v>
      </c>
      <c r="P32" s="23"/>
      <c r="Q32" s="52"/>
      <c r="R32" s="52"/>
      <c r="S32" s="52"/>
      <c r="T32" s="23"/>
      <c r="U32" s="23"/>
    </row>
    <row r="33" spans="1:21" ht="14.25" customHeight="1" x14ac:dyDescent="0.25">
      <c r="A33" s="23"/>
      <c r="B33" s="23"/>
      <c r="C33" s="24"/>
      <c r="D33" s="24"/>
      <c r="E33" s="25"/>
      <c r="F33" s="25"/>
      <c r="G33" s="25"/>
      <c r="H33" s="25"/>
      <c r="I33" s="54"/>
      <c r="J33" s="23"/>
      <c r="K33" s="23"/>
      <c r="L33" s="23"/>
      <c r="M33" s="23"/>
      <c r="N33" s="23"/>
      <c r="O33" s="23"/>
      <c r="P33" s="70"/>
      <c r="Q33" s="44" t="s">
        <v>120</v>
      </c>
      <c r="R33" s="44" t="s">
        <v>121</v>
      </c>
      <c r="S33" s="44" t="s">
        <v>122</v>
      </c>
      <c r="T33" s="23"/>
      <c r="U33" s="23"/>
    </row>
    <row r="34" spans="1:21" ht="14.25" customHeight="1" x14ac:dyDescent="0.25">
      <c r="A34" s="23"/>
      <c r="B34" s="23"/>
      <c r="C34" s="71" t="s">
        <v>137</v>
      </c>
      <c r="D34" s="72"/>
      <c r="E34" s="72"/>
      <c r="F34" s="72"/>
      <c r="G34" s="73">
        <f>IFERROR(G23/G10,"")</f>
        <v>2.9809175109262884E-2</v>
      </c>
      <c r="H34" s="73">
        <f>IFERROR(H23/H10,"")</f>
        <v>2.9506062324245384E-2</v>
      </c>
      <c r="I34" s="73">
        <f>IFERROR(I23/I10,"")</f>
        <v>3.5384498326892992E-2</v>
      </c>
      <c r="J34" s="73">
        <f>IFERROR(J23/J10,"")</f>
        <v>3.7609554857756612E-2</v>
      </c>
      <c r="K34" s="74">
        <f>$AA$8</f>
        <v>0.04</v>
      </c>
      <c r="L34" s="74">
        <f>$AA$8</f>
        <v>0.04</v>
      </c>
      <c r="M34" s="74">
        <f>$AA$8</f>
        <v>0.04</v>
      </c>
      <c r="N34" s="74">
        <f>$AA$8</f>
        <v>0.04</v>
      </c>
      <c r="O34" s="74">
        <f>$AA$8</f>
        <v>0.04</v>
      </c>
      <c r="P34" s="75"/>
      <c r="Q34" s="58">
        <f t="shared" ref="Q34:Q39" si="2">AVERAGE(G34:J34)</f>
        <v>3.3077322654539464E-2</v>
      </c>
      <c r="R34" s="58">
        <f t="shared" ref="R34:R39" si="3">IFERROR(GEOMEAN(G34:J34),"")</f>
        <v>3.2892214395232593E-2</v>
      </c>
      <c r="S34" s="58">
        <f t="shared" ref="S34:S39" si="4">IFERROR(HARMEAN(G34:J34),"")</f>
        <v>3.2709666408591041E-2</v>
      </c>
      <c r="T34" s="23"/>
      <c r="U34" s="23"/>
    </row>
    <row r="35" spans="1:21" ht="14.25" customHeight="1" x14ac:dyDescent="0.25">
      <c r="A35" s="23"/>
      <c r="B35" s="23"/>
      <c r="C35" s="71" t="s">
        <v>138</v>
      </c>
      <c r="D35" s="72"/>
      <c r="E35" s="72"/>
      <c r="F35" s="72"/>
      <c r="G35" s="73">
        <f>IFERROR(G24/G10,"")</f>
        <v>0.33018697318683649</v>
      </c>
      <c r="H35" s="73">
        <f>IFERROR(H24/H10,"")</f>
        <v>0.33288960441244009</v>
      </c>
      <c r="I35" s="73">
        <f>IFERROR(I24/I10,"")</f>
        <v>0.37096958574332145</v>
      </c>
      <c r="J35" s="73">
        <f>IFERROR(J24/J10,"")</f>
        <v>0.37166140859072827</v>
      </c>
      <c r="K35" s="74">
        <f>$AA$9</f>
        <v>0.38</v>
      </c>
      <c r="L35" s="74">
        <f>$AA$9</f>
        <v>0.38</v>
      </c>
      <c r="M35" s="74">
        <f>$AA$9</f>
        <v>0.38</v>
      </c>
      <c r="N35" s="74">
        <f>$AA$9</f>
        <v>0.38</v>
      </c>
      <c r="O35" s="74">
        <f>$AA$9</f>
        <v>0.38</v>
      </c>
      <c r="P35" s="38"/>
      <c r="Q35" s="58">
        <f t="shared" si="2"/>
        <v>0.35142689298333163</v>
      </c>
      <c r="R35" s="58">
        <f t="shared" si="3"/>
        <v>0.35086212184211002</v>
      </c>
      <c r="S35" s="58">
        <f t="shared" si="4"/>
        <v>0.35029810225016833</v>
      </c>
      <c r="T35" s="23"/>
      <c r="U35" s="23"/>
    </row>
    <row r="36" spans="1:21" ht="14.25" customHeight="1" x14ac:dyDescent="0.25">
      <c r="A36" s="23"/>
      <c r="B36" s="23"/>
      <c r="C36" s="71" t="s">
        <v>139</v>
      </c>
      <c r="D36" s="72"/>
      <c r="E36" s="72"/>
      <c r="F36" s="72"/>
      <c r="G36" s="73">
        <f>IFERROR(G25/G10,"")</f>
        <v>1.2478741590365333E-2</v>
      </c>
      <c r="H36" s="73">
        <f>IFERROR(H25/H10,"")</f>
        <v>1.6646270351516806E-2</v>
      </c>
      <c r="I36" s="73">
        <f>IFERROR(I25/I10,"")</f>
        <v>1.9734758167620329E-2</v>
      </c>
      <c r="J36" s="73">
        <f>IFERROR(J25/J10,"")</f>
        <v>1.7545985936562356E-2</v>
      </c>
      <c r="K36" s="74">
        <f>$AA$10</f>
        <v>1.6376622201486921E-2</v>
      </c>
      <c r="L36" s="74">
        <f>$AA$10</f>
        <v>1.6376622201486921E-2</v>
      </c>
      <c r="M36" s="74">
        <f>$AA$10</f>
        <v>1.6376622201486921E-2</v>
      </c>
      <c r="N36" s="74">
        <f>$AA$10</f>
        <v>1.6376622201486921E-2</v>
      </c>
      <c r="O36" s="74">
        <f>$AA$10</f>
        <v>1.6376622201486921E-2</v>
      </c>
      <c r="P36" s="75"/>
      <c r="Q36" s="58">
        <f t="shared" si="2"/>
        <v>1.6601439011516207E-2</v>
      </c>
      <c r="R36" s="58">
        <f t="shared" si="3"/>
        <v>1.6376622201486921E-2</v>
      </c>
      <c r="S36" s="58">
        <f t="shared" si="4"/>
        <v>1.6137171654715954E-2</v>
      </c>
      <c r="T36" s="23"/>
      <c r="U36" s="23"/>
    </row>
    <row r="37" spans="1:21" ht="14.25" customHeight="1" x14ac:dyDescent="0.25">
      <c r="A37" s="23"/>
      <c r="B37" s="23"/>
      <c r="C37" s="71" t="s">
        <v>140</v>
      </c>
      <c r="D37" s="72"/>
      <c r="E37" s="72"/>
      <c r="F37" s="72"/>
      <c r="G37" s="73">
        <f>IFERROR(G27/G10,"")</f>
        <v>0.41251044196125514</v>
      </c>
      <c r="H37" s="73">
        <f>IFERROR(H27/H10,"")</f>
        <v>0.39781473151173363</v>
      </c>
      <c r="I37" s="73">
        <f>IFERROR(I27/I10,"")</f>
        <v>0.42376629842454483</v>
      </c>
      <c r="J37" s="73">
        <f>IFERROR(J27/J10,"")</f>
        <v>0.41307147926684074</v>
      </c>
      <c r="K37" s="74">
        <f>$AA$11</f>
        <v>0.41168672021036584</v>
      </c>
      <c r="L37" s="74">
        <f>$AA$11</f>
        <v>0.41168672021036584</v>
      </c>
      <c r="M37" s="74">
        <f>$AA$11</f>
        <v>0.41168672021036584</v>
      </c>
      <c r="N37" s="74">
        <f>$AA$11</f>
        <v>0.41168672021036584</v>
      </c>
      <c r="O37" s="74">
        <f>$AA$11</f>
        <v>0.41168672021036584</v>
      </c>
      <c r="P37" s="38"/>
      <c r="Q37" s="58">
        <f t="shared" si="2"/>
        <v>0.41179073779109365</v>
      </c>
      <c r="R37" s="58">
        <f t="shared" si="3"/>
        <v>0.41168672021036584</v>
      </c>
      <c r="S37" s="58">
        <f t="shared" si="4"/>
        <v>0.41158217892603932</v>
      </c>
      <c r="T37" s="23"/>
      <c r="U37" s="23"/>
    </row>
    <row r="38" spans="1:21" ht="14.25" customHeight="1" x14ac:dyDescent="0.25">
      <c r="A38" s="23"/>
      <c r="B38" s="23"/>
      <c r="C38" s="71" t="s">
        <v>141</v>
      </c>
      <c r="D38" s="72"/>
      <c r="E38" s="72"/>
      <c r="F38" s="72"/>
      <c r="G38" s="73">
        <f>IFERROR(G28/G10,"")</f>
        <v>5.7331100292148648E-2</v>
      </c>
      <c r="H38" s="73">
        <f>IFERROR(H28/H10,"")</f>
        <v>5.7367800185481363E-2</v>
      </c>
      <c r="I38" s="73">
        <f>IFERROR(I28/I10,"")</f>
        <v>6.0803274054942583E-2</v>
      </c>
      <c r="J38" s="73">
        <f>IFERROR(J28/J10,"")</f>
        <v>6.0316821917781281E-2</v>
      </c>
      <c r="K38" s="74">
        <f>$AA$12</f>
        <v>7.4999999999999997E-2</v>
      </c>
      <c r="L38" s="74">
        <f>$AA$12</f>
        <v>7.4999999999999997E-2</v>
      </c>
      <c r="M38" s="74">
        <f>$AA$12</f>
        <v>7.4999999999999997E-2</v>
      </c>
      <c r="N38" s="74">
        <f>$AA$12</f>
        <v>7.4999999999999997E-2</v>
      </c>
      <c r="O38" s="74">
        <f>$AA$12</f>
        <v>7.4999999999999997E-2</v>
      </c>
      <c r="P38" s="38"/>
      <c r="Q38" s="58">
        <f t="shared" si="2"/>
        <v>5.8954749112588474E-2</v>
      </c>
      <c r="R38" s="58">
        <f t="shared" si="3"/>
        <v>5.8932650281954699E-2</v>
      </c>
      <c r="S38" s="58">
        <f t="shared" si="4"/>
        <v>5.891057258846813E-2</v>
      </c>
      <c r="T38" s="23"/>
      <c r="U38" s="23"/>
    </row>
    <row r="39" spans="1:21" ht="14.25" customHeight="1" x14ac:dyDescent="0.25">
      <c r="A39" s="23"/>
      <c r="B39" s="23"/>
      <c r="C39" s="45" t="s">
        <v>142</v>
      </c>
      <c r="D39" s="46"/>
      <c r="E39" s="46"/>
      <c r="F39" s="46"/>
      <c r="G39" s="57">
        <f>IFERROR(G32/G10,"")</f>
        <v>4.5634843462090652E-2</v>
      </c>
      <c r="H39" s="57">
        <f>IFERROR(H32/H10,"")</f>
        <v>5.8014086112759419E-2</v>
      </c>
      <c r="I39" s="57">
        <f>IFERROR(I32/I10,"")</f>
        <v>7.0081674487242188E-2</v>
      </c>
      <c r="J39" s="57">
        <f>IFERROR(J32/J10,"")</f>
        <v>7.0758222499091E-2</v>
      </c>
      <c r="K39" s="74">
        <f>$AA$14</f>
        <v>7.2999999999999995E-2</v>
      </c>
      <c r="L39" s="74">
        <f>$AA$14</f>
        <v>7.2999999999999995E-2</v>
      </c>
      <c r="M39" s="74">
        <f>$AA$14</f>
        <v>7.2999999999999995E-2</v>
      </c>
      <c r="N39" s="74">
        <f>$AA$14</f>
        <v>7.2999999999999995E-2</v>
      </c>
      <c r="O39" s="74">
        <f>$AA$14</f>
        <v>7.2999999999999995E-2</v>
      </c>
      <c r="P39" s="38"/>
      <c r="Q39" s="58">
        <f t="shared" si="2"/>
        <v>6.1122206640295815E-2</v>
      </c>
      <c r="R39" s="58">
        <f t="shared" si="3"/>
        <v>6.0193951117166536E-2</v>
      </c>
      <c r="S39" s="58">
        <f t="shared" si="4"/>
        <v>5.9213667246846208E-2</v>
      </c>
      <c r="T39" s="23"/>
      <c r="U39" s="23"/>
    </row>
    <row r="40" spans="1:21" ht="14.25" customHeight="1" x14ac:dyDescent="0.25">
      <c r="A40" s="23"/>
      <c r="B40" s="23"/>
      <c r="C40" s="76" t="s">
        <v>143</v>
      </c>
      <c r="D40" s="77"/>
      <c r="E40" s="46"/>
      <c r="F40" s="46"/>
      <c r="G40" s="46"/>
      <c r="H40" s="57">
        <f t="shared" ref="H40:J42" si="5">IFERROR((H23/G23)-1,"")</f>
        <v>4.8406468287902404E-2</v>
      </c>
      <c r="I40" s="57">
        <f t="shared" si="5"/>
        <v>0.22831324749117887</v>
      </c>
      <c r="J40" s="57">
        <f t="shared" si="5"/>
        <v>0.14144421215363434</v>
      </c>
      <c r="K40" s="78"/>
      <c r="L40" s="78"/>
      <c r="M40" s="78"/>
      <c r="N40" s="78"/>
      <c r="O40" s="78"/>
      <c r="P40" s="23"/>
      <c r="Q40" s="23"/>
      <c r="R40" s="23"/>
      <c r="S40" s="23"/>
      <c r="T40" s="23"/>
      <c r="U40" s="23"/>
    </row>
    <row r="41" spans="1:21" ht="14.25" customHeight="1" x14ac:dyDescent="0.25">
      <c r="A41" s="23"/>
      <c r="B41" s="23"/>
      <c r="C41" s="76" t="s">
        <v>144</v>
      </c>
      <c r="D41" s="77"/>
      <c r="E41" s="53"/>
      <c r="F41" s="53"/>
      <c r="G41" s="53"/>
      <c r="H41" s="57">
        <f t="shared" si="5"/>
        <v>6.7846165509773071E-2</v>
      </c>
      <c r="I41" s="57">
        <f t="shared" si="5"/>
        <v>0.14141984898016613</v>
      </c>
      <c r="J41" s="57">
        <f t="shared" si="5"/>
        <v>7.5916835475756894E-2</v>
      </c>
      <c r="K41" s="77"/>
      <c r="L41" s="78"/>
      <c r="M41" s="78"/>
      <c r="N41" s="78"/>
      <c r="O41" s="78"/>
      <c r="P41" s="23"/>
      <c r="Q41" s="23"/>
      <c r="R41" s="23"/>
      <c r="S41" s="23"/>
      <c r="T41" s="23"/>
      <c r="U41" s="23"/>
    </row>
    <row r="42" spans="1:21" ht="14.25" customHeight="1" x14ac:dyDescent="0.25">
      <c r="A42" s="23"/>
      <c r="B42" s="23"/>
      <c r="C42" s="76" t="s">
        <v>145</v>
      </c>
      <c r="D42" s="77"/>
      <c r="E42" s="46"/>
      <c r="F42" s="46"/>
      <c r="G42" s="46"/>
      <c r="H42" s="57">
        <f t="shared" si="5"/>
        <v>0.4129101558913717</v>
      </c>
      <c r="I42" s="57">
        <f t="shared" si="5"/>
        <v>0.21428942734426282</v>
      </c>
      <c r="J42" s="57">
        <f t="shared" si="5"/>
        <v>-4.5193190118554716E-2</v>
      </c>
      <c r="K42" s="78"/>
      <c r="L42" s="78"/>
      <c r="M42" s="78"/>
      <c r="N42" s="78"/>
      <c r="O42" s="78"/>
      <c r="P42" s="23"/>
      <c r="Q42" s="23"/>
      <c r="R42" s="23"/>
      <c r="S42" s="23"/>
      <c r="T42" s="23"/>
      <c r="U42" s="23"/>
    </row>
    <row r="43" spans="1:21" ht="14.25" customHeight="1" x14ac:dyDescent="0.25">
      <c r="A43" s="23"/>
      <c r="B43" s="23"/>
      <c r="C43" s="76" t="s">
        <v>146</v>
      </c>
      <c r="D43" s="77"/>
      <c r="E43" s="46"/>
      <c r="F43" s="46"/>
      <c r="G43" s="46"/>
      <c r="H43" s="57">
        <f t="shared" ref="H43:J44" si="6">IFERROR((H27/G27)-1,"")</f>
        <v>2.1443407082712085E-2</v>
      </c>
      <c r="I43" s="57">
        <f t="shared" si="6"/>
        <v>9.1070721879532579E-2</v>
      </c>
      <c r="J43" s="57">
        <f t="shared" si="6"/>
        <v>4.6811137872729613E-2</v>
      </c>
      <c r="K43" s="78"/>
      <c r="L43" s="78"/>
      <c r="M43" s="78"/>
      <c r="N43" s="78"/>
      <c r="O43" s="78"/>
      <c r="P43" s="23"/>
      <c r="Q43" s="23"/>
      <c r="R43" s="23"/>
      <c r="S43" s="23"/>
      <c r="T43" s="23"/>
      <c r="U43" s="23"/>
    </row>
    <row r="44" spans="1:21" ht="14.25" customHeight="1" x14ac:dyDescent="0.25">
      <c r="A44" s="23"/>
      <c r="B44" s="23"/>
      <c r="C44" s="76" t="s">
        <v>147</v>
      </c>
      <c r="D44" s="77"/>
      <c r="E44" s="46"/>
      <c r="F44" s="46"/>
      <c r="G44" s="46"/>
      <c r="H44" s="57">
        <f t="shared" si="6"/>
        <v>5.9854662229065436E-2</v>
      </c>
      <c r="I44" s="57">
        <f t="shared" si="6"/>
        <v>8.5590706917584303E-2</v>
      </c>
      <c r="J44" s="57">
        <f t="shared" si="6"/>
        <v>6.5322317322254797E-2</v>
      </c>
      <c r="K44" s="78"/>
      <c r="L44" s="78"/>
      <c r="M44" s="78"/>
      <c r="N44" s="78"/>
      <c r="O44" s="78"/>
      <c r="P44" s="23"/>
      <c r="Q44" s="23"/>
      <c r="R44" s="23"/>
      <c r="S44" s="23"/>
      <c r="T44" s="23"/>
      <c r="U44" s="23"/>
    </row>
    <row r="45" spans="1:21" ht="14.25" customHeight="1" x14ac:dyDescent="0.25">
      <c r="A45" s="23"/>
      <c r="B45" s="23"/>
      <c r="C45" s="76" t="s">
        <v>148</v>
      </c>
      <c r="D45" s="77"/>
      <c r="E45" s="46"/>
      <c r="F45" s="46"/>
      <c r="G45" s="46"/>
      <c r="H45" s="57">
        <f>IFERROR((H32/G32)-1,"")</f>
        <v>0.34649667297218234</v>
      </c>
      <c r="I45" s="57">
        <f>IFERROR((I32/H32)-1,"")</f>
        <v>0.23730954529521897</v>
      </c>
      <c r="J45" s="57">
        <f>IFERROR((J32/I32)-1,"")</f>
        <v>8.4281341141918986E-2</v>
      </c>
      <c r="K45" s="78"/>
      <c r="L45" s="78"/>
      <c r="M45" s="78"/>
      <c r="N45" s="78"/>
      <c r="O45" s="78"/>
      <c r="P45" s="23"/>
      <c r="Q45" s="23"/>
      <c r="R45" s="23"/>
      <c r="S45" s="23"/>
      <c r="T45" s="23"/>
      <c r="U45" s="23"/>
    </row>
    <row r="46" spans="1:21" ht="18" customHeight="1" x14ac:dyDescent="0.3">
      <c r="A46" s="79"/>
      <c r="B46" s="79"/>
      <c r="C46" s="32" t="s">
        <v>149</v>
      </c>
      <c r="D46" s="32"/>
      <c r="E46" s="32"/>
      <c r="F46" s="32"/>
      <c r="G46" s="32"/>
      <c r="H46" s="32"/>
      <c r="I46" s="32"/>
      <c r="J46" s="32"/>
      <c r="K46" s="32"/>
      <c r="L46" s="32"/>
      <c r="M46" s="32"/>
      <c r="N46" s="32"/>
      <c r="O46" s="32"/>
      <c r="P46" s="79"/>
      <c r="Q46" s="79"/>
      <c r="R46" s="79"/>
      <c r="S46" s="79"/>
      <c r="T46" s="79"/>
      <c r="U46" s="79"/>
    </row>
    <row r="47" spans="1:21" ht="14.25" customHeight="1" x14ac:dyDescent="0.25">
      <c r="A47" s="79"/>
      <c r="B47" s="79"/>
      <c r="C47" s="80" t="s">
        <v>150</v>
      </c>
      <c r="D47" s="81"/>
      <c r="E47" s="33"/>
      <c r="F47" s="82"/>
      <c r="G47" s="33"/>
      <c r="H47" s="33"/>
      <c r="I47" s="33"/>
      <c r="J47" s="83"/>
      <c r="K47" s="188" t="s">
        <v>118</v>
      </c>
      <c r="L47" s="188"/>
      <c r="M47" s="188"/>
      <c r="N47" s="188"/>
      <c r="O47" s="188"/>
      <c r="P47" s="79"/>
      <c r="Q47" s="79"/>
      <c r="R47" s="79"/>
      <c r="S47" s="79"/>
      <c r="T47" s="79"/>
      <c r="U47" s="79"/>
    </row>
    <row r="48" spans="1:21" ht="14.25" customHeight="1" x14ac:dyDescent="0.25">
      <c r="A48" s="79"/>
      <c r="B48" s="79"/>
      <c r="C48" s="84"/>
      <c r="D48" s="36"/>
      <c r="E48" s="36"/>
      <c r="F48" s="36"/>
      <c r="G48" s="36">
        <v>45164</v>
      </c>
      <c r="H48" s="36">
        <v>45535</v>
      </c>
      <c r="I48" s="36">
        <v>45899</v>
      </c>
      <c r="J48" s="36">
        <v>46263</v>
      </c>
      <c r="K48" s="37">
        <f>EDATE(J48,12)</f>
        <v>46628</v>
      </c>
      <c r="L48" s="37">
        <f>EDATE(K48,12)</f>
        <v>46994</v>
      </c>
      <c r="M48" s="37">
        <f>EDATE(L48,12)</f>
        <v>47359</v>
      </c>
      <c r="N48" s="37">
        <f>EDATE(M48,12)</f>
        <v>47724</v>
      </c>
      <c r="O48" s="37">
        <f>EDATE(N48,12)</f>
        <v>48089</v>
      </c>
      <c r="P48" s="79"/>
      <c r="Q48" s="79"/>
      <c r="R48" s="79"/>
      <c r="S48" s="79"/>
      <c r="T48" s="79"/>
      <c r="U48" s="79"/>
    </row>
    <row r="49" spans="1:21" ht="14.25" customHeight="1" x14ac:dyDescent="0.25">
      <c r="A49" s="79"/>
      <c r="B49" s="79"/>
      <c r="C49" s="85" t="s">
        <v>151</v>
      </c>
      <c r="D49" s="86"/>
      <c r="E49" s="87"/>
      <c r="F49" s="88"/>
      <c r="G49" s="88"/>
      <c r="H49" s="88"/>
      <c r="I49" s="88"/>
      <c r="J49" s="88"/>
      <c r="K49" s="89">
        <f ca="1">$I$103</f>
        <v>0.92876712328767119</v>
      </c>
      <c r="L49" s="90">
        <f ca="1">K49+1</f>
        <v>1.9287671232876713</v>
      </c>
      <c r="M49" s="90">
        <f ca="1">L49+1</f>
        <v>2.9287671232876713</v>
      </c>
      <c r="N49" s="90">
        <f ca="1">M49+1</f>
        <v>3.9287671232876713</v>
      </c>
      <c r="O49" s="90">
        <f ca="1">N49+1</f>
        <v>4.9287671232876713</v>
      </c>
      <c r="P49" s="79"/>
      <c r="Q49" s="79"/>
      <c r="R49" s="79"/>
      <c r="S49" s="79"/>
      <c r="T49" s="79"/>
      <c r="U49" s="79"/>
    </row>
    <row r="50" spans="1:21" ht="14.25" customHeight="1" x14ac:dyDescent="0.25">
      <c r="A50" s="79"/>
      <c r="B50" s="79"/>
      <c r="C50" s="79" t="s">
        <v>152</v>
      </c>
      <c r="D50" s="91"/>
      <c r="E50" s="92"/>
      <c r="F50" s="92"/>
      <c r="G50" s="92">
        <f t="shared" ref="G50:O50" si="7">G10</f>
        <v>17457.208999999999</v>
      </c>
      <c r="H50" s="92">
        <f t="shared" si="7"/>
        <v>18490.268</v>
      </c>
      <c r="I50" s="92">
        <f t="shared" si="7"/>
        <v>18938.717000000001</v>
      </c>
      <c r="J50" s="93">
        <f t="shared" si="7"/>
        <v>20338.555</v>
      </c>
      <c r="K50" s="93">
        <f t="shared" ca="1" si="7"/>
        <v>19876.596533361731</v>
      </c>
      <c r="L50" s="93">
        <f t="shared" ca="1" si="7"/>
        <v>22519.061282162827</v>
      </c>
      <c r="M50" s="93">
        <f t="shared" ca="1" si="7"/>
        <v>23695.472712048369</v>
      </c>
      <c r="N50" s="93">
        <f t="shared" ca="1" si="7"/>
        <v>24933.340693564754</v>
      </c>
      <c r="O50" s="93">
        <f t="shared" ca="1" si="7"/>
        <v>26235.875759729941</v>
      </c>
      <c r="P50" s="79"/>
      <c r="Q50" s="79"/>
      <c r="R50" s="79"/>
      <c r="S50" s="79"/>
      <c r="T50" s="79"/>
      <c r="U50" s="79"/>
    </row>
    <row r="51" spans="1:21" ht="14.25" customHeight="1" x14ac:dyDescent="0.25">
      <c r="A51" s="79"/>
      <c r="B51" s="79"/>
      <c r="C51" s="79" t="s">
        <v>125</v>
      </c>
      <c r="D51" s="91"/>
      <c r="E51" s="93"/>
      <c r="F51" s="93"/>
      <c r="G51" s="93">
        <f t="shared" ref="G51:O51" si="8">G14</f>
        <v>3473.9859999999999</v>
      </c>
      <c r="H51" s="93">
        <f t="shared" si="8"/>
        <v>3788.7080000000001</v>
      </c>
      <c r="I51" s="93">
        <f t="shared" si="8"/>
        <v>3610.1559999999999</v>
      </c>
      <c r="J51" s="93">
        <f t="shared" si="8"/>
        <v>3723.3139999999999</v>
      </c>
      <c r="K51" s="93">
        <f t="shared" ca="1" si="8"/>
        <v>3577.7873760051116</v>
      </c>
      <c r="L51" s="93">
        <f t="shared" ca="1" si="8"/>
        <v>4053.4310307893088</v>
      </c>
      <c r="M51" s="93">
        <f t="shared" ca="1" si="8"/>
        <v>4265.185088168706</v>
      </c>
      <c r="N51" s="93">
        <f t="shared" ca="1" si="8"/>
        <v>4488.0013248416553</v>
      </c>
      <c r="O51" s="93">
        <f t="shared" ca="1" si="8"/>
        <v>4722.4576367513891</v>
      </c>
      <c r="P51" s="79"/>
      <c r="Q51" s="44" t="s">
        <v>120</v>
      </c>
      <c r="R51" s="44" t="s">
        <v>121</v>
      </c>
      <c r="S51" s="44" t="s">
        <v>122</v>
      </c>
      <c r="T51" s="79"/>
      <c r="U51" s="79"/>
    </row>
    <row r="52" spans="1:21" ht="14.25" customHeight="1" x14ac:dyDescent="0.25">
      <c r="A52" s="79"/>
      <c r="B52" s="79"/>
      <c r="C52" s="94" t="s">
        <v>153</v>
      </c>
      <c r="D52" s="95"/>
      <c r="E52" s="95"/>
      <c r="F52" s="95"/>
      <c r="G52" s="96">
        <f>IFERROR(ABS('IS Annual'!C13)/'IS Annual'!C12,"")</f>
        <v>0.20178847548975348</v>
      </c>
      <c r="H52" s="96">
        <f>IFERROR(ABS('IS Annual'!D13)/'IS Annual'!D12,"")</f>
        <v>0.20218061627805928</v>
      </c>
      <c r="I52" s="96">
        <f>IFERROR(ABS('IS Annual'!E13)/'IS Annual'!E12,"")</f>
        <v>0.20294116896359418</v>
      </c>
      <c r="J52" s="96">
        <f>IFERROR(ABS('IS Annual'!F13)/'IS Annual'!F12,"")</f>
        <v>0.20854677454086815</v>
      </c>
      <c r="K52" s="97">
        <f>$AA$15</f>
        <v>0.20384608621555628</v>
      </c>
      <c r="L52" s="97">
        <f>$AA$15</f>
        <v>0.20384608621555628</v>
      </c>
      <c r="M52" s="97">
        <f>$AA$15</f>
        <v>0.20384608621555628</v>
      </c>
      <c r="N52" s="97">
        <f>$AA$15</f>
        <v>0.20384608621555628</v>
      </c>
      <c r="O52" s="97">
        <f>$AA$15</f>
        <v>0.20384608621555628</v>
      </c>
      <c r="P52" s="79"/>
      <c r="Q52" s="98">
        <f>AVERAGE(G52:J52)</f>
        <v>0.20386425881806877</v>
      </c>
      <c r="R52" s="98">
        <f>IFERROR(GEOMEAN(G52:J52),"")</f>
        <v>0.20384608621555628</v>
      </c>
      <c r="S52" s="49">
        <f>IFERROR(HARMEAN(G52:J52),"")</f>
        <v>0.20382808788241338</v>
      </c>
      <c r="T52" s="79"/>
      <c r="U52" s="79"/>
    </row>
    <row r="53" spans="1:21" ht="14.25" customHeight="1" x14ac:dyDescent="0.25">
      <c r="A53" s="79"/>
      <c r="B53" s="79"/>
      <c r="C53" s="84" t="s">
        <v>154</v>
      </c>
      <c r="D53" s="91"/>
      <c r="E53" s="91"/>
      <c r="F53" s="91"/>
      <c r="G53" s="91">
        <f>IFERROR(G51*(1-G52),"")</f>
        <v>2772.9756611872535</v>
      </c>
      <c r="H53" s="91">
        <f>IFERROR(H51*(1-H52),"")</f>
        <v>3022.7046816623865</v>
      </c>
      <c r="I53" s="91">
        <f>IFERROR(I51*(1-I52),"")</f>
        <v>2877.5067212190665</v>
      </c>
      <c r="J53" s="91">
        <f>IFERROR(J51*(1-J52),"")</f>
        <v>2946.8288746971421</v>
      </c>
      <c r="K53" s="99">
        <f ca="1">K51*(1-K52)</f>
        <v>2848.469422095045</v>
      </c>
      <c r="L53" s="99">
        <f ca="1">L51*(1-L52)</f>
        <v>3227.1549794182206</v>
      </c>
      <c r="M53" s="99">
        <f ca="1">M51*(1-M52)</f>
        <v>3395.743800960563</v>
      </c>
      <c r="N53" s="99">
        <f ca="1">N51*(1-N52)</f>
        <v>3573.1398198424527</v>
      </c>
      <c r="O53" s="99">
        <f ca="1">O51*(1-O52)</f>
        <v>3759.8031301808537</v>
      </c>
      <c r="P53" s="79"/>
      <c r="Q53" s="79"/>
      <c r="R53" s="79"/>
      <c r="S53" s="79"/>
      <c r="T53" s="79"/>
      <c r="U53" s="79"/>
    </row>
    <row r="54" spans="1:21" ht="14.25" customHeight="1" x14ac:dyDescent="0.25">
      <c r="A54" s="79"/>
      <c r="B54" s="79"/>
      <c r="C54" s="100" t="s">
        <v>155</v>
      </c>
      <c r="D54" s="101"/>
      <c r="E54" s="101"/>
      <c r="F54" s="101"/>
      <c r="G54" s="101">
        <f t="shared" ref="G54:O54" si="9">G17</f>
        <v>497.577</v>
      </c>
      <c r="H54" s="101">
        <f t="shared" si="9"/>
        <v>549.755</v>
      </c>
      <c r="I54" s="101">
        <f t="shared" si="9"/>
        <v>613.19899999999996</v>
      </c>
      <c r="J54" s="101">
        <f t="shared" si="9"/>
        <v>661.53800000000001</v>
      </c>
      <c r="K54" s="101">
        <f t="shared" ca="1" si="9"/>
        <v>695.68087866766064</v>
      </c>
      <c r="L54" s="101">
        <f t="shared" ca="1" si="9"/>
        <v>788.16714487569902</v>
      </c>
      <c r="M54" s="101">
        <f t="shared" ca="1" si="9"/>
        <v>829.34154492169296</v>
      </c>
      <c r="N54" s="101">
        <f t="shared" ca="1" si="9"/>
        <v>872.66692427476653</v>
      </c>
      <c r="O54" s="101">
        <f t="shared" ca="1" si="9"/>
        <v>918.25565159054804</v>
      </c>
      <c r="P54" s="79"/>
      <c r="Q54" s="79"/>
      <c r="R54" s="79"/>
      <c r="S54" s="79"/>
      <c r="T54" s="79"/>
      <c r="U54" s="79"/>
    </row>
    <row r="55" spans="1:21" ht="14.25" customHeight="1" x14ac:dyDescent="0.25">
      <c r="A55" s="79"/>
      <c r="B55" s="79"/>
      <c r="C55" s="102" t="s">
        <v>156</v>
      </c>
      <c r="D55" s="59"/>
      <c r="E55" s="103"/>
      <c r="F55" s="103"/>
      <c r="G55" s="103"/>
      <c r="H55" s="103">
        <f t="shared" ref="H55:O57" si="10">(H23-G23)*-1</f>
        <v>-25.190000000000055</v>
      </c>
      <c r="I55" s="103">
        <f t="shared" si="10"/>
        <v>-124.5619999999999</v>
      </c>
      <c r="J55" s="103">
        <f t="shared" si="10"/>
        <v>-94.787000000000035</v>
      </c>
      <c r="K55" s="103">
        <f t="shared" ca="1" si="10"/>
        <v>-91.1182105813607</v>
      </c>
      <c r="L55" s="103">
        <f t="shared" ca="1" si="10"/>
        <v>-44.720240705152492</v>
      </c>
      <c r="M55" s="103">
        <f t="shared" ca="1" si="10"/>
        <v>-47.056457195421672</v>
      </c>
      <c r="N55" s="103">
        <f t="shared" ca="1" si="10"/>
        <v>-49.514719260655397</v>
      </c>
      <c r="O55" s="103">
        <f t="shared" ca="1" si="10"/>
        <v>-52.101402646607426</v>
      </c>
      <c r="P55" s="79"/>
      <c r="Q55" s="79"/>
      <c r="R55" s="79"/>
      <c r="S55" s="79"/>
      <c r="T55" s="79"/>
      <c r="U55" s="79"/>
    </row>
    <row r="56" spans="1:21" ht="14.25" customHeight="1" x14ac:dyDescent="0.25">
      <c r="A56" s="79"/>
      <c r="B56" s="79"/>
      <c r="C56" s="102" t="s">
        <v>157</v>
      </c>
      <c r="D56" s="59"/>
      <c r="E56" s="103"/>
      <c r="F56" s="103"/>
      <c r="G56" s="103"/>
      <c r="H56" s="103">
        <f t="shared" si="10"/>
        <v>-391.07499999999982</v>
      </c>
      <c r="I56" s="103">
        <f t="shared" si="10"/>
        <v>-870.47000000000025</v>
      </c>
      <c r="J56" s="103">
        <f t="shared" si="10"/>
        <v>-533.36799999999948</v>
      </c>
      <c r="K56" s="103">
        <f t="shared" ca="1" si="10"/>
        <v>-573.34500052292697</v>
      </c>
      <c r="L56" s="103">
        <f t="shared" ca="1" si="10"/>
        <v>-424.84228669894765</v>
      </c>
      <c r="M56" s="103">
        <f t="shared" ca="1" si="10"/>
        <v>-447.03634335650713</v>
      </c>
      <c r="N56" s="103">
        <f t="shared" ca="1" si="10"/>
        <v>-470.38983297622508</v>
      </c>
      <c r="O56" s="103">
        <f t="shared" ca="1" si="10"/>
        <v>-494.96332514277128</v>
      </c>
      <c r="P56" s="79"/>
      <c r="Q56" s="79"/>
      <c r="R56" s="79"/>
      <c r="S56" s="79"/>
      <c r="T56" s="79"/>
      <c r="U56" s="79"/>
    </row>
    <row r="57" spans="1:21" ht="14.25" customHeight="1" x14ac:dyDescent="0.25">
      <c r="A57" s="79"/>
      <c r="B57" s="79"/>
      <c r="C57" s="102" t="s">
        <v>158</v>
      </c>
      <c r="D57" s="59"/>
      <c r="E57" s="103"/>
      <c r="F57" s="103"/>
      <c r="G57" s="103"/>
      <c r="H57" s="103">
        <f t="shared" si="10"/>
        <v>-89.949999999999989</v>
      </c>
      <c r="I57" s="103">
        <f t="shared" si="10"/>
        <v>-65.956999999999994</v>
      </c>
      <c r="J57" s="103">
        <f t="shared" si="10"/>
        <v>16.890999999999963</v>
      </c>
      <c r="K57" s="103">
        <f t="shared" ca="1" si="10"/>
        <v>6.3830032195836566</v>
      </c>
      <c r="L57" s="103">
        <f t="shared" ca="1" si="10"/>
        <v>-18.309162169695924</v>
      </c>
      <c r="M57" s="103">
        <f t="shared" ca="1" si="10"/>
        <v>-19.265645540746561</v>
      </c>
      <c r="N57" s="103">
        <f t="shared" ca="1" si="10"/>
        <v>-20.272096268611051</v>
      </c>
      <c r="O57" s="103">
        <f t="shared" ca="1" si="10"/>
        <v>-21.331124682776021</v>
      </c>
      <c r="P57" s="79"/>
      <c r="Q57" s="79"/>
      <c r="R57" s="79"/>
      <c r="S57" s="79"/>
      <c r="T57" s="79"/>
      <c r="U57" s="79"/>
    </row>
    <row r="58" spans="1:21" ht="14.25" customHeight="1" x14ac:dyDescent="0.25">
      <c r="A58" s="79"/>
      <c r="B58" s="79"/>
      <c r="C58" s="102" t="s">
        <v>159</v>
      </c>
      <c r="D58" s="59"/>
      <c r="E58" s="103"/>
      <c r="F58" s="103"/>
      <c r="G58" s="103"/>
      <c r="H58" s="103">
        <f t="shared" ref="H58:O59" si="11">(H27-G27)</f>
        <v>154.42000000000007</v>
      </c>
      <c r="I58" s="103">
        <f t="shared" si="11"/>
        <v>669.88900000000012</v>
      </c>
      <c r="J58" s="103">
        <f t="shared" si="11"/>
        <v>375.6869999999999</v>
      </c>
      <c r="K58" s="103">
        <f t="shared" ca="1" si="11"/>
        <v>409.25325089679245</v>
      </c>
      <c r="L58" s="103">
        <f t="shared" ca="1" si="11"/>
        <v>460.26823057305774</v>
      </c>
      <c r="M58" s="103">
        <f t="shared" ca="1" si="11"/>
        <v>484.3129631875654</v>
      </c>
      <c r="N58" s="103">
        <f t="shared" ca="1" si="11"/>
        <v>509.6138093639056</v>
      </c>
      <c r="O58" s="103">
        <f t="shared" ca="1" si="11"/>
        <v>536.23638934853807</v>
      </c>
      <c r="P58" s="79"/>
      <c r="Q58" s="79"/>
      <c r="R58" s="79"/>
      <c r="S58" s="79"/>
      <c r="T58" s="79"/>
      <c r="U58" s="79"/>
    </row>
    <row r="59" spans="1:21" ht="14.25" customHeight="1" x14ac:dyDescent="0.25">
      <c r="A59" s="79"/>
      <c r="B59" s="79"/>
      <c r="C59" s="102" t="s">
        <v>160</v>
      </c>
      <c r="D59" s="59"/>
      <c r="E59" s="103"/>
      <c r="F59" s="103"/>
      <c r="G59" s="103"/>
      <c r="H59" s="103">
        <f t="shared" si="11"/>
        <v>59.905000000000086</v>
      </c>
      <c r="I59" s="103">
        <f t="shared" si="11"/>
        <v>90.789999999999964</v>
      </c>
      <c r="J59" s="103">
        <f t="shared" si="11"/>
        <v>75.221000000000004</v>
      </c>
      <c r="K59" s="103">
        <f t="shared" ca="1" si="11"/>
        <v>378.32214484005112</v>
      </c>
      <c r="L59" s="103">
        <f t="shared" ca="1" si="11"/>
        <v>83.850451322160779</v>
      </c>
      <c r="M59" s="103">
        <f t="shared" ca="1" si="11"/>
        <v>88.230857241415606</v>
      </c>
      <c r="N59" s="103">
        <f t="shared" ca="1" si="11"/>
        <v>92.840098613728969</v>
      </c>
      <c r="O59" s="103">
        <f t="shared" ca="1" si="11"/>
        <v>97.690129962388937</v>
      </c>
      <c r="P59" s="79"/>
      <c r="Q59" s="79"/>
      <c r="R59" s="79"/>
      <c r="S59" s="79"/>
      <c r="T59" s="79"/>
      <c r="U59" s="79"/>
    </row>
    <row r="60" spans="1:21" ht="14.25" customHeight="1" x14ac:dyDescent="0.25">
      <c r="A60" s="79"/>
      <c r="B60" s="79"/>
      <c r="C60" s="100" t="s">
        <v>75</v>
      </c>
      <c r="D60" s="104"/>
      <c r="E60" s="105"/>
      <c r="F60" s="105"/>
      <c r="G60" s="105"/>
      <c r="H60" s="105">
        <f t="shared" ref="H60:O60" si="12">H32*-1</f>
        <v>-1072.6959999999999</v>
      </c>
      <c r="I60" s="105">
        <f t="shared" si="12"/>
        <v>-1327.2570000000001</v>
      </c>
      <c r="J60" s="105">
        <f t="shared" si="12"/>
        <v>-1439.12</v>
      </c>
      <c r="K60" s="105">
        <f t="shared" ca="1" si="12"/>
        <v>-1450.9915469354064</v>
      </c>
      <c r="L60" s="105">
        <f t="shared" ca="1" si="12"/>
        <v>-1643.8914735978863</v>
      </c>
      <c r="M60" s="105">
        <f t="shared" ca="1" si="12"/>
        <v>-1729.7695079795308</v>
      </c>
      <c r="N60" s="105">
        <f t="shared" ca="1" si="12"/>
        <v>-1820.133870630227</v>
      </c>
      <c r="O60" s="105">
        <f t="shared" ca="1" si="12"/>
        <v>-1915.2189304602855</v>
      </c>
      <c r="P60" s="79"/>
      <c r="Q60" s="79"/>
      <c r="R60" s="79"/>
      <c r="S60" s="79"/>
      <c r="T60" s="79"/>
      <c r="U60" s="79"/>
    </row>
    <row r="61" spans="1:21" ht="14.25" customHeight="1" x14ac:dyDescent="0.25">
      <c r="A61" s="79"/>
      <c r="B61" s="79"/>
      <c r="C61" s="70" t="s">
        <v>161</v>
      </c>
      <c r="D61" s="70"/>
      <c r="E61" s="106"/>
      <c r="F61" s="106"/>
      <c r="G61" s="106"/>
      <c r="H61" s="106">
        <f t="shared" ref="H61:O61" si="13">SUM(H53:H60)</f>
        <v>2207.8736816623873</v>
      </c>
      <c r="I61" s="106">
        <f t="shared" si="13"/>
        <v>1863.1387212190666</v>
      </c>
      <c r="J61" s="106">
        <f t="shared" si="13"/>
        <v>2008.8908746971429</v>
      </c>
      <c r="K61" s="106">
        <f t="shared" ca="1" si="13"/>
        <v>2222.6539416794385</v>
      </c>
      <c r="L61" s="106">
        <f t="shared" ca="1" si="13"/>
        <v>2427.6776430174559</v>
      </c>
      <c r="M61" s="106">
        <f t="shared" ca="1" si="13"/>
        <v>2554.5012122390312</v>
      </c>
      <c r="N61" s="106">
        <f t="shared" ca="1" si="13"/>
        <v>2687.9501329591349</v>
      </c>
      <c r="O61" s="106">
        <f t="shared" ca="1" si="13"/>
        <v>2828.370518149889</v>
      </c>
      <c r="P61" s="79"/>
      <c r="Q61" s="107"/>
      <c r="R61" s="79"/>
      <c r="S61" s="79"/>
      <c r="T61" s="79"/>
      <c r="U61" s="79"/>
    </row>
    <row r="62" spans="1:21" ht="14.25" customHeight="1" x14ac:dyDescent="0.25">
      <c r="A62" s="79"/>
      <c r="B62" s="79"/>
      <c r="C62" s="59" t="s">
        <v>162</v>
      </c>
      <c r="D62" s="102"/>
      <c r="E62" s="108"/>
      <c r="F62" s="108"/>
      <c r="G62" s="109"/>
      <c r="H62" s="109"/>
      <c r="I62" s="110"/>
      <c r="J62" s="110"/>
      <c r="K62" s="111">
        <f ca="1">$I$89</f>
        <v>6.1439644366287849E-2</v>
      </c>
      <c r="L62" s="111">
        <f ca="1">$I$89</f>
        <v>6.1439644366287849E-2</v>
      </c>
      <c r="M62" s="111">
        <f ca="1">$I$89</f>
        <v>6.1439644366287849E-2</v>
      </c>
      <c r="N62" s="111">
        <f ca="1">$I$89</f>
        <v>6.1439644366287849E-2</v>
      </c>
      <c r="O62" s="111">
        <f ca="1">$I$89</f>
        <v>6.1439644366287849E-2</v>
      </c>
      <c r="P62" s="79"/>
      <c r="Q62" s="107"/>
      <c r="R62" s="79"/>
      <c r="S62" s="79"/>
      <c r="T62" s="79"/>
      <c r="U62" s="79"/>
    </row>
    <row r="63" spans="1:21" ht="14.25" customHeight="1" x14ac:dyDescent="0.25">
      <c r="A63" s="79"/>
      <c r="B63" s="79"/>
      <c r="C63" s="59" t="s">
        <v>163</v>
      </c>
      <c r="D63" s="102"/>
      <c r="E63" s="112"/>
      <c r="F63" s="112"/>
      <c r="G63" s="112"/>
      <c r="H63" s="112"/>
      <c r="I63" s="112"/>
      <c r="J63" s="112"/>
      <c r="K63" s="113">
        <f ca="1">K61/(1+K62)^K49</f>
        <v>2102.9122105383822</v>
      </c>
      <c r="L63" s="113">
        <f ca="1">L61/(1+L62)^L49</f>
        <v>2163.9389654089764</v>
      </c>
      <c r="M63" s="113">
        <f ca="1">M61/(1+M62)^M49</f>
        <v>2145.1852252657841</v>
      </c>
      <c r="N63" s="113">
        <f ca="1">N61/(1+N62)^N49</f>
        <v>2126.5940140917478</v>
      </c>
      <c r="O63" s="113">
        <f ca="1">O61/(1+O62)^O49</f>
        <v>2108.1639233323244</v>
      </c>
      <c r="P63" s="79"/>
      <c r="Q63" s="79"/>
      <c r="R63" s="79"/>
      <c r="S63" s="79"/>
      <c r="T63" s="79"/>
      <c r="U63" s="79"/>
    </row>
    <row r="64" spans="1:21" ht="14.25" customHeight="1" x14ac:dyDescent="0.25">
      <c r="A64" s="79"/>
      <c r="B64" s="79"/>
      <c r="C64" s="70" t="s">
        <v>164</v>
      </c>
      <c r="D64" s="84"/>
      <c r="E64" s="114"/>
      <c r="F64" s="115"/>
      <c r="G64" s="114"/>
      <c r="H64" s="114"/>
      <c r="I64" s="116">
        <f ca="1">SUM(K63:O63)</f>
        <v>10646.794338637215</v>
      </c>
      <c r="J64" s="79"/>
      <c r="K64" s="108">
        <f ca="1">IFERROR(K61/J61-1,"")</f>
        <v>0.10640850116585954</v>
      </c>
      <c r="L64" s="108">
        <f ca="1">IFERROR(L61/K61-1,"")</f>
        <v>9.2242745257546277E-2</v>
      </c>
      <c r="M64" s="108">
        <f ca="1">IFERROR(M61/L61-1,"")</f>
        <v>5.224069578856505E-2</v>
      </c>
      <c r="N64" s="108">
        <f ca="1">IFERROR(N61/M61-1,"")</f>
        <v>5.2240695788566605E-2</v>
      </c>
      <c r="O64" s="108">
        <f ca="1">IFERROR(O61/N61-1,"")</f>
        <v>5.224069578856616E-2</v>
      </c>
      <c r="P64" s="79"/>
      <c r="Q64" s="79"/>
      <c r="R64" s="79"/>
      <c r="S64" s="79"/>
      <c r="T64" s="79"/>
      <c r="U64" s="79"/>
    </row>
    <row r="65" spans="1:21" ht="14.25" customHeight="1" x14ac:dyDescent="0.25">
      <c r="A65" s="79"/>
      <c r="B65" s="79"/>
      <c r="C65" s="79"/>
      <c r="D65" s="79"/>
      <c r="E65" s="79"/>
      <c r="F65" s="79"/>
      <c r="G65" s="79"/>
      <c r="H65" s="79"/>
      <c r="I65" s="79"/>
      <c r="J65" s="79"/>
      <c r="K65" s="79"/>
      <c r="L65" s="79"/>
      <c r="M65" s="79"/>
      <c r="N65" s="79"/>
      <c r="O65" s="79"/>
      <c r="P65" s="79"/>
      <c r="Q65" s="79"/>
      <c r="R65" s="79"/>
      <c r="S65" s="79"/>
      <c r="T65" s="79"/>
      <c r="U65" s="79"/>
    </row>
    <row r="66" spans="1:21" ht="18" customHeight="1" x14ac:dyDescent="0.3">
      <c r="A66" s="79"/>
      <c r="B66" s="79"/>
      <c r="C66" s="32" t="s">
        <v>165</v>
      </c>
      <c r="D66" s="32"/>
      <c r="E66" s="32"/>
      <c r="F66" s="32"/>
      <c r="G66" s="32"/>
      <c r="H66" s="32"/>
      <c r="I66" s="32"/>
      <c r="J66" s="32"/>
      <c r="K66" s="32"/>
      <c r="L66" s="32"/>
      <c r="M66" s="32"/>
      <c r="N66" s="32"/>
      <c r="O66" s="32"/>
      <c r="P66" s="79"/>
      <c r="Q66" s="79"/>
      <c r="R66" s="79"/>
      <c r="S66" s="79"/>
      <c r="T66" s="79"/>
      <c r="U66" s="79"/>
    </row>
    <row r="67" spans="1:21" ht="14.25" customHeight="1" x14ac:dyDescent="0.25">
      <c r="A67" s="79"/>
      <c r="B67" s="79"/>
      <c r="C67" s="117" t="s">
        <v>166</v>
      </c>
      <c r="D67" s="118"/>
      <c r="E67" s="119"/>
      <c r="F67" s="119"/>
      <c r="G67" s="120"/>
      <c r="H67" s="120"/>
      <c r="I67" s="121"/>
      <c r="J67" s="121"/>
      <c r="K67" s="121"/>
      <c r="L67" s="120"/>
      <c r="M67" s="121"/>
      <c r="N67" s="79"/>
      <c r="O67" s="79"/>
      <c r="P67" s="79"/>
      <c r="Q67" s="79"/>
      <c r="R67" s="79"/>
      <c r="S67" s="79"/>
      <c r="T67" s="79"/>
      <c r="U67" s="79"/>
    </row>
    <row r="68" spans="1:21" ht="14.25" customHeight="1" x14ac:dyDescent="0.25">
      <c r="A68" s="79"/>
      <c r="B68" s="79"/>
      <c r="C68" s="94" t="s">
        <v>167</v>
      </c>
      <c r="D68" s="79"/>
      <c r="E68" s="122"/>
      <c r="F68" s="123"/>
      <c r="I68" s="124">
        <f>$AA$17</f>
        <v>0.02</v>
      </c>
      <c r="K68" s="189" t="s">
        <v>168</v>
      </c>
      <c r="L68" s="189"/>
      <c r="M68" s="189"/>
      <c r="N68" s="189"/>
      <c r="O68" s="189"/>
      <c r="P68" s="79"/>
      <c r="Q68" s="79"/>
      <c r="R68" s="79"/>
      <c r="S68" s="79"/>
      <c r="T68" s="79"/>
      <c r="U68" s="79"/>
    </row>
    <row r="69" spans="1:21" ht="14.25" customHeight="1" x14ac:dyDescent="0.25">
      <c r="A69" s="79"/>
      <c r="B69" s="79"/>
      <c r="C69" s="94" t="s">
        <v>169</v>
      </c>
      <c r="D69" s="79"/>
      <c r="E69" s="72"/>
      <c r="F69" s="72"/>
      <c r="G69" s="125"/>
      <c r="H69" s="125"/>
      <c r="I69" s="126">
        <f ca="1">I89</f>
        <v>6.1439644366287849E-2</v>
      </c>
      <c r="J69" s="127"/>
      <c r="K69" s="128">
        <f>K48</f>
        <v>46628</v>
      </c>
      <c r="L69" s="128">
        <f>L48</f>
        <v>46994</v>
      </c>
      <c r="M69" s="128">
        <f>M48</f>
        <v>47359</v>
      </c>
      <c r="N69" s="128">
        <f>N48</f>
        <v>47724</v>
      </c>
      <c r="O69" s="128">
        <f>O48</f>
        <v>48089</v>
      </c>
      <c r="P69" s="79"/>
      <c r="Q69" s="79"/>
      <c r="R69" s="79"/>
      <c r="S69" s="79"/>
      <c r="T69" s="79"/>
      <c r="U69" s="79"/>
    </row>
    <row r="70" spans="1:21" ht="14.25" customHeight="1" x14ac:dyDescent="0.25">
      <c r="A70" s="79"/>
      <c r="B70" s="79"/>
      <c r="C70" s="94" t="s">
        <v>170</v>
      </c>
      <c r="D70" s="79"/>
      <c r="E70" s="129"/>
      <c r="F70" s="101"/>
      <c r="G70" s="129"/>
      <c r="H70" s="120"/>
      <c r="I70" s="130">
        <f ca="1">O61*(1+I68)</f>
        <v>2884.9379285128866</v>
      </c>
      <c r="J70" s="131"/>
      <c r="K70" s="126">
        <f ca="1">IFERROR(K61/J61-1,"")</f>
        <v>0.10640850116585954</v>
      </c>
      <c r="L70" s="126">
        <f ca="1">IFERROR(L61/K61-1,"")</f>
        <v>9.2242745257546277E-2</v>
      </c>
      <c r="M70" s="126">
        <f ca="1">IFERROR(M61/L61-1,"")</f>
        <v>5.224069578856505E-2</v>
      </c>
      <c r="N70" s="126">
        <f ca="1">IFERROR(N61/M61-1,"")</f>
        <v>5.2240695788566605E-2</v>
      </c>
      <c r="O70" s="126">
        <f ca="1">IFERROR(O61/N61-1,"")</f>
        <v>5.224069578856616E-2</v>
      </c>
      <c r="P70" s="79"/>
      <c r="Q70" s="79"/>
      <c r="R70" s="79"/>
      <c r="S70" s="79"/>
      <c r="T70" s="79"/>
      <c r="U70" s="79"/>
    </row>
    <row r="71" spans="1:21" ht="14.25" customHeight="1" x14ac:dyDescent="0.25">
      <c r="A71" s="79"/>
      <c r="B71" s="79"/>
      <c r="C71" s="94" t="s">
        <v>165</v>
      </c>
      <c r="D71" s="79"/>
      <c r="E71" s="129"/>
      <c r="F71" s="101"/>
      <c r="G71" s="100"/>
      <c r="H71" s="120"/>
      <c r="I71" s="130">
        <f ca="1">I70/(I69-I68)</f>
        <v>69617.825457494837</v>
      </c>
      <c r="J71" s="121"/>
      <c r="K71" s="121"/>
      <c r="L71" s="120"/>
      <c r="M71" s="121"/>
      <c r="N71" s="79"/>
      <c r="O71" s="79"/>
      <c r="P71" s="79"/>
      <c r="Q71" s="79"/>
      <c r="R71" s="79"/>
      <c r="S71" s="79"/>
      <c r="T71" s="79"/>
      <c r="U71" s="79"/>
    </row>
    <row r="72" spans="1:21" ht="14.25" customHeight="1" x14ac:dyDescent="0.25">
      <c r="A72" s="79"/>
      <c r="B72" s="79"/>
      <c r="C72" s="70" t="s">
        <v>171</v>
      </c>
      <c r="D72" s="84"/>
      <c r="E72" s="132"/>
      <c r="F72" s="133"/>
      <c r="G72" s="132"/>
      <c r="H72" s="134"/>
      <c r="I72" s="130">
        <f ca="1">I71/(1+I69)^O49</f>
        <v>51890.580498039068</v>
      </c>
      <c r="J72" s="121"/>
      <c r="K72" s="121"/>
      <c r="L72" s="134"/>
      <c r="M72" s="121"/>
      <c r="N72" s="79"/>
      <c r="O72" s="79"/>
      <c r="P72" s="79"/>
      <c r="Q72" s="79"/>
      <c r="R72" s="79"/>
      <c r="S72" s="79"/>
      <c r="T72" s="79"/>
      <c r="U72" s="79"/>
    </row>
    <row r="73" spans="1:21" ht="14.25" customHeight="1" x14ac:dyDescent="0.25">
      <c r="A73" s="79"/>
      <c r="B73" s="79"/>
      <c r="C73" s="79"/>
      <c r="D73" s="79"/>
      <c r="E73" s="135"/>
      <c r="F73" s="135"/>
      <c r="G73" s="135"/>
      <c r="H73" s="121"/>
      <c r="I73" s="121"/>
      <c r="J73" s="121"/>
      <c r="K73" s="121"/>
      <c r="L73" s="121"/>
      <c r="M73" s="121"/>
      <c r="N73" s="79"/>
      <c r="O73" s="79"/>
      <c r="P73" s="79"/>
      <c r="Q73" s="79"/>
      <c r="R73" s="79"/>
      <c r="S73" s="79"/>
      <c r="T73" s="79"/>
      <c r="U73" s="79"/>
    </row>
    <row r="74" spans="1:21" ht="18" customHeight="1" x14ac:dyDescent="0.3">
      <c r="A74" s="79"/>
      <c r="B74" s="79"/>
      <c r="C74" s="32" t="s">
        <v>169</v>
      </c>
      <c r="D74" s="32"/>
      <c r="E74" s="32"/>
      <c r="F74" s="32"/>
      <c r="G74" s="32"/>
      <c r="H74" s="32"/>
      <c r="I74" s="32"/>
      <c r="J74" s="32"/>
      <c r="K74" s="32"/>
      <c r="L74" s="32"/>
      <c r="M74" s="32"/>
      <c r="N74" s="32"/>
      <c r="O74" s="32"/>
      <c r="P74" s="79"/>
      <c r="Q74" s="79"/>
      <c r="R74" s="79"/>
      <c r="S74" s="79"/>
      <c r="T74" s="79"/>
      <c r="U74" s="79"/>
    </row>
    <row r="75" spans="1:21" ht="14.25" customHeight="1" x14ac:dyDescent="0.25">
      <c r="A75" s="79"/>
      <c r="B75" s="79"/>
      <c r="C75" s="94" t="s">
        <v>172</v>
      </c>
      <c r="D75" s="79"/>
      <c r="E75" s="79"/>
      <c r="F75" s="79"/>
      <c r="G75" s="79"/>
      <c r="H75" s="79"/>
      <c r="I75" s="136">
        <f ca="1">I4</f>
        <v>2864.49</v>
      </c>
      <c r="J75" s="79"/>
      <c r="K75" s="79"/>
      <c r="L75" s="79"/>
      <c r="M75" s="79"/>
      <c r="N75" s="79"/>
      <c r="O75" s="79"/>
      <c r="P75" s="79"/>
      <c r="Q75" s="79"/>
      <c r="R75" s="79"/>
      <c r="S75" s="79"/>
      <c r="T75" s="79"/>
      <c r="U75" s="79"/>
    </row>
    <row r="76" spans="1:21" ht="14.25" customHeight="1" x14ac:dyDescent="0.25">
      <c r="A76" s="79"/>
      <c r="B76" s="79"/>
      <c r="C76" s="94" t="s">
        <v>113</v>
      </c>
      <c r="D76" s="79"/>
      <c r="E76" s="79"/>
      <c r="F76" s="79"/>
      <c r="G76" s="79"/>
      <c r="H76" s="79"/>
      <c r="I76" s="15">
        <f>I5</f>
        <v>16.62</v>
      </c>
      <c r="J76" s="79"/>
      <c r="K76" s="79"/>
      <c r="L76" s="79"/>
      <c r="M76" s="79"/>
      <c r="N76" s="137"/>
      <c r="O76" s="79"/>
      <c r="P76" s="79"/>
      <c r="Q76" s="79"/>
      <c r="R76" s="79"/>
      <c r="S76" s="79"/>
      <c r="T76" s="79"/>
      <c r="U76" s="79"/>
    </row>
    <row r="77" spans="1:21" ht="14.25" customHeight="1" x14ac:dyDescent="0.25">
      <c r="A77" s="79"/>
      <c r="B77" s="79"/>
      <c r="C77" s="94" t="s">
        <v>173</v>
      </c>
      <c r="D77" s="79"/>
      <c r="E77" s="79"/>
      <c r="F77" s="79"/>
      <c r="G77" s="79"/>
      <c r="H77" s="79"/>
      <c r="I77" s="138">
        <f>IFERROR(ABS('IS Annual'!F11)/AVERAGE(I30:J30),"")</f>
        <v>5.3054256304861422E-2</v>
      </c>
      <c r="J77" s="94"/>
      <c r="K77" s="79"/>
      <c r="L77" s="79"/>
      <c r="M77" s="187" t="s">
        <v>174</v>
      </c>
      <c r="N77" s="139">
        <v>4.1399999999999999E-2</v>
      </c>
      <c r="O77" s="79"/>
      <c r="P77" s="79"/>
      <c r="Q77" s="79"/>
      <c r="R77" s="79"/>
      <c r="S77" s="79"/>
      <c r="T77" s="79"/>
      <c r="U77" s="79"/>
    </row>
    <row r="78" spans="1:21" ht="14.25" customHeight="1" x14ac:dyDescent="0.25">
      <c r="A78" s="79"/>
      <c r="B78" s="79"/>
      <c r="C78" s="94" t="s">
        <v>175</v>
      </c>
      <c r="D78" s="79"/>
      <c r="E78" s="79"/>
      <c r="F78" s="79"/>
      <c r="G78" s="79"/>
      <c r="H78" s="79"/>
      <c r="I78" s="140">
        <f>K52</f>
        <v>0.20384608621555628</v>
      </c>
      <c r="J78" s="79"/>
      <c r="K78" s="79"/>
      <c r="L78" s="79"/>
      <c r="M78" s="187" t="s">
        <v>176</v>
      </c>
      <c r="N78" s="139">
        <v>5.0999999999999997E-2</v>
      </c>
      <c r="O78" s="94"/>
      <c r="P78" s="79"/>
      <c r="Q78" s="79"/>
      <c r="R78" s="79"/>
      <c r="S78" s="79"/>
      <c r="T78" s="79"/>
      <c r="U78" s="79"/>
    </row>
    <row r="79" spans="1:21" ht="14.25" customHeight="1" x14ac:dyDescent="0.25">
      <c r="A79" s="79"/>
      <c r="B79" s="79"/>
      <c r="C79" s="94" t="s">
        <v>177</v>
      </c>
      <c r="D79" s="79"/>
      <c r="E79" s="79"/>
      <c r="F79" s="79"/>
      <c r="G79" s="79"/>
      <c r="H79" s="79"/>
      <c r="I79" s="141">
        <f>I77*(1-I78)</f>
        <v>4.2239353800038425E-2</v>
      </c>
      <c r="J79" s="79"/>
      <c r="K79" s="79"/>
      <c r="L79" s="79"/>
      <c r="M79" s="187" t="s">
        <v>178</v>
      </c>
      <c r="N79" s="142">
        <v>0.34</v>
      </c>
      <c r="O79" s="94"/>
      <c r="P79" s="79"/>
      <c r="Q79" s="79"/>
      <c r="R79" s="79"/>
      <c r="S79" s="79"/>
      <c r="T79" s="79"/>
      <c r="U79" s="79"/>
    </row>
    <row r="80" spans="1:21" ht="14.25" customHeight="1" x14ac:dyDescent="0.25">
      <c r="A80" s="79"/>
      <c r="B80" s="79"/>
      <c r="C80" s="94" t="s">
        <v>179</v>
      </c>
      <c r="D80" s="79"/>
      <c r="E80" s="79"/>
      <c r="F80" s="79"/>
      <c r="G80" s="79"/>
      <c r="H80" s="79"/>
      <c r="I80" s="140">
        <f>N81</f>
        <v>6.5075999999999995E-2</v>
      </c>
      <c r="J80" s="79"/>
      <c r="K80" s="79"/>
      <c r="L80" s="79"/>
      <c r="M80" s="79"/>
      <c r="N80" s="79"/>
      <c r="O80" s="79"/>
      <c r="P80" s="79"/>
      <c r="Q80" s="79"/>
      <c r="R80" s="79"/>
      <c r="S80" s="79"/>
      <c r="T80" s="79"/>
      <c r="U80" s="79"/>
    </row>
    <row r="81" spans="1:21" ht="14.25" customHeight="1" x14ac:dyDescent="0.25">
      <c r="A81" s="79"/>
      <c r="B81" s="79"/>
      <c r="C81" s="79"/>
      <c r="D81" s="79"/>
      <c r="E81" s="135"/>
      <c r="F81" s="135"/>
      <c r="G81" s="79"/>
      <c r="H81" s="135"/>
      <c r="I81" s="79"/>
      <c r="J81" s="79"/>
      <c r="K81" s="79"/>
      <c r="L81" s="79"/>
      <c r="M81" s="9" t="s">
        <v>180</v>
      </c>
      <c r="N81" s="143">
        <f>N78+N79*(N77)</f>
        <v>6.5075999999999995E-2</v>
      </c>
      <c r="O81" s="79"/>
      <c r="P81" s="79"/>
      <c r="Q81" s="79"/>
      <c r="R81" s="79"/>
      <c r="S81" s="79"/>
      <c r="T81" s="79"/>
      <c r="U81" s="79"/>
    </row>
    <row r="82" spans="1:21" ht="14.25" customHeight="1" x14ac:dyDescent="0.25">
      <c r="A82" s="79"/>
      <c r="B82" s="79"/>
      <c r="C82" s="94" t="s">
        <v>181</v>
      </c>
      <c r="D82" s="79"/>
      <c r="E82" s="79"/>
      <c r="F82" s="79"/>
      <c r="G82" s="79"/>
      <c r="H82" s="79"/>
      <c r="I82" s="144">
        <f>N93+N94</f>
        <v>9016.4770000000008</v>
      </c>
      <c r="J82" s="79"/>
      <c r="K82" s="79"/>
      <c r="L82" s="79"/>
      <c r="M82" s="145"/>
      <c r="N82" s="79"/>
      <c r="O82" s="79"/>
      <c r="P82" s="79"/>
      <c r="Q82" s="79"/>
      <c r="R82" s="79"/>
      <c r="S82" s="79"/>
      <c r="T82" s="79"/>
      <c r="U82" s="79"/>
    </row>
    <row r="83" spans="1:21" ht="14.25" customHeight="1" x14ac:dyDescent="0.25">
      <c r="A83" s="79"/>
      <c r="B83" s="79"/>
      <c r="C83" s="94" t="s">
        <v>182</v>
      </c>
      <c r="D83" s="79"/>
      <c r="E83" s="79"/>
      <c r="F83" s="79"/>
      <c r="G83" s="79"/>
      <c r="H83" s="79"/>
      <c r="I83" s="130">
        <f ca="1">I75*I76</f>
        <v>47607.823799999998</v>
      </c>
      <c r="J83" s="79"/>
      <c r="K83" s="79"/>
      <c r="L83" s="79"/>
      <c r="M83" s="79"/>
      <c r="N83" s="79"/>
      <c r="O83" s="79"/>
      <c r="P83" s="79"/>
      <c r="Q83" s="79"/>
      <c r="R83" s="79"/>
      <c r="S83" s="79"/>
      <c r="T83" s="79"/>
      <c r="U83" s="79"/>
    </row>
    <row r="84" spans="1:21" ht="14.25" customHeight="1" x14ac:dyDescent="0.25">
      <c r="A84" s="79"/>
      <c r="B84" s="79"/>
      <c r="C84" s="59" t="s">
        <v>183</v>
      </c>
      <c r="D84" s="146"/>
      <c r="E84" s="79"/>
      <c r="F84" s="79"/>
      <c r="G84" s="79"/>
      <c r="H84" s="79"/>
      <c r="I84" s="99">
        <f ca="1">SUM(I82:I83)</f>
        <v>56624.300799999997</v>
      </c>
      <c r="J84" s="79"/>
      <c r="K84" s="79"/>
      <c r="L84" s="79"/>
      <c r="M84" s="79"/>
      <c r="N84" s="79"/>
      <c r="O84" s="79"/>
      <c r="P84" s="79"/>
      <c r="Q84" s="79"/>
      <c r="R84" s="79"/>
      <c r="S84" s="79"/>
      <c r="T84" s="79"/>
      <c r="U84" s="79"/>
    </row>
    <row r="85" spans="1:21" ht="14.25" customHeight="1" x14ac:dyDescent="0.25">
      <c r="A85" s="79"/>
      <c r="B85" s="79"/>
      <c r="C85" s="146"/>
      <c r="D85" s="146"/>
      <c r="E85" s="79"/>
      <c r="F85" s="79"/>
      <c r="G85" s="79"/>
      <c r="H85" s="79"/>
      <c r="I85" s="147"/>
      <c r="J85" s="79"/>
      <c r="K85" s="79"/>
      <c r="L85" s="79"/>
      <c r="M85" s="79"/>
      <c r="N85" s="79"/>
      <c r="O85" s="79"/>
      <c r="P85" s="79"/>
      <c r="Q85" s="79"/>
      <c r="R85" s="79"/>
      <c r="S85" s="79"/>
      <c r="T85" s="79"/>
      <c r="U85" s="79"/>
    </row>
    <row r="86" spans="1:21" ht="14.25" customHeight="1" x14ac:dyDescent="0.25">
      <c r="A86" s="79"/>
      <c r="B86" s="79"/>
      <c r="C86" s="94" t="s">
        <v>184</v>
      </c>
      <c r="D86" s="79"/>
      <c r="E86" s="79"/>
      <c r="F86" s="79"/>
      <c r="G86" s="79"/>
      <c r="H86" s="79"/>
      <c r="I86" s="141">
        <f ca="1">I82/I84</f>
        <v>0.15923334809637069</v>
      </c>
      <c r="J86" s="79"/>
      <c r="K86" s="79"/>
      <c r="L86" s="79"/>
      <c r="M86" s="79"/>
      <c r="N86" s="79"/>
      <c r="O86" s="79"/>
      <c r="P86" s="79"/>
      <c r="Q86" s="79"/>
      <c r="R86" s="79"/>
      <c r="S86" s="79"/>
      <c r="T86" s="79"/>
      <c r="U86" s="79"/>
    </row>
    <row r="87" spans="1:21" ht="14.25" customHeight="1" x14ac:dyDescent="0.25">
      <c r="A87" s="79"/>
      <c r="B87" s="79"/>
      <c r="C87" s="94" t="s">
        <v>185</v>
      </c>
      <c r="D87" s="79"/>
      <c r="E87" s="79"/>
      <c r="F87" s="79"/>
      <c r="G87" s="79"/>
      <c r="H87" s="79"/>
      <c r="I87" s="141">
        <f ca="1">I83/I84</f>
        <v>0.84076665190362931</v>
      </c>
      <c r="J87" s="79"/>
      <c r="K87" s="79"/>
      <c r="L87" s="79"/>
      <c r="M87" s="79"/>
      <c r="N87" s="79"/>
      <c r="O87" s="79"/>
      <c r="P87" s="79"/>
      <c r="Q87" s="79"/>
      <c r="R87" s="79"/>
      <c r="S87" s="79"/>
      <c r="T87" s="79"/>
      <c r="U87" s="79"/>
    </row>
    <row r="88" spans="1:21" ht="14.25" customHeight="1" x14ac:dyDescent="0.25">
      <c r="A88" s="79"/>
      <c r="B88" s="79"/>
      <c r="C88" s="146"/>
      <c r="D88" s="146"/>
      <c r="E88" s="79"/>
      <c r="F88" s="79"/>
      <c r="G88" s="79"/>
      <c r="H88" s="79"/>
      <c r="I88" s="147"/>
      <c r="J88" s="79"/>
      <c r="K88" s="79"/>
      <c r="L88" s="79"/>
      <c r="M88" s="79"/>
      <c r="N88" s="79"/>
      <c r="O88" s="79"/>
      <c r="P88" s="79"/>
      <c r="Q88" s="79"/>
      <c r="R88" s="79"/>
      <c r="S88" s="79"/>
      <c r="T88" s="79"/>
      <c r="U88" s="79"/>
    </row>
    <row r="89" spans="1:21" ht="14.25" customHeight="1" x14ac:dyDescent="0.25">
      <c r="A89" s="79"/>
      <c r="B89" s="79"/>
      <c r="C89" s="70" t="s">
        <v>186</v>
      </c>
      <c r="D89" s="84"/>
      <c r="E89" s="84"/>
      <c r="F89" s="84"/>
      <c r="G89" s="84"/>
      <c r="H89" s="84"/>
      <c r="I89" s="111">
        <f ca="1">I86*I79+I87*I80</f>
        <v>6.1439644366287849E-2</v>
      </c>
      <c r="J89" s="79"/>
      <c r="K89" s="79"/>
      <c r="L89" s="79"/>
      <c r="M89" s="79"/>
      <c r="N89" s="79"/>
      <c r="O89" s="79"/>
      <c r="P89" s="79"/>
      <c r="Q89" s="79"/>
      <c r="R89" s="79"/>
      <c r="S89" s="79"/>
      <c r="T89" s="79"/>
      <c r="U89" s="79"/>
    </row>
    <row r="90" spans="1:21" ht="14.25" customHeight="1" x14ac:dyDescent="0.25">
      <c r="A90" s="79"/>
      <c r="B90" s="79"/>
      <c r="C90" s="79"/>
      <c r="D90" s="79"/>
      <c r="E90" s="135"/>
      <c r="F90" s="135"/>
      <c r="G90" s="135"/>
      <c r="H90" s="135"/>
      <c r="I90" s="79"/>
      <c r="J90" s="79"/>
      <c r="K90" s="79"/>
      <c r="L90" s="79"/>
      <c r="M90" s="79"/>
      <c r="N90" s="79"/>
      <c r="O90" s="79"/>
      <c r="P90" s="79"/>
      <c r="Q90" s="79"/>
      <c r="R90" s="79"/>
      <c r="S90" s="79"/>
      <c r="T90" s="79"/>
      <c r="U90" s="79"/>
    </row>
    <row r="91" spans="1:21" ht="18" customHeight="1" x14ac:dyDescent="0.3">
      <c r="A91" s="79"/>
      <c r="B91" s="79"/>
      <c r="C91" s="32" t="s">
        <v>187</v>
      </c>
      <c r="D91" s="32"/>
      <c r="E91" s="32"/>
      <c r="F91" s="32"/>
      <c r="G91" s="32"/>
      <c r="H91" s="32"/>
      <c r="I91" s="32"/>
      <c r="J91" s="32"/>
      <c r="K91" s="32"/>
      <c r="L91" s="32"/>
      <c r="M91" s="32"/>
      <c r="N91" s="32"/>
      <c r="O91" s="32"/>
      <c r="P91" s="79"/>
      <c r="Q91" s="79"/>
      <c r="R91" s="79"/>
      <c r="S91" s="79"/>
      <c r="T91" s="79"/>
      <c r="U91" s="79"/>
    </row>
    <row r="92" spans="1:21" ht="14.25" customHeight="1" x14ac:dyDescent="0.25">
      <c r="A92" s="79"/>
      <c r="B92" s="79"/>
      <c r="C92" s="94" t="s">
        <v>188</v>
      </c>
      <c r="D92" s="79"/>
      <c r="E92" s="148"/>
      <c r="F92" s="148"/>
      <c r="G92" s="148"/>
      <c r="H92" s="148"/>
      <c r="I92" s="93">
        <f ca="1">I72+I64</f>
        <v>62537.374836676281</v>
      </c>
      <c r="J92" s="79"/>
      <c r="K92" s="79"/>
      <c r="L92" s="79"/>
      <c r="M92" s="79"/>
      <c r="N92" s="79"/>
      <c r="O92" s="79"/>
      <c r="P92" s="79"/>
      <c r="Q92" s="79"/>
      <c r="R92" s="79"/>
      <c r="S92" s="79"/>
      <c r="T92" s="79"/>
      <c r="U92" s="79"/>
    </row>
    <row r="93" spans="1:21" ht="14.25" customHeight="1" x14ac:dyDescent="0.25">
      <c r="A93" s="79"/>
      <c r="B93" s="79"/>
      <c r="C93" s="94" t="s">
        <v>189</v>
      </c>
      <c r="D93" s="79"/>
      <c r="E93" s="149"/>
      <c r="F93" s="149"/>
      <c r="G93" s="149"/>
      <c r="H93" s="149"/>
      <c r="I93" s="103">
        <f>(N93+N94)-N95</f>
        <v>8762.7480000000014</v>
      </c>
      <c r="J93" s="59"/>
      <c r="K93" s="148"/>
      <c r="L93" s="79"/>
      <c r="M93" s="94" t="s">
        <v>190</v>
      </c>
      <c r="N93" s="42">
        <f>0</f>
        <v>0</v>
      </c>
      <c r="O93" s="79"/>
      <c r="P93" s="79"/>
      <c r="Q93" s="79"/>
      <c r="R93" s="79"/>
      <c r="S93" s="79"/>
      <c r="T93" s="79"/>
      <c r="U93" s="79"/>
    </row>
    <row r="94" spans="1:21" ht="14.25" customHeight="1" x14ac:dyDescent="0.25">
      <c r="A94" s="79"/>
      <c r="B94" s="79"/>
      <c r="C94" s="70" t="s">
        <v>191</v>
      </c>
      <c r="D94" s="84"/>
      <c r="E94" s="79"/>
      <c r="F94" s="79"/>
      <c r="G94" s="79"/>
      <c r="H94" s="79"/>
      <c r="I94" s="115">
        <f ca="1">I92-I93</f>
        <v>53774.626836676282</v>
      </c>
      <c r="J94" s="102"/>
      <c r="K94" s="149"/>
      <c r="L94" s="79"/>
      <c r="M94" s="94" t="s">
        <v>192</v>
      </c>
      <c r="N94" s="42">
        <f>'BS Annual'!F23</f>
        <v>9016.4770000000008</v>
      </c>
      <c r="O94" s="79"/>
      <c r="P94" s="79"/>
      <c r="Q94" s="79"/>
      <c r="R94" s="79"/>
      <c r="S94" s="79"/>
      <c r="T94" s="79"/>
      <c r="U94" s="79"/>
    </row>
    <row r="95" spans="1:21" ht="14.25" customHeight="1" x14ac:dyDescent="0.25">
      <c r="A95" s="79"/>
      <c r="B95" s="79"/>
      <c r="C95" s="94" t="s">
        <v>113</v>
      </c>
      <c r="D95" s="79"/>
      <c r="E95" s="79"/>
      <c r="F95" s="79"/>
      <c r="G95" s="79"/>
      <c r="H95" s="79"/>
      <c r="I95" s="150">
        <f>I5</f>
        <v>16.62</v>
      </c>
      <c r="J95" s="59"/>
      <c r="K95" s="132"/>
      <c r="L95" s="79"/>
      <c r="M95" s="94" t="s">
        <v>193</v>
      </c>
      <c r="N95" s="42">
        <f>'BS Annual'!F6</f>
        <v>253.72900000000001</v>
      </c>
      <c r="O95" s="79"/>
      <c r="P95" s="79"/>
      <c r="Q95" s="79"/>
      <c r="R95" s="79"/>
      <c r="S95" s="79"/>
      <c r="T95" s="79"/>
      <c r="U95" s="79"/>
    </row>
    <row r="96" spans="1:21" ht="14.25" customHeight="1" x14ac:dyDescent="0.25">
      <c r="A96" s="79"/>
      <c r="B96" s="79"/>
      <c r="C96" s="151" t="s">
        <v>194</v>
      </c>
      <c r="D96" s="88"/>
      <c r="E96" s="88"/>
      <c r="F96" s="88"/>
      <c r="G96" s="88"/>
      <c r="H96" s="88"/>
      <c r="I96" s="152">
        <f ca="1">I94/I95</f>
        <v>3235.5371141201131</v>
      </c>
      <c r="J96" s="153"/>
      <c r="K96" s="154"/>
      <c r="L96" s="79"/>
      <c r="M96" s="79"/>
      <c r="N96" s="79"/>
      <c r="O96" s="79"/>
      <c r="P96" s="79"/>
      <c r="Q96" s="79"/>
      <c r="R96" s="79"/>
      <c r="S96" s="79"/>
      <c r="T96" s="79"/>
      <c r="U96" s="79"/>
    </row>
    <row r="97" spans="1:21" ht="14.25" customHeight="1" x14ac:dyDescent="0.25">
      <c r="A97" s="79"/>
      <c r="B97" s="79"/>
      <c r="C97" s="79"/>
      <c r="D97" s="79"/>
      <c r="E97" s="79"/>
      <c r="F97" s="79"/>
      <c r="G97" s="79"/>
      <c r="H97" s="94" t="s">
        <v>195</v>
      </c>
      <c r="I97" s="155">
        <f ca="1">I96/I4-1</f>
        <v>0.129533394817267</v>
      </c>
      <c r="J97" s="146"/>
      <c r="R97" s="79"/>
      <c r="S97" s="79"/>
      <c r="T97" s="79"/>
      <c r="U97" s="79"/>
    </row>
    <row r="98" spans="1:21" ht="14.25" customHeight="1" x14ac:dyDescent="0.25">
      <c r="A98" s="135"/>
      <c r="B98" s="135"/>
      <c r="C98" s="79"/>
      <c r="D98" s="79"/>
      <c r="E98" s="135"/>
      <c r="F98" s="135"/>
      <c r="G98" s="135"/>
      <c r="H98" s="135"/>
      <c r="I98" s="135"/>
      <c r="J98" s="135"/>
      <c r="R98" s="135"/>
      <c r="S98" s="135"/>
      <c r="T98" s="135"/>
      <c r="U98" s="135"/>
    </row>
    <row r="99" spans="1:21" ht="14.25" customHeight="1" x14ac:dyDescent="0.25">
      <c r="C99" s="156" t="s">
        <v>196</v>
      </c>
      <c r="D99" s="157"/>
      <c r="E99" s="158"/>
      <c r="F99" s="158"/>
      <c r="G99" s="159"/>
      <c r="H99" s="159"/>
      <c r="I99" s="159"/>
      <c r="J99" s="159"/>
      <c r="K99" s="159"/>
      <c r="L99" s="159"/>
      <c r="M99" s="159"/>
      <c r="N99" s="159"/>
      <c r="O99" s="159"/>
    </row>
    <row r="100" spans="1:21" ht="14.25" customHeight="1" x14ac:dyDescent="0.25">
      <c r="C100" s="9" t="s">
        <v>169</v>
      </c>
      <c r="D100" s="79"/>
      <c r="E100" s="160"/>
      <c r="F100" s="160"/>
      <c r="H100" s="160"/>
      <c r="I100" s="126">
        <f ca="1">$I$89-0.01</f>
        <v>5.1439644366287847E-2</v>
      </c>
      <c r="J100" s="161">
        <f ca="1">$I$89</f>
        <v>6.1439644366287849E-2</v>
      </c>
      <c r="K100" s="126">
        <f ca="1">$I$89+0.01</f>
        <v>7.1439644366287844E-2</v>
      </c>
    </row>
    <row r="101" spans="1:21" ht="14.25" customHeight="1" x14ac:dyDescent="0.25">
      <c r="C101" s="9" t="s">
        <v>194</v>
      </c>
      <c r="D101" s="121"/>
      <c r="E101" s="160"/>
      <c r="F101" s="160"/>
      <c r="I101" s="162">
        <f ca="1">IFERROR((SUMPRODUCT($K$61:$O$61/(1+I100)^$K$49:$O$49)+$O$61*(1+$I$68)/(I100-$I$68)/(1+I100)^$O$49-$I$93)/$I$95,"")</f>
        <v>4443.203514816395</v>
      </c>
      <c r="J101" s="163">
        <f ca="1">IFERROR((SUMPRODUCT($K$61:$O$61/(1+J100)^$K$49:$O$49)+$O$61*(1+$I$68)/(J100-$I$68)/(1+J100)^$O$49-$I$93)/$I$95,"")</f>
        <v>3235.5371141201131</v>
      </c>
      <c r="K101" s="162">
        <f ca="1">IFERROR((SUMPRODUCT($K$61:$O$61/(1+K100)^$K$49:$O$49)+$O$61*(1+$I$68)/(K100-$I$68)/(1+K100)^$O$49-$I$93)/$I$95,"")</f>
        <v>2497.6920249913369</v>
      </c>
    </row>
    <row r="102" spans="1:21" ht="14.25" customHeight="1" x14ac:dyDescent="0.25">
      <c r="C102" s="9" t="s">
        <v>197</v>
      </c>
      <c r="D102" s="121"/>
      <c r="E102" s="79"/>
      <c r="F102" s="79"/>
      <c r="I102" s="164">
        <f>K48</f>
        <v>46628</v>
      </c>
    </row>
    <row r="103" spans="1:21" ht="14.25" customHeight="1" x14ac:dyDescent="0.25">
      <c r="C103" s="9" t="s">
        <v>198</v>
      </c>
      <c r="D103" s="121"/>
      <c r="I103" s="96">
        <f ca="1">MAX(0.01,MIN(1,(I102-$I$3)/365))</f>
        <v>0.92876712328767119</v>
      </c>
    </row>
    <row r="104" spans="1:21" ht="14.25" customHeight="1" x14ac:dyDescent="0.2">
      <c r="D104" s="165"/>
    </row>
    <row r="105" spans="1:21" ht="12.75" customHeight="1" x14ac:dyDescent="0.2">
      <c r="C105" s="121"/>
      <c r="D105" s="121"/>
      <c r="R105" s="166"/>
    </row>
    <row r="106" spans="1:21" ht="12.75" customHeight="1" x14ac:dyDescent="0.2"/>
    <row r="107" spans="1:21" ht="12.75" customHeight="1" x14ac:dyDescent="0.2"/>
    <row r="108" spans="1:21" ht="12.75" customHeight="1" x14ac:dyDescent="0.2"/>
    <row r="109" spans="1:21" ht="12.75" customHeight="1" x14ac:dyDescent="0.2"/>
    <row r="110" spans="1:21" ht="12.75" customHeight="1" x14ac:dyDescent="0.2"/>
    <row r="111" spans="1:21" ht="12.75" customHeight="1" x14ac:dyDescent="0.2"/>
    <row r="112" spans="1:21" ht="12.75" customHeight="1" x14ac:dyDescent="0.2"/>
    <row r="113" spans="3:10" ht="12.75" customHeight="1" x14ac:dyDescent="0.2"/>
    <row r="114" spans="3:10" ht="12.75" customHeight="1" x14ac:dyDescent="0.2"/>
    <row r="115" spans="3:10" ht="12.75" customHeight="1" x14ac:dyDescent="0.2"/>
    <row r="116" spans="3:10" ht="12.75" customHeight="1" x14ac:dyDescent="0.2"/>
    <row r="117" spans="3:10" ht="12.75" customHeight="1" x14ac:dyDescent="0.2"/>
    <row r="118" spans="3:10" ht="12.75" customHeight="1" x14ac:dyDescent="0.2">
      <c r="C118" s="121"/>
      <c r="D118" s="121"/>
      <c r="E118" s="121"/>
      <c r="F118" s="121"/>
      <c r="G118" s="121"/>
      <c r="H118" s="121"/>
      <c r="I118" s="121"/>
      <c r="J118" s="121"/>
    </row>
    <row r="119" spans="3:10" ht="12.75" customHeight="1" x14ac:dyDescent="0.2">
      <c r="E119" s="169"/>
      <c r="F119" s="169"/>
      <c r="G119" s="169"/>
      <c r="H119" s="169"/>
      <c r="I119" s="169"/>
      <c r="J119" s="169"/>
    </row>
    <row r="120" spans="3:10" ht="12.75" customHeight="1" x14ac:dyDescent="0.2"/>
    <row r="121" spans="3:10" ht="12.75" customHeight="1" x14ac:dyDescent="0.2">
      <c r="E121" s="121"/>
    </row>
    <row r="122" spans="3:10" ht="12.75" customHeight="1" x14ac:dyDescent="0.2">
      <c r="E122" s="169"/>
    </row>
    <row r="123" spans="3:10" ht="12.75" customHeight="1" x14ac:dyDescent="0.2"/>
    <row r="124" spans="3:10" ht="12.75" customHeight="1" x14ac:dyDescent="0.2"/>
    <row r="125" spans="3:10" ht="12.75" customHeight="1" x14ac:dyDescent="0.2"/>
    <row r="126" spans="3:10" ht="12.75" customHeight="1" x14ac:dyDescent="0.2"/>
    <row r="127" spans="3:10" ht="12.75" customHeight="1" x14ac:dyDescent="0.2"/>
    <row r="128" spans="3:10" ht="12.75" customHeight="1" x14ac:dyDescent="0.2"/>
    <row r="129" spans="3:15" ht="12.75" customHeight="1" x14ac:dyDescent="0.2"/>
    <row r="130" spans="3:15" ht="12.75" customHeight="1" x14ac:dyDescent="0.2">
      <c r="D130" s="121"/>
      <c r="E130" s="121"/>
      <c r="F130" s="121"/>
      <c r="G130" s="121"/>
      <c r="H130" s="121"/>
      <c r="I130" s="121"/>
      <c r="J130" s="121"/>
      <c r="K130" s="121"/>
      <c r="L130" s="121"/>
      <c r="M130" s="121"/>
      <c r="N130" s="121"/>
      <c r="O130" s="121"/>
    </row>
    <row r="131" spans="3:15" ht="12.75" customHeight="1" x14ac:dyDescent="0.2">
      <c r="C131" s="121"/>
      <c r="D131" s="170"/>
      <c r="E131" s="134"/>
      <c r="F131" s="134"/>
      <c r="G131" s="134"/>
      <c r="H131" s="134"/>
      <c r="I131" s="134"/>
      <c r="J131" s="134"/>
      <c r="K131" s="171"/>
      <c r="L131" s="171"/>
      <c r="M131" s="171"/>
      <c r="N131" s="171"/>
      <c r="O131" s="171"/>
    </row>
    <row r="132" spans="3:15" ht="12.75" customHeight="1" x14ac:dyDescent="0.2"/>
    <row r="133" spans="3:15" ht="12.75" customHeight="1" x14ac:dyDescent="0.2"/>
    <row r="134" spans="3:15" ht="12.75" customHeight="1" x14ac:dyDescent="0.2"/>
    <row r="135" spans="3:15" ht="12.75" customHeight="1" x14ac:dyDescent="0.2"/>
    <row r="136" spans="3:15" ht="12.75" customHeight="1" x14ac:dyDescent="0.2"/>
    <row r="137" spans="3:15" ht="12.75" customHeight="1" x14ac:dyDescent="0.2"/>
    <row r="138" spans="3:15" ht="12.75" customHeight="1" x14ac:dyDescent="0.2"/>
    <row r="139" spans="3:15" ht="12.75" customHeight="1" x14ac:dyDescent="0.2"/>
    <row r="140" spans="3:15" ht="12.75" customHeight="1" x14ac:dyDescent="0.2"/>
    <row r="141" spans="3:15" ht="12.75" customHeight="1" x14ac:dyDescent="0.2"/>
    <row r="142" spans="3:15" ht="12.75" customHeight="1" x14ac:dyDescent="0.2"/>
    <row r="143" spans="3:15" ht="12.75" customHeight="1" x14ac:dyDescent="0.2"/>
    <row r="144" spans="3:15"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row r="1005" ht="12.75" customHeight="1" x14ac:dyDescent="0.2"/>
    <row r="1006" ht="12.75" customHeight="1" x14ac:dyDescent="0.2"/>
  </sheetData>
  <mergeCells count="4">
    <mergeCell ref="K8:O8"/>
    <mergeCell ref="K21:O21"/>
    <mergeCell ref="K47:O47"/>
    <mergeCell ref="K68:O68"/>
  </mergeCells>
  <dataValidations count="1">
    <dataValidation type="list" errorTitle="Invalid scenario" error="Choose Bear, Base or Bull" promptTitle="Scenario" prompt="Choose Bear, Base or Bull" sqref="I6" xr:uid="{00000000-0002-0000-0500-000000000000}">
      <formula1>"Bear,Base,Bull"</formula1>
      <formula2>0</formula2>
    </dataValidation>
  </dataValidations>
  <pageMargins left="0.7" right="0.7" top="0.75" bottom="0.75"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R59"/>
  <sheetViews>
    <sheetView showGridLines="0" zoomScaleNormal="100" workbookViewId="0">
      <selection activeCell="F26" sqref="F26"/>
    </sheetView>
  </sheetViews>
  <sheetFormatPr defaultColWidth="8.7109375" defaultRowHeight="12.75" x14ac:dyDescent="0.2"/>
  <cols>
    <col min="1" max="1" width="2" style="1" customWidth="1"/>
    <col min="2" max="2" width="28" style="1" customWidth="1"/>
    <col min="3" max="18" width="13" style="1" customWidth="1"/>
  </cols>
  <sheetData>
    <row r="1" spans="2:18" ht="17.25" customHeight="1" x14ac:dyDescent="0.3">
      <c r="B1" s="2" t="s">
        <v>212</v>
      </c>
    </row>
    <row r="2" spans="2:18" ht="15" customHeight="1" x14ac:dyDescent="0.25">
      <c r="B2" s="3" t="s">
        <v>213</v>
      </c>
    </row>
    <row r="4" spans="2:18" ht="15" customHeight="1" x14ac:dyDescent="0.25">
      <c r="B4" s="6" t="s">
        <v>214</v>
      </c>
    </row>
    <row r="5" spans="2:18" ht="31.5" customHeight="1" x14ac:dyDescent="0.25">
      <c r="B5" s="172" t="s">
        <v>215</v>
      </c>
      <c r="C5" s="172" t="s">
        <v>216</v>
      </c>
      <c r="D5" s="172" t="s">
        <v>172</v>
      </c>
      <c r="E5" s="172" t="s">
        <v>217</v>
      </c>
      <c r="F5" s="172" t="s">
        <v>218</v>
      </c>
      <c r="G5" s="172" t="s">
        <v>219</v>
      </c>
      <c r="H5" s="172" t="s">
        <v>188</v>
      </c>
      <c r="I5" s="172" t="s">
        <v>220</v>
      </c>
      <c r="J5" s="172" t="s">
        <v>221</v>
      </c>
      <c r="K5" s="172" t="s">
        <v>222</v>
      </c>
      <c r="L5" s="172" t="s">
        <v>223</v>
      </c>
      <c r="M5" s="172" t="s">
        <v>224</v>
      </c>
      <c r="N5" s="172" t="s">
        <v>225</v>
      </c>
      <c r="O5" s="172" t="s">
        <v>226</v>
      </c>
      <c r="P5" s="172" t="s">
        <v>227</v>
      </c>
      <c r="Q5" s="172" t="s">
        <v>228</v>
      </c>
      <c r="R5" s="172" t="s">
        <v>229</v>
      </c>
    </row>
    <row r="6" spans="2:18" ht="15" customHeight="1" x14ac:dyDescent="0.25">
      <c r="B6" s="173"/>
      <c r="C6" s="173"/>
      <c r="D6" s="174"/>
      <c r="E6" s="175"/>
      <c r="F6" s="15" t="str">
        <f>IF(COUNT(D6,E6)&lt;2,"",D6*E6)</f>
        <v/>
      </c>
      <c r="G6" s="175"/>
      <c r="H6" s="15" t="str">
        <f>IF(F6="","",F6+G6)</f>
        <v/>
      </c>
      <c r="I6" s="174"/>
      <c r="J6" s="139"/>
      <c r="K6" s="175"/>
      <c r="L6" s="175"/>
      <c r="M6" s="175"/>
      <c r="N6" s="176" t="str">
        <f>IF(COUNT(D6,I6)&lt;2,"",IF(I6&lt;=0,"NM",D6/I6))</f>
        <v/>
      </c>
      <c r="O6" s="176" t="str">
        <f>IF(COUNT(H6,K6)&lt;2,"",IF(K6&lt;=0,"NM",H6/K6))</f>
        <v/>
      </c>
      <c r="P6" s="176" t="str">
        <f>IF(COUNT(H6,L6)&lt;2,"",IF(L6&lt;=0,"NM",H6/L6))</f>
        <v/>
      </c>
      <c r="Q6" s="177" t="str">
        <f>IF(OR(ISNUMBER(N6)=FALSE(),COUNT(J6)=0),"",IF(J6&lt;=0,"NM",N6/(J6*100)))</f>
        <v/>
      </c>
      <c r="R6" s="176" t="str">
        <f>IF(COUNT(H6,M6)&lt;2,"",IF(M6&lt;=0,"NM",H6/M6))</f>
        <v/>
      </c>
    </row>
    <row r="7" spans="2:18" ht="15" customHeight="1" x14ac:dyDescent="0.25">
      <c r="B7" s="173"/>
      <c r="C7" s="173"/>
      <c r="D7" s="174"/>
      <c r="E7" s="175"/>
      <c r="F7" s="15" t="str">
        <f>IF(COUNT(D7,E7)&lt;2,"",D7*E7)</f>
        <v/>
      </c>
      <c r="G7" s="175"/>
      <c r="H7" s="15" t="str">
        <f>IF(F7="","",F7+G7)</f>
        <v/>
      </c>
      <c r="I7" s="174"/>
      <c r="J7" s="139"/>
      <c r="K7" s="175"/>
      <c r="L7" s="175"/>
      <c r="M7" s="175"/>
      <c r="N7" s="176" t="str">
        <f>IF(COUNT(D7,I7)&lt;2,"",IF(I7&lt;=0,"NM",D7/I7))</f>
        <v/>
      </c>
      <c r="O7" s="176" t="str">
        <f>IF(COUNT(H7,K7)&lt;2,"",IF(K7&lt;=0,"NM",H7/K7))</f>
        <v/>
      </c>
      <c r="P7" s="176" t="str">
        <f>IF(COUNT(H7,L7)&lt;2,"",IF(L7&lt;=0,"NM",H7/L7))</f>
        <v/>
      </c>
      <c r="Q7" s="177" t="str">
        <f>IF(OR(ISNUMBER(N7)=FALSE(),COUNT(J7)=0),"",IF(J7&lt;=0,"NM",N7/(J7*100)))</f>
        <v/>
      </c>
      <c r="R7" s="176" t="str">
        <f>IF(COUNT(H7,M7)&lt;2,"",IF(M7&lt;=0,"NM",H7/M7))</f>
        <v/>
      </c>
    </row>
    <row r="8" spans="2:18" ht="15" customHeight="1" x14ac:dyDescent="0.25">
      <c r="B8" s="173"/>
      <c r="C8" s="173"/>
      <c r="D8" s="174"/>
      <c r="E8" s="175"/>
      <c r="F8" s="15" t="str">
        <f>IF(COUNT(D8,E8)&lt;2,"",D8*E8)</f>
        <v/>
      </c>
      <c r="G8" s="175"/>
      <c r="H8" s="15" t="str">
        <f>IF(F8="","",F8+G8)</f>
        <v/>
      </c>
      <c r="I8" s="174"/>
      <c r="J8" s="139"/>
      <c r="K8" s="175"/>
      <c r="L8" s="175"/>
      <c r="M8" s="175"/>
      <c r="N8" s="176" t="str">
        <f>IF(COUNT(D8,I8)&lt;2,"",IF(I8&lt;=0,"NM",D8/I8))</f>
        <v/>
      </c>
      <c r="O8" s="176" t="str">
        <f>IF(COUNT(H8,K8)&lt;2,"",IF(K8&lt;=0,"NM",H8/K8))</f>
        <v/>
      </c>
      <c r="P8" s="176" t="str">
        <f>IF(COUNT(H8,L8)&lt;2,"",IF(L8&lt;=0,"NM",H8/L8))</f>
        <v/>
      </c>
      <c r="Q8" s="177" t="str">
        <f>IF(OR(ISNUMBER(N8)=FALSE(),COUNT(J8)=0),"",IF(J8&lt;=0,"NM",N8/(J8*100)))</f>
        <v/>
      </c>
      <c r="R8" s="176" t="str">
        <f>IF(COUNT(H8,M8)&lt;2,"",IF(M8&lt;=0,"NM",H8/M8))</f>
        <v/>
      </c>
    </row>
    <row r="9" spans="2:18" ht="15" customHeight="1" x14ac:dyDescent="0.25">
      <c r="B9" s="173"/>
      <c r="C9" s="173"/>
      <c r="D9" s="174"/>
      <c r="E9" s="175"/>
      <c r="F9" s="15" t="str">
        <f>IF(COUNT(D9,E9)&lt;2,"",D9*E9)</f>
        <v/>
      </c>
      <c r="G9" s="175"/>
      <c r="H9" s="15" t="str">
        <f>IF(F9="","",F9+G9)</f>
        <v/>
      </c>
      <c r="I9" s="174"/>
      <c r="J9" s="139"/>
      <c r="K9" s="175"/>
      <c r="L9" s="175"/>
      <c r="M9" s="175"/>
      <c r="N9" s="176" t="str">
        <f>IF(COUNT(D9,I9)&lt;2,"",IF(I9&lt;=0,"NM",D9/I9))</f>
        <v/>
      </c>
      <c r="O9" s="176" t="str">
        <f>IF(COUNT(H9,K9)&lt;2,"",IF(K9&lt;=0,"NM",H9/K9))</f>
        <v/>
      </c>
      <c r="P9" s="176" t="str">
        <f>IF(COUNT(H9,L9)&lt;2,"",IF(L9&lt;=0,"NM",H9/L9))</f>
        <v/>
      </c>
      <c r="Q9" s="177" t="str">
        <f>IF(OR(ISNUMBER(N9)=FALSE(),COUNT(J9)=0),"",IF(J9&lt;=0,"NM",N9/(J9*100)))</f>
        <v/>
      </c>
      <c r="R9" s="176" t="str">
        <f>IF(COUNT(H9,M9)&lt;2,"",IF(M9&lt;=0,"NM",H9/M9))</f>
        <v/>
      </c>
    </row>
    <row r="10" spans="2:18" ht="15" customHeight="1" x14ac:dyDescent="0.25">
      <c r="B10" s="173"/>
      <c r="C10" s="173"/>
      <c r="D10" s="174"/>
      <c r="E10" s="175"/>
      <c r="F10" s="15" t="str">
        <f>IF(COUNT(D10,E10)&lt;2,"",D10*E10)</f>
        <v/>
      </c>
      <c r="G10" s="175"/>
      <c r="H10" s="15" t="str">
        <f>IF(F10="","",F10+G10)</f>
        <v/>
      </c>
      <c r="I10" s="174"/>
      <c r="J10" s="139"/>
      <c r="K10" s="175"/>
      <c r="L10" s="175"/>
      <c r="M10" s="175"/>
      <c r="N10" s="176" t="str">
        <f>IF(COUNT(D10,I10)&lt;2,"",IF(I10&lt;=0,"NM",D10/I10))</f>
        <v/>
      </c>
      <c r="O10" s="176" t="str">
        <f>IF(COUNT(H10,K10)&lt;2,"",IF(K10&lt;=0,"NM",H10/K10))</f>
        <v/>
      </c>
      <c r="P10" s="176" t="str">
        <f>IF(COUNT(H10,L10)&lt;2,"",IF(L10&lt;=0,"NM",H10/L10))</f>
        <v/>
      </c>
      <c r="Q10" s="177" t="str">
        <f>IF(OR(ISNUMBER(N10)=FALSE(),COUNT(J10)=0),"",IF(J10&lt;=0,"NM",N10/(J10*100)))</f>
        <v/>
      </c>
      <c r="R10" s="176" t="str">
        <f>IF(COUNT(H10,M10)&lt;2,"",IF(M10&lt;=0,"NM",H10/M10))</f>
        <v/>
      </c>
    </row>
    <row r="12" spans="2:18" ht="15" customHeight="1" x14ac:dyDescent="0.25">
      <c r="B12" s="6" t="s">
        <v>230</v>
      </c>
      <c r="N12" s="178" t="str">
        <f>IF(COUNT(N6:N10)=0,"",AVERAGE(N6:N10))</f>
        <v/>
      </c>
      <c r="O12" s="178" t="str">
        <f>IF(COUNT(O6:O10)=0,"",AVERAGE(O6:O10))</f>
        <v/>
      </c>
      <c r="P12" s="178" t="str">
        <f>IF(COUNT(P6:P10)=0,"",AVERAGE(P6:P10))</f>
        <v/>
      </c>
      <c r="Q12" s="179" t="str">
        <f>IF(COUNT(Q6:Q10)=0,"",AVERAGE(Q6:Q10))</f>
        <v/>
      </c>
      <c r="R12" s="178" t="str">
        <f>IF(COUNT(R6:R10)=0,"",AVERAGE(R6:R10))</f>
        <v/>
      </c>
    </row>
    <row r="13" spans="2:18" ht="15" customHeight="1" x14ac:dyDescent="0.25">
      <c r="B13" s="6" t="s">
        <v>231</v>
      </c>
      <c r="N13" s="178" t="str">
        <f>IF(COUNT(N6:N10)=0,"",MEDIAN(N6:N10))</f>
        <v/>
      </c>
      <c r="O13" s="178" t="str">
        <f>IF(COUNT(O6:O10)=0,"",MEDIAN(O6:O10))</f>
        <v/>
      </c>
      <c r="P13" s="178" t="str">
        <f>IF(COUNT(P6:P10)=0,"",MEDIAN(P6:P10))</f>
        <v/>
      </c>
      <c r="Q13" s="178" t="str">
        <f>IF(COUNT(Q6:Q10)=0,"",MEDIAN(Q6:Q10))</f>
        <v/>
      </c>
      <c r="R13" s="178" t="str">
        <f>IF(COUNT(R6:R10)=0,"",MEDIAN(R6:R10))</f>
        <v/>
      </c>
    </row>
    <row r="14" spans="2:18" ht="15" customHeight="1" x14ac:dyDescent="0.25">
      <c r="B14" s="6" t="s">
        <v>232</v>
      </c>
      <c r="N14" s="178" t="str">
        <f>IF(COUNT(N6:N10)=0,"",QUARTILE(N6:N10,1))</f>
        <v/>
      </c>
      <c r="O14" s="178" t="str">
        <f>IF(COUNT(O6:O10)=0,"",QUARTILE(O6:O10,1))</f>
        <v/>
      </c>
      <c r="P14" s="178" t="str">
        <f>IF(COUNT(P6:P10)=0,"",QUARTILE(P6:P10,1))</f>
        <v/>
      </c>
      <c r="Q14" s="178" t="str">
        <f>IF(COUNT(Q6:Q10)=0,"",QUARTILE(Q6:Q10,1))</f>
        <v/>
      </c>
      <c r="R14" s="178" t="str">
        <f>IF(COUNT(R6:R10)=0,"",QUARTILE(R6:R10,1))</f>
        <v/>
      </c>
    </row>
    <row r="15" spans="2:18" ht="15" customHeight="1" x14ac:dyDescent="0.25">
      <c r="B15" s="6" t="s">
        <v>233</v>
      </c>
      <c r="N15" s="178" t="str">
        <f>IF(COUNT(N6:N10)=0,"",QUARTILE(N6:N10,3))</f>
        <v/>
      </c>
      <c r="O15" s="178" t="str">
        <f>IF(COUNT(O6:O10)=0,"",QUARTILE(O6:O10,3))</f>
        <v/>
      </c>
      <c r="P15" s="178" t="str">
        <f>IF(COUNT(P6:P10)=0,"",QUARTILE(P6:P10,3))</f>
        <v/>
      </c>
      <c r="Q15" s="178" t="str">
        <f>IF(COUNT(Q6:Q10)=0,"",QUARTILE(Q6:Q10,3))</f>
        <v/>
      </c>
      <c r="R15" s="178" t="str">
        <f>IF(COUNT(R6:R10)=0,"",QUARTILE(R6:R10,3))</f>
        <v/>
      </c>
    </row>
    <row r="16" spans="2:18" ht="15" customHeight="1" x14ac:dyDescent="0.25">
      <c r="B16" s="6" t="s">
        <v>234</v>
      </c>
      <c r="N16" s="178" t="str">
        <f>IF(COUNT(N6:N10)=0,"",MAX(N6:N10))</f>
        <v/>
      </c>
      <c r="O16" s="178" t="str">
        <f>IF(COUNT(O6:O10)=0,"",MAX(O6:O10))</f>
        <v/>
      </c>
      <c r="P16" s="178" t="str">
        <f>IF(COUNT(P6:P10)=0,"",MAX(P6:P10))</f>
        <v/>
      </c>
      <c r="Q16" s="178" t="str">
        <f>IF(COUNT(Q6:Q10)=0,"",MAX(Q6:Q10))</f>
        <v/>
      </c>
      <c r="R16" s="178" t="str">
        <f>IF(COUNT(R6:R10)=0,"",MAX(R6:R10))</f>
        <v/>
      </c>
    </row>
    <row r="17" spans="2:18" ht="15" customHeight="1" x14ac:dyDescent="0.25">
      <c r="B17" s="6" t="s">
        <v>235</v>
      </c>
      <c r="N17" s="178" t="str">
        <f>IF(COUNT(N6:N10)=0,"",MIN(N6:N10))</f>
        <v/>
      </c>
      <c r="O17" s="178" t="str">
        <f>IF(COUNT(O6:O10)=0,"",MIN(O6:O10))</f>
        <v/>
      </c>
      <c r="P17" s="178" t="str">
        <f>IF(COUNT(P6:P10)=0,"",MIN(P6:P10))</f>
        <v/>
      </c>
      <c r="Q17" s="178" t="str">
        <f>IF(COUNT(Q6:Q10)=0,"",MIN(Q6:Q10))</f>
        <v/>
      </c>
      <c r="R17" s="178" t="str">
        <f>IF(COUNT(R6:R10)=0,"",MIN(R6:R10))</f>
        <v/>
      </c>
    </row>
    <row r="19" spans="2:18" ht="15" customHeight="1" x14ac:dyDescent="0.25">
      <c r="B19" s="6" t="s">
        <v>236</v>
      </c>
    </row>
    <row r="20" spans="2:18" ht="31.5" customHeight="1" x14ac:dyDescent="0.25">
      <c r="B20" s="172" t="s">
        <v>237</v>
      </c>
      <c r="C20" s="172" t="s">
        <v>238</v>
      </c>
      <c r="D20" s="172" t="s">
        <v>239</v>
      </c>
      <c r="E20" s="172" t="s">
        <v>188</v>
      </c>
      <c r="F20" s="172" t="s">
        <v>191</v>
      </c>
      <c r="G20" s="172" t="s">
        <v>240</v>
      </c>
      <c r="H20" s="172" t="s">
        <v>241</v>
      </c>
      <c r="I20" s="172" t="s">
        <v>222</v>
      </c>
      <c r="J20" s="172" t="s">
        <v>223</v>
      </c>
      <c r="K20" s="172" t="s">
        <v>224</v>
      </c>
      <c r="L20" s="172"/>
      <c r="M20" s="172"/>
      <c r="N20" s="172" t="s">
        <v>225</v>
      </c>
      <c r="O20" s="172" t="s">
        <v>226</v>
      </c>
      <c r="P20" s="172" t="s">
        <v>227</v>
      </c>
      <c r="Q20" s="172" t="s">
        <v>228</v>
      </c>
      <c r="R20" s="172" t="s">
        <v>229</v>
      </c>
    </row>
    <row r="21" spans="2:18" ht="15" customHeight="1" x14ac:dyDescent="0.25">
      <c r="B21" s="173"/>
      <c r="C21" s="173"/>
      <c r="D21" s="180"/>
      <c r="E21" s="175"/>
      <c r="F21" s="175"/>
      <c r="G21" s="175"/>
      <c r="H21" s="139"/>
      <c r="I21" s="175"/>
      <c r="J21" s="175"/>
      <c r="K21" s="175"/>
      <c r="N21" s="176" t="str">
        <f>IF(COUNT(F21,G21)&lt;2,"",IF(G21&lt;=0,"NM",F21/G21))</f>
        <v/>
      </c>
      <c r="O21" s="176" t="str">
        <f>IF(COUNT(E21,I21)&lt;2,"",IF(I21&lt;=0,"NM",E21/I21))</f>
        <v/>
      </c>
      <c r="P21" s="176" t="str">
        <f>IF(COUNT(E21,J21)&lt;2,"",IF(J21&lt;=0,"NM",E21/J21))</f>
        <v/>
      </c>
      <c r="Q21" s="177" t="str">
        <f>IF(OR(ISNUMBER(N21)=FALSE(),COUNT(H21)=0),"",IF(H21&lt;=0,"NM",N21/(H21*100)))</f>
        <v/>
      </c>
      <c r="R21" s="176" t="str">
        <f>IF(COUNT(E21,K21)&lt;2,"",IF(K21&lt;=0,"NM",E21/K21))</f>
        <v/>
      </c>
    </row>
    <row r="22" spans="2:18" ht="15" customHeight="1" x14ac:dyDescent="0.25">
      <c r="B22" s="173"/>
      <c r="C22" s="173"/>
      <c r="D22" s="180"/>
      <c r="E22" s="175"/>
      <c r="F22" s="175"/>
      <c r="G22" s="175"/>
      <c r="H22" s="139"/>
      <c r="I22" s="175"/>
      <c r="J22" s="175"/>
      <c r="K22" s="175"/>
      <c r="N22" s="176" t="str">
        <f>IF(COUNT(F22,G22)&lt;2,"",IF(G22&lt;=0,"NM",F22/G22))</f>
        <v/>
      </c>
      <c r="O22" s="176" t="str">
        <f>IF(COUNT(E22,I22)&lt;2,"",IF(I22&lt;=0,"NM",E22/I22))</f>
        <v/>
      </c>
      <c r="P22" s="176" t="str">
        <f>IF(COUNT(E22,J22)&lt;2,"",IF(J22&lt;=0,"NM",E22/J22))</f>
        <v/>
      </c>
      <c r="Q22" s="177" t="str">
        <f>IF(OR(ISNUMBER(N22)=FALSE(),COUNT(H22)=0),"",IF(H22&lt;=0,"NM",N22/(H22*100)))</f>
        <v/>
      </c>
      <c r="R22" s="176" t="str">
        <f>IF(COUNT(E22,K22)&lt;2,"",IF(K22&lt;=0,"NM",E22/K22))</f>
        <v/>
      </c>
    </row>
    <row r="23" spans="2:18" ht="15" customHeight="1" x14ac:dyDescent="0.25">
      <c r="B23" s="173"/>
      <c r="C23" s="173"/>
      <c r="D23" s="180"/>
      <c r="E23" s="175"/>
      <c r="F23" s="175"/>
      <c r="G23" s="175"/>
      <c r="H23" s="139"/>
      <c r="I23" s="175"/>
      <c r="J23" s="175"/>
      <c r="K23" s="175"/>
      <c r="N23" s="176" t="str">
        <f>IF(COUNT(F23,G23)&lt;2,"",IF(G23&lt;=0,"NM",F23/G23))</f>
        <v/>
      </c>
      <c r="O23" s="176" t="str">
        <f>IF(COUNT(E23,I23)&lt;2,"",IF(I23&lt;=0,"NM",E23/I23))</f>
        <v/>
      </c>
      <c r="P23" s="176" t="str">
        <f>IF(COUNT(E23,J23)&lt;2,"",IF(J23&lt;=0,"NM",E23/J23))</f>
        <v/>
      </c>
      <c r="Q23" s="177" t="str">
        <f>IF(OR(ISNUMBER(N23)=FALSE(),COUNT(H23)=0),"",IF(H23&lt;=0,"NM",N23/(H23*100)))</f>
        <v/>
      </c>
      <c r="R23" s="176" t="str">
        <f>IF(COUNT(E23,K23)&lt;2,"",IF(K23&lt;=0,"NM",E23/K23))</f>
        <v/>
      </c>
    </row>
    <row r="24" spans="2:18" ht="15" customHeight="1" x14ac:dyDescent="0.25">
      <c r="B24" s="173"/>
      <c r="C24" s="173"/>
      <c r="D24" s="180"/>
      <c r="E24" s="175"/>
      <c r="F24" s="175"/>
      <c r="G24" s="175"/>
      <c r="H24" s="139"/>
      <c r="I24" s="175"/>
      <c r="J24" s="175"/>
      <c r="K24" s="175"/>
      <c r="N24" s="176" t="str">
        <f>IF(COUNT(F24,G24)&lt;2,"",IF(G24&lt;=0,"NM",F24/G24))</f>
        <v/>
      </c>
      <c r="O24" s="176" t="str">
        <f>IF(COUNT(E24,I24)&lt;2,"",IF(I24&lt;=0,"NM",E24/I24))</f>
        <v/>
      </c>
      <c r="P24" s="176" t="str">
        <f>IF(COUNT(E24,J24)&lt;2,"",IF(J24&lt;=0,"NM",E24/J24))</f>
        <v/>
      </c>
      <c r="Q24" s="177" t="str">
        <f>IF(OR(ISNUMBER(N24)=FALSE(),COUNT(H24)=0),"",IF(H24&lt;=0,"NM",N24/(H24*100)))</f>
        <v/>
      </c>
      <c r="R24" s="176" t="str">
        <f>IF(COUNT(E24,K24)&lt;2,"",IF(K24&lt;=0,"NM",E24/K24))</f>
        <v/>
      </c>
    </row>
    <row r="25" spans="2:18" ht="15" customHeight="1" x14ac:dyDescent="0.25">
      <c r="B25" s="173"/>
      <c r="C25" s="173"/>
      <c r="D25" s="180"/>
      <c r="E25" s="175"/>
      <c r="F25" s="175"/>
      <c r="G25" s="175"/>
      <c r="H25" s="139"/>
      <c r="I25" s="175"/>
      <c r="J25" s="175"/>
      <c r="K25" s="175"/>
      <c r="N25" s="176" t="str">
        <f>IF(COUNT(F25,G25)&lt;2,"",IF(G25&lt;=0,"NM",F25/G25))</f>
        <v/>
      </c>
      <c r="O25" s="176" t="str">
        <f>IF(COUNT(E25,I25)&lt;2,"",IF(I25&lt;=0,"NM",E25/I25))</f>
        <v/>
      </c>
      <c r="P25" s="176" t="str">
        <f>IF(COUNT(E25,J25)&lt;2,"",IF(J25&lt;=0,"NM",E25/J25))</f>
        <v/>
      </c>
      <c r="Q25" s="177" t="str">
        <f>IF(OR(ISNUMBER(N25)=FALSE(),COUNT(H25)=0),"",IF(H25&lt;=0,"NM",N25/(H25*100)))</f>
        <v/>
      </c>
      <c r="R25" s="176" t="str">
        <f>IF(COUNT(E25,K25)&lt;2,"",IF(K25&lt;=0,"NM",E25/K25))</f>
        <v/>
      </c>
    </row>
    <row r="27" spans="2:18" ht="15" customHeight="1" x14ac:dyDescent="0.25">
      <c r="B27" s="6" t="s">
        <v>230</v>
      </c>
      <c r="N27" s="178" t="str">
        <f>IF(COUNT(N21:N25)=0,"",AVERAGE(N21:N25))</f>
        <v/>
      </c>
      <c r="O27" s="178" t="str">
        <f>IF(COUNT(O21:O25)=0,"",AVERAGE(O21:O25))</f>
        <v/>
      </c>
      <c r="P27" s="178" t="str">
        <f>IF(COUNT(P21:P25)=0,"",AVERAGE(P21:P25))</f>
        <v/>
      </c>
      <c r="Q27" s="178" t="str">
        <f>IF(COUNT(Q21:Q25)=0,"",AVERAGE(Q21:Q25))</f>
        <v/>
      </c>
      <c r="R27" s="178" t="str">
        <f>IF(COUNT(R21:R25)=0,"",AVERAGE(R21:R25))</f>
        <v/>
      </c>
    </row>
    <row r="28" spans="2:18" ht="15" customHeight="1" x14ac:dyDescent="0.25">
      <c r="B28" s="6" t="s">
        <v>231</v>
      </c>
      <c r="N28" s="178" t="str">
        <f>IF(COUNT(N21:N25)=0,"",MEDIAN(N21:N25))</f>
        <v/>
      </c>
      <c r="O28" s="178" t="str">
        <f>IF(COUNT(O21:O25)=0,"",MEDIAN(O21:O25))</f>
        <v/>
      </c>
      <c r="P28" s="178" t="str">
        <f>IF(COUNT(P21:P25)=0,"",MEDIAN(P21:P25))</f>
        <v/>
      </c>
      <c r="Q28" s="178" t="str">
        <f>IF(COUNT(Q21:Q25)=0,"",MEDIAN(Q21:Q25))</f>
        <v/>
      </c>
      <c r="R28" s="178" t="str">
        <f>IF(COUNT(R21:R25)=0,"",MEDIAN(R21:R25))</f>
        <v/>
      </c>
    </row>
    <row r="29" spans="2:18" ht="15" customHeight="1" x14ac:dyDescent="0.25">
      <c r="B29" s="6" t="s">
        <v>232</v>
      </c>
      <c r="N29" s="178" t="str">
        <f>IF(COUNT(N21:N25)=0,"",QUARTILE(N21:N25,1))</f>
        <v/>
      </c>
      <c r="O29" s="178" t="str">
        <f>IF(COUNT(O21:O25)=0,"",QUARTILE(O21:O25,1))</f>
        <v/>
      </c>
      <c r="P29" s="178" t="str">
        <f>IF(COUNT(P21:P25)=0,"",QUARTILE(P21:P25,1))</f>
        <v/>
      </c>
      <c r="Q29" s="178" t="str">
        <f>IF(COUNT(Q21:Q25)=0,"",QUARTILE(Q21:Q25,1))</f>
        <v/>
      </c>
      <c r="R29" s="178" t="str">
        <f>IF(COUNT(R21:R25)=0,"",QUARTILE(R21:R25,1))</f>
        <v/>
      </c>
    </row>
    <row r="30" spans="2:18" ht="15" customHeight="1" x14ac:dyDescent="0.25">
      <c r="B30" s="6" t="s">
        <v>233</v>
      </c>
      <c r="N30" s="178" t="str">
        <f>IF(COUNT(N21:N25)=0,"",QUARTILE(N21:N25,3))</f>
        <v/>
      </c>
      <c r="O30" s="178" t="str">
        <f>IF(COUNT(O21:O25)=0,"",QUARTILE(O21:O25,3))</f>
        <v/>
      </c>
      <c r="P30" s="178" t="str">
        <f>IF(COUNT(P21:P25)=0,"",QUARTILE(P21:P25,3))</f>
        <v/>
      </c>
      <c r="Q30" s="178" t="str">
        <f>IF(COUNT(Q21:Q25)=0,"",QUARTILE(Q21:Q25,3))</f>
        <v/>
      </c>
      <c r="R30" s="178" t="str">
        <f>IF(COUNT(R21:R25)=0,"",QUARTILE(R21:R25,3))</f>
        <v/>
      </c>
    </row>
    <row r="31" spans="2:18" ht="15" customHeight="1" x14ac:dyDescent="0.25">
      <c r="B31" s="6" t="s">
        <v>234</v>
      </c>
      <c r="N31" s="178" t="str">
        <f>IF(COUNT(N21:N25)=0,"",MAX(N21:N25))</f>
        <v/>
      </c>
      <c r="O31" s="178" t="str">
        <f>IF(COUNT(O21:O25)=0,"",MAX(O21:O25))</f>
        <v/>
      </c>
      <c r="P31" s="178" t="str">
        <f>IF(COUNT(P21:P25)=0,"",MAX(P21:P25))</f>
        <v/>
      </c>
      <c r="Q31" s="178" t="str">
        <f>IF(COUNT(Q21:Q25)=0,"",MAX(Q21:Q25))</f>
        <v/>
      </c>
      <c r="R31" s="178" t="str">
        <f>IF(COUNT(R21:R25)=0,"",MAX(R21:R25))</f>
        <v/>
      </c>
    </row>
    <row r="32" spans="2:18" ht="15" customHeight="1" x14ac:dyDescent="0.25">
      <c r="B32" s="6" t="s">
        <v>235</v>
      </c>
      <c r="N32" s="178" t="str">
        <f>IF(COUNT(N21:N25)=0,"",MIN(N21:N25))</f>
        <v/>
      </c>
      <c r="O32" s="178" t="str">
        <f>IF(COUNT(O21:O25)=0,"",MIN(O21:O25))</f>
        <v/>
      </c>
      <c r="P32" s="178" t="str">
        <f>IF(COUNT(P21:P25)=0,"",MIN(P21:P25))</f>
        <v/>
      </c>
      <c r="Q32" s="178" t="str">
        <f>IF(COUNT(Q21:Q25)=0,"",MIN(Q21:Q25))</f>
        <v/>
      </c>
      <c r="R32" s="178" t="str">
        <f>IF(COUNT(R21:R25)=0,"",MIN(R21:R25))</f>
        <v/>
      </c>
    </row>
    <row r="34" spans="2:5" ht="15" customHeight="1" x14ac:dyDescent="0.25">
      <c r="B34" s="4" t="s">
        <v>242</v>
      </c>
      <c r="C34" s="4"/>
      <c r="D34" s="4"/>
    </row>
    <row r="35" spans="2:5" ht="15" customHeight="1" x14ac:dyDescent="0.25">
      <c r="B35" s="9" t="s">
        <v>243</v>
      </c>
      <c r="C35" s="181">
        <f>'IS Annual'!F18</f>
        <v>152.55000000000001</v>
      </c>
    </row>
    <row r="36" spans="2:5" ht="15" customHeight="1" x14ac:dyDescent="0.25">
      <c r="B36" s="9" t="s">
        <v>221</v>
      </c>
      <c r="C36" s="139">
        <v>0</v>
      </c>
    </row>
    <row r="37" spans="2:5" ht="15" customHeight="1" x14ac:dyDescent="0.25">
      <c r="B37" s="9" t="s">
        <v>244</v>
      </c>
      <c r="C37" s="11">
        <f>'IS Annual'!F10+'CF Annual'!F7</f>
        <v>4384.8519999999999</v>
      </c>
    </row>
    <row r="38" spans="2:5" ht="15" customHeight="1" x14ac:dyDescent="0.25">
      <c r="B38" s="9" t="s">
        <v>125</v>
      </c>
      <c r="C38" s="11">
        <f>'IS Annual'!F10</f>
        <v>3723.3139999999999</v>
      </c>
    </row>
    <row r="39" spans="2:5" ht="15" customHeight="1" x14ac:dyDescent="0.25">
      <c r="B39" s="9" t="s">
        <v>224</v>
      </c>
      <c r="C39" s="175">
        <v>4727.0159999999996</v>
      </c>
    </row>
    <row r="40" spans="2:5" ht="15" customHeight="1" x14ac:dyDescent="0.25">
      <c r="B40" s="9" t="s">
        <v>219</v>
      </c>
      <c r="C40" s="11">
        <f>'DCF Model'!I93</f>
        <v>8762.7480000000014</v>
      </c>
    </row>
    <row r="41" spans="2:5" ht="15" customHeight="1" x14ac:dyDescent="0.25">
      <c r="B41" s="9" t="s">
        <v>217</v>
      </c>
      <c r="C41" s="11">
        <f>'DCF Model'!I5</f>
        <v>16.62</v>
      </c>
    </row>
    <row r="44" spans="2:5" ht="15" customHeight="1" x14ac:dyDescent="0.25">
      <c r="B44" s="6" t="s">
        <v>245</v>
      </c>
    </row>
    <row r="45" spans="2:5" ht="15" customHeight="1" x14ac:dyDescent="0.25">
      <c r="B45" s="168" t="s">
        <v>246</v>
      </c>
      <c r="C45" s="168" t="s">
        <v>232</v>
      </c>
      <c r="D45" s="168" t="s">
        <v>231</v>
      </c>
      <c r="E45" s="168" t="s">
        <v>233</v>
      </c>
    </row>
    <row r="46" spans="2:5" ht="15" customHeight="1" x14ac:dyDescent="0.25">
      <c r="B46" s="9" t="s">
        <v>225</v>
      </c>
      <c r="C46" s="182" t="str">
        <f>IF(OR(ISNUMBER($N$14)=FALSE(),ISNUMBER($C$35)=FALSE()),"",IF($C$35&lt;=0,"NM",$N$14*$C$35))</f>
        <v/>
      </c>
      <c r="D46" s="182" t="str">
        <f>IF(OR(ISNUMBER($N$13)=FALSE(),ISNUMBER($C$35)=FALSE()),"",IF($C$35&lt;=0,"NM",$N$13*$C$35))</f>
        <v/>
      </c>
      <c r="E46" s="182" t="str">
        <f>IF(OR(ISNUMBER($N$15)=FALSE(),ISNUMBER($C$35)=FALSE()),"",IF($C$35&lt;=0,"NM",$N$15*$C$35))</f>
        <v/>
      </c>
    </row>
    <row r="47" spans="2:5" ht="15" customHeight="1" x14ac:dyDescent="0.25">
      <c r="B47" s="9" t="s">
        <v>226</v>
      </c>
      <c r="C47" s="182" t="str">
        <f>IF(OR(ISNUMBER($O$14)=FALSE(),ISNUMBER($C$37)=FALSE()),"",IF($C$37&lt;=0,"NM",($O$14*$C$37-$C$40)/$C$41))</f>
        <v/>
      </c>
      <c r="D47" s="182" t="str">
        <f>IF(OR(ISNUMBER($O$13)=FALSE(),ISNUMBER($C$37)=FALSE()),"",IF($C$37&lt;=0,"NM",($O$13*$C$37-$C$40)/$C$41))</f>
        <v/>
      </c>
      <c r="E47" s="182" t="str">
        <f>IF(OR(ISNUMBER($O$15)=FALSE(),ISNUMBER($C$37)=FALSE()),"",IF($C$37&lt;=0,"NM",($O$15*$C$37-$C$40)/$C$41))</f>
        <v/>
      </c>
    </row>
    <row r="48" spans="2:5" ht="15" customHeight="1" x14ac:dyDescent="0.25">
      <c r="B48" s="9" t="s">
        <v>227</v>
      </c>
      <c r="C48" s="182" t="str">
        <f>IF(OR(ISNUMBER($P$14)=FALSE(),ISNUMBER($C$38)=FALSE()),"",IF($C$38&lt;=0,"NM",($P$14*$C$38-$C$40)/$C$41))</f>
        <v/>
      </c>
      <c r="D48" s="182" t="str">
        <f>IF(OR(ISNUMBER($P$13)=FALSE(),ISNUMBER($C$38)=FALSE()),"",IF($C$38&lt;=0,"NM",($P$13*$C$38-$C$40)/$C$41))</f>
        <v/>
      </c>
      <c r="E48" s="182" t="str">
        <f>IF(OR(ISNUMBER($P$15)=FALSE(),ISNUMBER($C$38)=FALSE()),"",IF($C$38&lt;=0,"NM",($P$15*$C$38-$C$40)/$C$41))</f>
        <v/>
      </c>
    </row>
    <row r="49" spans="2:5" ht="15" customHeight="1" x14ac:dyDescent="0.25">
      <c r="B49" s="9" t="s">
        <v>228</v>
      </c>
      <c r="C49" s="182" t="str">
        <f>IF(OR(ISNUMBER($Q$14)=FALSE(),ISNUMBER($C$35)=FALSE()),"",IF($C$35&lt;=0,"NM",$Q$14*$C$36*100*$C$35))</f>
        <v/>
      </c>
      <c r="D49" s="182" t="str">
        <f>IF(OR(ISNUMBER($Q$13)=FALSE(),ISNUMBER($C$35)=FALSE()),"",IF($C$35&lt;=0,"NM",$Q$13*$C$36*100*$C$35))</f>
        <v/>
      </c>
      <c r="E49" s="182" t="str">
        <f>IF(OR(ISNUMBER($Q$15)=FALSE(),ISNUMBER($C$35)=FALSE()),"",IF($C$35&lt;=0,"NM",$Q$15*$C$36*100*$C$35))</f>
        <v/>
      </c>
    </row>
    <row r="50" spans="2:5" ht="15" customHeight="1" x14ac:dyDescent="0.25">
      <c r="B50" s="9" t="s">
        <v>229</v>
      </c>
      <c r="C50" s="182" t="str">
        <f>IF(OR(ISNUMBER($R$14)=FALSE(),ISNUMBER($C$39)=FALSE()),"",IF($C$39&lt;=0,"NM",($R$14*$C$39-$C$40)/$C$41))</f>
        <v/>
      </c>
      <c r="D50" s="182" t="str">
        <f>IF(OR(ISNUMBER($R$13)=FALSE(),ISNUMBER($C$39)=FALSE()),"",IF($C$39&lt;=0,"NM",($R$13*$C$39-$C$40)/$C$41))</f>
        <v/>
      </c>
      <c r="E50" s="182" t="str">
        <f>IF(OR(ISNUMBER($R$15)=FALSE(),ISNUMBER($C$39)=FALSE()),"",IF($C$39&lt;=0,"NM",($R$15*$C$39-$C$40)/$C$41))</f>
        <v/>
      </c>
    </row>
    <row r="53" spans="2:5" ht="15" customHeight="1" x14ac:dyDescent="0.25">
      <c r="B53" s="6" t="s">
        <v>247</v>
      </c>
    </row>
    <row r="54" spans="2:5" ht="15" customHeight="1" x14ac:dyDescent="0.25">
      <c r="B54" s="168" t="s">
        <v>246</v>
      </c>
      <c r="C54" s="168" t="s">
        <v>232</v>
      </c>
      <c r="D54" s="168" t="s">
        <v>231</v>
      </c>
      <c r="E54" s="168" t="s">
        <v>233</v>
      </c>
    </row>
    <row r="55" spans="2:5" ht="15" customHeight="1" x14ac:dyDescent="0.25">
      <c r="B55" s="9" t="s">
        <v>225</v>
      </c>
      <c r="C55" s="182" t="str">
        <f>IF(OR(ISNUMBER($N$29)=FALSE(),ISNUMBER($C$35)=FALSE()),"",IF($C$35&lt;=0,"NM",$N$29*$C$35))</f>
        <v/>
      </c>
      <c r="D55" s="182" t="str">
        <f>IF(OR(ISNUMBER($N$28)=FALSE(),ISNUMBER($C$35)=FALSE()),"",IF($C$35&lt;=0,"NM",$N$28*$C$35))</f>
        <v/>
      </c>
      <c r="E55" s="182" t="str">
        <f>IF(OR(ISNUMBER($N$30)=FALSE(),ISNUMBER($C$35)=FALSE()),"",IF($C$35&lt;=0,"NM",$N$30*$C$35))</f>
        <v/>
      </c>
    </row>
    <row r="56" spans="2:5" ht="15" customHeight="1" x14ac:dyDescent="0.25">
      <c r="B56" s="9" t="s">
        <v>226</v>
      </c>
      <c r="C56" s="182" t="str">
        <f>IF(OR(ISNUMBER($O$29)=FALSE(),ISNUMBER($C$37)=FALSE()),"",IF($C$37&lt;=0,"NM",($O$29*$C$37-$C$40)/$C$41))</f>
        <v/>
      </c>
      <c r="D56" s="182" t="str">
        <f>IF(OR(ISNUMBER($O$28)=FALSE(),ISNUMBER($C$37)=FALSE()),"",IF($C$37&lt;=0,"NM",($O$28*$C$37-$C$40)/$C$41))</f>
        <v/>
      </c>
      <c r="E56" s="182" t="str">
        <f>IF(OR(ISNUMBER($O$30)=FALSE(),ISNUMBER($C$37)=FALSE()),"",IF($C$37&lt;=0,"NM",($O$30*$C$37-$C$40)/$C$41))</f>
        <v/>
      </c>
    </row>
    <row r="57" spans="2:5" ht="15" customHeight="1" x14ac:dyDescent="0.25">
      <c r="B57" s="9" t="s">
        <v>227</v>
      </c>
      <c r="C57" s="182" t="str">
        <f>IF(OR(ISNUMBER($P$29)=FALSE(),ISNUMBER($C$38)=FALSE()),"",IF($C$38&lt;=0,"NM",($P$29*$C$38-$C$40)/$C$41))</f>
        <v/>
      </c>
      <c r="D57" s="182" t="str">
        <f>IF(OR(ISNUMBER($P$28)=FALSE(),ISNUMBER($C$38)=FALSE()),"",IF($C$38&lt;=0,"NM",($P$28*$C$38-$C$40)/$C$41))</f>
        <v/>
      </c>
      <c r="E57" s="182" t="str">
        <f>IF(OR(ISNUMBER($P$30)=FALSE(),ISNUMBER($C$38)=FALSE()),"",IF($C$38&lt;=0,"NM",($P$30*$C$38-$C$40)/$C$41))</f>
        <v/>
      </c>
    </row>
    <row r="58" spans="2:5" ht="15" customHeight="1" x14ac:dyDescent="0.25">
      <c r="B58" s="9" t="s">
        <v>228</v>
      </c>
      <c r="C58" s="182" t="str">
        <f>IF(OR(ISNUMBER($Q$29)=FALSE(),ISNUMBER($C$35)=FALSE()),"",IF($C$35&lt;=0,"NM",$Q$29*$C$36*100*$C$35))</f>
        <v/>
      </c>
      <c r="D58" s="182" t="str">
        <f>IF(OR(ISNUMBER($Q$28)=FALSE(),ISNUMBER($C$35)=FALSE()),"",IF($C$35&lt;=0,"NM",$Q$28*$C$36*100*$C$35))</f>
        <v/>
      </c>
      <c r="E58" s="182" t="str">
        <f>IF(OR(ISNUMBER($Q$30)=FALSE(),ISNUMBER($C$35)=FALSE()),"",IF($C$35&lt;=0,"NM",$Q$30*$C$36*100*$C$35))</f>
        <v/>
      </c>
    </row>
    <row r="59" spans="2:5" ht="15" customHeight="1" x14ac:dyDescent="0.25">
      <c r="B59" s="9" t="s">
        <v>229</v>
      </c>
      <c r="C59" s="182" t="str">
        <f>IF(OR(ISNUMBER($R$29)=FALSE(),ISNUMBER($C$39)=FALSE()),"",IF($C$39&lt;=0,"NM",($R$29*$C$39-$C$40)/$C$41))</f>
        <v/>
      </c>
      <c r="D59" s="182" t="str">
        <f>IF(OR(ISNUMBER($R$28)=FALSE(),ISNUMBER($C$39)=FALSE()),"",IF($C$39&lt;=0,"NM",($R$28*$C$39-$C$40)/$C$41))</f>
        <v/>
      </c>
      <c r="E59" s="182" t="str">
        <f>IF(OR(ISNUMBER($R$30)=FALSE(),ISNUMBER($C$39)=FALSE()),"",IF($C$39&lt;=0,"NM",($R$30*$C$39-$C$40)/$C$41))</f>
        <v/>
      </c>
    </row>
  </sheetData>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9"/>
  <sheetViews>
    <sheetView showGridLines="0" zoomScaleNormal="100" workbookViewId="0"/>
  </sheetViews>
  <sheetFormatPr defaultColWidth="8.7109375" defaultRowHeight="12.75" x14ac:dyDescent="0.2"/>
  <cols>
    <col min="1" max="1" width="2" style="1" customWidth="1"/>
    <col min="2" max="2" width="46" style="1" customWidth="1"/>
    <col min="3" max="3" width="14" style="1" customWidth="1"/>
    <col min="4" max="4" width="13" style="1" customWidth="1"/>
    <col min="5" max="5" width="14" style="1" customWidth="1"/>
    <col min="6" max="6" width="13" style="1" customWidth="1"/>
    <col min="7" max="7" width="14" style="1" customWidth="1"/>
  </cols>
  <sheetData>
    <row r="1" spans="2:7" ht="17.25" customHeight="1" x14ac:dyDescent="0.3">
      <c r="B1" s="2" t="s">
        <v>248</v>
      </c>
    </row>
    <row r="2" spans="2:7" ht="15" customHeight="1" x14ac:dyDescent="0.25">
      <c r="B2" s="3" t="s">
        <v>1</v>
      </c>
    </row>
    <row r="4" spans="2:7" ht="31.5" customHeight="1" x14ac:dyDescent="0.25">
      <c r="B4" s="172" t="s">
        <v>249</v>
      </c>
      <c r="C4" s="172" t="s">
        <v>250</v>
      </c>
      <c r="D4" s="172" t="s">
        <v>251</v>
      </c>
      <c r="E4" s="172" t="s">
        <v>252</v>
      </c>
      <c r="F4" s="172" t="s">
        <v>253</v>
      </c>
      <c r="G4" s="172" t="s">
        <v>254</v>
      </c>
    </row>
    <row r="5" spans="2:7" ht="15" customHeight="1" x14ac:dyDescent="0.25">
      <c r="B5" s="9" t="s">
        <v>37</v>
      </c>
      <c r="C5" s="11">
        <f>'BS Annual'!F6</f>
        <v>253.72900000000001</v>
      </c>
      <c r="D5" s="139">
        <v>1</v>
      </c>
      <c r="E5" s="15">
        <f t="shared" ref="E5:E13" si="0">C5*D5</f>
        <v>253.72900000000001</v>
      </c>
      <c r="F5" s="139">
        <v>1</v>
      </c>
      <c r="G5" s="15">
        <f t="shared" ref="G5:G13" si="1">C5*F5</f>
        <v>253.72900000000001</v>
      </c>
    </row>
    <row r="6" spans="2:7" ht="15" customHeight="1" x14ac:dyDescent="0.25">
      <c r="B6" s="9" t="s">
        <v>38</v>
      </c>
      <c r="C6" s="11">
        <f>'BS Annual'!F7</f>
        <v>764.92399999999998</v>
      </c>
      <c r="D6" s="139">
        <v>0.85</v>
      </c>
      <c r="E6" s="15">
        <f t="shared" si="0"/>
        <v>650.18539999999996</v>
      </c>
      <c r="F6" s="139">
        <v>0.6</v>
      </c>
      <c r="G6" s="15">
        <f t="shared" si="1"/>
        <v>458.95439999999996</v>
      </c>
    </row>
    <row r="7" spans="2:7" ht="15" customHeight="1" x14ac:dyDescent="0.25">
      <c r="B7" s="9" t="s">
        <v>39</v>
      </c>
      <c r="C7" s="11">
        <f>'BS Annual'!F8</f>
        <v>7559.0559999999996</v>
      </c>
      <c r="D7" s="139">
        <v>0.65</v>
      </c>
      <c r="E7" s="15">
        <f t="shared" si="0"/>
        <v>4913.3864000000003</v>
      </c>
      <c r="F7" s="139">
        <v>0.4</v>
      </c>
      <c r="G7" s="15">
        <f t="shared" si="1"/>
        <v>3023.6224000000002</v>
      </c>
    </row>
    <row r="8" spans="2:7" ht="15" customHeight="1" x14ac:dyDescent="0.25">
      <c r="B8" s="9" t="s">
        <v>40</v>
      </c>
      <c r="C8" s="11">
        <f>'BS Annual'!F9</f>
        <v>356.86</v>
      </c>
      <c r="D8" s="139">
        <v>0.25</v>
      </c>
      <c r="E8" s="15">
        <f t="shared" si="0"/>
        <v>89.215000000000003</v>
      </c>
      <c r="F8" s="139">
        <v>0</v>
      </c>
      <c r="G8" s="15">
        <f t="shared" si="1"/>
        <v>0</v>
      </c>
    </row>
    <row r="9" spans="2:7" ht="15" customHeight="1" x14ac:dyDescent="0.25">
      <c r="B9" s="9" t="s">
        <v>42</v>
      </c>
      <c r="C9" s="11">
        <f>'BS Annual'!F11</f>
        <v>7796.9880000000003</v>
      </c>
      <c r="D9" s="139">
        <v>0.4</v>
      </c>
      <c r="E9" s="15">
        <f t="shared" si="0"/>
        <v>3118.7952000000005</v>
      </c>
      <c r="F9" s="139">
        <v>0.15</v>
      </c>
      <c r="G9" s="15">
        <f t="shared" si="1"/>
        <v>1169.5482</v>
      </c>
    </row>
    <row r="10" spans="2:7" ht="15" customHeight="1" x14ac:dyDescent="0.25">
      <c r="B10" s="9" t="s">
        <v>43</v>
      </c>
      <c r="C10" s="11">
        <f>'BS Annual'!F12</f>
        <v>3413.97</v>
      </c>
      <c r="D10" s="139">
        <v>0</v>
      </c>
      <c r="E10" s="15">
        <f t="shared" si="0"/>
        <v>0</v>
      </c>
      <c r="F10" s="139">
        <v>0</v>
      </c>
      <c r="G10" s="15">
        <f t="shared" si="1"/>
        <v>0</v>
      </c>
    </row>
    <row r="11" spans="2:7" ht="15" customHeight="1" x14ac:dyDescent="0.25">
      <c r="B11" s="9" t="s">
        <v>44</v>
      </c>
      <c r="C11" s="11">
        <f>'BS Annual'!F13</f>
        <v>302.64499999999998</v>
      </c>
      <c r="D11" s="139">
        <v>0</v>
      </c>
      <c r="E11" s="15">
        <f t="shared" si="0"/>
        <v>0</v>
      </c>
      <c r="F11" s="139">
        <v>0</v>
      </c>
      <c r="G11" s="15">
        <f t="shared" si="1"/>
        <v>0</v>
      </c>
    </row>
    <row r="12" spans="2:7" ht="15" customHeight="1" x14ac:dyDescent="0.25">
      <c r="B12" s="9" t="s">
        <v>45</v>
      </c>
      <c r="C12" s="11">
        <f>'BS Annual'!F14</f>
        <v>132.10900000000001</v>
      </c>
      <c r="D12" s="139">
        <v>0.1</v>
      </c>
      <c r="E12" s="15">
        <f t="shared" si="0"/>
        <v>13.210900000000002</v>
      </c>
      <c r="F12" s="139">
        <v>0</v>
      </c>
      <c r="G12" s="15">
        <f t="shared" si="1"/>
        <v>0</v>
      </c>
    </row>
    <row r="13" spans="2:7" ht="15" customHeight="1" x14ac:dyDescent="0.25">
      <c r="B13" s="9" t="s">
        <v>46</v>
      </c>
      <c r="C13" s="11">
        <f>'BS Annual'!F15</f>
        <v>336.18200000000002</v>
      </c>
      <c r="D13" s="139">
        <v>0.1</v>
      </c>
      <c r="E13" s="15">
        <f t="shared" si="0"/>
        <v>33.618200000000002</v>
      </c>
      <c r="F13" s="139">
        <v>0</v>
      </c>
      <c r="G13" s="15">
        <f t="shared" si="1"/>
        <v>0</v>
      </c>
    </row>
    <row r="14" spans="2:7" ht="15" customHeight="1" x14ac:dyDescent="0.25">
      <c r="B14" s="6" t="s">
        <v>255</v>
      </c>
      <c r="C14" s="14">
        <f>SUM(C5:C13)</f>
        <v>20916.463000000003</v>
      </c>
      <c r="E14" s="14">
        <f>SUM(E5:E13)</f>
        <v>9072.1401000000023</v>
      </c>
      <c r="G14" s="14">
        <f>SUM(G5:G13)</f>
        <v>4905.8540000000003</v>
      </c>
    </row>
    <row r="15" spans="2:7" ht="15" customHeight="1" x14ac:dyDescent="0.25">
      <c r="B15" s="9" t="s">
        <v>256</v>
      </c>
      <c r="D15" s="139">
        <v>0.05</v>
      </c>
      <c r="E15" s="15">
        <f>-E14*D15</f>
        <v>-453.60700500000013</v>
      </c>
      <c r="F15" s="139">
        <v>0.1</v>
      </c>
      <c r="G15" s="15">
        <f>-G14*F15</f>
        <v>-490.58540000000005</v>
      </c>
    </row>
    <row r="16" spans="2:7" ht="15" customHeight="1" x14ac:dyDescent="0.25">
      <c r="B16" s="9" t="s">
        <v>257</v>
      </c>
      <c r="C16" s="11">
        <f>-('BS Annual'!F22+'BS Annual'!F23+'BS Annual'!F24+'BS Annual'!F25+'BS Annual'!F26)</f>
        <v>-23701.014999999999</v>
      </c>
      <c r="E16" s="15">
        <f>C16</f>
        <v>-23701.014999999999</v>
      </c>
      <c r="G16" s="15">
        <f>C16</f>
        <v>-23701.014999999999</v>
      </c>
    </row>
    <row r="17" spans="2:7" ht="15" customHeight="1" x14ac:dyDescent="0.25">
      <c r="B17" s="6" t="s">
        <v>258</v>
      </c>
      <c r="E17" s="14">
        <f>E14+E15+E16</f>
        <v>-15082.481904999997</v>
      </c>
      <c r="G17" s="14">
        <f>G14+G15+G16</f>
        <v>-19285.7464</v>
      </c>
    </row>
    <row r="18" spans="2:7" ht="15" customHeight="1" x14ac:dyDescent="0.25">
      <c r="B18" s="9" t="s">
        <v>217</v>
      </c>
      <c r="E18" s="11">
        <f>'DCF Model'!I5</f>
        <v>16.62</v>
      </c>
      <c r="G18" s="11">
        <f>'DCF Model'!I5</f>
        <v>16.62</v>
      </c>
    </row>
    <row r="19" spans="2:7" ht="15" customHeight="1" x14ac:dyDescent="0.25">
      <c r="B19" s="6" t="s">
        <v>259</v>
      </c>
      <c r="E19" s="183">
        <f>E17/E18</f>
        <v>-907.48988598074584</v>
      </c>
      <c r="G19" s="183">
        <f>G17/G18</f>
        <v>-1160.3938868832731</v>
      </c>
    </row>
  </sheetData>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18"/>
  <sheetViews>
    <sheetView showGridLines="0" zoomScaleNormal="100" workbookViewId="0"/>
  </sheetViews>
  <sheetFormatPr defaultColWidth="8.7109375" defaultRowHeight="12.75" x14ac:dyDescent="0.2"/>
  <cols>
    <col min="1" max="1" width="2" style="1" customWidth="1"/>
    <col min="2" max="2" width="36" style="1" customWidth="1"/>
    <col min="3" max="6" width="13" style="1" customWidth="1"/>
    <col min="8" max="9" width="13" style="1" hidden="1" customWidth="1"/>
  </cols>
  <sheetData>
    <row r="1" spans="2:9" ht="17.25" customHeight="1" x14ac:dyDescent="0.3">
      <c r="B1" s="2" t="s">
        <v>260</v>
      </c>
    </row>
    <row r="2" spans="2:9" ht="15" customHeight="1" x14ac:dyDescent="0.25">
      <c r="B2" s="3" t="s">
        <v>261</v>
      </c>
    </row>
    <row r="4" spans="2:9" ht="15" customHeight="1" x14ac:dyDescent="0.25">
      <c r="B4" s="6" t="s">
        <v>262</v>
      </c>
      <c r="C4" s="184">
        <f ca="1">'DCF Model'!I4</f>
        <v>2864.49</v>
      </c>
    </row>
    <row r="6" spans="2:9" ht="15" customHeight="1" x14ac:dyDescent="0.25">
      <c r="B6" s="168" t="s">
        <v>263</v>
      </c>
      <c r="C6" s="168" t="s">
        <v>235</v>
      </c>
      <c r="D6" s="168" t="s">
        <v>116</v>
      </c>
      <c r="E6" s="168" t="s">
        <v>234</v>
      </c>
      <c r="F6" s="168" t="s">
        <v>264</v>
      </c>
    </row>
    <row r="7" spans="2:9" ht="15" customHeight="1" x14ac:dyDescent="0.25">
      <c r="B7" s="9" t="s">
        <v>265</v>
      </c>
      <c r="C7" s="185">
        <f ca="1">'DCF Model'!K101</f>
        <v>2497.6920249913369</v>
      </c>
      <c r="D7" s="185">
        <f ca="1">'DCF Model'!I96</f>
        <v>3235.5371141201131</v>
      </c>
      <c r="E7" s="185">
        <f ca="1">'DCF Model'!I101</f>
        <v>4443.203514816395</v>
      </c>
      <c r="F7" s="126">
        <f t="shared" ref="F7:F18" ca="1" si="0">IF(ISNUMBER(D7),D7/$C$4-1,"")</f>
        <v>0.129533394817267</v>
      </c>
      <c r="H7" s="1">
        <f t="shared" ref="H7:H18" ca="1" si="1">IF(AND(ISNUMBER(C7),ISNUMBER(E7)),MAX(0,MIN(C7,E7)),0)</f>
        <v>2497.6920249913369</v>
      </c>
      <c r="I7" s="1">
        <f t="shared" ref="I7:I18" ca="1" si="2">IF(AND(ISNUMBER(C7),ISNUMBER(E7)),MAX(0,MAX(C7,E7))-H7,0)</f>
        <v>1945.5114898250581</v>
      </c>
    </row>
    <row r="8" spans="2:9" ht="15" customHeight="1" x14ac:dyDescent="0.25">
      <c r="B8" s="9" t="s">
        <v>266</v>
      </c>
      <c r="C8" s="185" t="str">
        <f>Comps!C46</f>
        <v/>
      </c>
      <c r="D8" s="185" t="str">
        <f>Comps!D46</f>
        <v/>
      </c>
      <c r="E8" s="185" t="str">
        <f>Comps!E46</f>
        <v/>
      </c>
      <c r="F8" s="126" t="str">
        <f t="shared" si="0"/>
        <v/>
      </c>
      <c r="H8" s="1">
        <f t="shared" si="1"/>
        <v>0</v>
      </c>
      <c r="I8" s="1">
        <f t="shared" si="2"/>
        <v>0</v>
      </c>
    </row>
    <row r="9" spans="2:9" ht="15" customHeight="1" x14ac:dyDescent="0.25">
      <c r="B9" s="9" t="s">
        <v>267</v>
      </c>
      <c r="C9" s="185" t="str">
        <f>Comps!C47</f>
        <v/>
      </c>
      <c r="D9" s="185" t="str">
        <f>Comps!D47</f>
        <v/>
      </c>
      <c r="E9" s="185" t="str">
        <f>Comps!E47</f>
        <v/>
      </c>
      <c r="F9" s="126" t="str">
        <f t="shared" si="0"/>
        <v/>
      </c>
      <c r="H9" s="1">
        <f t="shared" si="1"/>
        <v>0</v>
      </c>
      <c r="I9" s="1">
        <f t="shared" si="2"/>
        <v>0</v>
      </c>
    </row>
    <row r="10" spans="2:9" ht="15" customHeight="1" x14ac:dyDescent="0.25">
      <c r="B10" s="9" t="s">
        <v>268</v>
      </c>
      <c r="C10" s="185" t="str">
        <f>Comps!C48</f>
        <v/>
      </c>
      <c r="D10" s="185" t="str">
        <f>Comps!D48</f>
        <v/>
      </c>
      <c r="E10" s="185" t="str">
        <f>Comps!E48</f>
        <v/>
      </c>
      <c r="F10" s="126" t="str">
        <f t="shared" si="0"/>
        <v/>
      </c>
      <c r="H10" s="1">
        <f t="shared" si="1"/>
        <v>0</v>
      </c>
      <c r="I10" s="1">
        <f t="shared" si="2"/>
        <v>0</v>
      </c>
    </row>
    <row r="11" spans="2:9" ht="15" customHeight="1" x14ac:dyDescent="0.25">
      <c r="B11" s="9" t="s">
        <v>269</v>
      </c>
      <c r="C11" s="185" t="str">
        <f>Comps!C49</f>
        <v/>
      </c>
      <c r="D11" s="185" t="str">
        <f>Comps!D49</f>
        <v/>
      </c>
      <c r="E11" s="185" t="str">
        <f>Comps!E49</f>
        <v/>
      </c>
      <c r="F11" s="126" t="str">
        <f t="shared" si="0"/>
        <v/>
      </c>
      <c r="H11" s="1">
        <f t="shared" si="1"/>
        <v>0</v>
      </c>
      <c r="I11" s="1">
        <f t="shared" si="2"/>
        <v>0</v>
      </c>
    </row>
    <row r="12" spans="2:9" ht="15" customHeight="1" x14ac:dyDescent="0.25">
      <c r="B12" s="9" t="s">
        <v>270</v>
      </c>
      <c r="C12" s="185" t="str">
        <f>Comps!C50</f>
        <v/>
      </c>
      <c r="D12" s="185" t="str">
        <f>Comps!D50</f>
        <v/>
      </c>
      <c r="E12" s="185" t="str">
        <f>Comps!E50</f>
        <v/>
      </c>
      <c r="F12" s="126" t="str">
        <f t="shared" si="0"/>
        <v/>
      </c>
      <c r="H12" s="1">
        <f t="shared" si="1"/>
        <v>0</v>
      </c>
      <c r="I12" s="1">
        <f t="shared" si="2"/>
        <v>0</v>
      </c>
    </row>
    <row r="13" spans="2:9" ht="15" customHeight="1" x14ac:dyDescent="0.25">
      <c r="B13" s="9" t="s">
        <v>271</v>
      </c>
      <c r="C13" s="185" t="str">
        <f>Comps!C55</f>
        <v/>
      </c>
      <c r="D13" s="185" t="str">
        <f>Comps!D55</f>
        <v/>
      </c>
      <c r="E13" s="185" t="str">
        <f>Comps!E55</f>
        <v/>
      </c>
      <c r="F13" s="126" t="str">
        <f t="shared" si="0"/>
        <v/>
      </c>
      <c r="H13" s="1">
        <f t="shared" si="1"/>
        <v>0</v>
      </c>
      <c r="I13" s="1">
        <f t="shared" si="2"/>
        <v>0</v>
      </c>
    </row>
    <row r="14" spans="2:9" ht="15" customHeight="1" x14ac:dyDescent="0.25">
      <c r="B14" s="9" t="s">
        <v>272</v>
      </c>
      <c r="C14" s="185" t="str">
        <f>Comps!C56</f>
        <v/>
      </c>
      <c r="D14" s="185" t="str">
        <f>Comps!D56</f>
        <v/>
      </c>
      <c r="E14" s="185" t="str">
        <f>Comps!E56</f>
        <v/>
      </c>
      <c r="F14" s="126" t="str">
        <f t="shared" si="0"/>
        <v/>
      </c>
      <c r="H14" s="1">
        <f t="shared" si="1"/>
        <v>0</v>
      </c>
      <c r="I14" s="1">
        <f t="shared" si="2"/>
        <v>0</v>
      </c>
    </row>
    <row r="15" spans="2:9" ht="15" customHeight="1" x14ac:dyDescent="0.25">
      <c r="B15" s="9" t="s">
        <v>273</v>
      </c>
      <c r="C15" s="185" t="str">
        <f>Comps!C57</f>
        <v/>
      </c>
      <c r="D15" s="185" t="str">
        <f>Comps!D57</f>
        <v/>
      </c>
      <c r="E15" s="185" t="str">
        <f>Comps!E57</f>
        <v/>
      </c>
      <c r="F15" s="126" t="str">
        <f t="shared" si="0"/>
        <v/>
      </c>
      <c r="H15" s="1">
        <f t="shared" si="1"/>
        <v>0</v>
      </c>
      <c r="I15" s="1">
        <f t="shared" si="2"/>
        <v>0</v>
      </c>
    </row>
    <row r="16" spans="2:9" ht="15" customHeight="1" x14ac:dyDescent="0.25">
      <c r="B16" s="9" t="s">
        <v>274</v>
      </c>
      <c r="C16" s="185" t="str">
        <f>Comps!C58</f>
        <v/>
      </c>
      <c r="D16" s="185" t="str">
        <f>Comps!D58</f>
        <v/>
      </c>
      <c r="E16" s="185" t="str">
        <f>Comps!E58</f>
        <v/>
      </c>
      <c r="F16" s="126" t="str">
        <f t="shared" si="0"/>
        <v/>
      </c>
      <c r="H16" s="1">
        <f t="shared" si="1"/>
        <v>0</v>
      </c>
      <c r="I16" s="1">
        <f t="shared" si="2"/>
        <v>0</v>
      </c>
    </row>
    <row r="17" spans="2:9" ht="15" customHeight="1" x14ac:dyDescent="0.25">
      <c r="B17" s="9" t="s">
        <v>275</v>
      </c>
      <c r="C17" s="185" t="str">
        <f>Comps!C59</f>
        <v/>
      </c>
      <c r="D17" s="185" t="str">
        <f>Comps!D59</f>
        <v/>
      </c>
      <c r="E17" s="185" t="str">
        <f>Comps!E59</f>
        <v/>
      </c>
      <c r="F17" s="126" t="str">
        <f t="shared" si="0"/>
        <v/>
      </c>
      <c r="H17" s="1">
        <f t="shared" si="1"/>
        <v>0</v>
      </c>
      <c r="I17" s="1">
        <f t="shared" si="2"/>
        <v>0</v>
      </c>
    </row>
    <row r="18" spans="2:9" ht="15" customHeight="1" x14ac:dyDescent="0.25">
      <c r="B18" s="9" t="s">
        <v>276</v>
      </c>
      <c r="C18" s="185">
        <f>Liquidation!G19</f>
        <v>-1160.3938868832731</v>
      </c>
      <c r="E18" s="185">
        <f>Liquidation!E19</f>
        <v>-907.48988598074584</v>
      </c>
      <c r="F18" s="126" t="str">
        <f t="shared" si="0"/>
        <v/>
      </c>
      <c r="H18" s="1">
        <f t="shared" si="1"/>
        <v>0</v>
      </c>
      <c r="I18" s="1">
        <f t="shared" si="2"/>
        <v>0</v>
      </c>
    </row>
  </sheetData>
  <pageMargins left="0.75" right="0.75" top="1" bottom="1" header="0.511811023622047" footer="0.511811023622047"/>
  <pageSetup fitToHeight="0"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IS Quarterly</vt:lpstr>
      <vt:lpstr>IS Annual</vt:lpstr>
      <vt:lpstr>BS Annual</vt:lpstr>
      <vt:lpstr>CF Quarterly</vt:lpstr>
      <vt:lpstr>CF Annual</vt:lpstr>
      <vt:lpstr>DCF Model</vt:lpstr>
      <vt:lpstr>Comps</vt:lpstr>
      <vt:lpstr>Liquidation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Wall Street Prep, LLC</dc:creator>
  <dc:description/>
  <cp:lastModifiedBy>Samuel Heier</cp:lastModifiedBy>
  <cp:revision>4</cp:revision>
  <dcterms:created xsi:type="dcterms:W3CDTF">2006-10-30T23:26:47Z</dcterms:created>
  <dcterms:modified xsi:type="dcterms:W3CDTF">2026-09-24T21:18:04Z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1b0b552e-fe71-4692-9a0a-515971af59e0</vt:lpwstr>
  </property>
</Properties>
</file>
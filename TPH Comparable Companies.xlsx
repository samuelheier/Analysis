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samheier/Downloads/"/>
    </mc:Choice>
  </mc:AlternateContent>
  <xr:revisionPtr revIDLastSave="0" documentId="13_ncr:1_{C537D638-5304-0940-861B-4686CF989DA6}" xr6:coauthVersionLast="47" xr6:coauthVersionMax="47" xr10:uidLastSave="{00000000-0000-0000-0000-000000000000}"/>
  <bookViews>
    <workbookView xWindow="0" yWindow="500" windowWidth="38360" windowHeight="19320" tabRatio="500" xr2:uid="{00000000-000D-0000-FFFF-FFFF00000000}"/>
  </bookViews>
  <sheets>
    <sheet name="TPH Comps Model" sheetId="1" r:id="rId1"/>
    <sheet name="AMD Precedent Transactions EXAM" sheetId="2" r:id="rId2"/>
  </sheets>
  <definedNames>
    <definedName name="IQ_ACCOUNT_CHANGE">"c1449"</definedName>
    <definedName name="IQ_ACCOUNTS_PAY">"c1343"</definedName>
    <definedName name="IQ_ACCR_INT_PAY">"c1"</definedName>
    <definedName name="IQ_ACCR_INT_PAY_CF">"c2"</definedName>
    <definedName name="IQ_ACCR_INT_RECEIV">"c3"</definedName>
    <definedName name="IQ_ACCR_INT_RECEIV_CF">"c4"</definedName>
    <definedName name="IQ_ACCRUED_EXP">"c1341"</definedName>
    <definedName name="IQ_ACCT_RECV_10YR_ANN_GROWTH">"c1924"</definedName>
    <definedName name="IQ_ACCT_RECV_1YR_ANN_GROWTH">"c1919"</definedName>
    <definedName name="IQ_ACCT_RECV_2YR_ANN_GROWTH">"c1920"</definedName>
    <definedName name="IQ_ACCT_RECV_3YR_ANN_GROWTH">"c1921"</definedName>
    <definedName name="IQ_ACCT_RECV_5YR_ANN_GROWTH">"c1922"</definedName>
    <definedName name="IQ_ACCT_RECV_7YR_ANN_GROWTH">"c1923"</definedName>
    <definedName name="IQ_ACCUM_DEP">"c1340"</definedName>
    <definedName name="IQ_ACCUMULATED_PENSION_OBLIGATION">"c2108"</definedName>
    <definedName name="IQ_ACQ_COST_SUB">"c2125"</definedName>
    <definedName name="IQ_ACQ_COSTS_CAPITALIZED">"c5"</definedName>
    <definedName name="IQ_ACQUIRE_REAL_ESTATE_CF">"c6"</definedName>
    <definedName name="IQ_ACQUISITION_RE_ASSETS">"c1628"</definedName>
    <definedName name="IQ_AD">"c7"</definedName>
    <definedName name="IQ_ADD_PAID_IN">"c1344"</definedName>
    <definedName name="IQ_ADVERTISING_MARKETING">"c1566"</definedName>
    <definedName name="IQ_AE">"c8"</definedName>
    <definedName name="IQ_AE_BNK">"c9"</definedName>
    <definedName name="IQ_AE_BR">"c10"</definedName>
    <definedName name="IQ_AE_FIN">"c11"</definedName>
    <definedName name="IQ_AE_INS">"c12"</definedName>
    <definedName name="IQ_AE_REIT">"c13"</definedName>
    <definedName name="IQ_AE_UTI">"c14"</definedName>
    <definedName name="IQ_ALLOW_BORROW_CONST">"c15"</definedName>
    <definedName name="IQ_ALLOW_CONST">"c1342"</definedName>
    <definedName name="IQ_ALLOW_DOUBT_ACCT">"c2092"</definedName>
    <definedName name="IQ_ALLOW_EQUITY_CONST">"c16"</definedName>
    <definedName name="IQ_ALLOW_LL">"c17"</definedName>
    <definedName name="IQ_ALLOWANCE_10YR_ANN_GROWTH">"c18"</definedName>
    <definedName name="IQ_ALLOWANCE_1YR_ANN_GROWTH">"c19"</definedName>
    <definedName name="IQ_ALLOWANCE_2YR_ANN_GROWTH">"c20"</definedName>
    <definedName name="IQ_ALLOWANCE_3YR_ANN_GROWTH">"c21"</definedName>
    <definedName name="IQ_ALLOWANCE_5YR_ANN_GROWTH">"c22"</definedName>
    <definedName name="IQ_ALLOWANCE_7YR_ANN_GROWTH">"c23"</definedName>
    <definedName name="IQ_ALLOWANCE_CHARGE_OFFS">"c24"</definedName>
    <definedName name="IQ_ALLOWANCE_NON_PERF_LOANS">"c25"</definedName>
    <definedName name="IQ_ALLOWANCE_TOTAL_LOANS">"c26"</definedName>
    <definedName name="IQ_AMORTIZATION">"c1591"</definedName>
    <definedName name="IQ_ANNUALIZED_DIVIDEND">"c1579"</definedName>
    <definedName name="IQ_ANNUITY_LIAB">"c27"</definedName>
    <definedName name="IQ_ANNUITY_PAY">"c28"</definedName>
    <definedName name="IQ_ANNUITY_POLICY_EXP">"c29"</definedName>
    <definedName name="IQ_ANNUITY_REC">"c30"</definedName>
    <definedName name="IQ_ANNUITY_REV">"c31"</definedName>
    <definedName name="IQ_AP">"c32"</definedName>
    <definedName name="IQ_AP_BNK">"c33"</definedName>
    <definedName name="IQ_AP_BR">"c34"</definedName>
    <definedName name="IQ_AP_FIN">"c35"</definedName>
    <definedName name="IQ_AP_INS">"c36"</definedName>
    <definedName name="IQ_AP_REIT">"c37"</definedName>
    <definedName name="IQ_AP_UTI">"c38"</definedName>
    <definedName name="IQ_APIC">"c39"</definedName>
    <definedName name="IQ_AR">"c40"</definedName>
    <definedName name="IQ_AR_BR">"c41"</definedName>
    <definedName name="IQ_AR_LT">"c42"</definedName>
    <definedName name="IQ_AR_REIT">"c43"</definedName>
    <definedName name="IQ_AR_TURNS">"c44"</definedName>
    <definedName name="IQ_AR_UTI">"c45"</definedName>
    <definedName name="IQ_ARPU">"c2126"</definedName>
    <definedName name="IQ_ASSET_MGMT_FEE">"c46"</definedName>
    <definedName name="IQ_ASSET_TURNS">"c47"</definedName>
    <definedName name="IQ_ASSET_WRITEDOWN">"c48"</definedName>
    <definedName name="IQ_ASSET_WRITEDOWN_BNK">"c49"</definedName>
    <definedName name="IQ_ASSET_WRITEDOWN_BR">"c50"</definedName>
    <definedName name="IQ_ASSET_WRITEDOWN_CF">"c51"</definedName>
    <definedName name="IQ_ASSET_WRITEDOWN_CF_BNK">"c52"</definedName>
    <definedName name="IQ_ASSET_WRITEDOWN_CF_BR">"c53"</definedName>
    <definedName name="IQ_ASSET_WRITEDOWN_CF_FIN">"c54"</definedName>
    <definedName name="IQ_ASSET_WRITEDOWN_CF_INS">"c55"</definedName>
    <definedName name="IQ_ASSET_WRITEDOWN_CF_REIT">"c56"</definedName>
    <definedName name="IQ_ASSET_WRITEDOWN_CF_UTI">"c57"</definedName>
    <definedName name="IQ_ASSET_WRITEDOWN_FIN">"c58"</definedName>
    <definedName name="IQ_ASSET_WRITEDOWN_INS">"c59"</definedName>
    <definedName name="IQ_ASSET_WRITEDOWN_REIT">"c60"</definedName>
    <definedName name="IQ_ASSET_WRITEDOWN_UTI">"c61"</definedName>
    <definedName name="IQ_ASSETS_CAP_LEASE_DEPR">"c2068"</definedName>
    <definedName name="IQ_ASSETS_CAP_LEASE_GROSS">"c2069"</definedName>
    <definedName name="IQ_ASSETS_OPER_LEASE_DEPR">"c2070"</definedName>
    <definedName name="IQ_ASSETS_OPER_LEASE_GROSS">"c2071"</definedName>
    <definedName name="IQ_AUDITOR_NAME">"c1539"</definedName>
    <definedName name="IQ_AUDITOR_OPINION">"c1540"</definedName>
    <definedName name="IQ_AUTO_WRITTEN">"c62"</definedName>
    <definedName name="IQ_AVG_BANK_ASSETS">"c2072"</definedName>
    <definedName name="IQ_AVG_BANK_LOANS">"c2073"</definedName>
    <definedName name="IQ_AVG_BROKER_REC">"c63"</definedName>
    <definedName name="IQ_AVG_BROKER_REC_NO">"c64"</definedName>
    <definedName name="IQ_AVG_DAILY_VOL">"c65"</definedName>
    <definedName name="IQ_AVG_INT_BEAR_LIAB">"c66"</definedName>
    <definedName name="IQ_AVG_INT_BEAR_LIAB_10YR_ANN_GROWTH">"c67"</definedName>
    <definedName name="IQ_AVG_INT_BEAR_LIAB_1YR_ANN_GROWTH">"c68"</definedName>
    <definedName name="IQ_AVG_INT_BEAR_LIAB_2YR_ANN_GROWTH">"c69"</definedName>
    <definedName name="IQ_AVG_INT_BEAR_LIAB_3YR_ANN_GROWTH">"c70"</definedName>
    <definedName name="IQ_AVG_INT_BEAR_LIAB_5YR_ANN_GROWTH">"c71"</definedName>
    <definedName name="IQ_AVG_INT_BEAR_LIAB_7YR_ANN_GROWTH">"c72"</definedName>
    <definedName name="IQ_AVG_INT_EARN_ASSETS">"c73"</definedName>
    <definedName name="IQ_AVG_INT_EARN_ASSETS_10YR_ANN_GROWTH">"c74"</definedName>
    <definedName name="IQ_AVG_INT_EARN_ASSETS_1YR_ANN_GROWTH">"c75"</definedName>
    <definedName name="IQ_AVG_INT_EARN_ASSETS_2YR_ANN_GROWTH">"c76"</definedName>
    <definedName name="IQ_AVG_INT_EARN_ASSETS_3YR_ANN_GROWTH">"c77"</definedName>
    <definedName name="IQ_AVG_INT_EARN_ASSETS_5YR_ANN_GROWTH">"c78"</definedName>
    <definedName name="IQ_AVG_INT_EARN_ASSETS_7YR_ANN_GROWTH">"c79"</definedName>
    <definedName name="IQ_AVG_MKTCAP">"c80"</definedName>
    <definedName name="IQ_AVG_PRICE">"c81"</definedName>
    <definedName name="IQ_AVG_PRICE_TARGET">"c82"</definedName>
    <definedName name="IQ_AVG_SHAREOUTSTANDING">"c83"</definedName>
    <definedName name="IQ_AVG_TEV">"c84"</definedName>
    <definedName name="IQ_AVG_VOLUME">"c1346"</definedName>
    <definedName name="IQ_BASIC_EPS_EXCL">"c85"</definedName>
    <definedName name="IQ_BASIC_EPS_INCL">"c86"</definedName>
    <definedName name="IQ_BASIC_NORMAL_EPS">"c1592"</definedName>
    <definedName name="IQ_BASIC_WEIGHT">"c87"</definedName>
    <definedName name="IQ_BETA">"c2133"</definedName>
    <definedName name="IQ_BETA_1YR">"c1966"</definedName>
    <definedName name="IQ_BETA_1YR_RSQ">"c2132"</definedName>
    <definedName name="IQ_BETA_2YR">"c1965"</definedName>
    <definedName name="IQ_BETA_2YR_RSQ">"c2131"</definedName>
    <definedName name="IQ_BETA_5YR">"c88"</definedName>
    <definedName name="IQ_BETA_5YR_RSQ">"c2130"</definedName>
    <definedName name="IQ_BIG_INT_BEAR_CD">"c89"</definedName>
    <definedName name="IQ_BOARD_MEMBER">"c96"</definedName>
    <definedName name="IQ_BOARD_MEMBER_BACKGROUND">"c2101"</definedName>
    <definedName name="IQ_BOARD_MEMBER_TITLE">"c97"</definedName>
    <definedName name="IQ_BROK_COMISSION">"c98"</definedName>
    <definedName name="IQ_BUILDINGS">"c99"</definedName>
    <definedName name="IQ_BUSINESS_DESCRIPTION">"c322"</definedName>
    <definedName name="IQ_BV_OVER_SHARES">"c1349"</definedName>
    <definedName name="IQ_BV_SHARE">"c100"</definedName>
    <definedName name="IQ_CAL_Q">"c101"</definedName>
    <definedName name="IQ_CAL_Y">"c102"</definedName>
    <definedName name="IQ_CAPEX">"c103"</definedName>
    <definedName name="IQ_CAPEX_10YR_ANN_GROWTH">"c104"</definedName>
    <definedName name="IQ_CAPEX_1YR_ANN_GROWTH">"c105"</definedName>
    <definedName name="IQ_CAPEX_2YR_ANN_GROWTH">"c106"</definedName>
    <definedName name="IQ_CAPEX_3YR_ANN_GROWTH">"c107"</definedName>
    <definedName name="IQ_CAPEX_5YR_ANN_GROWTH">"c108"</definedName>
    <definedName name="IQ_CAPEX_7YR_ANN_GROWTH">"c109"</definedName>
    <definedName name="IQ_CAPEX_BNK">"c110"</definedName>
    <definedName name="IQ_CAPEX_BR">"c111"</definedName>
    <definedName name="IQ_CAPEX_FIN">"c112"</definedName>
    <definedName name="IQ_CAPEX_INS">"c113"</definedName>
    <definedName name="IQ_CAPEX_UTI">"c114"</definedName>
    <definedName name="IQ_CAPITAL_LEASE">"c1350"</definedName>
    <definedName name="IQ_CAPITAL_LEASES">"c115"</definedName>
    <definedName name="IQ_CAPITALIZED_INTEREST">"c2076"</definedName>
    <definedName name="IQ_CASH">"c1458"</definedName>
    <definedName name="IQ_CASH_ACQUIRE_CF">"c1630"</definedName>
    <definedName name="IQ_CASH_CONVERSION">"c117"</definedName>
    <definedName name="IQ_CASH_DUE_BANKS">"c1351"</definedName>
    <definedName name="IQ_CASH_EQUIV">"c118"</definedName>
    <definedName name="IQ_CASH_FINAN">"c119"</definedName>
    <definedName name="IQ_CASH_INTEREST">"c120"</definedName>
    <definedName name="IQ_CASH_INVEST">"c121"</definedName>
    <definedName name="IQ_CASH_OPER">"c122"</definedName>
    <definedName name="IQ_CASH_SEGREG">"c123"</definedName>
    <definedName name="IQ_CASH_SHARE">"c1911"</definedName>
    <definedName name="IQ_CASH_ST">"c1355"</definedName>
    <definedName name="IQ_CASH_ST_INVEST">"c124"</definedName>
    <definedName name="IQ_CASH_TAXES">"c125"</definedName>
    <definedName name="IQ_CFO_10YR_ANN_GROWTH">"c126"</definedName>
    <definedName name="IQ_CFO_1YR_ANN_GROWTH">"c127"</definedName>
    <definedName name="IQ_CFO_2YR_ANN_GROWTH">"c128"</definedName>
    <definedName name="IQ_CFO_3YR_ANN_GROWTH">"c129"</definedName>
    <definedName name="IQ_CFO_5YR_ANN_GROWTH">"c130"</definedName>
    <definedName name="IQ_CFO_7YR_ANN_GROWTH">"c131"</definedName>
    <definedName name="IQ_CFO_CURRENT_LIAB">"c132"</definedName>
    <definedName name="IQ_CHANGE_AP">"c133"</definedName>
    <definedName name="IQ_CHANGE_AP_BNK">"c134"</definedName>
    <definedName name="IQ_CHANGE_AP_BR">"c135"</definedName>
    <definedName name="IQ_CHANGE_AP_FIN">"c136"</definedName>
    <definedName name="IQ_CHANGE_AP_INS">"c137"</definedName>
    <definedName name="IQ_CHANGE_AP_REIT">"c138"</definedName>
    <definedName name="IQ_CHANGE_AP_UTI">"c139"</definedName>
    <definedName name="IQ_CHANGE_AR">"c140"</definedName>
    <definedName name="IQ_CHANGE_AR_BNK">"c141"</definedName>
    <definedName name="IQ_CHANGE_AR_BR">"c142"</definedName>
    <definedName name="IQ_CHANGE_AR_FIN">"c143"</definedName>
    <definedName name="IQ_CHANGE_AR_INS">"c144"</definedName>
    <definedName name="IQ_CHANGE_AR_REIT">"c145"</definedName>
    <definedName name="IQ_CHANGE_AR_UTI">"c146"</definedName>
    <definedName name="IQ_CHANGE_DEF_TAX">"c147"</definedName>
    <definedName name="IQ_CHANGE_DEPOSIT_ACCT">"c148"</definedName>
    <definedName name="IQ_CHANGE_INC_TAX">"c149"</definedName>
    <definedName name="IQ_CHANGE_INS_RES_LIAB">"c150"</definedName>
    <definedName name="IQ_CHANGE_INVENTORY">"c151"</definedName>
    <definedName name="IQ_CHANGE_NET_WORKING_CAPITAL">"c1909"</definedName>
    <definedName name="IQ_CHANGE_OTHER_WORK_CAP">"c152"</definedName>
    <definedName name="IQ_CHANGE_OTHER_WORK_CAP_BNK">"c153"</definedName>
    <definedName name="IQ_CHANGE_OTHER_WORK_CAP_BR">"c154"</definedName>
    <definedName name="IQ_CHANGE_OTHER_WORK_CAP_FIN">"c155"</definedName>
    <definedName name="IQ_CHANGE_OTHER_WORK_CAP_INS">"c156"</definedName>
    <definedName name="IQ_CHANGE_OTHER_WORK_CAP_REIT">"c157"</definedName>
    <definedName name="IQ_CHANGE_OTHER_WORK_CAP_UTI">"c158"</definedName>
    <definedName name="IQ_CHANGE_TRADING_ASSETS">"c159"</definedName>
    <definedName name="IQ_CHANGE_UNEARN_REV">"c160"</definedName>
    <definedName name="IQ_CHANGE_WORK_CAP">"c161"</definedName>
    <definedName name="IQ_CHANGES_WORK_CAP">"c1357"</definedName>
    <definedName name="IQ_CHARGE_OFFS_GROSS">"c162"</definedName>
    <definedName name="IQ_CHARGE_OFFS_NET">"c163"</definedName>
    <definedName name="IQ_CHARGE_OFFS_RECOVERED">"c164"</definedName>
    <definedName name="IQ_CHARGE_OFFS_TOTAL_AVG_LOANS">"c165"</definedName>
    <definedName name="IQ_CITY">"c166"</definedName>
    <definedName name="IQ_CL_DUE_AFTER_FIVE">"c167"</definedName>
    <definedName name="IQ_CL_DUE_CY">"c168"</definedName>
    <definedName name="IQ_CL_DUE_CY1">"c169"</definedName>
    <definedName name="IQ_CL_DUE_CY2">"c170"</definedName>
    <definedName name="IQ_CL_DUE_CY3">"c171"</definedName>
    <definedName name="IQ_CL_DUE_CY4">"c172"</definedName>
    <definedName name="IQ_CL_DUE_NEXT_FIVE">"c173"</definedName>
    <definedName name="IQ_CLASSA_OUTSTANDING_BS_DATE">"c1971"</definedName>
    <definedName name="IQ_CLASSA_OUTSTANDING_FILING_DATE">"c1973"</definedName>
    <definedName name="IQ_CLOSEPRICE">"c174"</definedName>
    <definedName name="IQ_CLOSEPRICE_ADJ">"c2115"</definedName>
    <definedName name="IQ_COGS">"c175"</definedName>
    <definedName name="IQ_COMBINED_RATIO">"c176"</definedName>
    <definedName name="IQ_COMMERCIAL_DOM">"c177"</definedName>
    <definedName name="IQ_COMMERCIAL_FIRE_WRITTEN">"c178"</definedName>
    <definedName name="IQ_COMMERCIAL_MORT">"c179"</definedName>
    <definedName name="IQ_COMMISS_FEES">"c180"</definedName>
    <definedName name="IQ_COMMISSION_DEF">"c181"</definedName>
    <definedName name="IQ_COMMON">"c182"</definedName>
    <definedName name="IQ_COMMON_APIC">"c183"</definedName>
    <definedName name="IQ_COMMON_APIC_BNK">"c184"</definedName>
    <definedName name="IQ_COMMON_APIC_BR">"c185"</definedName>
    <definedName name="IQ_COMMON_APIC_FIN">"c186"</definedName>
    <definedName name="IQ_COMMON_APIC_INS">"c187"</definedName>
    <definedName name="IQ_COMMON_APIC_REIT">"c188"</definedName>
    <definedName name="IQ_COMMON_APIC_UTI">"c189"</definedName>
    <definedName name="IQ_COMMON_DIV_CF">"c190"</definedName>
    <definedName name="IQ_COMMON_EQUITY_10YR_ANN_GROWTH">"c191"</definedName>
    <definedName name="IQ_COMMON_EQUITY_1YR_ANN_GROWTH">"c192"</definedName>
    <definedName name="IQ_COMMON_EQUITY_2YR_ANN_GROWTH">"c193"</definedName>
    <definedName name="IQ_COMMON_EQUITY_3YR_ANN_GROWTH">"c194"</definedName>
    <definedName name="IQ_COMMON_EQUITY_5YR_ANN_GROWTH">"c195"</definedName>
    <definedName name="IQ_COMMON_EQUITY_7YR_ANN_GROWTH">"c196"</definedName>
    <definedName name="IQ_COMMON_ISSUED">"c197"</definedName>
    <definedName name="IQ_COMMON_ISSUED_BNK">"c198"</definedName>
    <definedName name="IQ_COMMON_ISSUED_BR">"c199"</definedName>
    <definedName name="IQ_COMMON_ISSUED_FIN">"c200"</definedName>
    <definedName name="IQ_COMMON_ISSUED_INS">"c201"</definedName>
    <definedName name="IQ_COMMON_ISSUED_REIT">"c202"</definedName>
    <definedName name="IQ_COMMON_ISSUED_UTI">"c203"</definedName>
    <definedName name="IQ_COMMON_PER_ADR">"c204"</definedName>
    <definedName name="IQ_COMMON_PREF_DIV_CF">"c205"</definedName>
    <definedName name="IQ_COMMON_REP">"c206"</definedName>
    <definedName name="IQ_COMMON_REP_BNK">"c207"</definedName>
    <definedName name="IQ_COMMON_REP_BR">"c208"</definedName>
    <definedName name="IQ_COMMON_REP_FIN">"c209"</definedName>
    <definedName name="IQ_COMMON_REP_INS">"c210"</definedName>
    <definedName name="IQ_COMMON_REP_REIT">"c211"</definedName>
    <definedName name="IQ_COMMON_REP_UTI">"c212"</definedName>
    <definedName name="IQ_COMMON_STOCK">"c1358"</definedName>
    <definedName name="IQ_COMP_BENEFITS">"c213"</definedName>
    <definedName name="IQ_COMPANY_ADDRESS">"c214"</definedName>
    <definedName name="IQ_COMPANY_NAME">"c215"</definedName>
    <definedName name="IQ_COMPANY_NAME_LONG">"c1585"</definedName>
    <definedName name="IQ_COMPANY_PHONE">"c216"</definedName>
    <definedName name="IQ_COMPANY_STATUS">"c2097"</definedName>
    <definedName name="IQ_COMPANY_STREET1">"c217"</definedName>
    <definedName name="IQ_COMPANY_STREET2">"c218"</definedName>
    <definedName name="IQ_COMPANY_TICKER">"c219"</definedName>
    <definedName name="IQ_COMPANY_TYPE">"c2096"</definedName>
    <definedName name="IQ_COMPANY_WEBSITE">"c220"</definedName>
    <definedName name="IQ_COMPANY_ZIP">"c221"</definedName>
    <definedName name="IQ_CONSTRUCTION_LOANS">"c222"</definedName>
    <definedName name="IQ_CONSUMER_LOANS">"c223"</definedName>
    <definedName name="IQ_COST_BORROWINGS">"c225"</definedName>
    <definedName name="IQ_COST_REV">"c226"</definedName>
    <definedName name="IQ_COST_REVENUE">"c1359"</definedName>
    <definedName name="IQ_COST_SAVINGS">"c227"</definedName>
    <definedName name="IQ_COST_SERVICE">"c228"</definedName>
    <definedName name="IQ_COST_TOTAL_BORROWINGS">"c229"</definedName>
    <definedName name="IQ_COUNTRY_NAME">"c230"</definedName>
    <definedName name="IQ_COVERED_POPS">"c2124"</definedName>
    <definedName name="IQ_CQ">5000</definedName>
    <definedName name="IQ_CREDIT_CARD_FEE_BNK">"c231"</definedName>
    <definedName name="IQ_CREDIT_CARD_FEE_FIN">"c1583"</definedName>
    <definedName name="IQ_CREDIT_LOSS_CF">"c232"</definedName>
    <definedName name="IQ_CUMULATIVE_SPLIT_FACTOR">"c2094"</definedName>
    <definedName name="IQ_CURR_DOMESTIC_TAXES">"c2074"</definedName>
    <definedName name="IQ_CURR_FOREIGN_TAXES">"c2075"</definedName>
    <definedName name="IQ_CURRENCY_FACTOR_BS">"c233"</definedName>
    <definedName name="IQ_CURRENCY_FACTOR_IS">"c234"</definedName>
    <definedName name="IQ_CURRENCY_GAIN">"c235"</definedName>
    <definedName name="IQ_CURRENCY_GAIN_BR">"c236"</definedName>
    <definedName name="IQ_CURRENCY_GAIN_FIN">"c237"</definedName>
    <definedName name="IQ_CURRENCY_GAIN_INS">"c238"</definedName>
    <definedName name="IQ_CURRENCY_GAIN_REIT">"c239"</definedName>
    <definedName name="IQ_CURRENCY_GAIN_UTI">"c240"</definedName>
    <definedName name="IQ_CURRENT_PORT">"c241"</definedName>
    <definedName name="IQ_CURRENT_PORT_BNK">"c242"</definedName>
    <definedName name="IQ_CURRENT_PORT_DEBT">"c243"</definedName>
    <definedName name="IQ_CURRENT_PORT_DEBT_BNK">"c244"</definedName>
    <definedName name="IQ_CURRENT_PORT_DEBT_BR">"c1567"</definedName>
    <definedName name="IQ_CURRENT_PORT_DEBT_FIN">"c1568"</definedName>
    <definedName name="IQ_CURRENT_PORT_DEBT_INS">"c1569"</definedName>
    <definedName name="IQ_CURRENT_PORT_DEBT_REIT">"c1570"</definedName>
    <definedName name="IQ_CURRENT_PORT_DEBT_UTI">"c1571"</definedName>
    <definedName name="IQ_CURRENT_PORT_LEASES">"c245"</definedName>
    <definedName name="IQ_CURRENT_RATIO">"c246"</definedName>
    <definedName name="IQ_CY">10000</definedName>
    <definedName name="IQ_DA">"c247"</definedName>
    <definedName name="IQ_DA_BR">"c248"</definedName>
    <definedName name="IQ_DA_CF">"c249"</definedName>
    <definedName name="IQ_DA_CF_BNK">"c250"</definedName>
    <definedName name="IQ_DA_CF_BR">"c251"</definedName>
    <definedName name="IQ_DA_CF_FIN">"c252"</definedName>
    <definedName name="IQ_DA_CF_INS">"c253"</definedName>
    <definedName name="IQ_DA_CF_REIT">"c254"</definedName>
    <definedName name="IQ_DA_CF_UTI">"c255"</definedName>
    <definedName name="IQ_DA_FIN">"c256"</definedName>
    <definedName name="IQ_DA_INS">"c257"</definedName>
    <definedName name="IQ_DA_REIT">"c258"</definedName>
    <definedName name="IQ_DA_SUPPL">"c259"</definedName>
    <definedName name="IQ_DA_SUPPL_BR">"c260"</definedName>
    <definedName name="IQ_DA_SUPPL_CF">"c261"</definedName>
    <definedName name="IQ_DA_SUPPL_CF_BNK">"c262"</definedName>
    <definedName name="IQ_DA_SUPPL_CF_BR">"c263"</definedName>
    <definedName name="IQ_DA_SUPPL_CF_FIN">"c264"</definedName>
    <definedName name="IQ_DA_SUPPL_CF_INS">"c265"</definedName>
    <definedName name="IQ_DA_SUPPL_CF_REIT">"c266"</definedName>
    <definedName name="IQ_DA_SUPPL_CF_UTI">"c267"</definedName>
    <definedName name="IQ_DA_SUPPL_FIN">"c268"</definedName>
    <definedName name="IQ_DA_SUPPL_INS">"c269"</definedName>
    <definedName name="IQ_DA_SUPPL_REIT">"c270"</definedName>
    <definedName name="IQ_DA_SUPPL_UTI">"c271"</definedName>
    <definedName name="IQ_DA_UTI">"c272"</definedName>
    <definedName name="IQ_DAYS_COVER_SHORT">"c1578"</definedName>
    <definedName name="IQ_DAYS_INVENTORY_OUT">"c273"</definedName>
    <definedName name="IQ_DAYS_PAY_OUTST">"c1362"</definedName>
    <definedName name="IQ_DAYS_PAYABLE_OUT">"c274"</definedName>
    <definedName name="IQ_DAYS_SALES_OUT">"c275"</definedName>
    <definedName name="IQ_DAYS_SALES_OUTST">"c1363"</definedName>
    <definedName name="IQ_DEF_ACQ_CST">"c1364"</definedName>
    <definedName name="IQ_DEF_AMORT">"c276"</definedName>
    <definedName name="IQ_DEF_AMORT_BNK">"c277"</definedName>
    <definedName name="IQ_DEF_AMORT_BR">"c278"</definedName>
    <definedName name="IQ_DEF_AMORT_FIN">"c279"</definedName>
    <definedName name="IQ_DEF_AMORT_INS">"c280"</definedName>
    <definedName name="IQ_DEF_AMORT_REIT">"c281"</definedName>
    <definedName name="IQ_DEF_AMORT_UTI">"c282"</definedName>
    <definedName name="IQ_DEF_BENEFIT_INTEREST_COST">"c283"</definedName>
    <definedName name="IQ_DEF_BENEFIT_OTHER_COST">"c284"</definedName>
    <definedName name="IQ_DEF_BENEFIT_ROA">"c285"</definedName>
    <definedName name="IQ_DEF_BENEFIT_SERVICE_COST">"c286"</definedName>
    <definedName name="IQ_DEF_BENEFIT_TOTAL_COST">"c287"</definedName>
    <definedName name="IQ_DEF_CHARGES_BR">"c288"</definedName>
    <definedName name="IQ_DEF_CHARGES_CF">"c289"</definedName>
    <definedName name="IQ_DEF_CHARGES_FIN">"c290"</definedName>
    <definedName name="IQ_DEF_CHARGES_INS">"c291"</definedName>
    <definedName name="IQ_DEF_CHARGES_LT">"c292"</definedName>
    <definedName name="IQ_DEF_CHARGES_LT_BNK">"c293"</definedName>
    <definedName name="IQ_DEF_CHARGES_LT_BR">"c294"</definedName>
    <definedName name="IQ_DEF_CHARGES_LT_FIN">"c295"</definedName>
    <definedName name="IQ_DEF_CHARGES_LT_INS">"c296"</definedName>
    <definedName name="IQ_DEF_CHARGES_LT_REIT">"c297"</definedName>
    <definedName name="IQ_DEF_CHARGES_LT_UTI">"c298"</definedName>
    <definedName name="IQ_DEF_CHARGES_REIT">"c299"</definedName>
    <definedName name="IQ_DEF_CONTRIBUTION_TOTAL_COST">"c300"</definedName>
    <definedName name="IQ_DEF_INC_TAX">"c1365"</definedName>
    <definedName name="IQ_DEF_POLICY_ACQ_COSTS">"c301"</definedName>
    <definedName name="IQ_DEF_POLICY_ACQ_COSTS_CF">"c302"</definedName>
    <definedName name="IQ_DEF_POLICY_AMORT">"c303"</definedName>
    <definedName name="IQ_DEF_TAX_ASSET_LT_BR">"c304"</definedName>
    <definedName name="IQ_DEF_TAX_ASSET_LT_FIN">"c305"</definedName>
    <definedName name="IQ_DEF_TAX_ASSET_LT_INS">"c306"</definedName>
    <definedName name="IQ_DEF_TAX_ASSET_LT_REIT">"c307"</definedName>
    <definedName name="IQ_DEF_TAX_ASSET_LT_UTI">"c308"</definedName>
    <definedName name="IQ_DEF_TAX_ASSETS_CURRENT">"c309"</definedName>
    <definedName name="IQ_DEF_TAX_ASSETS_LT">"c310"</definedName>
    <definedName name="IQ_DEF_TAX_ASSETS_LT_BNK">"c311"</definedName>
    <definedName name="IQ_DEF_TAX_LIAB_CURRENT">"c312"</definedName>
    <definedName name="IQ_DEF_TAX_LIAB_LT">"c313"</definedName>
    <definedName name="IQ_DEF_TAX_LIAB_LT_BNK">"c314"</definedName>
    <definedName name="IQ_DEF_TAX_LIAB_LT_BR">"c315"</definedName>
    <definedName name="IQ_DEF_TAX_LIAB_LT_FIN">"c316"</definedName>
    <definedName name="IQ_DEF_TAX_LIAB_LT_INS">"c317"</definedName>
    <definedName name="IQ_DEF_TAX_LIAB_LT_REIT">"c318"</definedName>
    <definedName name="IQ_DEF_TAX_LIAB_LT_UTI">"c319"</definedName>
    <definedName name="IQ_DEFERRED_DOMESTIC_TAXES">"c2077"</definedName>
    <definedName name="IQ_DEFERRED_FOREIGN_TAXES">"c2078"</definedName>
    <definedName name="IQ_DEFERRED_INC_TAX">"c1447"</definedName>
    <definedName name="IQ_DEFERRED_TAXES">"c1356"</definedName>
    <definedName name="IQ_DEMAND_DEP">"c320"</definedName>
    <definedName name="IQ_DEPOSITS_FIN">"c321"</definedName>
    <definedName name="IQ_DEPRE_AMORT">"c1360"</definedName>
    <definedName name="IQ_DEPRE_AMORT_SUPPL">"c1593"</definedName>
    <definedName name="IQ_DEPRE_DEPLE">"c1361"</definedName>
    <definedName name="IQ_DEPRE_SUPP">"c1443"</definedName>
    <definedName name="IQ_DESCRIPTION_LONG">"c1520"</definedName>
    <definedName name="IQ_DEVELOP_LAND">"c323"</definedName>
    <definedName name="IQ_DILUT_ADJUST">"c1621"</definedName>
    <definedName name="IQ_DILUT_EPS_EXCL">"c324"</definedName>
    <definedName name="IQ_DILUT_EPS_INCL">"c325"</definedName>
    <definedName name="IQ_DILUT_EPS_NORM">"c1903"</definedName>
    <definedName name="IQ_DILUT_NI">"c2079"</definedName>
    <definedName name="IQ_DILUT_NORMAL_EPS">"c1594"</definedName>
    <definedName name="IQ_DILUT_WEIGHT">"c326"</definedName>
    <definedName name="IQ_DISCONT_OPER">"c1367"</definedName>
    <definedName name="IQ_DISCOUNT_RATE_PENSION_DOMESTIC">"c327"</definedName>
    <definedName name="IQ_DISCOUNT_RATE_PENSION_FOREIGN">"c328"</definedName>
    <definedName name="IQ_DISTR_EXCESS_EARN">"c329"</definedName>
    <definedName name="IQ_DIV_PAYMENT_DATE">"c2106"</definedName>
    <definedName name="IQ_DIV_RECORD_DATE">"c2105"</definedName>
    <definedName name="IQ_DIV_SHARE">"c330"</definedName>
    <definedName name="IQ_DIVEST_CF">"c331"</definedName>
    <definedName name="IQ_DIVID_SHARE">"c1366"</definedName>
    <definedName name="IQ_DIVIDEND_YIELD">"c332"</definedName>
    <definedName name="IQ_DO">"c333"</definedName>
    <definedName name="IQ_DO_ASSETS_CURRENT">"c334"</definedName>
    <definedName name="IQ_DO_ASSETS_LT">"c335"</definedName>
    <definedName name="IQ_DO_CF">"c336"</definedName>
    <definedName name="IQ_DPS_10YR_ANN_GROWTH">"c337"</definedName>
    <definedName name="IQ_DPS_1YR_ANN_GROWTH">"c338"</definedName>
    <definedName name="IQ_DPS_2YR_ANN_GROWTH">"c339"</definedName>
    <definedName name="IQ_DPS_3YR_ANN_GROWTH">"c340"</definedName>
    <definedName name="IQ_DPS_5YR_ANN_GROWTH">"c341"</definedName>
    <definedName name="IQ_DPS_7YR_ANN_GROWTH">"c342"</definedName>
    <definedName name="IQ_EARNING_ASSET_YIELD">"c343"</definedName>
    <definedName name="IQ_EARNING_CO">"c344"</definedName>
    <definedName name="IQ_EARNING_CO_10YR_ANN_GROWTH">"c345"</definedName>
    <definedName name="IQ_EARNING_CO_1YR_ANN_GROWTH">"c346"</definedName>
    <definedName name="IQ_EARNING_CO_2YR_ANN_GROWTH">"c347"</definedName>
    <definedName name="IQ_EARNING_CO_3YR_ANN_GROWTH">"c348"</definedName>
    <definedName name="IQ_EARNING_CO_5YR_ANN_GROWTH">"c349"</definedName>
    <definedName name="IQ_EARNING_CO_7YR_ANN_GROWTH">"c350"</definedName>
    <definedName name="IQ_EARNING_CO_MARGIN">"c351"</definedName>
    <definedName name="IQ_EARNINGS_ANNOUNCE_DATE">"c1649"</definedName>
    <definedName name="IQ_EBIT">"c352"</definedName>
    <definedName name="IQ_EBIT_10YR_ANN_GROWTH">"c353"</definedName>
    <definedName name="IQ_EBIT_1YR_ANN_GROWTH">"c354"</definedName>
    <definedName name="IQ_EBIT_2YR_ANN_GROWTH">"c355"</definedName>
    <definedName name="IQ_EBIT_3YR_ANN_GROWTH">"c356"</definedName>
    <definedName name="IQ_EBIT_5YR_ANN_GROWTH">"c357"</definedName>
    <definedName name="IQ_EBIT_7YR_ANN_GROWTH">"c358"</definedName>
    <definedName name="IQ_EBIT_INT">"c360"</definedName>
    <definedName name="IQ_EBIT_MARGIN">"c359"</definedName>
    <definedName name="IQ_EBIT_OVER_IE">"c1369"</definedName>
    <definedName name="IQ_EBITA">"c1910"</definedName>
    <definedName name="IQ_EBITA_10YR_ANN_GROWTH">"c1954"</definedName>
    <definedName name="IQ_EBITA_1YR_ANN_GROWTH">"c1949"</definedName>
    <definedName name="IQ_EBITA_2YR_ANN_GROWTH">"c1950"</definedName>
    <definedName name="IQ_EBITA_3YR_ANN_GROWTH">"c1951"</definedName>
    <definedName name="IQ_EBITA_5YR_ANN_GROWTH">"c1952"</definedName>
    <definedName name="IQ_EBITA_7YR_ANN_GROWTH">"c1953"</definedName>
    <definedName name="IQ_EBITA_MARGIN">"c1963"</definedName>
    <definedName name="IQ_EBITDA">"c361"</definedName>
    <definedName name="IQ_EBITDA_10YR_ANN_GROWTH">"c362"</definedName>
    <definedName name="IQ_EBITDA_1YR_ANN_GROWTH">"c363"</definedName>
    <definedName name="IQ_EBITDA_2YR_ANN_GROWTH">"c364"</definedName>
    <definedName name="IQ_EBITDA_3YR_ANN_GROWTH">"c365"</definedName>
    <definedName name="IQ_EBITDA_5YR_ANN_GROWTH">"c366"</definedName>
    <definedName name="IQ_EBITDA_7YR_ANN_GROWTH">"c367"</definedName>
    <definedName name="IQ_EBITDA_CAPEX_INT">"c368"</definedName>
    <definedName name="IQ_EBITDA_CAPEX_OVER_TOTAL_IE">"c1370"</definedName>
    <definedName name="IQ_EBITDA_INT">"c373"</definedName>
    <definedName name="IQ_EBITDA_MARGIN">"c372"</definedName>
    <definedName name="IQ_EBITDA_OVER_TOTAL_IE">"c1371"</definedName>
    <definedName name="IQ_EBT">"c376"</definedName>
    <definedName name="IQ_EBT_BNK">"c377"</definedName>
    <definedName name="IQ_EBT_BR">"c378"</definedName>
    <definedName name="IQ_EBT_EXCL">"c379"</definedName>
    <definedName name="IQ_EBT_EXCL_BNK">"c380"</definedName>
    <definedName name="IQ_EBT_EXCL_BR">"c381"</definedName>
    <definedName name="IQ_EBT_EXCL_FIN">"c382"</definedName>
    <definedName name="IQ_EBT_EXCL_INS">"c383"</definedName>
    <definedName name="IQ_EBT_EXCL_MARGIN">"c1462"</definedName>
    <definedName name="IQ_EBT_EXCL_REIT">"c384"</definedName>
    <definedName name="IQ_EBT_EXCL_UTI">"c385"</definedName>
    <definedName name="IQ_EBT_FIN">"c386"</definedName>
    <definedName name="IQ_EBT_INCL_MARGIN">"c387"</definedName>
    <definedName name="IQ_EBT_INS">"c388"</definedName>
    <definedName name="IQ_EBT_REIT">"c389"</definedName>
    <definedName name="IQ_EBT_UTI">"c390"</definedName>
    <definedName name="IQ_EFFECT_SPECIAL_CHARGE">"c1595"</definedName>
    <definedName name="IQ_EFFECT_TAX_RATE">"c1899"</definedName>
    <definedName name="IQ_EFFICIENCY_RATIO">"c391"</definedName>
    <definedName name="IQ_EMPLOYEES">"c392"</definedName>
    <definedName name="IQ_ENTERPRISE_VALUE">"c1348"</definedName>
    <definedName name="IQ_EPS_10YR_ANN_GROWTH">"c393"</definedName>
    <definedName name="IQ_EPS_1YR_ANN_GROWTH">"c394"</definedName>
    <definedName name="IQ_EPS_2YR_ANN_GROWTH">"c395"</definedName>
    <definedName name="IQ_EPS_3YR_ANN_GROWTH">"c396"</definedName>
    <definedName name="IQ_EPS_5YR_ANN_GROWTH">"c397"</definedName>
    <definedName name="IQ_EPS_7YR_ANN_GROWTH">"c398"</definedName>
    <definedName name="IQ_EPS_EST">"c399"</definedName>
    <definedName name="IQ_EPS_HIGH_EST">"c400"</definedName>
    <definedName name="IQ_EPS_LOW_EST">"c401"</definedName>
    <definedName name="IQ_EPS_NORM">"c1902"</definedName>
    <definedName name="IQ_EPS_NUM_EST">"c402"</definedName>
    <definedName name="IQ_EPS_STDDEV_EST">"c403"</definedName>
    <definedName name="IQ_EQUITY_AFFIL">"c1451"</definedName>
    <definedName name="IQ_EQUITY_METHOD">"c404"</definedName>
    <definedName name="IQ_EQV_OVER_BV">"c1596"</definedName>
    <definedName name="IQ_EQV_OVER_LTM_PRETAX_INC">"c1390"</definedName>
    <definedName name="IQ_ESOP_DEBT">"c1597"</definedName>
    <definedName name="IQ_EST_ACT_EPS">"c1648"</definedName>
    <definedName name="IQ_EST_CURRENCY">"c2140"</definedName>
    <definedName name="IQ_EST_DATE">"c1634"</definedName>
    <definedName name="IQ_EST_EPS_GROWTH_1YR">"c1636"</definedName>
    <definedName name="IQ_EST_EPS_GROWTH_5YR">"c1655"</definedName>
    <definedName name="IQ_EST_EPS_GROWTH_5YR_HIGH">"c1657"</definedName>
    <definedName name="IQ_EST_EPS_GROWTH_5YR_LOW">"c1658"</definedName>
    <definedName name="IQ_EST_EPS_GROWTH_5YR_MEDIAN">"c1656"</definedName>
    <definedName name="IQ_EST_EPS_GROWTH_5YR_NUM">"c1659"</definedName>
    <definedName name="IQ_EST_EPS_GROWTH_5YR_STDDEV">"c1660"</definedName>
    <definedName name="IQ_EST_EPS_GROWTH_Q_1YR">"c1641"</definedName>
    <definedName name="IQ_EV_OVER_EMPLOYEE">"c1428"</definedName>
    <definedName name="IQ_EV_OVER_LTM_EBIT">"c1426"</definedName>
    <definedName name="IQ_EV_OVER_LTM_EBITDA">"c1427"</definedName>
    <definedName name="IQ_EV_OVER_LTM_REVENUE">"c1429"</definedName>
    <definedName name="IQ_EXCHANGE">"c405"</definedName>
    <definedName name="IQ_EXERCISE_PRICE">"c1897"</definedName>
    <definedName name="IQ_EXERCISED">"c406"</definedName>
    <definedName name="IQ_EXP_RETURN_PENSION_DOMESTIC">"c407"</definedName>
    <definedName name="IQ_EXP_RETURN_PENSION_FOREIGN">"c408"</definedName>
    <definedName name="IQ_EXPLORE_DRILL">"c409"</definedName>
    <definedName name="IQ_EXTRA_ACC_ITEMS">"c410"</definedName>
    <definedName name="IQ_EXTRA_ACC_ITEMS_BNK">"c411"</definedName>
    <definedName name="IQ_EXTRA_ACC_ITEMS_BR">"c412"</definedName>
    <definedName name="IQ_EXTRA_ACC_ITEMS_FIN">"c413"</definedName>
    <definedName name="IQ_EXTRA_ACC_ITEMS_INS">"c414"</definedName>
    <definedName name="IQ_EXTRA_ACC_ITEMS_REIT">"c415"</definedName>
    <definedName name="IQ_EXTRA_ACC_ITEMS_UTI">"c416"</definedName>
    <definedName name="IQ_EXTRA_ITEMS">"c1459"</definedName>
    <definedName name="IQ_FDIC">"c417"</definedName>
    <definedName name="IQ_FFO">"c1574"</definedName>
    <definedName name="IQ_FHLB_DEBT">"c423"</definedName>
    <definedName name="IQ_FHLB_DUE_CY">"c2080"</definedName>
    <definedName name="IQ_FHLB_DUE_CY1">"c2081"</definedName>
    <definedName name="IQ_FHLB_DUE_CY2">"c2082"</definedName>
    <definedName name="IQ_FHLB_DUE_CY3">"c2083"</definedName>
    <definedName name="IQ_FHLB_DUE_CY4">"c2084"</definedName>
    <definedName name="IQ_FHLB_DUE_NEXT_FIVE">"c2085"</definedName>
    <definedName name="IQ_FILING_CURRENCY">"c2129"</definedName>
    <definedName name="IQ_FILINGDATE_BS">"c424"</definedName>
    <definedName name="IQ_FILINGDATE_CF">"c425"</definedName>
    <definedName name="IQ_FILINGDATE_IS">"c426"</definedName>
    <definedName name="IQ_FIN_DIV_ASSETS_CURRENT">"c427"</definedName>
    <definedName name="IQ_FIN_DIV_ASSETS_LT">"c428"</definedName>
    <definedName name="IQ_FIN_DIV_DEBT_CURRENT">"c429"</definedName>
    <definedName name="IQ_FIN_DIV_DEBT_LT">"c430"</definedName>
    <definedName name="IQ_FIN_DIV_EXP">"c431"</definedName>
    <definedName name="IQ_FIN_DIV_INT_EXP">"c432"</definedName>
    <definedName name="IQ_FIN_DIV_LIAB_CURRENT">"c433"</definedName>
    <definedName name="IQ_FIN_DIV_LIAB_LT">"c434"</definedName>
    <definedName name="IQ_FIN_DIV_LOANS_CURRENT">"c435"</definedName>
    <definedName name="IQ_FIN_DIV_LOANS_LT">"c436"</definedName>
    <definedName name="IQ_FIN_DIV_REV">"c437"</definedName>
    <definedName name="IQ_FINANCING_CASH">"c1405"</definedName>
    <definedName name="IQ_FINANCING_CASH_SUPPL">"c1406"</definedName>
    <definedName name="IQ_FINISHED_INV">"c438"</definedName>
    <definedName name="IQ_FIRST_YEAR_LIFE">"c439"</definedName>
    <definedName name="IQ_FISCAL_Q">"c440"</definedName>
    <definedName name="IQ_FISCAL_Y">"c441"</definedName>
    <definedName name="IQ_FIVE_PERCENT_OWNER">"c442"</definedName>
    <definedName name="IQ_FIVEPERCENT_PERCENT">"c443"</definedName>
    <definedName name="IQ_FIVEPERCENT_SHARES">"c444"</definedName>
    <definedName name="IQ_FIXED_ASSET_TURNS">"c445"</definedName>
    <definedName name="IQ_FLOAT_PERCENT">"c1575"</definedName>
    <definedName name="IQ_FOREIGN_DEP_IB">"c446"</definedName>
    <definedName name="IQ_FOREIGN_DEP_NON_IB">"c447"</definedName>
    <definedName name="IQ_FOREIGN_EXCHANGE">"c1376"</definedName>
    <definedName name="IQ_FOREIGN_LOANS">"c448"</definedName>
    <definedName name="IQ_FQ">500</definedName>
    <definedName name="IQ_FUEL">"c449"</definedName>
    <definedName name="IQ_FULL_TIME">"c450"</definedName>
    <definedName name="IQ_FWD_CY">10001</definedName>
    <definedName name="IQ_FWD_CY1">10002</definedName>
    <definedName name="IQ_FWD_CY2">10003</definedName>
    <definedName name="IQ_FWD_FY">1001</definedName>
    <definedName name="IQ_FWD_FY1">1002</definedName>
    <definedName name="IQ_FWD_FY2">1003</definedName>
    <definedName name="IQ_FWD_Q">501</definedName>
    <definedName name="IQ_FWD_Q1">502</definedName>
    <definedName name="IQ_FWD_Q2">503</definedName>
    <definedName name="IQ_FX">"c451"</definedName>
    <definedName name="IQ_FY">1000</definedName>
    <definedName name="IQ_GAIN_ASSETS">"c452"</definedName>
    <definedName name="IQ_GAIN_ASSETS_BNK">"c453"</definedName>
    <definedName name="IQ_GAIN_ASSETS_BR">"c454"</definedName>
    <definedName name="IQ_GAIN_ASSETS_CF">"c455"</definedName>
    <definedName name="IQ_GAIN_ASSETS_CF_BNK">"c456"</definedName>
    <definedName name="IQ_GAIN_ASSETS_CF_BR">"c457"</definedName>
    <definedName name="IQ_GAIN_ASSETS_CF_FIN">"c458"</definedName>
    <definedName name="IQ_GAIN_ASSETS_CF_INS">"c459"</definedName>
    <definedName name="IQ_GAIN_ASSETS_CF_REIT">"c460"</definedName>
    <definedName name="IQ_GAIN_ASSETS_CF_UTI">"c461"</definedName>
    <definedName name="IQ_GAIN_ASSETS_FIN">"c462"</definedName>
    <definedName name="IQ_GAIN_ASSETS_INS">"c463"</definedName>
    <definedName name="IQ_GAIN_ASSETS_REIT">"c471"</definedName>
    <definedName name="IQ_GAIN_ASSETS_REV">"c472"</definedName>
    <definedName name="IQ_GAIN_ASSETS_REV_BNK">"c473"</definedName>
    <definedName name="IQ_GAIN_ASSETS_REV_BR">"c474"</definedName>
    <definedName name="IQ_GAIN_ASSETS_REV_FIN">"c475"</definedName>
    <definedName name="IQ_GAIN_ASSETS_REV_INS">"c476"</definedName>
    <definedName name="IQ_GAIN_ASSETS_REV_REIT">"c477"</definedName>
    <definedName name="IQ_GAIN_ASSETS_REV_UTI">"c478"</definedName>
    <definedName name="IQ_GAIN_ASSETS_UTI">"c479"</definedName>
    <definedName name="IQ_GAIN_INVEST">"c1463"</definedName>
    <definedName name="IQ_GAIN_INVEST_BNK">"c1582"</definedName>
    <definedName name="IQ_GAIN_INVEST_BR">"c1464"</definedName>
    <definedName name="IQ_GAIN_INVEST_CF">"c480"</definedName>
    <definedName name="IQ_GAIN_INVEST_CF_BNK">"c481"</definedName>
    <definedName name="IQ_GAIN_INVEST_CF_BR">"c482"</definedName>
    <definedName name="IQ_GAIN_INVEST_CF_FIN">"c483"</definedName>
    <definedName name="IQ_GAIN_INVEST_CF_INS">"c484"</definedName>
    <definedName name="IQ_GAIN_INVEST_CF_REIT">"c485"</definedName>
    <definedName name="IQ_GAIN_INVEST_CF_UTI">"c486"</definedName>
    <definedName name="IQ_GAIN_INVEST_FIN">"c1465"</definedName>
    <definedName name="IQ_GAIN_INVEST_INS">"c1466"</definedName>
    <definedName name="IQ_GAIN_INVEST_REIT">"c1467"</definedName>
    <definedName name="IQ_GAIN_INVEST_REV">"c494"</definedName>
    <definedName name="IQ_GAIN_INVEST_REV_BNK">"c495"</definedName>
    <definedName name="IQ_GAIN_INVEST_REV_BR">"c496"</definedName>
    <definedName name="IQ_GAIN_INVEST_REV_FIN">"c497"</definedName>
    <definedName name="IQ_GAIN_INVEST_REV_INS">"c498"</definedName>
    <definedName name="IQ_GAIN_INVEST_REV_REIT">"c499"</definedName>
    <definedName name="IQ_GAIN_INVEST_REV_UTI">"c500"</definedName>
    <definedName name="IQ_GAIN_INVEST_UTI">"c1468"</definedName>
    <definedName name="IQ_GAIN_LOANS_REC">"c501"</definedName>
    <definedName name="IQ_GAIN_LOANS_RECEIV">"c502"</definedName>
    <definedName name="IQ_GAIN_LOANS_RECEIV_REV_FIN">"c503"</definedName>
    <definedName name="IQ_GAIN_LOANS_REV">"c504"</definedName>
    <definedName name="IQ_GAIN_SALE_ASSETS">"c1377"</definedName>
    <definedName name="IQ_GOODWILL_NET">"c1380"</definedName>
    <definedName name="IQ_GP">"c511"</definedName>
    <definedName name="IQ_GP_10YR_ANN_GROWTH">"c512"</definedName>
    <definedName name="IQ_GP_1YR_ANN_GROWTH">"c513"</definedName>
    <definedName name="IQ_GP_2YR_ANN_GROWTH">"c514"</definedName>
    <definedName name="IQ_GP_3YR_ANN_GROWTH">"c515"</definedName>
    <definedName name="IQ_GP_5YR_ANN_GROWTH">"c516"</definedName>
    <definedName name="IQ_GP_7YR_ANN_GROWTH">"c517"</definedName>
    <definedName name="IQ_GPPE">"c518"</definedName>
    <definedName name="IQ_GROSS_DIVID">"c1446"</definedName>
    <definedName name="IQ_GROSS_LOANS">"c521"</definedName>
    <definedName name="IQ_GROSS_LOANS_10YR_ANN_GROWTH">"c522"</definedName>
    <definedName name="IQ_GROSS_LOANS_1YR_ANN_GROWTH">"c523"</definedName>
    <definedName name="IQ_GROSS_LOANS_2YR_ANN_GROWTH">"c524"</definedName>
    <definedName name="IQ_GROSS_LOANS_3YR_ANN_GROWTH">"c525"</definedName>
    <definedName name="IQ_GROSS_LOANS_5YR_ANN_GROWTH">"c526"</definedName>
    <definedName name="IQ_GROSS_LOANS_7YR_ANN_GROWTH">"c527"</definedName>
    <definedName name="IQ_GROSS_LOANS_TOTAL_DEPOSITS">"c528"</definedName>
    <definedName name="IQ_GROSS_MARGIN">"c529"</definedName>
    <definedName name="IQ_GROSS_PROFIT">"c1378"</definedName>
    <definedName name="IQ_GW">"c530"</definedName>
    <definedName name="IQ_GW_AMORT_BR">"c532"</definedName>
    <definedName name="IQ_GW_AMORT_FIN">"c540"</definedName>
    <definedName name="IQ_GW_AMORT_INS">"c541"</definedName>
    <definedName name="IQ_GW_AMORT_REIT">"c542"</definedName>
    <definedName name="IQ_GW_AMORT_UTI">"c543"</definedName>
    <definedName name="IQ_GW_INTAN_AMORT">"c1469"</definedName>
    <definedName name="IQ_GW_INTAN_AMORT_BNK">"c544"</definedName>
    <definedName name="IQ_GW_INTAN_AMORT_BR">"c1470"</definedName>
    <definedName name="IQ_GW_INTAN_AMORT_CF">"c1471"</definedName>
    <definedName name="IQ_GW_INTAN_AMORT_CF_BNK">"c1472"</definedName>
    <definedName name="IQ_GW_INTAN_AMORT_CF_BR">"c1473"</definedName>
    <definedName name="IQ_GW_INTAN_AMORT_CF_FIN">"c1474"</definedName>
    <definedName name="IQ_GW_INTAN_AMORT_CF_INS">"c1475"</definedName>
    <definedName name="IQ_GW_INTAN_AMORT_CF_REIT">"c1476"</definedName>
    <definedName name="IQ_GW_INTAN_AMORT_CF_UTI">"c1477"</definedName>
    <definedName name="IQ_GW_INTAN_AMORT_FIN">"c1478"</definedName>
    <definedName name="IQ_GW_INTAN_AMORT_INS">"c1479"</definedName>
    <definedName name="IQ_GW_INTAN_AMORT_REIT">"c1480"</definedName>
    <definedName name="IQ_GW_INTAN_AMORT_UTI">"c1481"</definedName>
    <definedName name="IQ_HIGHPRICE">"c545"</definedName>
    <definedName name="IQ_HOMEOWNERS_WRITTEN">"c546"</definedName>
    <definedName name="IQ_IMPAIR_OIL">"c547"</definedName>
    <definedName name="IQ_IMPAIRMENT_GW">"c548"</definedName>
    <definedName name="IQ_INC_AFTER_TAX">"c1598"</definedName>
    <definedName name="IQ_INC_AVAIL_EXCL">"c1395"</definedName>
    <definedName name="IQ_INC_AVAIL_INCL">"c1396"</definedName>
    <definedName name="IQ_INC_BEFORE_TAX">"c1375"</definedName>
    <definedName name="IQ_INC_EQUITY">"c549"</definedName>
    <definedName name="IQ_INC_EQUITY_BR">"c550"</definedName>
    <definedName name="IQ_INC_EQUITY_CF">"c551"</definedName>
    <definedName name="IQ_INC_EQUITY_FIN">"c552"</definedName>
    <definedName name="IQ_INC_EQUITY_INS">"c553"</definedName>
    <definedName name="IQ_INC_EQUITY_REC_BNK">"c554"</definedName>
    <definedName name="IQ_INC_EQUITY_REIT">"c555"</definedName>
    <definedName name="IQ_INC_EQUITY_REV_BNK">"c556"</definedName>
    <definedName name="IQ_INC_EQUITY_UTI">"c557"</definedName>
    <definedName name="IQ_INC_REAL_ESTATE_REC">"c558"</definedName>
    <definedName name="IQ_INC_REAL_ESTATE_REV">"c559"</definedName>
    <definedName name="IQ_INC_TAX">"c560"</definedName>
    <definedName name="IQ_INC_TAX_EXCL">"c1599"</definedName>
    <definedName name="IQ_INC_TAX_PAY_CURRENT">"c561"</definedName>
    <definedName name="IQ_INC_TRADE_ACT">"c562"</definedName>
    <definedName name="IQ_INS_ANNUITY_LIAB">"c563"</definedName>
    <definedName name="IQ_INS_DIV_EXP">"c564"</definedName>
    <definedName name="IQ_INS_DIV_REV">"c565"</definedName>
    <definedName name="IQ_INS_IN_FORCE">"c566"</definedName>
    <definedName name="IQ_INS_LIAB">"c567"</definedName>
    <definedName name="IQ_INS_POLICY_EXP">"c568"</definedName>
    <definedName name="IQ_INS_REV">"c569"</definedName>
    <definedName name="IQ_INS_SETTLE">"c570"</definedName>
    <definedName name="IQ_INS_SETTLE_BNK">"c571"</definedName>
    <definedName name="IQ_INS_SETTLE_BR">"c572"</definedName>
    <definedName name="IQ_INS_SETTLE_FIN">"c573"</definedName>
    <definedName name="IQ_INS_SETTLE_INS">"c574"</definedName>
    <definedName name="IQ_INS_SETTLE_REIT">"c575"</definedName>
    <definedName name="IQ_INS_SETTLE_UTI">"c576"</definedName>
    <definedName name="IQ_INSIDER_3MTH_BOUGHT_PCT">"c1534"</definedName>
    <definedName name="IQ_INSIDER_3MTH_NET_PCT">"c1535"</definedName>
    <definedName name="IQ_INSIDER_3MTH_SOLD_PCT">"c1533"</definedName>
    <definedName name="IQ_INSIDER_6MTH_BOUGHT_PCT">"c1537"</definedName>
    <definedName name="IQ_INSIDER_6MTH_NET_PCT">"c1538"</definedName>
    <definedName name="IQ_INSIDER_6MTH_SOLD_PCT">"c1536"</definedName>
    <definedName name="IQ_INSIDER_OVER_TOTAL">"c1581"</definedName>
    <definedName name="IQ_INSIDER_OWNER">"c577"</definedName>
    <definedName name="IQ_INSIDER_PERCENT">"c578"</definedName>
    <definedName name="IQ_INSIDER_SHARES">"c579"</definedName>
    <definedName name="IQ_INSTITUTIONAL_OVER_TOTAL">"c1580"</definedName>
    <definedName name="IQ_INSTITUTIONAL_OWNER">"c580"</definedName>
    <definedName name="IQ_INSTITUTIONAL_PERCENT">"c581"</definedName>
    <definedName name="IQ_INSTITUTIONAL_SHARES">"c582"</definedName>
    <definedName name="IQ_INSUR_RECEIV">"c1600"</definedName>
    <definedName name="IQ_INT_BORROW">"c583"</definedName>
    <definedName name="IQ_INT_DEPOSITS">"c584"</definedName>
    <definedName name="IQ_INT_DIV_INC">"c585"</definedName>
    <definedName name="IQ_INT_EXP_BR">"c586"</definedName>
    <definedName name="IQ_INT_EXP_COVERAGE">"c587"</definedName>
    <definedName name="IQ_INT_EXP_FIN">"c588"</definedName>
    <definedName name="IQ_INT_EXP_INS">"c589"</definedName>
    <definedName name="IQ_INT_EXP_LTD">"c2086"</definedName>
    <definedName name="IQ_INT_EXP_REIT">"c590"</definedName>
    <definedName name="IQ_INT_EXP_TOTAL">"c591"</definedName>
    <definedName name="IQ_INT_EXP_UTI">"c592"</definedName>
    <definedName name="IQ_INT_INC_BR">"c593"</definedName>
    <definedName name="IQ_INT_INC_FIN">"c594"</definedName>
    <definedName name="IQ_INT_INC_INVEST">"c595"</definedName>
    <definedName name="IQ_INT_INC_LOANS">"c596"</definedName>
    <definedName name="IQ_INT_INC_REIT">"c597"</definedName>
    <definedName name="IQ_INT_INC_TOTAL">"c598"</definedName>
    <definedName name="IQ_INT_INC_UTI">"c599"</definedName>
    <definedName name="IQ_INT_INV_INC">"c600"</definedName>
    <definedName name="IQ_INT_INV_INC_REIT">"c601"</definedName>
    <definedName name="IQ_INT_INV_INC_UTI">"c602"</definedName>
    <definedName name="IQ_INT_ON_BORROWING_COVERAGE">"c603"</definedName>
    <definedName name="IQ_INT_RATE_SPREAD">"c604"</definedName>
    <definedName name="IQ_INTANGIBLES_NET">"c1407"</definedName>
    <definedName name="IQ_INTEREST_EXP">"c618"</definedName>
    <definedName name="IQ_INTEREST_EXP_NET">"c1450"</definedName>
    <definedName name="IQ_INTEREST_EXP_NON">"c1383"</definedName>
    <definedName name="IQ_INTEREST_EXP_SUPPL">"c1460"</definedName>
    <definedName name="IQ_INTEREST_INC">"c1393"</definedName>
    <definedName name="IQ_INTEREST_INC_NON">"c1384"</definedName>
    <definedName name="IQ_INTEREST_INVEST_INC">"c619"</definedName>
    <definedName name="IQ_INV_10YR_ANN_GROWTH">"c1930"</definedName>
    <definedName name="IQ_INV_1YR_ANN_GROWTH">"c1925"</definedName>
    <definedName name="IQ_INV_2YR_ANN_GROWTH">"c1926"</definedName>
    <definedName name="IQ_INV_3YR_ANN_GROWTH">"c1927"</definedName>
    <definedName name="IQ_INV_5YR_ANN_GROWTH">"c1928"</definedName>
    <definedName name="IQ_INV_7YR_ANN_GROWTH">"c1929"</definedName>
    <definedName name="IQ_INV_BANKING_FEE">"c620"</definedName>
    <definedName name="IQ_INV_METHOD">"c621"</definedName>
    <definedName name="IQ_INVENTORY">"c622"</definedName>
    <definedName name="IQ_INVENTORY_TURNS">"c623"</definedName>
    <definedName name="IQ_INVENTORY_UTI">"c624"</definedName>
    <definedName name="IQ_INVEST_DEBT">"c625"</definedName>
    <definedName name="IQ_INVEST_EQUITY_PREF">"c626"</definedName>
    <definedName name="IQ_INVEST_FHLB">"c627"</definedName>
    <definedName name="IQ_INVEST_LOANS_CF">"c628"</definedName>
    <definedName name="IQ_INVEST_LOANS_CF_BNK">"c629"</definedName>
    <definedName name="IQ_INVEST_LOANS_CF_BR">"c630"</definedName>
    <definedName name="IQ_INVEST_LOANS_CF_FIN">"c631"</definedName>
    <definedName name="IQ_INVEST_LOANS_CF_INS">"c632"</definedName>
    <definedName name="IQ_INVEST_LOANS_CF_REIT">"c633"</definedName>
    <definedName name="IQ_INVEST_LOANS_CF_UTI">"c634"</definedName>
    <definedName name="IQ_INVEST_REAL_ESTATE">"c635"</definedName>
    <definedName name="IQ_INVEST_SECURITY">"c636"</definedName>
    <definedName name="IQ_INVEST_SECURITY_CF">"c637"</definedName>
    <definedName name="IQ_INVEST_SECURITY_CF_BNK">"c638"</definedName>
    <definedName name="IQ_INVEST_SECURITY_CF_BR">"c639"</definedName>
    <definedName name="IQ_INVEST_SECURITY_CF_FIN">"c640"</definedName>
    <definedName name="IQ_INVEST_SECURITY_CF_INS">"c641"</definedName>
    <definedName name="IQ_INVEST_SECURITY_CF_REIT">"c642"</definedName>
    <definedName name="IQ_INVEST_SECURITY_CF_UTI">"c643"</definedName>
    <definedName name="IQ_IPRD">"c644"</definedName>
    <definedName name="IQ_ISS_DEBT_NET">"c1391"</definedName>
    <definedName name="IQ_ISS_STOCK_NET">"c1601"</definedName>
    <definedName name="IQ_LAND">"c645"</definedName>
    <definedName name="IQ_LAST_SPLIT_DATE">"c2095"</definedName>
    <definedName name="IQ_LAST_SPLIT_FACTOR">"c2093"</definedName>
    <definedName name="IQ_LASTSALEPRICE">"c646"</definedName>
    <definedName name="IQ_LASTSALEPRICE_DATE">"c2109"</definedName>
    <definedName name="IQ_LATESTK">1000</definedName>
    <definedName name="IQ_LATESTQ">500</definedName>
    <definedName name="IQ_LEGAL_SETTLE">"c647"</definedName>
    <definedName name="IQ_LEGAL_SETTLE_BNK">"c648"</definedName>
    <definedName name="IQ_LEGAL_SETTLE_BR">"c649"</definedName>
    <definedName name="IQ_LEGAL_SETTLE_FIN">"c650"</definedName>
    <definedName name="IQ_LEGAL_SETTLE_INS">"c651"</definedName>
    <definedName name="IQ_LEGAL_SETTLE_REIT">"c652"</definedName>
    <definedName name="IQ_LEGAL_SETTLE_UTI">"c653"</definedName>
    <definedName name="IQ_LEVERAGE_RATIO">"c654"</definedName>
    <definedName name="IQ_LEVERED_FCF">"c1907"</definedName>
    <definedName name="IQ_LFCF_10YR_ANN_GROWTH">"c1942"</definedName>
    <definedName name="IQ_LFCF_1YR_ANN_GROWTH">"c1937"</definedName>
    <definedName name="IQ_LFCF_2YR_ANN_GROWTH">"c1938"</definedName>
    <definedName name="IQ_LFCF_3YR_ANN_GROWTH">"c1939"</definedName>
    <definedName name="IQ_LFCF_5YR_ANN_GROWTH">"c1940"</definedName>
    <definedName name="IQ_LFCF_7YR_ANN_GROWTH">"c1941"</definedName>
    <definedName name="IQ_LFCF_MARGIN">"c1961"</definedName>
    <definedName name="IQ_LICENSED_POPS">"c2123"</definedName>
    <definedName name="IQ_LIFOR">"c655"</definedName>
    <definedName name="IQ_LL">"c656"</definedName>
    <definedName name="IQ_LOAN_LEASE_RECEIV">"c657"</definedName>
    <definedName name="IQ_LOAN_LOSS">"c1386"</definedName>
    <definedName name="IQ_LOAN_SERVICE_REV">"c658"</definedName>
    <definedName name="IQ_LOANS_CF">"c659"</definedName>
    <definedName name="IQ_LOANS_CF_BNK">"c660"</definedName>
    <definedName name="IQ_LOANS_CF_BR">"c661"</definedName>
    <definedName name="IQ_LOANS_CF_FIN">"c662"</definedName>
    <definedName name="IQ_LOANS_CF_INS">"c663"</definedName>
    <definedName name="IQ_LOANS_CF_REIT">"c664"</definedName>
    <definedName name="IQ_LOANS_CF_UTI">"c665"</definedName>
    <definedName name="IQ_LOANS_FOR_SALE">"c666"</definedName>
    <definedName name="IQ_LOANS_PAST_DUE">"c667"</definedName>
    <definedName name="IQ_LOANS_RECEIV_CURRENT">"c668"</definedName>
    <definedName name="IQ_LOANS_RECEIV_LT">"c669"</definedName>
    <definedName name="IQ_LOANS_RECEIV_LT_UTI">"c670"</definedName>
    <definedName name="IQ_LONG_TERM_DEBT">"c1387"</definedName>
    <definedName name="IQ_LONG_TERM_DEBT_OVER_TOTAL_CAP">"c1388"</definedName>
    <definedName name="IQ_LONG_TERM_GROWTH">"c671"</definedName>
    <definedName name="IQ_LONG_TERM_INV">"c1389"</definedName>
    <definedName name="IQ_LOSS_LOSS_EXP">"c672"</definedName>
    <definedName name="IQ_LOWPRICE">"c673"</definedName>
    <definedName name="IQ_LT_DEBT">"c674"</definedName>
    <definedName name="IQ_LT_DEBT_BNK">"c675"</definedName>
    <definedName name="IQ_LT_DEBT_BR">"c676"</definedName>
    <definedName name="IQ_LT_DEBT_CAPITAL">"c677"</definedName>
    <definedName name="IQ_LT_DEBT_EQUITY">"c678"</definedName>
    <definedName name="IQ_LT_DEBT_FIN">"c679"</definedName>
    <definedName name="IQ_LT_DEBT_INS">"c680"</definedName>
    <definedName name="IQ_LT_DEBT_ISSUED">"c681"</definedName>
    <definedName name="IQ_LT_DEBT_ISSUED_BNK">"c682"</definedName>
    <definedName name="IQ_LT_DEBT_ISSUED_BR">"c683"</definedName>
    <definedName name="IQ_LT_DEBT_ISSUED_FIN">"c684"</definedName>
    <definedName name="IQ_LT_DEBT_ISSUED_INS">"c685"</definedName>
    <definedName name="IQ_LT_DEBT_ISSUED_REIT">"c686"</definedName>
    <definedName name="IQ_LT_DEBT_ISSUED_UTI">"c687"</definedName>
    <definedName name="IQ_LT_DEBT_REIT">"c688"</definedName>
    <definedName name="IQ_LT_DEBT_REPAID">"c689"</definedName>
    <definedName name="IQ_LT_DEBT_REPAID_BNK">"c690"</definedName>
    <definedName name="IQ_LT_DEBT_REPAID_BR">"c691"</definedName>
    <definedName name="IQ_LT_DEBT_REPAID_FIN">"c692"</definedName>
    <definedName name="IQ_LT_DEBT_REPAID_INS">"c693"</definedName>
    <definedName name="IQ_LT_DEBT_REPAID_REIT">"c694"</definedName>
    <definedName name="IQ_LT_DEBT_REPAID_UTI">"c695"</definedName>
    <definedName name="IQ_LT_DEBT_UTI">"c696"</definedName>
    <definedName name="IQ_LT_INVEST">"c697"</definedName>
    <definedName name="IQ_LT_INVEST_BR">"c698"</definedName>
    <definedName name="IQ_LT_INVEST_FIN">"c699"</definedName>
    <definedName name="IQ_LT_INVEST_REIT">"c700"</definedName>
    <definedName name="IQ_LT_INVEST_UTI">"c701"</definedName>
    <definedName name="IQ_LT_NOTE_RECEIV">"c1602"</definedName>
    <definedName name="IQ_LTD_DUE_AFTER_FIVE">"c704"</definedName>
    <definedName name="IQ_LTD_DUE_CY">"c705"</definedName>
    <definedName name="IQ_LTD_DUE_CY1">"c706"</definedName>
    <definedName name="IQ_LTD_DUE_CY2">"c707"</definedName>
    <definedName name="IQ_LTD_DUE_CY3">"c708"</definedName>
    <definedName name="IQ_LTD_DUE_CY4">"c709"</definedName>
    <definedName name="IQ_LTD_DUE_NEXT_FIVE">"c710"</definedName>
    <definedName name="IQ_LTM">2000</definedName>
    <definedName name="IQ_LTM_REVENUE_OVER_EMPLOYEES">"c1437"</definedName>
    <definedName name="IQ_MACHINERY">"c711"</definedName>
    <definedName name="IQ_MAINT_REPAIR">"c2087"</definedName>
    <definedName name="IQ_MARKETCAP">"c712"</definedName>
    <definedName name="IQ_MERGER">"c713"</definedName>
    <definedName name="IQ_MERGER_BNK">"c714"</definedName>
    <definedName name="IQ_MERGER_BR">"c715"</definedName>
    <definedName name="IQ_MERGER_FIN">"c716"</definedName>
    <definedName name="IQ_MERGER_INS">"c717"</definedName>
    <definedName name="IQ_MERGER_REIT">"c718"</definedName>
    <definedName name="IQ_MERGER_RESTRUCTURE">"c719"</definedName>
    <definedName name="IQ_MERGER_RESTRUCTURE_BNK">"c720"</definedName>
    <definedName name="IQ_MERGER_RESTRUCTURE_BR">"c721"</definedName>
    <definedName name="IQ_MERGER_RESTRUCTURE_FIN">"c722"</definedName>
    <definedName name="IQ_MERGER_RESTRUCTURE_INS">"c723"</definedName>
    <definedName name="IQ_MERGER_RESTRUCTURE_REIT">"c724"</definedName>
    <definedName name="IQ_MERGER_RESTRUCTURE_UTI">"c725"</definedName>
    <definedName name="IQ_MERGER_UTI">"c726"</definedName>
    <definedName name="IQ_MINORITY_INTEREST">"c727"</definedName>
    <definedName name="IQ_MINORITY_INTEREST_BNK">"c728"</definedName>
    <definedName name="IQ_MINORITY_INTEREST_BR">"c729"</definedName>
    <definedName name="IQ_MINORITY_INTEREST_CF">"c730"</definedName>
    <definedName name="IQ_MINORITY_INTEREST_FIN">"c731"</definedName>
    <definedName name="IQ_MINORITY_INTEREST_INS">"c732"</definedName>
    <definedName name="IQ_MINORITY_INTEREST_IS">"c733"</definedName>
    <definedName name="IQ_MINORITY_INTEREST_REIT">"c734"</definedName>
    <definedName name="IQ_MINORITY_INTEREST_TOTAL">"c1905"</definedName>
    <definedName name="IQ_MINORITY_INTEREST_UTI">"c735"</definedName>
    <definedName name="IQ_MISC_ADJUST_CF">"c736"</definedName>
    <definedName name="IQ_MISC_EARN_ADJ">"c1603"</definedName>
    <definedName name="IQ_MKTCAP_EBT_EXCL">"c737"</definedName>
    <definedName name="IQ_MKTCAP_EBT_EXCL_AVG">"c738"</definedName>
    <definedName name="IQ_MKTCAP_EBT_INCL_AVG">"c739"</definedName>
    <definedName name="IQ_MKTCAP_TOTAL_REV">"c740"</definedName>
    <definedName name="IQ_MKTCAP_TOTAL_REV_AVG">"c741"</definedName>
    <definedName name="IQ_MKTCAP_TOTAL_REV_FWD">"c742"</definedName>
    <definedName name="IQ_MM_ACCOUNT">"c743"</definedName>
    <definedName name="IQ_MORT_BANK_ACT">"c744"</definedName>
    <definedName name="IQ_MORT_BANKING_FEE">"c745"</definedName>
    <definedName name="IQ_MORT_INT_INC">"c746"</definedName>
    <definedName name="IQ_MORT_LOANS">"c747"</definedName>
    <definedName name="IQ_MORT_SECURITY">"c748"</definedName>
    <definedName name="IQ_NET_CHANGE">"c749"</definedName>
    <definedName name="IQ_NET_DEBT">"c1584"</definedName>
    <definedName name="IQ_NET_DEBT_EBITDA">"c750"</definedName>
    <definedName name="IQ_NET_DEBT_ISSUED">"c751"</definedName>
    <definedName name="IQ_NET_DEBT_ISSUED_BNK">"c752"</definedName>
    <definedName name="IQ_NET_DEBT_ISSUED_BR">"c753"</definedName>
    <definedName name="IQ_NET_DEBT_ISSUED_FIN">"c754"</definedName>
    <definedName name="IQ_NET_DEBT_ISSUED_INS">"c755"</definedName>
    <definedName name="IQ_NET_DEBT_ISSUED_REIT">"c756"</definedName>
    <definedName name="IQ_NET_DEBT_ISSUED_UTI">"c757"</definedName>
    <definedName name="IQ_NET_INC">"c1394"</definedName>
    <definedName name="IQ_NET_INC_BEFORE">"c1368"</definedName>
    <definedName name="IQ_NET_INC_CF">"c1397"</definedName>
    <definedName name="IQ_NET_INC_MARGIN">"c1398"</definedName>
    <definedName name="IQ_NET_INT_INC_10YR_ANN_GROWTH">"c758"</definedName>
    <definedName name="IQ_NET_INT_INC_1YR_ANN_GROWTH">"c759"</definedName>
    <definedName name="IQ_NET_INT_INC_2YR_ANN_GROWTH">"c760"</definedName>
    <definedName name="IQ_NET_INT_INC_3YR_ANN_GROWTH">"c761"</definedName>
    <definedName name="IQ_NET_INT_INC_5YR_ANN_GROWTH">"c762"</definedName>
    <definedName name="IQ_NET_INT_INC_7YR_ANN_GROWTH">"c763"</definedName>
    <definedName name="IQ_NET_INT_INC_BNK">"c764"</definedName>
    <definedName name="IQ_NET_INT_INC_BR">"c765"</definedName>
    <definedName name="IQ_NET_INT_INC_FIN">"c766"</definedName>
    <definedName name="IQ_NET_INT_INC_TOTAL_REV">"c767"</definedName>
    <definedName name="IQ_NET_INT_MARGIN">"c768"</definedName>
    <definedName name="IQ_NET_INTEREST_EXP">"c769"</definedName>
    <definedName name="IQ_NET_INTEREST_EXP_REIT">"c770"</definedName>
    <definedName name="IQ_NET_INTEREST_EXP_UTI">"c771"</definedName>
    <definedName name="IQ_NET_INTEREST_INC">"c1392"</definedName>
    <definedName name="IQ_NET_INTEREST_INC_AFTER_LL">"c1604"</definedName>
    <definedName name="IQ_NET_LOANS">"c772"</definedName>
    <definedName name="IQ_NET_LOANS_10YR_ANN_GROWTH">"c773"</definedName>
    <definedName name="IQ_NET_LOANS_1YR_ANN_GROWTH">"c774"</definedName>
    <definedName name="IQ_NET_LOANS_2YR_ANN_GROWTH">"c775"</definedName>
    <definedName name="IQ_NET_LOANS_3YR_ANN_GROWTH">"c776"</definedName>
    <definedName name="IQ_NET_LOANS_5YR_ANN_GROWTH">"c777"</definedName>
    <definedName name="IQ_NET_LOANS_7YR_ANN_GROWTH">"c778"</definedName>
    <definedName name="IQ_NET_LOANS_TOTAL_DEPOSITS">"c779"</definedName>
    <definedName name="IQ_NET_RENTAL_EXP_FN">"c780"</definedName>
    <definedName name="IQ_NI">"c781"</definedName>
    <definedName name="IQ_NI_10YR_ANN_GROWTH">"c782"</definedName>
    <definedName name="IQ_NI_1YR_ANN_GROWTH">"c783"</definedName>
    <definedName name="IQ_NI_2YR_ANN_GROWTH">"c784"</definedName>
    <definedName name="IQ_NI_3YR_ANN_GROWTH">"c785"</definedName>
    <definedName name="IQ_NI_5YR_ANN_GROWTH">"c786"</definedName>
    <definedName name="IQ_NI_7YR_ANN_GROWTH">"c787"</definedName>
    <definedName name="IQ_NI_AFTER_CAPITALIZED">"c788"</definedName>
    <definedName name="IQ_NI_AVAIL_EXCL">"c789"</definedName>
    <definedName name="IQ_NI_AVAIL_EXCL_MARGIN">"c790"</definedName>
    <definedName name="IQ_NI_AVAIL_INCL">"c791"</definedName>
    <definedName name="IQ_NI_BEFORE_CAPITALIZED">"c792"</definedName>
    <definedName name="IQ_NI_CF">"c793"</definedName>
    <definedName name="IQ_NI_MARGIN">"c794"</definedName>
    <definedName name="IQ_NI_NORM">"c1901"</definedName>
    <definedName name="IQ_NI_NORM_10YR_ANN_GROWTH">"c1960"</definedName>
    <definedName name="IQ_NI_NORM_1YR_ANN_GROWTH">"c1955"</definedName>
    <definedName name="IQ_NI_NORM_2YR_ANN_GROWTH">"c1956"</definedName>
    <definedName name="IQ_NI_NORM_3YR_ANN_GROWTH">"c1957"</definedName>
    <definedName name="IQ_NI_NORM_5YR_ANN_GROWTH">"c1958"</definedName>
    <definedName name="IQ_NI_NORM_7YR_ANN_GROWTH">"c1959"</definedName>
    <definedName name="IQ_NI_NORM_MARGIN">"c1964"</definedName>
    <definedName name="IQ_NI_SFAS">"c795"</definedName>
    <definedName name="IQ_NON_ACCRUAL_LOANS">"c796"</definedName>
    <definedName name="IQ_NON_CASH">"c1399"</definedName>
    <definedName name="IQ_NON_CASH_ITEMS">"c797"</definedName>
    <definedName name="IQ_NON_INS_EXP">"c798"</definedName>
    <definedName name="IQ_NON_INS_REV">"c799"</definedName>
    <definedName name="IQ_NON_INT_BEAR_CD">"c800"</definedName>
    <definedName name="IQ_NON_INT_EXP">"c801"</definedName>
    <definedName name="IQ_NON_INT_INC">"c802"</definedName>
    <definedName name="IQ_NON_INT_INC_10YR_ANN_GROWTH">"c803"</definedName>
    <definedName name="IQ_NON_INT_INC_1YR_ANN_GROWTH">"c804"</definedName>
    <definedName name="IQ_NON_INT_INC_2YR_ANN_GROWTH">"c805"</definedName>
    <definedName name="IQ_NON_INT_INC_3YR_ANN_GROWTH">"c806"</definedName>
    <definedName name="IQ_NON_INT_INC_5YR_ANN_GROWTH">"c807"</definedName>
    <definedName name="IQ_NON_INT_INC_7YR_ANN_GROWTH">"c808"</definedName>
    <definedName name="IQ_NON_INTEREST_EXP">"c1400"</definedName>
    <definedName name="IQ_NON_INTEREST_INC">"c1401"</definedName>
    <definedName name="IQ_NON_OPER_EXP">"c809"</definedName>
    <definedName name="IQ_NON_OPER_INC">"c810"</definedName>
    <definedName name="IQ_NON_PERF_ASSETS_10YR_ANN_GROWTH">"c811"</definedName>
    <definedName name="IQ_NON_PERF_ASSETS_1YR_ANN_GROWTH">"c812"</definedName>
    <definedName name="IQ_NON_PERF_ASSETS_2YR_ANN_GROWTH">"c813"</definedName>
    <definedName name="IQ_NON_PERF_ASSETS_3YR_ANN_GROWTH">"c814"</definedName>
    <definedName name="IQ_NON_PERF_ASSETS_5YR_ANN_GROWTH">"c815"</definedName>
    <definedName name="IQ_NON_PERF_ASSETS_7YR_ANN_GROWTH">"c816"</definedName>
    <definedName name="IQ_NON_PERF_ASSETS_TOTAL_ASSETS">"c817"</definedName>
    <definedName name="IQ_NON_PERF_LOANS_10YR_ANN_GROWTH">"c818"</definedName>
    <definedName name="IQ_NON_PERF_LOANS_1YR_ANN_GROWTH">"c819"</definedName>
    <definedName name="IQ_NON_PERF_LOANS_2YR_ANN_GROWTH">"c820"</definedName>
    <definedName name="IQ_NON_PERF_LOANS_3YR_ANN_GROWTH">"c821"</definedName>
    <definedName name="IQ_NON_PERF_LOANS_5YR_ANN_GROWTH">"c822"</definedName>
    <definedName name="IQ_NON_PERF_LOANS_7YR_ANN_GROWTH">"c823"</definedName>
    <definedName name="IQ_NON_PERF_LOANS_TOTAL_ASSETS">"c824"</definedName>
    <definedName name="IQ_NON_PERF_LOANS_TOTAL_LOANS">"c825"</definedName>
    <definedName name="IQ_NON_PERFORMING_ASSETS">"c826"</definedName>
    <definedName name="IQ_NON_PERFORMING_LOANS">"c827"</definedName>
    <definedName name="IQ_NONUTIL_REV">"c2089"</definedName>
    <definedName name="IQ_NORMAL_INC_AFTER">"c1605"</definedName>
    <definedName name="IQ_NORMAL_INC_AVAIL">"c1606"</definedName>
    <definedName name="IQ_NORMAL_INC_BEFORE">"c1607"</definedName>
    <definedName name="IQ_NOTES_PAY">"c1423"</definedName>
    <definedName name="IQ_NOW_ACCOUNT">"c828"</definedName>
    <definedName name="IQ_NPPE">"c829"</definedName>
    <definedName name="IQ_NPPE_10YR_ANN_GROWTH">"c830"</definedName>
    <definedName name="IQ_NPPE_1YR_ANN_GROWTH">"c831"</definedName>
    <definedName name="IQ_NPPE_2YR_ANN_GROWTH">"c832"</definedName>
    <definedName name="IQ_NPPE_3YR_ANN_GROWTH">"c833"</definedName>
    <definedName name="IQ_NPPE_5YR_ANN_GROWTH">"c834"</definedName>
    <definedName name="IQ_NPPE_7YR_ANN_GROWTH">"c835"</definedName>
    <definedName name="IQ_NTM">6000</definedName>
    <definedName name="IQ_NUKE">"c836"</definedName>
    <definedName name="IQ_NUKE_CF">"c837"</definedName>
    <definedName name="IQ_NUKE_CONTR">"c838"</definedName>
    <definedName name="IQ_NUM_BRANCHES">"c2088"</definedName>
    <definedName name="IQ_NUMBER_ADRHOLDERS">"c1970"</definedName>
    <definedName name="IQ_NUMBER_DAYS">"c1904"</definedName>
    <definedName name="IQ_NUMBER_SHAREHOLDERS">"c1967"</definedName>
    <definedName name="IQ_NUMBER_SHAREHOLDERS_CLASSA">"c1968"</definedName>
    <definedName name="IQ_NUMBER_SHAREHOLDERS_OTHER">"c1969"</definedName>
    <definedName name="IQ_OCCUPY_EXP">"c839"</definedName>
    <definedName name="IQ_OG_10DISC">"c1998"</definedName>
    <definedName name="IQ_OG_10DISC_GAS">"c2018"</definedName>
    <definedName name="IQ_OG_10DISC_OIL">"c2008"</definedName>
    <definedName name="IQ_OG_ACQ_COST_PROVED">"c1975"</definedName>
    <definedName name="IQ_OG_ACQ_COST_PROVED_GAS">"c1987"</definedName>
    <definedName name="IQ_OG_ACQ_COST_PROVED_OIL">"c1981"</definedName>
    <definedName name="IQ_OG_ACQ_COST_UNPROVED">"c1976"</definedName>
    <definedName name="IQ_OG_ACQ_COST_UNPROVED_GAS">"c1988"</definedName>
    <definedName name="IQ_OG_ACQ_COST_UNPROVED_OIL">"c1982"</definedName>
    <definedName name="IQ_OG_CLOSE_BALANCE_GAS">"c2049"</definedName>
    <definedName name="IQ_OG_CLOSE_BALANCE_OIL">"c2037"</definedName>
    <definedName name="IQ_OG_DCF_BEFORE_TAXES">"c2023"</definedName>
    <definedName name="IQ_OG_DCF_BEFORE_TAXES_GAS">"c2025"</definedName>
    <definedName name="IQ_OG_DCF_BEFORE_TAXES_OIL">"c2024"</definedName>
    <definedName name="IQ_OG_DEVELOPED_RESERVES_GAS">"c2053"</definedName>
    <definedName name="IQ_OG_DEVELOPED_RESERVES_OIL">"c2054"</definedName>
    <definedName name="IQ_OG_DEVELOPMENT_COSTS">"c1978"</definedName>
    <definedName name="IQ_OG_DEVELOPMENT_COSTS_GAS">"c1990"</definedName>
    <definedName name="IQ_OG_DEVELOPMENT_COSTS_OIL">"c1984"</definedName>
    <definedName name="IQ_OG_EQUITY_DCF">"c2002"</definedName>
    <definedName name="IQ_OG_EQUITY_DCF_GAS">"c2022"</definedName>
    <definedName name="IQ_OG_EQUITY_DCF_OIL">"c2012"</definedName>
    <definedName name="IQ_OG_EQUTY_RESERVES_GAS">"c2050"</definedName>
    <definedName name="IQ_OG_EQUTY_RESERVES_OIL">"c2038"</definedName>
    <definedName name="IQ_OG_EXPLORATION_COSTS">"c1977"</definedName>
    <definedName name="IQ_OG_EXPLORATION_COSTS_GAS">"c1989"</definedName>
    <definedName name="IQ_OG_EXPLORATION_COSTS_OIL">"c1983"</definedName>
    <definedName name="IQ_OG_EXT_DISC_GAS">"c2043"</definedName>
    <definedName name="IQ_OG_EXT_DISC_OIL">"c2031"</definedName>
    <definedName name="IQ_OG_FUTURE_CASH_INFLOWS">"c1993"</definedName>
    <definedName name="IQ_OG_FUTURE_CASH_INFLOWS_GAS">"c2013"</definedName>
    <definedName name="IQ_OG_FUTURE_CASH_INFLOWS_OIL">"c2003"</definedName>
    <definedName name="IQ_OG_FUTURE_DEVELOPMENT_COSTS">"c1995"</definedName>
    <definedName name="IQ_OG_FUTURE_DEVELOPMENT_COSTS_GAS">"c2015"</definedName>
    <definedName name="IQ_OG_FUTURE_DEVELOPMENT_COSTS_OIL">"c2005"</definedName>
    <definedName name="IQ_OG_FUTURE_INC_TAXES">"c1997"</definedName>
    <definedName name="IQ_OG_FUTURE_INC_TAXES_GAS">"c2017"</definedName>
    <definedName name="IQ_OG_FUTURE_INC_TAXES_OIL">"c2007"</definedName>
    <definedName name="IQ_OG_FUTURE_PRODUCTION_COSTS">"c1994"</definedName>
    <definedName name="IQ_OG_FUTURE_PRODUCTION_COSTS_GAS">"c2014"</definedName>
    <definedName name="IQ_OG_FUTURE_PRODUCTION_COSTS_OIL">"c2004"</definedName>
    <definedName name="IQ_OG_GAS_PRICE_HEDGED">"c2056"</definedName>
    <definedName name="IQ_OG_GAS_PRICE_UNHEDGED">"c2058"</definedName>
    <definedName name="IQ_OG_IMPROVED_RECOVERY_GAS">"c2044"</definedName>
    <definedName name="IQ_OG_IMPROVED_RECOVERY_OIL">"c2032"</definedName>
    <definedName name="IQ_OG_NET_FUTURE_CASH_FLOWS">"c1996"</definedName>
    <definedName name="IQ_OG_NET_FUTURE_CASH_FLOWS_GAS">"c2016"</definedName>
    <definedName name="IQ_OG_NET_FUTURE_CASH_FLOWS_OIL">"c2006"</definedName>
    <definedName name="IQ_OG_OIL_PRICE_HEDGED">"c2055"</definedName>
    <definedName name="IQ_OG_OIL_PRICE_UNHEDGED">"c2057"</definedName>
    <definedName name="IQ_OG_OPEN_BALANCE_GAS">"c2041"</definedName>
    <definedName name="IQ_OG_OPEN_BALANCE_OIL">"c2029"</definedName>
    <definedName name="IQ_OG_OTHER_ADJ_FCF">"c1999"</definedName>
    <definedName name="IQ_OG_OTHER_ADJ_FCF_GAS">"c2019"</definedName>
    <definedName name="IQ_OG_OTHER_ADJ_FCF_OIL">"c2009"</definedName>
    <definedName name="IQ_OG_OTHER_ADJ_GAS">"c2048"</definedName>
    <definedName name="IQ_OG_OTHER_ADJ_OIL">"c2036"</definedName>
    <definedName name="IQ_OG_OTHER_COSTS">"c1979"</definedName>
    <definedName name="IQ_OG_OTHER_COSTS_GAS">"c1991"</definedName>
    <definedName name="IQ_OG_OTHER_COSTS_OIL">"c1985"</definedName>
    <definedName name="IQ_OG_PRODUCTION_GAS">"c2047"</definedName>
    <definedName name="IQ_OG_PRODUCTION_OIL">"c2035"</definedName>
    <definedName name="IQ_OG_PURCHASES_GAS">"c2045"</definedName>
    <definedName name="IQ_OG_PURCHASES_OIL">"c2033"</definedName>
    <definedName name="IQ_OG_REVISIONS_GAS">"c2042"</definedName>
    <definedName name="IQ_OG_REVISIONS_OIL">"c2030"</definedName>
    <definedName name="IQ_OG_SALES_IN_PLACE_GAS">"c2046"</definedName>
    <definedName name="IQ_OG_SALES_IN_PLACE_OIL">"c2034"</definedName>
    <definedName name="IQ_OG_STANDARDIZED_DCF">"c2000"</definedName>
    <definedName name="IQ_OG_STANDARDIZED_DCF_GAS">"c2020"</definedName>
    <definedName name="IQ_OG_STANDARDIZED_DCF_HEDGED">"c2001"</definedName>
    <definedName name="IQ_OG_STANDARDIZED_DCF_HEDGED_GAS">"c2021"</definedName>
    <definedName name="IQ_OG_STANDARDIZED_DCF_HEDGED_OIL">"c2011"</definedName>
    <definedName name="IQ_OG_STANDARDIZED_DCF_OIL">"c2010"</definedName>
    <definedName name="IQ_OG_TAXES">"c2026"</definedName>
    <definedName name="IQ_OG_TAXES_GAS">"c2028"</definedName>
    <definedName name="IQ_OG_TAXES_OIL">"c2027"</definedName>
    <definedName name="IQ_OG_TOTAL_COSTS">"c1980"</definedName>
    <definedName name="IQ_OG_TOTAL_COSTS_GAS">"c1992"</definedName>
    <definedName name="IQ_OG_TOTAL_COSTS_OIL">"c1986"</definedName>
    <definedName name="IQ_OG_TOTAL_EST_PROVED_RESERVES_GAS">"c2052"</definedName>
    <definedName name="IQ_OG_TOTAL_GAS_PRODUCTION">"c2060"</definedName>
    <definedName name="IQ_OG_TOTAL_OIL_PRODUCTON">"c2059"</definedName>
    <definedName name="IQ_OG_UNDEVELOPED_RESERVES_GAS">"c2051"</definedName>
    <definedName name="IQ_OG_UNDEVELOPED_RESERVES_OIL">"c2039"</definedName>
    <definedName name="IQ_OIL_IMPAIR">"c840"</definedName>
    <definedName name="IQ_OL_COMM_AFTER_FIVE">"c841"</definedName>
    <definedName name="IQ_OL_COMM_CY">"c842"</definedName>
    <definedName name="IQ_OL_COMM_CY1">"c843"</definedName>
    <definedName name="IQ_OL_COMM_CY2">"c844"</definedName>
    <definedName name="IQ_OL_COMM_CY3">"c845"</definedName>
    <definedName name="IQ_OL_COMM_CY4">"c846"</definedName>
    <definedName name="IQ_OL_COMM_NEXT_FIVE">"c847"</definedName>
    <definedName name="IQ_OPENPRICE">"c848"</definedName>
    <definedName name="IQ_OPER_INC">"c849"</definedName>
    <definedName name="IQ_OPER_INC_BR">"c850"</definedName>
    <definedName name="IQ_OPER_INC_FIN">"c851"</definedName>
    <definedName name="IQ_OPER_INC_INS">"c852"</definedName>
    <definedName name="IQ_OPER_INC_MARGIN">"c1448"</definedName>
    <definedName name="IQ_OPER_INC_REIT">"c853"</definedName>
    <definedName name="IQ_OPER_INC_UTI">"c854"</definedName>
    <definedName name="IQ_OPERATIONS_EXP">"c855"</definedName>
    <definedName name="IQ_OPTIONS_BEG_OS">"c1572"</definedName>
    <definedName name="IQ_OPTIONS_CANCELLED">"c856"</definedName>
    <definedName name="IQ_OPTIONS_END_OS">"c1573"</definedName>
    <definedName name="IQ_OPTIONS_EXERCISED">"c2116"</definedName>
    <definedName name="IQ_OPTIONS_ISSUED">"c857"</definedName>
    <definedName name="IQ_ORDER_BACKLOG">"c2090"</definedName>
    <definedName name="IQ_OTHER_ADJUST_GROSS_LOANS">"c859"</definedName>
    <definedName name="IQ_OTHER_ASSETS">"c860"</definedName>
    <definedName name="IQ_OTHER_ASSETS_BNK">"c861"</definedName>
    <definedName name="IQ_OTHER_ASSETS_BR">"c862"</definedName>
    <definedName name="IQ_OTHER_ASSETS_FIN">"c863"</definedName>
    <definedName name="IQ_OTHER_ASSETS_INS">"c864"</definedName>
    <definedName name="IQ_OTHER_ASSETS_REIT">"c865"</definedName>
    <definedName name="IQ_OTHER_ASSETS_UTI">"c866"</definedName>
    <definedName name="IQ_OTHER_BEARING_LIAB">"c1608"</definedName>
    <definedName name="IQ_OTHER_BENEFITS_OBLIGATION">"c867"</definedName>
    <definedName name="IQ_OTHER_CA">"c868"</definedName>
    <definedName name="IQ_OTHER_CA_SUPPL">"c869"</definedName>
    <definedName name="IQ_OTHER_CA_SUPPL_BNK">"c870"</definedName>
    <definedName name="IQ_OTHER_CA_SUPPL_BR">"c871"</definedName>
    <definedName name="IQ_OTHER_CA_SUPPL_FIN">"c872"</definedName>
    <definedName name="IQ_OTHER_CA_SUPPL_INS">"c873"</definedName>
    <definedName name="IQ_OTHER_CA_SUPPL_REIT">"c874"</definedName>
    <definedName name="IQ_OTHER_CA_SUPPL_UTI">"c875"</definedName>
    <definedName name="IQ_OTHER_CA_UTI">"c876"</definedName>
    <definedName name="IQ_OTHER_CL">"c877"</definedName>
    <definedName name="IQ_OTHER_CL_SUPPL">"c878"</definedName>
    <definedName name="IQ_OTHER_CL_SUPPL_BNK">"c879"</definedName>
    <definedName name="IQ_OTHER_CL_SUPPL_BR">"c880"</definedName>
    <definedName name="IQ_OTHER_CL_SUPPL_FIN">"c881"</definedName>
    <definedName name="IQ_OTHER_CL_SUPPL_REIT">"c882"</definedName>
    <definedName name="IQ_OTHER_CL_SUPPL_UTI">"c883"</definedName>
    <definedName name="IQ_OTHER_CL_UTI">"c884"</definedName>
    <definedName name="IQ_OTHER_CURRENT_ASSETS">"c1403"</definedName>
    <definedName name="IQ_OTHER_CURRENT_LIAB">"c1404"</definedName>
    <definedName name="IQ_OTHER_DEP">"c885"</definedName>
    <definedName name="IQ_OTHER_EARNING">"c1609"</definedName>
    <definedName name="IQ_OTHER_EQUITY">"c886"</definedName>
    <definedName name="IQ_OTHER_EQUITY_BNK">"c887"</definedName>
    <definedName name="IQ_OTHER_EQUITY_BR">"c888"</definedName>
    <definedName name="IQ_OTHER_EQUITY_FIN">"c889"</definedName>
    <definedName name="IQ_OTHER_EQUITY_INS">"c890"</definedName>
    <definedName name="IQ_OTHER_EQUITY_REIT">"c891"</definedName>
    <definedName name="IQ_OTHER_EQUITY_UTI">"c892"</definedName>
    <definedName name="IQ_OTHER_FINANCE_ACT">"c893"</definedName>
    <definedName name="IQ_OTHER_FINANCE_ACT_BNK">"c894"</definedName>
    <definedName name="IQ_OTHER_FINANCE_ACT_BR">"c895"</definedName>
    <definedName name="IQ_OTHER_FINANCE_ACT_FIN">"c896"</definedName>
    <definedName name="IQ_OTHER_FINANCE_ACT_INS">"c897"</definedName>
    <definedName name="IQ_OTHER_FINANCE_ACT_REIT">"c898"</definedName>
    <definedName name="IQ_OTHER_FINANCE_ACT_SUPPL">"c899"</definedName>
    <definedName name="IQ_OTHER_FINANCE_ACT_SUPPL_BNK">"c900"</definedName>
    <definedName name="IQ_OTHER_FINANCE_ACT_SUPPL_BR">"c901"</definedName>
    <definedName name="IQ_OTHER_FINANCE_ACT_SUPPL_FIN">"c902"</definedName>
    <definedName name="IQ_OTHER_FINANCE_ACT_SUPPL_INS">"c903"</definedName>
    <definedName name="IQ_OTHER_FINANCE_ACT_SUPPL_REIT">"c904"</definedName>
    <definedName name="IQ_OTHER_FINANCE_ACT_SUPPL_UTI">"c905"</definedName>
    <definedName name="IQ_OTHER_FINANCE_ACT_UTI">"c906"</definedName>
    <definedName name="IQ_OTHER_INTAN">"c907"</definedName>
    <definedName name="IQ_OTHER_INTAN_BNK">"c908"</definedName>
    <definedName name="IQ_OTHER_INTAN_BR">"c909"</definedName>
    <definedName name="IQ_OTHER_INTAN_FIN">"c910"</definedName>
    <definedName name="IQ_OTHER_INTAN_INS">"c911"</definedName>
    <definedName name="IQ_OTHER_INTAN_REIT">"c912"</definedName>
    <definedName name="IQ_OTHER_INTAN_UTI">"c913"</definedName>
    <definedName name="IQ_OTHER_INV">"c914"</definedName>
    <definedName name="IQ_OTHER_INVEST">"c915"</definedName>
    <definedName name="IQ_OTHER_INVEST_ACT">"c916"</definedName>
    <definedName name="IQ_OTHER_INVEST_ACT_BNK">"c917"</definedName>
    <definedName name="IQ_OTHER_INVEST_ACT_BR">"c918"</definedName>
    <definedName name="IQ_OTHER_INVEST_ACT_FIN">"c919"</definedName>
    <definedName name="IQ_OTHER_INVEST_ACT_INS">"c920"</definedName>
    <definedName name="IQ_OTHER_INVEST_ACT_REIT">"c921"</definedName>
    <definedName name="IQ_OTHER_INVEST_ACT_SUPPL">"c922"</definedName>
    <definedName name="IQ_OTHER_INVEST_ACT_SUPPL_BNK">"c923"</definedName>
    <definedName name="IQ_OTHER_INVEST_ACT_SUPPL_BR">"c924"</definedName>
    <definedName name="IQ_OTHER_INVEST_ACT_SUPPL_FIN">"c925"</definedName>
    <definedName name="IQ_OTHER_INVEST_ACT_SUPPL_INS">"c926"</definedName>
    <definedName name="IQ_OTHER_INVEST_ACT_SUPPL_REIT">"c927"</definedName>
    <definedName name="IQ_OTHER_INVEST_ACT_SUPPL_UTI">"c928"</definedName>
    <definedName name="IQ_OTHER_INVEST_ACT_UTI">"c929"</definedName>
    <definedName name="IQ_OTHER_INVESTING">"c1408"</definedName>
    <definedName name="IQ_OTHER_LIAB">"c930"</definedName>
    <definedName name="IQ_OTHER_LIAB_BNK">"c931"</definedName>
    <definedName name="IQ_OTHER_LIAB_BR">"c932"</definedName>
    <definedName name="IQ_OTHER_LIAB_FIN">"c933"</definedName>
    <definedName name="IQ_OTHER_LIAB_INS">"c934"</definedName>
    <definedName name="IQ_OTHER_LIAB_LT">"c935"</definedName>
    <definedName name="IQ_OTHER_LIAB_LT_BNK">"c936"</definedName>
    <definedName name="IQ_OTHER_LIAB_LT_BR">"c937"</definedName>
    <definedName name="IQ_OTHER_LIAB_LT_FIN">"c938"</definedName>
    <definedName name="IQ_OTHER_LIAB_LT_INS">"c939"</definedName>
    <definedName name="IQ_OTHER_LIAB_LT_REIT">"c940"</definedName>
    <definedName name="IQ_OTHER_LIAB_LT_UTI">"c941"</definedName>
    <definedName name="IQ_OTHER_LIAB_REIT">"c942"</definedName>
    <definedName name="IQ_OTHER_LIAB_UTI">"c943"</definedName>
    <definedName name="IQ_OTHER_LIAB_WRITTEN">"c944"</definedName>
    <definedName name="IQ_OTHER_LOANS">"c945"</definedName>
    <definedName name="IQ_OTHER_LONG_TERM">"c1409"</definedName>
    <definedName name="IQ_OTHER_LT_ASSETS">"c946"</definedName>
    <definedName name="IQ_OTHER_LT_ASSETS_BNK">"c947"</definedName>
    <definedName name="IQ_OTHER_LT_ASSETS_BR">"c948"</definedName>
    <definedName name="IQ_OTHER_LT_ASSETS_FIN">"c949"</definedName>
    <definedName name="IQ_OTHER_LT_ASSETS_INS">"c950"</definedName>
    <definedName name="IQ_OTHER_LT_ASSETS_REIT">"c951"</definedName>
    <definedName name="IQ_OTHER_LT_ASSETS_UTI">"c952"</definedName>
    <definedName name="IQ_OTHER_NET">"c1453"</definedName>
    <definedName name="IQ_OTHER_NON_INT_EXP">"c953"</definedName>
    <definedName name="IQ_OTHER_NON_INT_EXP_TOTAL">"c954"</definedName>
    <definedName name="IQ_OTHER_NON_INT_INC">"c955"</definedName>
    <definedName name="IQ_OTHER_NON_OPER_EXP">"c956"</definedName>
    <definedName name="IQ_OTHER_NON_OPER_EXP_BR">"c957"</definedName>
    <definedName name="IQ_OTHER_NON_OPER_EXP_FIN">"c958"</definedName>
    <definedName name="IQ_OTHER_NON_OPER_EXP_INS">"c959"</definedName>
    <definedName name="IQ_OTHER_NON_OPER_EXP_REIT">"c960"</definedName>
    <definedName name="IQ_OTHER_NON_OPER_EXP_SUPPL">"c961"</definedName>
    <definedName name="IQ_OTHER_NON_OPER_EXP_SUPPL_BR">"c962"</definedName>
    <definedName name="IQ_OTHER_NON_OPER_EXP_SUPPL_FIN">"c963"</definedName>
    <definedName name="IQ_OTHER_NON_OPER_EXP_SUPPL_INS">"c964"</definedName>
    <definedName name="IQ_OTHER_NON_OPER_EXP_SUPPL_REIT">"c965"</definedName>
    <definedName name="IQ_OTHER_NON_OPER_EXP_SUPPL_UTI">"c966"</definedName>
    <definedName name="IQ_OTHER_NON_OPER_EXP_UTI">"c967"</definedName>
    <definedName name="IQ_OTHER_OPER">"c982"</definedName>
    <definedName name="IQ_OTHER_OPER_ACT">"c983"</definedName>
    <definedName name="IQ_OTHER_OPER_ACT_BNK">"c984"</definedName>
    <definedName name="IQ_OTHER_OPER_ACT_BR">"c985"</definedName>
    <definedName name="IQ_OTHER_OPER_ACT_FIN">"c986"</definedName>
    <definedName name="IQ_OTHER_OPER_ACT_INS">"c987"</definedName>
    <definedName name="IQ_OTHER_OPER_ACT_REIT">"c988"</definedName>
    <definedName name="IQ_OTHER_OPER_ACT_UTI">"c989"</definedName>
    <definedName name="IQ_OTHER_OPER_BR">"c990"</definedName>
    <definedName name="IQ_OTHER_OPER_FIN">"c991"</definedName>
    <definedName name="IQ_OTHER_OPER_INS">"c992"</definedName>
    <definedName name="IQ_OTHER_OPER_REIT">"c993"</definedName>
    <definedName name="IQ_OTHER_OPER_SUPPL_BR">"c994"</definedName>
    <definedName name="IQ_OTHER_OPER_SUPPL_FIN">"c995"</definedName>
    <definedName name="IQ_OTHER_OPER_SUPPL_INS">"c996"</definedName>
    <definedName name="IQ_OTHER_OPER_SUPPL_REIT">"c997"</definedName>
    <definedName name="IQ_OTHER_OPER_SUPPL_UTI">"c998"</definedName>
    <definedName name="IQ_OTHER_OPER_TOT_BNK">"c999"</definedName>
    <definedName name="IQ_OTHER_OPER_TOT_BR">"c1000"</definedName>
    <definedName name="IQ_OTHER_OPER_TOT_FIN">"c1001"</definedName>
    <definedName name="IQ_OTHER_OPER_TOT_INS">"c1002"</definedName>
    <definedName name="IQ_OTHER_OPER_TOT_REIT">"c1003"</definedName>
    <definedName name="IQ_OTHER_OPER_TOT_UTI">"c1004"</definedName>
    <definedName name="IQ_OTHER_OPER_UTI">"c1005"</definedName>
    <definedName name="IQ_OTHER_OUTSTANDING_BS_DATE">"c1972"</definedName>
    <definedName name="IQ_OTHER_OUTSTANDING_FILING_DATE">"c1974"</definedName>
    <definedName name="IQ_OTHER_PC_WRITTEN">"c1006"</definedName>
    <definedName name="IQ_OTHER_REAL_ESTATE">"c1007"</definedName>
    <definedName name="IQ_OTHER_RECEIV">"c1008"</definedName>
    <definedName name="IQ_OTHER_RECEIV_INS">"c1009"</definedName>
    <definedName name="IQ_OTHER_REV">"c1010"</definedName>
    <definedName name="IQ_OTHER_REV_BR">"c1011"</definedName>
    <definedName name="IQ_OTHER_REV_FIN">"c1012"</definedName>
    <definedName name="IQ_OTHER_REV_INS">"c1013"</definedName>
    <definedName name="IQ_OTHER_REV_REIT">"c1014"</definedName>
    <definedName name="IQ_OTHER_REV_SUPPL">"c1015"</definedName>
    <definedName name="IQ_OTHER_REV_SUPPL_BR">"c1016"</definedName>
    <definedName name="IQ_OTHER_REV_SUPPL_FIN">"c1017"</definedName>
    <definedName name="IQ_OTHER_REV_SUPPL_INS">"c1018"</definedName>
    <definedName name="IQ_OTHER_REV_SUPPL_REIT">"c1019"</definedName>
    <definedName name="IQ_OTHER_REV_SUPPL_UTI">"c1020"</definedName>
    <definedName name="IQ_OTHER_REV_UTI">"c1021"</definedName>
    <definedName name="IQ_OTHER_REVENUE">"c1410"</definedName>
    <definedName name="IQ_OTHER_UNUSUAL">"c1488"</definedName>
    <definedName name="IQ_OTHER_UNUSUAL_BNK">"c1560"</definedName>
    <definedName name="IQ_OTHER_UNUSUAL_BR">"c1561"</definedName>
    <definedName name="IQ_OTHER_UNUSUAL_FIN">"c1562"</definedName>
    <definedName name="IQ_OTHER_UNUSUAL_INS">"c1563"</definedName>
    <definedName name="IQ_OTHER_UNUSUAL_REIT">"c1564"</definedName>
    <definedName name="IQ_OTHER_UNUSUAL_SUPPL">"c1494"</definedName>
    <definedName name="IQ_OTHER_UNUSUAL_SUPPL_BNK">"c1495"</definedName>
    <definedName name="IQ_OTHER_UNUSUAL_SUPPL_BR">"c1496"</definedName>
    <definedName name="IQ_OTHER_UNUSUAL_SUPPL_FIN">"c1497"</definedName>
    <definedName name="IQ_OTHER_UNUSUAL_SUPPL_INS">"c1498"</definedName>
    <definedName name="IQ_OTHER_UNUSUAL_SUPPL_REIT">"c1499"</definedName>
    <definedName name="IQ_OTHER_UNUSUAL_SUPPL_UTI">"c1500"</definedName>
    <definedName name="IQ_OTHER_UNUSUAL_UTI">"c1565"</definedName>
    <definedName name="IQ_OUTSTANDING_BS_DATE">"c2128"</definedName>
    <definedName name="IQ_OUTSTANDING_FILING_DATE">"c2127"</definedName>
    <definedName name="IQ_PART_TIME">"c1024"</definedName>
    <definedName name="IQ_PAY_ACCRUED">"c1457"</definedName>
    <definedName name="IQ_PAYOUT_RATIO">"c1900"</definedName>
    <definedName name="IQ_PBV">"c1025"</definedName>
    <definedName name="IQ_PBV_AVG">"c1026"</definedName>
    <definedName name="IQ_PC_WRITTEN">"c1027"</definedName>
    <definedName name="IQ_PE_EXCL">"c1028"</definedName>
    <definedName name="IQ_PE_EXCL_AVG">"c1029"</definedName>
    <definedName name="IQ_PE_EXCL_FWD">"c1030"</definedName>
    <definedName name="IQ_PE_RATIO">"c1610"</definedName>
    <definedName name="IQ_PENSION">"c1031"</definedName>
    <definedName name="IQ_PERIODDATE">"c1414"</definedName>
    <definedName name="IQ_PERIODDATE_BS">"c1032"</definedName>
    <definedName name="IQ_PERIODDATE_CF">"c1033"</definedName>
    <definedName name="IQ_PERIODDATE_IS">"c1034"</definedName>
    <definedName name="IQ_PERIODLENGTH_CF">"c1502"</definedName>
    <definedName name="IQ_PERIODLENGTH_IS">"c1503"</definedName>
    <definedName name="IQ_PERTYPE">"c1611"</definedName>
    <definedName name="IQ_PLL">"c2114"</definedName>
    <definedName name="IQ_POLICY_BENEFITS">"c1036"</definedName>
    <definedName name="IQ_POLICY_COST">"c1037"</definedName>
    <definedName name="IQ_POLICY_LIAB">"c1612"</definedName>
    <definedName name="IQ_POLICY_LOANS">"c1038"</definedName>
    <definedName name="IQ_POST_RETIRE_EXP">"c1039"</definedName>
    <definedName name="IQ_POSTPAID_CHURN">"c2121"</definedName>
    <definedName name="IQ_POSTPAID_SUBS">"c2118"</definedName>
    <definedName name="IQ_PRE_OPEN_COST">"c1040"</definedName>
    <definedName name="IQ_PREF_CONVERT">"c1041"</definedName>
    <definedName name="IQ_PREF_DIV_CF">"c1042"</definedName>
    <definedName name="IQ_PREF_DIV_OTHER">"c1043"</definedName>
    <definedName name="IQ_PREF_DIVID">"c1461"</definedName>
    <definedName name="IQ_PREF_EQUITY">"c1044"</definedName>
    <definedName name="IQ_PREF_ISSUED">"c1045"</definedName>
    <definedName name="IQ_PREF_ISSUED_BNK">"c1046"</definedName>
    <definedName name="IQ_PREF_ISSUED_BR">"c1047"</definedName>
    <definedName name="IQ_PREF_ISSUED_FIN">"c1048"</definedName>
    <definedName name="IQ_PREF_ISSUED_INS">"c1049"</definedName>
    <definedName name="IQ_PREF_ISSUED_REIT">"c1050"</definedName>
    <definedName name="IQ_PREF_ISSUED_UTI">"c1051"</definedName>
    <definedName name="IQ_PREF_NON_REDEEM">"c1052"</definedName>
    <definedName name="IQ_PREF_OTHER">"c1053"</definedName>
    <definedName name="IQ_PREF_OTHER_BNK">"c1054"</definedName>
    <definedName name="IQ_PREF_OTHER_BR">"c1055"</definedName>
    <definedName name="IQ_PREF_OTHER_FIN">"c1056"</definedName>
    <definedName name="IQ_PREF_OTHER_INS">"c1057"</definedName>
    <definedName name="IQ_PREF_OTHER_REIT">"c1058"</definedName>
    <definedName name="IQ_PREF_REDEEM">"c1059"</definedName>
    <definedName name="IQ_PREF_REP">"c1060"</definedName>
    <definedName name="IQ_PREF_REP_BNK">"c1061"</definedName>
    <definedName name="IQ_PREF_REP_BR">"c1062"</definedName>
    <definedName name="IQ_PREF_REP_FIN">"c1063"</definedName>
    <definedName name="IQ_PREF_REP_INS">"c1064"</definedName>
    <definedName name="IQ_PREF_REP_REIT">"c1065"</definedName>
    <definedName name="IQ_PREF_REP_UTI">"c1066"</definedName>
    <definedName name="IQ_PREF_STOCK">"c1416"</definedName>
    <definedName name="IQ_PREF_TOT">"c1415"</definedName>
    <definedName name="IQ_PREMIUMS_ANNUITY_REV">"c1067"</definedName>
    <definedName name="IQ_PREPAID_CHURN">"c2120"</definedName>
    <definedName name="IQ_PREPAID_EXP">"c1068"</definedName>
    <definedName name="IQ_PREPAID_EXPEN">"c1418"</definedName>
    <definedName name="IQ_PREPAID_SUBS">"c2117"</definedName>
    <definedName name="IQ_PRICE_OVER_BVPS">"c1412"</definedName>
    <definedName name="IQ_PRICE_OVER_LTM_EPS">"c1413"</definedName>
    <definedName name="IQ_PRICEDATE">"c1069"</definedName>
    <definedName name="IQ_PRICING_DATE">"c1613"</definedName>
    <definedName name="IQ_PRIMARY_INDUSTRY">"c1070"</definedName>
    <definedName name="IQ_PRO_FORMA_BASIC_EPS">"c1614"</definedName>
    <definedName name="IQ_PRO_FORMA_DILUT_EPS">"c1615"</definedName>
    <definedName name="IQ_PRO_FORMA_NET_INC">"c1452"</definedName>
    <definedName name="IQ_PROFESSIONAL">"c1071"</definedName>
    <definedName name="IQ_PROFESSIONAL_TITLE">"c1072"</definedName>
    <definedName name="IQ_PROPERTY_EXP">"c1073"</definedName>
    <definedName name="IQ_PROPERTY_GROSS">"c1379"</definedName>
    <definedName name="IQ_PROPERTY_MGMT_FEE">"c1074"</definedName>
    <definedName name="IQ_PROPERTY_NET">"c1402"</definedName>
    <definedName name="IQ_PROV_BAD_DEBTS">"c1075"</definedName>
    <definedName name="IQ_PROV_BAD_DEBTS_CF">"c1076"</definedName>
    <definedName name="IQ_PROVISION_10YR_ANN_GROWTH">"c1077"</definedName>
    <definedName name="IQ_PROVISION_1YR_ANN_GROWTH">"c1078"</definedName>
    <definedName name="IQ_PROVISION_2YR_ANN_GROWTH">"c1079"</definedName>
    <definedName name="IQ_PROVISION_3YR_ANN_GROWTH">"c1080"</definedName>
    <definedName name="IQ_PROVISION_5YR_ANN_GROWTH">"c1081"</definedName>
    <definedName name="IQ_PROVISION_7YR_ANN_GROWTH">"c1082"</definedName>
    <definedName name="IQ_PROVISION_CHARGE_OFFS">"c1083"</definedName>
    <definedName name="IQ_PTBV">"c1084"</definedName>
    <definedName name="IQ_PTBV_AVG">"c1085"</definedName>
    <definedName name="IQ_QUICK_RATIO">"c1086"</definedName>
    <definedName name="IQ_RATE_COMP_GROWTH_DOMESTIC">"c1087"</definedName>
    <definedName name="IQ_RATE_COMP_GROWTH_FOREIGN">"c1088"</definedName>
    <definedName name="IQ_RAW_INV">"c1089"</definedName>
    <definedName name="IQ_RD_EXP">"c1090"</definedName>
    <definedName name="IQ_RD_EXP_FN">"c1091"</definedName>
    <definedName name="IQ_RE">"c1092"</definedName>
    <definedName name="IQ_REAL_ESTATE">"c1093"</definedName>
    <definedName name="IQ_REAL_ESTATE_ASSETS">"c1094"</definedName>
    <definedName name="IQ_REDEEM_PREF_STOCK">"c1417"</definedName>
    <definedName name="IQ_REG_ASSETS">"c1095"</definedName>
    <definedName name="IQ_REINSUR_PAY">"c1096"</definedName>
    <definedName name="IQ_REINSUR_PAY_CF">"c1097"</definedName>
    <definedName name="IQ_REINSUR_RECOVER">"c1098"</definedName>
    <definedName name="IQ_REINSUR_RECOVER_CF">"c1099"</definedName>
    <definedName name="IQ_REINSURANCE">"c1100"</definedName>
    <definedName name="IQ_RENTAL_REV">"c1101"</definedName>
    <definedName name="IQ_RESEARCH_DEV">"c1419"</definedName>
    <definedName name="IQ_RESIDENTIAL_LOANS">"c1102"</definedName>
    <definedName name="IQ_RESTATEMENT_BS">"c1643"</definedName>
    <definedName name="IQ_RESTATEMENT_CF">"c1644"</definedName>
    <definedName name="IQ_RESTATEMENT_IS">"c1642"</definedName>
    <definedName name="IQ_RESTRICTED_CASH">"c1103"</definedName>
    <definedName name="IQ_RESTRUCTURE">"c1104"</definedName>
    <definedName name="IQ_RESTRUCTURE_BNK">"c1105"</definedName>
    <definedName name="IQ_RESTRUCTURE_BR">"c1106"</definedName>
    <definedName name="IQ_RESTRUCTURE_CF">"c1107"</definedName>
    <definedName name="IQ_RESTRUCTURE_FIN">"c1108"</definedName>
    <definedName name="IQ_RESTRUCTURE_INS">"c1109"</definedName>
    <definedName name="IQ_RESTRUCTURE_REIT">"c1110"</definedName>
    <definedName name="IQ_RESTRUCTURE_UTI">"c1111"</definedName>
    <definedName name="IQ_RESTRUCTURED_LOANS">"c1112"</definedName>
    <definedName name="IQ_RETAIL_AVG_STORE_SIZE_GROSS">"c2066"</definedName>
    <definedName name="IQ_RETAIL_AVG_STORE_SIZE_NET">"c2067"</definedName>
    <definedName name="IQ_RETAIL_CLOSED_STORES">"c2063"</definedName>
    <definedName name="IQ_RETAIL_OPENED_STORES">"c2062"</definedName>
    <definedName name="IQ_RETAIL_SALES_SQFT_ALL_GROSS">"c2138"</definedName>
    <definedName name="IQ_RETAIL_SALES_SQFT_ALL_NET">"c2139"</definedName>
    <definedName name="IQ_RETAIL_SALES_SQFT_COMPARABLE_GROSS">"c2136"</definedName>
    <definedName name="IQ_RETAIL_SALES_SQFT_COMPARABLE_NET">"c2137"</definedName>
    <definedName name="IQ_RETAIL_SALES_SQFT_OWNED_GROSS">"c2134"</definedName>
    <definedName name="IQ_RETAIL_SALES_SQFT_OWNED_NET">"c2135"</definedName>
    <definedName name="IQ_RETAIL_SQ_FOOTAGE">"c2064"</definedName>
    <definedName name="IQ_RETAIL_STORE_SELLING_AREA">"c2065"</definedName>
    <definedName name="IQ_RETAIL_TOTAL_STORES">"c2061"</definedName>
    <definedName name="IQ_RETAINED_EARN">"c1420"</definedName>
    <definedName name="IQ_RETURN_ASSETS">"c1113"</definedName>
    <definedName name="IQ_RETURN_ASSETS_BANK">"c1114"</definedName>
    <definedName name="IQ_RETURN_ASSETS_BROK">"c1115"</definedName>
    <definedName name="IQ_RETURN_ASSETS_FS">"c1116"</definedName>
    <definedName name="IQ_RETURN_CAPITAL">"c1117"</definedName>
    <definedName name="IQ_RETURN_EQUITY">"c1118"</definedName>
    <definedName name="IQ_RETURN_EQUITY_BANK">"c1119"</definedName>
    <definedName name="IQ_RETURN_EQUITY_BROK">"c1120"</definedName>
    <definedName name="IQ_RETURN_EQUITY_FS">"c1121"</definedName>
    <definedName name="IQ_RETURN_INVESTMENT">"c1421"</definedName>
    <definedName name="IQ_REV">"c1122"</definedName>
    <definedName name="IQ_REV_BEFORE_LL">"c1123"</definedName>
    <definedName name="IQ_REV_UTI">"c1125"</definedName>
    <definedName name="IQ_REVENUE">"c1422"</definedName>
    <definedName name="IQ_SALARY">"c1130"</definedName>
    <definedName name="IQ_SALE_INTAN_CF">"c1131"</definedName>
    <definedName name="IQ_SALE_INTAN_CF_BNK">"c1132"</definedName>
    <definedName name="IQ_SALE_INTAN_CF_BR">"c1133"</definedName>
    <definedName name="IQ_SALE_INTAN_CF_FIN">"c1134"</definedName>
    <definedName name="IQ_SALE_INTAN_CF_INS">"c1135"</definedName>
    <definedName name="IQ_SALE_INTAN_CF_REIT">"c1627"</definedName>
    <definedName name="IQ_SALE_INTAN_CF_UTI">"c1136"</definedName>
    <definedName name="IQ_SALE_PPE_CF">"c1137"</definedName>
    <definedName name="IQ_SALE_PPE_CF_BNK">"c1138"</definedName>
    <definedName name="IQ_SALE_PPE_CF_BR">"c1139"</definedName>
    <definedName name="IQ_SALE_PPE_CF_FIN">"c1140"</definedName>
    <definedName name="IQ_SALE_PPE_CF_INS">"c1141"</definedName>
    <definedName name="IQ_SALE_PPE_CF_UTI">"c1142"</definedName>
    <definedName name="IQ_SALE_RE_ASSETS">"c1629"</definedName>
    <definedName name="IQ_SALE_REAL_ESTATE_CF">"c1143"</definedName>
    <definedName name="IQ_SALE_REAL_ESTATE_CF_BNK">"c1144"</definedName>
    <definedName name="IQ_SALE_REAL_ESTATE_CF_BR">"c1145"</definedName>
    <definedName name="IQ_SALE_REAL_ESTATE_CF_FIN">"c1146"</definedName>
    <definedName name="IQ_SALE_REAL_ESTATE_CF_INS">"c1147"</definedName>
    <definedName name="IQ_SALE_REAL_ESTATE_CF_UTI">"c1148"</definedName>
    <definedName name="IQ_SAME_STORE">"c1149"</definedName>
    <definedName name="IQ_SAVING_DEP">"c1150"</definedName>
    <definedName name="IQ_SECUR_RECEIV">"c1151"</definedName>
    <definedName name="IQ_SECURITY_BORROW">"c1152"</definedName>
    <definedName name="IQ_SECURITY_OWN">"c1153"</definedName>
    <definedName name="IQ_SECURITY_RESELL">"c1154"</definedName>
    <definedName name="IQ_SEPARATE_ACCT_ASSETS">"c1155"</definedName>
    <definedName name="IQ_SEPARATE_ACCT_LIAB">"c1156"</definedName>
    <definedName name="IQ_SERV_CHARGE_DEPOSITS">"c1157"</definedName>
    <definedName name="IQ_SGA">"c1158"</definedName>
    <definedName name="IQ_SGA_BNK">"c1159"</definedName>
    <definedName name="IQ_SGA_INS">"c1160"</definedName>
    <definedName name="IQ_SGA_MARGIN">"c1898"</definedName>
    <definedName name="IQ_SGA_REIT">"c1161"</definedName>
    <definedName name="IQ_SGA_SUPPL">"c1162"</definedName>
    <definedName name="IQ_SGA_UTI">"c1163"</definedName>
    <definedName name="IQ_SHAREOUTSTANDING">"c1347"</definedName>
    <definedName name="IQ_SHARESOUTSTANDING">"c1164"</definedName>
    <definedName name="IQ_SHORT_INTEREST">"c1165"</definedName>
    <definedName name="IQ_SHORT_INTEREST_OVER_FLOAT">"c1577"</definedName>
    <definedName name="IQ_SHORT_INTEREST_PERCENT">"c1576"</definedName>
    <definedName name="IQ_SHORT_TERM_INVEST">"c1425"</definedName>
    <definedName name="IQ_SMALL_INT_BEAR_CD">"c1166"</definedName>
    <definedName name="IQ_SOFTWARE">"c1167"</definedName>
    <definedName name="IQ_SOURCE">"c1168"</definedName>
    <definedName name="IQ_SPECIAL_DIV_CF">"c1169"</definedName>
    <definedName name="IQ_SPECIAL_DIV_CF_BNK">"c1170"</definedName>
    <definedName name="IQ_SPECIAL_DIV_CF_BR">"c1171"</definedName>
    <definedName name="IQ_SPECIAL_DIV_CF_FIN">"c1172"</definedName>
    <definedName name="IQ_SPECIAL_DIV_CF_INS">"c1173"</definedName>
    <definedName name="IQ_SPECIAL_DIV_CF_REIT">"c1174"</definedName>
    <definedName name="IQ_SPECIAL_DIV_CF_UTI">"c1175"</definedName>
    <definedName name="IQ_ST_DEBT">"c1176"</definedName>
    <definedName name="IQ_ST_DEBT_BNK">"c1177"</definedName>
    <definedName name="IQ_ST_DEBT_BR">"c1178"</definedName>
    <definedName name="IQ_ST_DEBT_FIN">"c1179"</definedName>
    <definedName name="IQ_ST_DEBT_INS">"c1180"</definedName>
    <definedName name="IQ_ST_DEBT_ISSUED">"c1181"</definedName>
    <definedName name="IQ_ST_DEBT_ISSUED_BNK">"c1182"</definedName>
    <definedName name="IQ_ST_DEBT_ISSUED_BR">"c1183"</definedName>
    <definedName name="IQ_ST_DEBT_ISSUED_FIN">"c1184"</definedName>
    <definedName name="IQ_ST_DEBT_ISSUED_INS">"c1185"</definedName>
    <definedName name="IQ_ST_DEBT_ISSUED_REIT">"c1186"</definedName>
    <definedName name="IQ_ST_DEBT_ISSUED_UTI">"c1187"</definedName>
    <definedName name="IQ_ST_DEBT_REIT">"c1188"</definedName>
    <definedName name="IQ_ST_DEBT_REPAID">"c1189"</definedName>
    <definedName name="IQ_ST_DEBT_REPAID_BNK">"c1190"</definedName>
    <definedName name="IQ_ST_DEBT_REPAID_BR">"c1191"</definedName>
    <definedName name="IQ_ST_DEBT_REPAID_FIN">"c1192"</definedName>
    <definedName name="IQ_ST_DEBT_REPAID_INS">"c1193"</definedName>
    <definedName name="IQ_ST_DEBT_REPAID_REIT">"c1194"</definedName>
    <definedName name="IQ_ST_DEBT_REPAID_UTI">"c1195"</definedName>
    <definedName name="IQ_ST_DEBT_UTI">"c1196"</definedName>
    <definedName name="IQ_ST_INVEST">"c1197"</definedName>
    <definedName name="IQ_ST_INVEST_UTI">"c1198"</definedName>
    <definedName name="IQ_ST_NOTE_RECEIV">"c1199"</definedName>
    <definedName name="IQ_STATE">"c1200"</definedName>
    <definedName name="IQ_STATUTORY_SURPLUS">"c1201"</definedName>
    <definedName name="IQ_STOCK_BASED">"c1202"</definedName>
    <definedName name="IQ_STOCK_BASED_CF">"c1203"</definedName>
    <definedName name="IQ_STRIKE_PRICE_ISSUED">"c1645"</definedName>
    <definedName name="IQ_STRIKE_PRICE_OS">"c1646"</definedName>
    <definedName name="IQ_SUB_LEASE_AFTER_FIVE">"c1207"</definedName>
    <definedName name="IQ_SUB_LEASE_INC_CY">"c1208"</definedName>
    <definedName name="IQ_SUB_LEASE_INC_CY1">"c1209"</definedName>
    <definedName name="IQ_SUB_LEASE_INC_CY2">"c1210"</definedName>
    <definedName name="IQ_SUB_LEASE_INC_CY3">"c1211"</definedName>
    <definedName name="IQ_SUB_LEASE_INC_CY4">"c1212"</definedName>
    <definedName name="IQ_SUB_LEASE_NEXT_FIVE">"c1213"</definedName>
    <definedName name="IQ_SVA">"c1214"</definedName>
    <definedName name="IQ_TAX_BENEFIT_OPTIONS">"c1215"</definedName>
    <definedName name="IQ_TAX_EQUIV_NET_INT_INC">"c1216"</definedName>
    <definedName name="IQ_TBV">"c1906"</definedName>
    <definedName name="IQ_TBV_10YR_ANN_GROWTH">"c1936"</definedName>
    <definedName name="IQ_TBV_1YR_ANN_GROWTH">"c1931"</definedName>
    <definedName name="IQ_TBV_2YR_ANN_GROWTH">"c1932"</definedName>
    <definedName name="IQ_TBV_3YR_ANN_GROWTH">"c1933"</definedName>
    <definedName name="IQ_TBV_5YR_ANN_GROWTH">"c1934"</definedName>
    <definedName name="IQ_TBV_7YR_ANN_GROWTH">"c1935"</definedName>
    <definedName name="IQ_TBV_SHARE">"c1217"</definedName>
    <definedName name="IQ_TEMPLATE">"c1521"</definedName>
    <definedName name="IQ_TENANT">"c1218"</definedName>
    <definedName name="IQ_TEV">"c1219"</definedName>
    <definedName name="IQ_TEV_EBIT">"c1220"</definedName>
    <definedName name="IQ_TEV_EBIT_AVG">"c1221"</definedName>
    <definedName name="IQ_TEV_EBITDA">"c1222"</definedName>
    <definedName name="IQ_TEV_EBITDA_AVG">"c1223"</definedName>
    <definedName name="IQ_TEV_EBITDA_FWD">"c1224"</definedName>
    <definedName name="IQ_TEV_EMPLOYEE_AVG">"c1225"</definedName>
    <definedName name="IQ_TEV_TOTAL_REV">"c1226"</definedName>
    <definedName name="IQ_TEV_TOTAL_REV_AVG">"c1227"</definedName>
    <definedName name="IQ_TEV_TOTAL_REV_FWD">"c1228"</definedName>
    <definedName name="IQ_TIER_ONE_RATIO">"c1229"</definedName>
    <definedName name="IQ_TIME_DEP">"c1230"</definedName>
    <definedName name="IQ_TODAY">0</definedName>
    <definedName name="IQ_TOT_ADJ_INC">"c1616"</definedName>
    <definedName name="IQ_TOTAL_AR_BR">"c1231"</definedName>
    <definedName name="IQ_TOTAL_AR_REIT">"c1232"</definedName>
    <definedName name="IQ_TOTAL_AR_UTI">"c1233"</definedName>
    <definedName name="IQ_TOTAL_ASSETS">"c1234"</definedName>
    <definedName name="IQ_TOTAL_ASSETS_10YR_ANN_GROWTH">"c1235"</definedName>
    <definedName name="IQ_TOTAL_ASSETS_1YR_ANN_GROWTH">"c1236"</definedName>
    <definedName name="IQ_TOTAL_ASSETS_2YR_ANN_GROWTH">"c1237"</definedName>
    <definedName name="IQ_TOTAL_ASSETS_3YR_ANN_GROWTH">"c1238"</definedName>
    <definedName name="IQ_TOTAL_ASSETS_5YR_ANN_GROWTH">"c1239"</definedName>
    <definedName name="IQ_TOTAL_ASSETS_7YR_ANN_GROWTH">"c1240"</definedName>
    <definedName name="IQ_TOTAL_AVG_CE_TOTAL_AVG_ASSETS">"c1241"</definedName>
    <definedName name="IQ_TOTAL_AVG_EQUITY_TOTAL_AVG_ASSETS">"c1242"</definedName>
    <definedName name="IQ_TOTAL_CA">"c1243"</definedName>
    <definedName name="IQ_TOTAL_CAP">"c1507"</definedName>
    <definedName name="IQ_TOTAL_CAPITAL_RATIO">"c1244"</definedName>
    <definedName name="IQ_TOTAL_CASH_DIVID">"c1455"</definedName>
    <definedName name="IQ_TOTAL_CASH_FINAN">"c1352"</definedName>
    <definedName name="IQ_TOTAL_CASH_INVEST">"c1353"</definedName>
    <definedName name="IQ_TOTAL_CASH_OPER">"c1354"</definedName>
    <definedName name="IQ_TOTAL_CHURN">"c2122"</definedName>
    <definedName name="IQ_TOTAL_CL">"c1245"</definedName>
    <definedName name="IQ_TOTAL_COMMON">"c1411"</definedName>
    <definedName name="IQ_TOTAL_COMMON_EQUITY">"c1246"</definedName>
    <definedName name="IQ_TOTAL_CURRENT_ASSETS">"c1430"</definedName>
    <definedName name="IQ_TOTAL_CURRENT_LIAB">"c1431"</definedName>
    <definedName name="IQ_TOTAL_DEBT">"c1247"</definedName>
    <definedName name="IQ_TOTAL_DEBT_CAPITAL">"c1248"</definedName>
    <definedName name="IQ_TOTAL_DEBT_EBITDA">"c1249"</definedName>
    <definedName name="IQ_TOTAL_DEBT_EQUITY">"c1250"</definedName>
    <definedName name="IQ_TOTAL_DEBT_ISSUED">"c1251"</definedName>
    <definedName name="IQ_TOTAL_DEBT_ISSUED_BNK">"c1252"</definedName>
    <definedName name="IQ_TOTAL_DEBT_ISSUED_BR">"c1253"</definedName>
    <definedName name="IQ_TOTAL_DEBT_ISSUED_FIN">"c1254"</definedName>
    <definedName name="IQ_TOTAL_DEBT_ISSUED_REIT">"c1255"</definedName>
    <definedName name="IQ_TOTAL_DEBT_ISSUED_UTI">"c1256"</definedName>
    <definedName name="IQ_TOTAL_DEBT_ISSUES_INS">"c1257"</definedName>
    <definedName name="IQ_TOTAL_DEBT_OVER_EBITDA">"c1433"</definedName>
    <definedName name="IQ_TOTAL_DEBT_OVER_TOTAL_BV">"c1434"</definedName>
    <definedName name="IQ_TOTAL_DEBT_OVER_TOTAL_CAP">"c1432"</definedName>
    <definedName name="IQ_TOTAL_DEBT_REPAID">"c1258"</definedName>
    <definedName name="IQ_TOTAL_DEBT_REPAID_BNK">"c1259"</definedName>
    <definedName name="IQ_TOTAL_DEBT_REPAID_BR">"c1260"</definedName>
    <definedName name="IQ_TOTAL_DEBT_REPAID_FIN">"c1261"</definedName>
    <definedName name="IQ_TOTAL_DEBT_REPAID_INS">"c1262"</definedName>
    <definedName name="IQ_TOTAL_DEBT_REPAID_REIT">"c1263"</definedName>
    <definedName name="IQ_TOTAL_DEBT_REPAID_UTI">"c1264"</definedName>
    <definedName name="IQ_TOTAL_DEPOSITS">"c1265"</definedName>
    <definedName name="IQ_TOTAL_DIV_PAID_CF">"c1266"</definedName>
    <definedName name="IQ_TOTAL_EMPLOYEE">"c1522"</definedName>
    <definedName name="IQ_TOTAL_EMPLOYEES">"c1522"</definedName>
    <definedName name="IQ_TOTAL_EQUITY">"c1267"</definedName>
    <definedName name="IQ_TOTAL_EQUITY_10YR_ANN_GROWTH">"c1268"</definedName>
    <definedName name="IQ_TOTAL_EQUITY_1YR_ANN_GROWTH">"c1269"</definedName>
    <definedName name="IQ_TOTAL_EQUITY_2YR_ANN_GROWTH">"c1270"</definedName>
    <definedName name="IQ_TOTAL_EQUITY_3YR_ANN_GROWTH">"c1271"</definedName>
    <definedName name="IQ_TOTAL_EQUITY_5YR_ANN_GROWTH">"c1272"</definedName>
    <definedName name="IQ_TOTAL_EQUITY_7YR_ANN_GROWTH">"c1273"</definedName>
    <definedName name="IQ_TOTAL_EQUITY_ALLOWANCE_TOTAL_LOANS">"c1274"</definedName>
    <definedName name="IQ_TOTAL_INTEREST_EXP">"c1382"</definedName>
    <definedName name="IQ_TOTAL_INVENTORY">"c1385"</definedName>
    <definedName name="IQ_TOTAL_INVEST">"c1275"</definedName>
    <definedName name="IQ_TOTAL_LIAB">"c1276"</definedName>
    <definedName name="IQ_TOTAL_LIAB_BNK">"c1277"</definedName>
    <definedName name="IQ_TOTAL_LIAB_BR">"c1278"</definedName>
    <definedName name="IQ_TOTAL_LIAB_EQUITY">"c1279"</definedName>
    <definedName name="IQ_TOTAL_LIAB_FIN">"c1280"</definedName>
    <definedName name="IQ_TOTAL_LIAB_INS">"c1281"</definedName>
    <definedName name="IQ_TOTAL_LIAB_REIT">"c1282"</definedName>
    <definedName name="IQ_TOTAL_LIAB_SHAREHOLD">"c1435"</definedName>
    <definedName name="IQ_TOTAL_LIAB_TOTAL_ASSETS">"c1283"</definedName>
    <definedName name="IQ_TOTAL_LONG_DEBT">"c1617"</definedName>
    <definedName name="IQ_TOTAL_NON_REC">"c1444"</definedName>
    <definedName name="IQ_TOTAL_OPER_EXP_BR">"c1284"</definedName>
    <definedName name="IQ_TOTAL_OPER_EXP_FIN">"c1285"</definedName>
    <definedName name="IQ_TOTAL_OPER_EXP_INS">"c1286"</definedName>
    <definedName name="IQ_TOTAL_OPER_EXP_REIT">"c1287"</definedName>
    <definedName name="IQ_TOTAL_OPER_EXP_UTI">"c1288"</definedName>
    <definedName name="IQ_TOTAL_OPER_EXPEN">"c1445"</definedName>
    <definedName name="IQ_TOTAL_OTHER_OPER">"c1289"</definedName>
    <definedName name="IQ_TOTAL_OUTSTANDING_BS_DATE">"c1022"</definedName>
    <definedName name="IQ_TOTAL_OUTSTANDING_FILING_DATE">"c2107"</definedName>
    <definedName name="IQ_TOTAL_PENSION_ASSETS">"c1290"</definedName>
    <definedName name="IQ_TOTAL_PENSION_EXP">"c1291"</definedName>
    <definedName name="IQ_TOTAL_PENSION_OBLIGATION">"c1292"</definedName>
    <definedName name="IQ_TOTAL_PROVED_RESERVES_OIL">"c2040"</definedName>
    <definedName name="IQ_TOTAL_RECEIV">"c1293"</definedName>
    <definedName name="IQ_TOTAL_REV">"c1294"</definedName>
    <definedName name="IQ_TOTAL_REV_10YR_ANN_GROWTH">"c1295"</definedName>
    <definedName name="IQ_TOTAL_REV_1YR_ANN_GROWTH">"c1296"</definedName>
    <definedName name="IQ_TOTAL_REV_2YR_ANN_GROWTH">"c1297"</definedName>
    <definedName name="IQ_TOTAL_REV_3YR_ANN_GROWTH">"c1298"</definedName>
    <definedName name="IQ_TOTAL_REV_5YR_ANN_GROWTH">"c1299"</definedName>
    <definedName name="IQ_TOTAL_REV_7YR_ANN_GROWTH">"c1300"</definedName>
    <definedName name="IQ_TOTAL_REV_AS_REPORTED">"c1301"</definedName>
    <definedName name="IQ_TOTAL_REV_BNK">"c1302"</definedName>
    <definedName name="IQ_TOTAL_REV_BR">"c1303"</definedName>
    <definedName name="IQ_TOTAL_REV_EMPLOYEE">"c1304"</definedName>
    <definedName name="IQ_TOTAL_REV_FIN">"c1305"</definedName>
    <definedName name="IQ_TOTAL_REV_INS">"c1306"</definedName>
    <definedName name="IQ_TOTAL_REV_REIT">"c1307"</definedName>
    <definedName name="IQ_TOTAL_REV_SHARE">"c1912"</definedName>
    <definedName name="IQ_TOTAL_REV_UTI">"c1308"</definedName>
    <definedName name="IQ_TOTAL_REVENUE">"c1436"</definedName>
    <definedName name="IQ_TOTAL_SPECIAL">"c1618"</definedName>
    <definedName name="IQ_TOTAL_ST_BORROW">"c1424"</definedName>
    <definedName name="IQ_TOTAL_SUBS">"c2119"</definedName>
    <definedName name="IQ_TOTAL_UNUSUAL">"c1508"</definedName>
    <definedName name="IQ_TRADE_AR">"c1345"</definedName>
    <definedName name="IQ_TRADE_PRINCIPAL">"c1309"</definedName>
    <definedName name="IQ_TRADING_ASSETS">"c1310"</definedName>
    <definedName name="IQ_TREASURY">"c1311"</definedName>
    <definedName name="IQ_TREASURY_OTHER_EQUITY">"c1312"</definedName>
    <definedName name="IQ_TREASURY_OTHER_EQUITY_BNK">"c1313"</definedName>
    <definedName name="IQ_TREASURY_OTHER_EQUITY_BR">"c1314"</definedName>
    <definedName name="IQ_TREASURY_OTHER_EQUITY_FIN">"c1315"</definedName>
    <definedName name="IQ_TREASURY_OTHER_EQUITY_INS">"c1316"</definedName>
    <definedName name="IQ_TREASURY_OTHER_EQUITY_REIT">"c1317"</definedName>
    <definedName name="IQ_TREASURY_OTHER_EQUITY_UTI">"c1318"</definedName>
    <definedName name="IQ_TREASURY_STOCK">"c1438"</definedName>
    <definedName name="IQ_TRUST_INC">"c1319"</definedName>
    <definedName name="IQ_TRUST_PREF">"c1320"</definedName>
    <definedName name="IQ_UFCF_10YR_ANN_GROWTH">"c1948"</definedName>
    <definedName name="IQ_UFCF_1YR_ANN_GROWTH">"c1943"</definedName>
    <definedName name="IQ_UFCF_2YR_ANN_GROWTH">"c1944"</definedName>
    <definedName name="IQ_UFCF_3YR_ANN_GROWTH">"c1945"</definedName>
    <definedName name="IQ_UFCF_5YR_ANN_GROWTH">"c1946"</definedName>
    <definedName name="IQ_UFCF_7YR_ANN_GROWTH">"c1947"</definedName>
    <definedName name="IQ_UFCF_MARGIN">"c1962"</definedName>
    <definedName name="IQ_UNEARN_PREMIUM">"c1321"</definedName>
    <definedName name="IQ_UNEARN_REV_CURRENT">"c1322"</definedName>
    <definedName name="IQ_UNEARN_REV_CURRENT_BNK">"c1323"</definedName>
    <definedName name="IQ_UNEARN_REV_CURRENT_BR">"c1324"</definedName>
    <definedName name="IQ_UNEARN_REV_CURRENT_FIN">"c1325"</definedName>
    <definedName name="IQ_UNEARN_REV_CURRENT_INS">"c1326"</definedName>
    <definedName name="IQ_UNEARN_REV_CURRENT_REIT">"c1327"</definedName>
    <definedName name="IQ_UNEARN_REV_CURRENT_UTI">"c1328"</definedName>
    <definedName name="IQ_UNEARN_REV_LT">"c1329"</definedName>
    <definedName name="IQ_UNLEVERED_FCF">"c1908"</definedName>
    <definedName name="IQ_UNPAID_CLAIMS">"c1330"</definedName>
    <definedName name="IQ_UNREALIZED_GAIN">"c1619"</definedName>
    <definedName name="IQ_UNUSUAL_EXP">"c1456"</definedName>
    <definedName name="IQ_US_GAAP">"c1331"</definedName>
    <definedName name="IQ_UTIL_PPE_NET">"c1620"</definedName>
    <definedName name="IQ_UTIL_REV">"c2091"</definedName>
    <definedName name="IQ_UV_PENSION_LIAB">"c1332"</definedName>
    <definedName name="IQ_VALUE_TRADED_LAST_3MTH">"c1530"</definedName>
    <definedName name="IQ_VALUE_TRADED_LAST_6MTH">"c1531"</definedName>
    <definedName name="IQ_VALUE_TRADED_LAST_MTH">"c1529"</definedName>
    <definedName name="IQ_VALUE_TRADED_LAST_WK">"c1528"</definedName>
    <definedName name="IQ_VALUE_TRADED_LAST_YR">"c1532"</definedName>
    <definedName name="IQ_VOL_LAST_3MTH">"c1525"</definedName>
    <definedName name="IQ_VOL_LAST_6MTH">"c1526"</definedName>
    <definedName name="IQ_VOL_LAST_MTH">"c1524"</definedName>
    <definedName name="IQ_VOL_LAST_WK">"c1523"</definedName>
    <definedName name="IQ_VOL_LAST_YR">"c1527"</definedName>
    <definedName name="IQ_VOLUME">"c1333"</definedName>
    <definedName name="IQ_WEIGHTED_AVG_PRICE">"c1334"</definedName>
    <definedName name="IQ_WIP_INV">"c1335"</definedName>
    <definedName name="IQ_WORKMEN_WRITTEN">"c1336"</definedName>
    <definedName name="IQ_XDIV_DATE">"c2104"</definedName>
    <definedName name="IQ_YEARHIGH">"c1337"</definedName>
    <definedName name="IQ_YEARLOW">"c1338"</definedName>
    <definedName name="IQ_YTD">3000</definedName>
    <definedName name="IQ_Z_SCORE">"c1339"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34" i="1" l="1"/>
  <c r="Y13" i="1"/>
  <c r="Y14" i="1"/>
  <c r="E18" i="2"/>
  <c r="D18" i="2"/>
  <c r="I17" i="2"/>
  <c r="E16" i="2"/>
  <c r="D16" i="2"/>
  <c r="E15" i="2"/>
  <c r="D15" i="2"/>
  <c r="M14" i="2"/>
  <c r="L14" i="2"/>
  <c r="N13" i="2"/>
  <c r="N14" i="2" s="1"/>
  <c r="M13" i="2"/>
  <c r="K13" i="2"/>
  <c r="K14" i="2" s="1"/>
  <c r="J13" i="2"/>
  <c r="J14" i="2" s="1"/>
  <c r="I12" i="2"/>
  <c r="R7" i="2"/>
  <c r="P7" i="2"/>
  <c r="R6" i="2"/>
  <c r="P6" i="2"/>
  <c r="R5" i="2"/>
  <c r="P5" i="2"/>
  <c r="R4" i="2"/>
  <c r="R10" i="2" s="1"/>
  <c r="E13" i="2" s="1"/>
  <c r="P4" i="2"/>
  <c r="P10" i="2" s="1"/>
  <c r="D13" i="2" s="1"/>
  <c r="D14" i="2" s="1"/>
  <c r="D17" i="2" s="1"/>
  <c r="D19" i="2" s="1"/>
  <c r="AB3" i="2"/>
  <c r="AA3" i="2"/>
  <c r="P3" i="2"/>
  <c r="V56" i="1"/>
  <c r="V55" i="1"/>
  <c r="J45" i="1"/>
  <c r="AA43" i="1"/>
  <c r="T42" i="1"/>
  <c r="J41" i="1"/>
  <c r="J37" i="1"/>
  <c r="AF36" i="1"/>
  <c r="AE36" i="1"/>
  <c r="Y36" i="1"/>
  <c r="X36" i="1"/>
  <c r="W36" i="1"/>
  <c r="V36" i="1"/>
  <c r="U36" i="1"/>
  <c r="T36" i="1"/>
  <c r="S36" i="1"/>
  <c r="AF35" i="1"/>
  <c r="AE35" i="1"/>
  <c r="Y35" i="1"/>
  <c r="X35" i="1"/>
  <c r="W35" i="1"/>
  <c r="V35" i="1"/>
  <c r="U35" i="1"/>
  <c r="T35" i="1"/>
  <c r="S35" i="1"/>
  <c r="AE34" i="1"/>
  <c r="Y34" i="1"/>
  <c r="X34" i="1"/>
  <c r="W34" i="1"/>
  <c r="V34" i="1"/>
  <c r="U34" i="1"/>
  <c r="T34" i="1"/>
  <c r="S34" i="1"/>
  <c r="AF33" i="1"/>
  <c r="AE33" i="1"/>
  <c r="Y33" i="1"/>
  <c r="X33" i="1"/>
  <c r="W33" i="1"/>
  <c r="V33" i="1"/>
  <c r="U33" i="1"/>
  <c r="T33" i="1"/>
  <c r="S33" i="1"/>
  <c r="J33" i="1"/>
  <c r="AF32" i="1"/>
  <c r="AE32" i="1"/>
  <c r="Y32" i="1"/>
  <c r="X32" i="1"/>
  <c r="W32" i="1"/>
  <c r="V32" i="1"/>
  <c r="U32" i="1"/>
  <c r="T32" i="1"/>
  <c r="S32" i="1"/>
  <c r="AF31" i="1"/>
  <c r="AE31" i="1"/>
  <c r="Y31" i="1"/>
  <c r="X31" i="1"/>
  <c r="W31" i="1"/>
  <c r="V31" i="1"/>
  <c r="U31" i="1"/>
  <c r="T31" i="1"/>
  <c r="S31" i="1"/>
  <c r="AF30" i="1"/>
  <c r="AE30" i="1"/>
  <c r="Y30" i="1"/>
  <c r="X30" i="1"/>
  <c r="W30" i="1"/>
  <c r="V30" i="1"/>
  <c r="U30" i="1"/>
  <c r="T30" i="1"/>
  <c r="S30" i="1"/>
  <c r="S42" i="1" s="1"/>
  <c r="J29" i="1"/>
  <c r="O17" i="1"/>
  <c r="X14" i="1"/>
  <c r="W14" i="1"/>
  <c r="V14" i="1"/>
  <c r="U14" i="1"/>
  <c r="T14" i="1"/>
  <c r="S14" i="1"/>
  <c r="X13" i="1"/>
  <c r="W13" i="1"/>
  <c r="V13" i="1"/>
  <c r="U13" i="1"/>
  <c r="T13" i="1"/>
  <c r="S13" i="1"/>
  <c r="O11" i="1"/>
  <c r="O10" i="1"/>
  <c r="O9" i="1"/>
  <c r="O8" i="1"/>
  <c r="O7" i="1"/>
  <c r="O6" i="1"/>
  <c r="U39" i="1" l="1"/>
  <c r="V39" i="1"/>
  <c r="V38" i="1"/>
  <c r="W38" i="1"/>
  <c r="AE38" i="1"/>
  <c r="X38" i="1"/>
  <c r="U38" i="1"/>
  <c r="Y38" i="1"/>
  <c r="AF39" i="1"/>
  <c r="AF42" i="1" s="1"/>
  <c r="AE39" i="1"/>
  <c r="AE42" i="1" s="1"/>
  <c r="AF38" i="1"/>
  <c r="U42" i="1"/>
  <c r="M30" i="1"/>
  <c r="V42" i="1"/>
  <c r="M34" i="1"/>
  <c r="L18" i="2"/>
  <c r="E14" i="2"/>
  <c r="E17" i="2" s="1"/>
  <c r="E19" i="2" s="1"/>
  <c r="W39" i="1"/>
  <c r="X39" i="1"/>
  <c r="P9" i="2"/>
  <c r="Y39" i="1"/>
  <c r="R9" i="2"/>
  <c r="W42" i="1" l="1"/>
  <c r="M38" i="1"/>
  <c r="X42" i="1"/>
  <c r="M42" i="1"/>
  <c r="M18" i="2"/>
  <c r="K18" i="2"/>
  <c r="L19" i="2"/>
  <c r="M35" i="1"/>
  <c r="N34" i="1"/>
  <c r="L34" i="1"/>
  <c r="M46" i="1"/>
  <c r="Y42" i="1"/>
  <c r="L30" i="1"/>
  <c r="N30" i="1"/>
  <c r="M31" i="1"/>
  <c r="T46" i="1"/>
  <c r="T47" i="1" l="1"/>
  <c r="S47" i="1" s="1" a="1"/>
  <c r="S47" i="1" s="1"/>
  <c r="K19" i="2"/>
  <c r="J18" i="2"/>
  <c r="J19" i="2" s="1"/>
  <c r="O30" i="1"/>
  <c r="O31" i="1" s="1"/>
  <c r="N31" i="1"/>
  <c r="M51" i="1" s="1"/>
  <c r="L31" i="1"/>
  <c r="K51" i="1" s="1"/>
  <c r="K30" i="1"/>
  <c r="K31" i="1" s="1"/>
  <c r="M19" i="2"/>
  <c r="N18" i="2"/>
  <c r="N19" i="2" s="1"/>
  <c r="L42" i="1"/>
  <c r="M43" i="1"/>
  <c r="N42" i="1"/>
  <c r="L46" i="1"/>
  <c r="M47" i="1"/>
  <c r="N46" i="1"/>
  <c r="K34" i="1"/>
  <c r="K35" i="1" s="1"/>
  <c r="L35" i="1"/>
  <c r="K55" i="1" s="1"/>
  <c r="M39" i="1"/>
  <c r="L38" i="1"/>
  <c r="N38" i="1"/>
  <c r="O34" i="1"/>
  <c r="O35" i="1" s="1"/>
  <c r="N35" i="1"/>
  <c r="M55" i="1" s="1"/>
  <c r="L55" i="1" l="1"/>
  <c r="O46" i="1"/>
  <c r="O47" i="1" s="1"/>
  <c r="N47" i="1"/>
  <c r="M67" i="1" s="1"/>
  <c r="K46" i="1"/>
  <c r="K47" i="1" s="1"/>
  <c r="L47" i="1"/>
  <c r="K67" i="1" s="1"/>
  <c r="N39" i="1"/>
  <c r="M59" i="1" s="1"/>
  <c r="O38" i="1"/>
  <c r="O39" i="1" s="1"/>
  <c r="K38" i="1"/>
  <c r="K39" i="1" s="1"/>
  <c r="L39" i="1"/>
  <c r="K59" i="1" s="1"/>
  <c r="K42" i="1"/>
  <c r="K43" i="1" s="1"/>
  <c r="L43" i="1"/>
  <c r="K63" i="1" s="1"/>
  <c r="L51" i="1"/>
  <c r="N43" i="1"/>
  <c r="M63" i="1" s="1"/>
  <c r="L63" i="1" s="1"/>
  <c r="O42" i="1"/>
  <c r="O43" i="1" s="1"/>
  <c r="L59" i="1" l="1"/>
  <c r="L67" i="1"/>
  <c r="L69" i="1" s="1"/>
  <c r="L70" i="1" s="1"/>
  <c r="M70" i="1" s="1"/>
  <c r="N70" i="1" s="1"/>
</calcChain>
</file>

<file path=xl/sharedStrings.xml><?xml version="1.0" encoding="utf-8"?>
<sst xmlns="http://schemas.openxmlformats.org/spreadsheetml/2006/main" count="149" uniqueCount="73">
  <si>
    <t>x</t>
  </si>
  <si>
    <t>Reported in millions</t>
  </si>
  <si>
    <t>Market Data</t>
  </si>
  <si>
    <t>Financial Data</t>
  </si>
  <si>
    <t xml:space="preserve">Valuation </t>
  </si>
  <si>
    <t>Company</t>
  </si>
  <si>
    <t>Ticker</t>
  </si>
  <si>
    <t>Diluted Shares Outstanding</t>
  </si>
  <si>
    <t>Price</t>
  </si>
  <si>
    <t>Market Cap</t>
  </si>
  <si>
    <t>Enterprise Value</t>
  </si>
  <si>
    <t>Revenue</t>
  </si>
  <si>
    <t>EBITDA</t>
  </si>
  <si>
    <t>EBIT</t>
  </si>
  <si>
    <t>EPS</t>
  </si>
  <si>
    <t>Net Income</t>
  </si>
  <si>
    <t xml:space="preserve">Net Debt </t>
  </si>
  <si>
    <t>Cash</t>
  </si>
  <si>
    <t>EV/Sales</t>
  </si>
  <si>
    <t>EV/EBITDA</t>
  </si>
  <si>
    <t>EV/EBIT</t>
  </si>
  <si>
    <t>P/E</t>
  </si>
  <si>
    <t>P/S</t>
  </si>
  <si>
    <t>P/B</t>
  </si>
  <si>
    <t>PEG</t>
  </si>
  <si>
    <t>Taylor Morrison Home Corp</t>
  </si>
  <si>
    <t>TMHC</t>
  </si>
  <si>
    <t>KB Home</t>
  </si>
  <si>
    <t>KBH</t>
  </si>
  <si>
    <t>Meritage Homes Corp</t>
  </si>
  <si>
    <t>MTH</t>
  </si>
  <si>
    <t>Century Communities Inc</t>
  </si>
  <si>
    <t>CCS</t>
  </si>
  <si>
    <t>PulteGroup Inc</t>
  </si>
  <si>
    <t>PHM</t>
  </si>
  <si>
    <t>M/I Homes Inc</t>
  </si>
  <si>
    <t>MHO</t>
  </si>
  <si>
    <t>Average</t>
  </si>
  <si>
    <t>Median</t>
  </si>
  <si>
    <t xml:space="preserve"> </t>
  </si>
  <si>
    <t>Tri Point Homes</t>
  </si>
  <si>
    <t>TPH</t>
  </si>
  <si>
    <t>Relative Valuation Sensitivity Analysis</t>
  </si>
  <si>
    <t>Share Prices:</t>
  </si>
  <si>
    <t>Weight Check</t>
  </si>
  <si>
    <t>Weightings</t>
  </si>
  <si>
    <t>Current Price</t>
  </si>
  <si>
    <t>Implied Target Price</t>
  </si>
  <si>
    <t>XX.XX</t>
  </si>
  <si>
    <t>Min</t>
  </si>
  <si>
    <t>Upside / Downside</t>
  </si>
  <si>
    <t>&lt;- this + / - target price</t>
  </si>
  <si>
    <t>valuation range</t>
  </si>
  <si>
    <t>Precedent Transactions</t>
  </si>
  <si>
    <t>Date</t>
  </si>
  <si>
    <t>Purchase Price</t>
  </si>
  <si>
    <t>Sales</t>
  </si>
  <si>
    <t>FY23A EPS</t>
  </si>
  <si>
    <t>XinXin Semiconductor Technology</t>
  </si>
  <si>
    <t>N/A</t>
  </si>
  <si>
    <t>AMD (NASDAQ:AMD)</t>
  </si>
  <si>
    <t>O2 Micro International</t>
  </si>
  <si>
    <t>Tower Semiconductor (acquired by Intel)</t>
  </si>
  <si>
    <t>Subtron Technology</t>
  </si>
  <si>
    <t>Xilinx, Inc.</t>
  </si>
  <si>
    <t>EV/Sales Sensitivity</t>
  </si>
  <si>
    <t>Multiple</t>
  </si>
  <si>
    <t>Implied EV</t>
  </si>
  <si>
    <t>Debt</t>
  </si>
  <si>
    <t>Implied Equity Value</t>
  </si>
  <si>
    <t>Shares Outstanding</t>
  </si>
  <si>
    <t>Implied Share Price</t>
  </si>
  <si>
    <t>Use this as an example if you want to do precedent transactions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</si>
</sst>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\$#,##0.00_);[Red]&quot;($&quot;#,##0.00\)"/>
    <numFmt numFmtId="165" formatCode="\$#,##0.0_);[Red]&quot;($&quot;#,##0.0\)"/>
    <numFmt numFmtId="166" formatCode="0.0\x"/>
    <numFmt numFmtId="167" formatCode="_([$$-409]* #,##0.00_);_([$$-409]* \(#,##0.00\);_([$$-409]* \-??_);_(@_)"/>
    <numFmt numFmtId="168" formatCode="\$#,##0.00_);&quot;($&quot;#,##0.00\)"/>
    <numFmt numFmtId="169" formatCode="0.00\x"/>
    <numFmt numFmtId="170" formatCode="m/d/yyyy"/>
    <numFmt numFmtId="171" formatCode="\$#,##0.0"/>
    <numFmt numFmtId="172" formatCode="\$#,##0_);[Red]&quot;($&quot;#,##0\)"/>
  </numFmts>
  <fonts count="13" x14ac:knownFonts="1">
    <font>
      <sz val="11"/>
      <color theme="1"/>
      <name val="Calibri"/>
      <charset val="1"/>
    </font>
    <font>
      <sz val="12"/>
      <color theme="1"/>
      <name val="Times New Roman"/>
      <family val="1"/>
      <charset val="1"/>
    </font>
    <font>
      <i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theme="0"/>
      <name val="Times New Roman"/>
      <family val="1"/>
      <charset val="1"/>
    </font>
    <font>
      <sz val="11"/>
      <color rgb="FF000000"/>
      <name val="Calibri"/>
      <family val="2"/>
    </font>
    <font>
      <b/>
      <sz val="12"/>
      <color theme="1"/>
      <name val="Times New Roman"/>
      <family val="1"/>
      <charset val="1"/>
    </font>
    <font>
      <sz val="11"/>
      <color rgb="FF0000FF"/>
      <name val="Calibri"/>
      <family val="2"/>
    </font>
    <font>
      <sz val="12"/>
      <color theme="0"/>
      <name val="Times New Roman"/>
      <family val="1"/>
      <charset val="1"/>
    </font>
    <font>
      <sz val="14"/>
      <color rgb="FF000000"/>
      <name val="Aptos Narrow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8"/>
      <color rgb="FF000000"/>
      <name val="Aptos Narrow"/>
    </font>
  </fonts>
  <fills count="11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theme="0"/>
        <bgColor rgb="FFFFFFCC"/>
      </patternFill>
    </fill>
    <fill>
      <patternFill patternType="solid">
        <fgColor rgb="FFD8D8D8"/>
        <bgColor rgb="FFD0DFE6"/>
      </patternFill>
    </fill>
    <fill>
      <patternFill patternType="solid">
        <fgColor rgb="FFD0CECE"/>
        <bgColor rgb="FFD8D8D8"/>
      </patternFill>
    </fill>
    <fill>
      <patternFill patternType="solid">
        <fgColor theme="1"/>
        <bgColor rgb="FF003300"/>
      </patternFill>
    </fill>
    <fill>
      <patternFill patternType="solid">
        <fgColor rgb="FFFFFF00"/>
        <bgColor rgb="FFFFFF00"/>
      </patternFill>
    </fill>
    <fill>
      <patternFill patternType="solid">
        <fgColor rgb="FFC0E6F5"/>
        <bgColor rgb="FFD8D8D8"/>
      </patternFill>
    </fill>
    <fill>
      <patternFill patternType="solid">
        <fgColor rgb="FFC0E6F5"/>
        <bgColor indexed="64"/>
      </patternFill>
    </fill>
    <fill>
      <patternFill patternType="solid">
        <fgColor rgb="FFC0E6F5"/>
        <bgColor rgb="FFFFFFCC"/>
      </patternFill>
    </fill>
  </fills>
  <borders count="29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/>
      <right/>
      <top/>
      <bottom style="medium">
        <color theme="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theme="0"/>
      </bottom>
      <diagonal/>
    </border>
    <border>
      <left/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theme="0"/>
      </bottom>
      <diagonal/>
    </border>
    <border>
      <left/>
      <right style="thin">
        <color indexed="64"/>
      </right>
      <top/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3">
    <xf numFmtId="0" fontId="0" fillId="0" borderId="0" xfId="0"/>
    <xf numFmtId="0" fontId="3" fillId="0" borderId="0" xfId="0" applyFont="1"/>
    <xf numFmtId="166" fontId="5" fillId="0" borderId="0" xfId="0" applyNumberFormat="1" applyFont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1" fillId="0" borderId="0" xfId="0" applyFont="1"/>
    <xf numFmtId="0" fontId="5" fillId="0" borderId="0" xfId="0" applyFont="1"/>
    <xf numFmtId="0" fontId="6" fillId="0" borderId="0" xfId="0" applyFont="1"/>
    <xf numFmtId="164" fontId="7" fillId="2" borderId="0" xfId="0" applyNumberFormat="1" applyFont="1" applyFill="1" applyAlignment="1">
      <alignment horizontal="right"/>
    </xf>
    <xf numFmtId="165" fontId="7" fillId="2" borderId="0" xfId="0" applyNumberFormat="1" applyFont="1" applyFill="1" applyAlignment="1">
      <alignment horizontal="right"/>
    </xf>
    <xf numFmtId="0" fontId="1" fillId="0" borderId="0" xfId="0" applyFont="1" applyAlignment="1">
      <alignment horizontal="right"/>
    </xf>
    <xf numFmtId="165" fontId="5" fillId="0" borderId="0" xfId="0" applyNumberFormat="1" applyFont="1" applyAlignment="1">
      <alignment horizontal="right"/>
    </xf>
    <xf numFmtId="164" fontId="1" fillId="0" borderId="0" xfId="0" applyNumberFormat="1" applyFont="1" applyAlignment="1">
      <alignment horizontal="right"/>
    </xf>
    <xf numFmtId="166" fontId="7" fillId="2" borderId="0" xfId="0" applyNumberFormat="1" applyFont="1" applyFill="1" applyAlignment="1">
      <alignment horizontal="right"/>
    </xf>
    <xf numFmtId="0" fontId="7" fillId="2" borderId="0" xfId="0" applyFont="1" applyFill="1" applyAlignment="1">
      <alignment horizontal="right"/>
    </xf>
    <xf numFmtId="0" fontId="1" fillId="3" borderId="0" xfId="0" applyFont="1" applyFill="1"/>
    <xf numFmtId="0" fontId="1" fillId="3" borderId="0" xfId="0" applyFont="1" applyFill="1" applyAlignment="1">
      <alignment horizontal="right"/>
    </xf>
    <xf numFmtId="164" fontId="1" fillId="0" borderId="0" xfId="0" applyNumberFormat="1" applyFont="1"/>
    <xf numFmtId="165" fontId="1" fillId="0" borderId="0" xfId="0" applyNumberFormat="1" applyFont="1"/>
    <xf numFmtId="165" fontId="1" fillId="0" borderId="0" xfId="0" applyNumberFormat="1" applyFont="1" applyAlignment="1">
      <alignment horizontal="center"/>
    </xf>
    <xf numFmtId="166" fontId="1" fillId="0" borderId="0" xfId="0" applyNumberFormat="1" applyFont="1"/>
    <xf numFmtId="0" fontId="3" fillId="4" borderId="0" xfId="0" applyFont="1" applyFill="1"/>
    <xf numFmtId="166" fontId="3" fillId="0" borderId="4" xfId="0" applyNumberFormat="1" applyFont="1" applyBorder="1"/>
    <xf numFmtId="166" fontId="3" fillId="0" borderId="0" xfId="0" applyNumberFormat="1" applyFont="1"/>
    <xf numFmtId="0" fontId="6" fillId="3" borderId="0" xfId="0" applyFont="1" applyFill="1"/>
    <xf numFmtId="164" fontId="1" fillId="3" borderId="0" xfId="0" applyNumberFormat="1" applyFont="1" applyFill="1"/>
    <xf numFmtId="166" fontId="1" fillId="3" borderId="0" xfId="0" applyNumberFormat="1" applyFont="1" applyFill="1"/>
    <xf numFmtId="3" fontId="7" fillId="2" borderId="0" xfId="0" applyNumberFormat="1" applyFont="1" applyFill="1"/>
    <xf numFmtId="164" fontId="7" fillId="2" borderId="0" xfId="0" applyNumberFormat="1" applyFont="1" applyFill="1"/>
    <xf numFmtId="165" fontId="7" fillId="2" borderId="0" xfId="0" applyNumberFormat="1" applyFont="1" applyFill="1"/>
    <xf numFmtId="166" fontId="7" fillId="2" borderId="0" xfId="0" applyNumberFormat="1" applyFont="1" applyFill="1"/>
    <xf numFmtId="165" fontId="7" fillId="2" borderId="0" xfId="0" applyNumberFormat="1" applyFont="1" applyFill="1" applyAlignment="1">
      <alignment horizontal="center"/>
    </xf>
    <xf numFmtId="165" fontId="5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8" fillId="0" borderId="0" xfId="0" applyFont="1"/>
    <xf numFmtId="0" fontId="4" fillId="0" borderId="0" xfId="0" applyFont="1" applyAlignment="1">
      <alignment horizontal="center"/>
    </xf>
    <xf numFmtId="166" fontId="6" fillId="0" borderId="0" xfId="0" applyNumberFormat="1" applyFont="1" applyAlignment="1">
      <alignment horizontal="right"/>
    </xf>
    <xf numFmtId="167" fontId="1" fillId="0" borderId="0" xfId="0" applyNumberFormat="1" applyFont="1"/>
    <xf numFmtId="168" fontId="1" fillId="0" borderId="0" xfId="0" applyNumberFormat="1" applyFont="1"/>
    <xf numFmtId="3" fontId="1" fillId="0" borderId="0" xfId="0" applyNumberFormat="1" applyFont="1"/>
    <xf numFmtId="167" fontId="6" fillId="0" borderId="0" xfId="0" applyNumberFormat="1" applyFont="1"/>
    <xf numFmtId="165" fontId="1" fillId="0" borderId="0" xfId="0" applyNumberFormat="1" applyFont="1" applyAlignment="1">
      <alignment horizontal="right"/>
    </xf>
    <xf numFmtId="0" fontId="5" fillId="0" borderId="8" xfId="0" applyFont="1" applyBorder="1"/>
    <xf numFmtId="166" fontId="5" fillId="0" borderId="9" xfId="0" applyNumberFormat="1" applyFont="1" applyBorder="1" applyAlignment="1">
      <alignment horizontal="center"/>
    </xf>
    <xf numFmtId="167" fontId="5" fillId="0" borderId="10" xfId="0" applyNumberFormat="1" applyFont="1" applyBorder="1"/>
    <xf numFmtId="167" fontId="5" fillId="0" borderId="11" xfId="0" applyNumberFormat="1" applyFont="1" applyBorder="1" applyAlignment="1">
      <alignment horizontal="center"/>
    </xf>
    <xf numFmtId="167" fontId="5" fillId="0" borderId="12" xfId="0" applyNumberFormat="1" applyFont="1" applyBorder="1" applyAlignment="1">
      <alignment horizontal="center"/>
    </xf>
    <xf numFmtId="166" fontId="5" fillId="0" borderId="0" xfId="0" applyNumberFormat="1" applyFont="1"/>
    <xf numFmtId="166" fontId="5" fillId="0" borderId="9" xfId="0" applyNumberFormat="1" applyFont="1" applyBorder="1"/>
    <xf numFmtId="166" fontId="5" fillId="0" borderId="9" xfId="0" applyNumberFormat="1" applyFont="1" applyBorder="1" applyAlignment="1">
      <alignment horizontal="right"/>
    </xf>
    <xf numFmtId="0" fontId="10" fillId="0" borderId="8" xfId="0" applyFont="1" applyBorder="1"/>
    <xf numFmtId="0" fontId="10" fillId="0" borderId="0" xfId="0" applyFont="1"/>
    <xf numFmtId="166" fontId="11" fillId="0" borderId="0" xfId="0" applyNumberFormat="1" applyFont="1"/>
    <xf numFmtId="166" fontId="11" fillId="0" borderId="9" xfId="0" applyNumberFormat="1" applyFont="1" applyBorder="1"/>
    <xf numFmtId="0" fontId="3" fillId="4" borderId="8" xfId="0" applyFont="1" applyFill="1" applyBorder="1"/>
    <xf numFmtId="0" fontId="11" fillId="4" borderId="0" xfId="0" applyFont="1" applyFill="1"/>
    <xf numFmtId="166" fontId="11" fillId="4" borderId="0" xfId="0" applyNumberFormat="1" applyFont="1" applyFill="1"/>
    <xf numFmtId="166" fontId="11" fillId="4" borderId="9" xfId="0" applyNumberFormat="1" applyFont="1" applyFill="1" applyBorder="1"/>
    <xf numFmtId="169" fontId="11" fillId="4" borderId="0" xfId="0" applyNumberFormat="1" applyFont="1" applyFill="1"/>
    <xf numFmtId="0" fontId="3" fillId="4" borderId="10" xfId="0" applyFont="1" applyFill="1" applyBorder="1"/>
    <xf numFmtId="0" fontId="11" fillId="4" borderId="11" xfId="0" applyFont="1" applyFill="1" applyBorder="1"/>
    <xf numFmtId="166" fontId="11" fillId="4" borderId="11" xfId="0" applyNumberFormat="1" applyFont="1" applyFill="1" applyBorder="1"/>
    <xf numFmtId="166" fontId="11" fillId="4" borderId="12" xfId="0" applyNumberFormat="1" applyFont="1" applyFill="1" applyBorder="1"/>
    <xf numFmtId="0" fontId="3" fillId="0" borderId="8" xfId="0" applyFont="1" applyBorder="1"/>
    <xf numFmtId="9" fontId="7" fillId="2" borderId="0" xfId="0" applyNumberFormat="1" applyFont="1" applyFill="1"/>
    <xf numFmtId="9" fontId="7" fillId="2" borderId="9" xfId="0" applyNumberFormat="1" applyFont="1" applyFill="1" applyBorder="1"/>
    <xf numFmtId="9" fontId="1" fillId="0" borderId="0" xfId="0" applyNumberFormat="1" applyFont="1"/>
    <xf numFmtId="0" fontId="11" fillId="0" borderId="8" xfId="0" applyFont="1" applyBorder="1"/>
    <xf numFmtId="0" fontId="1" fillId="0" borderId="9" xfId="0" applyFont="1" applyBorder="1"/>
    <xf numFmtId="2" fontId="7" fillId="2" borderId="0" xfId="0" applyNumberFormat="1" applyFont="1" applyFill="1"/>
    <xf numFmtId="0" fontId="5" fillId="5" borderId="8" xfId="0" applyFont="1" applyFill="1" applyBorder="1"/>
    <xf numFmtId="2" fontId="3" fillId="0" borderId="0" xfId="0" applyNumberFormat="1" applyFont="1"/>
    <xf numFmtId="0" fontId="5" fillId="0" borderId="10" xfId="0" applyFont="1" applyBorder="1" applyAlignment="1">
      <alignment horizontal="left"/>
    </xf>
    <xf numFmtId="10" fontId="5" fillId="0" borderId="11" xfId="0" applyNumberFormat="1" applyFont="1" applyBorder="1"/>
    <xf numFmtId="0" fontId="11" fillId="0" borderId="11" xfId="0" applyFont="1" applyBorder="1"/>
    <xf numFmtId="0" fontId="1" fillId="0" borderId="12" xfId="0" applyFont="1" applyBorder="1"/>
    <xf numFmtId="10" fontId="1" fillId="0" borderId="0" xfId="0" applyNumberFormat="1" applyFont="1"/>
    <xf numFmtId="0" fontId="1" fillId="0" borderId="3" xfId="0" applyFont="1" applyBorder="1"/>
    <xf numFmtId="0" fontId="3" fillId="6" borderId="3" xfId="0" applyFont="1" applyFill="1" applyBorder="1"/>
    <xf numFmtId="0" fontId="1" fillId="6" borderId="3" xfId="0" applyFont="1" applyFill="1" applyBorder="1"/>
    <xf numFmtId="164" fontId="3" fillId="6" borderId="3" xfId="0" applyNumberFormat="1" applyFont="1" applyFill="1" applyBorder="1"/>
    <xf numFmtId="172" fontId="7" fillId="2" borderId="0" xfId="0" applyNumberFormat="1" applyFont="1" applyFill="1"/>
    <xf numFmtId="0" fontId="7" fillId="2" borderId="0" xfId="0" applyFont="1" applyFill="1"/>
    <xf numFmtId="164" fontId="7" fillId="2" borderId="0" xfId="0" applyNumberFormat="1" applyFont="1" applyFill="1" applyAlignment="1">
      <alignment horizontal="center"/>
    </xf>
    <xf numFmtId="0" fontId="8" fillId="6" borderId="5" xfId="0" applyFont="1" applyFill="1" applyBorder="1"/>
    <xf numFmtId="0" fontId="8" fillId="6" borderId="7" xfId="0" applyFont="1" applyFill="1" applyBorder="1"/>
    <xf numFmtId="0" fontId="5" fillId="6" borderId="7" xfId="0" applyFont="1" applyFill="1" applyBorder="1" applyAlignment="1">
      <alignment horizontal="center"/>
    </xf>
    <xf numFmtId="167" fontId="5" fillId="0" borderId="5" xfId="0" applyNumberFormat="1" applyFont="1" applyBorder="1"/>
    <xf numFmtId="166" fontId="5" fillId="0" borderId="13" xfId="0" applyNumberFormat="1" applyFont="1" applyBorder="1" applyAlignment="1">
      <alignment horizontal="right"/>
    </xf>
    <xf numFmtId="166" fontId="5" fillId="0" borderId="6" xfId="0" applyNumberFormat="1" applyFont="1" applyBorder="1" applyAlignment="1">
      <alignment horizontal="right"/>
    </xf>
    <xf numFmtId="0" fontId="1" fillId="0" borderId="8" xfId="0" applyFont="1" applyBorder="1"/>
    <xf numFmtId="167" fontId="3" fillId="0" borderId="14" xfId="0" applyNumberFormat="1" applyFont="1" applyBorder="1"/>
    <xf numFmtId="167" fontId="3" fillId="0" borderId="9" xfId="0" applyNumberFormat="1" applyFont="1" applyBorder="1"/>
    <xf numFmtId="168" fontId="5" fillId="0" borderId="14" xfId="0" applyNumberFormat="1" applyFont="1" applyBorder="1"/>
    <xf numFmtId="168" fontId="5" fillId="0" borderId="9" xfId="0" applyNumberFormat="1" applyFont="1" applyBorder="1"/>
    <xf numFmtId="167" fontId="3" fillId="0" borderId="4" xfId="0" applyNumberFormat="1" applyFont="1" applyBorder="1"/>
    <xf numFmtId="3" fontId="5" fillId="0" borderId="15" xfId="0" applyNumberFormat="1" applyFont="1" applyBorder="1"/>
    <xf numFmtId="3" fontId="5" fillId="0" borderId="9" xfId="0" applyNumberFormat="1" applyFont="1" applyBorder="1"/>
    <xf numFmtId="0" fontId="5" fillId="0" borderId="16" xfId="0" applyFont="1" applyBorder="1"/>
    <xf numFmtId="0" fontId="6" fillId="0" borderId="17" xfId="0" applyFont="1" applyBorder="1"/>
    <xf numFmtId="0" fontId="5" fillId="6" borderId="6" xfId="0" applyFont="1" applyFill="1" applyBorder="1" applyAlignment="1">
      <alignment horizontal="center"/>
    </xf>
    <xf numFmtId="0" fontId="4" fillId="6" borderId="6" xfId="0" applyFont="1" applyFill="1" applyBorder="1" applyAlignment="1">
      <alignment horizontal="center"/>
    </xf>
    <xf numFmtId="0" fontId="2" fillId="7" borderId="0" xfId="0" applyFont="1" applyFill="1"/>
    <xf numFmtId="166" fontId="1" fillId="0" borderId="0" xfId="0" applyNumberFormat="1" applyFont="1" applyAlignment="1">
      <alignment horizontal="center"/>
    </xf>
    <xf numFmtId="0" fontId="3" fillId="0" borderId="0" xfId="0" applyFont="1"/>
    <xf numFmtId="166" fontId="3" fillId="0" borderId="4" xfId="0" applyNumberFormat="1" applyFont="1" applyBorder="1"/>
    <xf numFmtId="166" fontId="5" fillId="0" borderId="0" xfId="0" applyNumberFormat="1" applyFont="1"/>
    <xf numFmtId="0" fontId="1" fillId="0" borderId="0" xfId="0" applyFont="1" applyAlignment="1">
      <alignment horizontal="center" wrapText="1"/>
    </xf>
    <xf numFmtId="171" fontId="1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170" fontId="7" fillId="2" borderId="0" xfId="0" applyNumberFormat="1" applyFont="1" applyFill="1" applyAlignment="1">
      <alignment horizontal="center" wrapText="1"/>
    </xf>
    <xf numFmtId="171" fontId="7" fillId="2" borderId="0" xfId="0" applyNumberFormat="1" applyFont="1" applyFill="1" applyAlignment="1">
      <alignment horizontal="center"/>
    </xf>
    <xf numFmtId="170" fontId="7" fillId="2" borderId="0" xfId="0" applyNumberFormat="1" applyFont="1" applyFill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12" fillId="6" borderId="3" xfId="0" applyFont="1" applyFill="1" applyBorder="1" applyAlignment="1">
      <alignment horizontal="center"/>
    </xf>
    <xf numFmtId="0" fontId="1" fillId="8" borderId="0" xfId="0" applyFont="1" applyFill="1"/>
    <xf numFmtId="0" fontId="3" fillId="8" borderId="1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4" fillId="8" borderId="0" xfId="0" applyFont="1" applyFill="1" applyAlignment="1">
      <alignment horizontal="center"/>
    </xf>
    <xf numFmtId="0" fontId="3" fillId="8" borderId="3" xfId="0" applyFont="1" applyFill="1" applyBorder="1" applyAlignment="1">
      <alignment horizontal="center" vertical="center" wrapText="1"/>
    </xf>
    <xf numFmtId="164" fontId="3" fillId="8" borderId="3" xfId="0" applyNumberFormat="1" applyFont="1" applyFill="1" applyBorder="1" applyAlignment="1">
      <alignment horizontal="center" vertical="center" wrapText="1"/>
    </xf>
    <xf numFmtId="0" fontId="2" fillId="8" borderId="0" xfId="0" applyFont="1" applyFill="1"/>
    <xf numFmtId="0" fontId="3" fillId="8" borderId="3" xfId="0" applyFont="1" applyFill="1" applyBorder="1" applyAlignment="1">
      <alignment horizontal="left" vertical="center"/>
    </xf>
    <xf numFmtId="2" fontId="7" fillId="2" borderId="0" xfId="0" applyNumberFormat="1" applyFont="1" applyFill="1" applyAlignment="1">
      <alignment horizontal="right"/>
    </xf>
    <xf numFmtId="0" fontId="1" fillId="8" borderId="18" xfId="0" applyFont="1" applyFill="1" applyBorder="1"/>
    <xf numFmtId="0" fontId="1" fillId="8" borderId="4" xfId="0" applyFont="1" applyFill="1" applyBorder="1"/>
    <xf numFmtId="0" fontId="1" fillId="8" borderId="19" xfId="0" applyFont="1" applyFill="1" applyBorder="1"/>
    <xf numFmtId="0" fontId="3" fillId="8" borderId="20" xfId="0" applyFont="1" applyFill="1" applyBorder="1" applyAlignment="1">
      <alignment horizontal="center"/>
    </xf>
    <xf numFmtId="0" fontId="3" fillId="8" borderId="21" xfId="0" applyFont="1" applyFill="1" applyBorder="1" applyAlignment="1">
      <alignment horizontal="center"/>
    </xf>
    <xf numFmtId="0" fontId="3" fillId="8" borderId="22" xfId="0" applyFont="1" applyFill="1" applyBorder="1" applyAlignment="1">
      <alignment horizontal="center" vertical="center" wrapText="1"/>
    </xf>
    <xf numFmtId="0" fontId="3" fillId="8" borderId="23" xfId="0" applyFont="1" applyFill="1" applyBorder="1" applyAlignment="1">
      <alignment horizontal="center" vertical="center" wrapText="1"/>
    </xf>
    <xf numFmtId="0" fontId="3" fillId="8" borderId="24" xfId="0" applyFont="1" applyFill="1" applyBorder="1" applyAlignment="1">
      <alignment horizontal="center"/>
    </xf>
    <xf numFmtId="0" fontId="3" fillId="8" borderId="25" xfId="0" applyFont="1" applyFill="1" applyBorder="1" applyAlignment="1">
      <alignment horizontal="center"/>
    </xf>
    <xf numFmtId="0" fontId="9" fillId="8" borderId="0" xfId="0" applyFont="1" applyFill="1" applyAlignment="1"/>
    <xf numFmtId="0" fontId="10" fillId="8" borderId="8" xfId="0" applyFont="1" applyFill="1" applyBorder="1"/>
    <xf numFmtId="0" fontId="10" fillId="8" borderId="0" xfId="0" applyFont="1" applyFill="1"/>
    <xf numFmtId="166" fontId="11" fillId="8" borderId="0" xfId="0" applyNumberFormat="1" applyFont="1" applyFill="1"/>
    <xf numFmtId="166" fontId="11" fillId="8" borderId="9" xfId="0" applyNumberFormat="1" applyFont="1" applyFill="1" applyBorder="1"/>
    <xf numFmtId="0" fontId="3" fillId="0" borderId="26" xfId="0" applyFont="1" applyFill="1" applyBorder="1"/>
    <xf numFmtId="0" fontId="3" fillId="0" borderId="27" xfId="0" applyFont="1" applyFill="1" applyBorder="1"/>
    <xf numFmtId="0" fontId="3" fillId="0" borderId="27" xfId="0" applyFont="1" applyFill="1" applyBorder="1" applyAlignment="1">
      <alignment horizontal="center"/>
    </xf>
    <xf numFmtId="0" fontId="3" fillId="0" borderId="28" xfId="0" applyFont="1" applyFill="1" applyBorder="1" applyAlignment="1">
      <alignment horizontal="center"/>
    </xf>
    <xf numFmtId="0" fontId="10" fillId="9" borderId="8" xfId="0" applyFont="1" applyFill="1" applyBorder="1"/>
    <xf numFmtId="0" fontId="10" fillId="9" borderId="0" xfId="0" applyFont="1" applyFill="1"/>
    <xf numFmtId="164" fontId="11" fillId="9" borderId="0" xfId="0" applyNumberFormat="1" applyFont="1" applyFill="1" applyAlignment="1">
      <alignment horizontal="center"/>
    </xf>
    <xf numFmtId="164" fontId="11" fillId="9" borderId="9" xfId="0" applyNumberFormat="1" applyFont="1" applyFill="1" applyBorder="1" applyAlignment="1">
      <alignment horizontal="center"/>
    </xf>
    <xf numFmtId="0" fontId="3" fillId="0" borderId="26" xfId="0" applyFont="1" applyFill="1" applyBorder="1" applyAlignment="1">
      <alignment horizontal="center"/>
    </xf>
    <xf numFmtId="166" fontId="11" fillId="10" borderId="0" xfId="0" applyNumberFormat="1" applyFont="1" applyFill="1"/>
    <xf numFmtId="164" fontId="11" fillId="10" borderId="0" xfId="0" applyNumberFormat="1" applyFont="1" applyFill="1" applyAlignment="1">
      <alignment horizontal="center"/>
    </xf>
    <xf numFmtId="0" fontId="3" fillId="0" borderId="26" xfId="0" applyFont="1" applyFill="1" applyBorder="1" applyAlignment="1">
      <alignment horizontal="center"/>
    </xf>
    <xf numFmtId="0" fontId="3" fillId="0" borderId="27" xfId="0" applyFont="1" applyFill="1" applyBorder="1" applyAlignment="1">
      <alignment horizontal="center"/>
    </xf>
    <xf numFmtId="0" fontId="3" fillId="0" borderId="28" xfId="0" applyFont="1" applyFill="1" applyBorder="1" applyAlignment="1">
      <alignment horizontal="center"/>
    </xf>
    <xf numFmtId="167" fontId="3" fillId="8" borderId="5" xfId="0" applyNumberFormat="1" applyFont="1" applyFill="1" applyBorder="1"/>
    <xf numFmtId="166" fontId="3" fillId="8" borderId="5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F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8D8D8"/>
      <rgbColor rgb="FFFFE598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000"/>
  <sheetViews>
    <sheetView showGridLines="0" tabSelected="1" zoomScaleNormal="100" workbookViewId="0">
      <selection activeCell="X22" sqref="X22"/>
    </sheetView>
  </sheetViews>
  <sheetFormatPr baseColWidth="10" defaultColWidth="14.5" defaultRowHeight="15" x14ac:dyDescent="0.2"/>
  <cols>
    <col min="1" max="1" width="2.6640625" customWidth="1"/>
    <col min="2" max="2" width="32.6640625" customWidth="1"/>
    <col min="3" max="3" width="16.6640625" customWidth="1"/>
    <col min="4" max="4" width="2.6640625" customWidth="1"/>
    <col min="5" max="5" width="12.33203125" bestFit="1" customWidth="1"/>
    <col min="6" max="6" width="8.1640625" bestFit="1" customWidth="1"/>
    <col min="7" max="7" width="10" bestFit="1" customWidth="1"/>
    <col min="8" max="8" width="14" bestFit="1" customWidth="1"/>
    <col min="9" max="9" width="2.6640625" customWidth="1"/>
    <col min="10" max="10" width="14.6640625" customWidth="1"/>
    <col min="11" max="11" width="13.33203125" customWidth="1"/>
    <col min="12" max="13" width="12" customWidth="1"/>
    <col min="14" max="14" width="13.33203125" customWidth="1"/>
    <col min="15" max="16" width="12.5" customWidth="1"/>
    <col min="17" max="17" width="2.6640625" customWidth="1"/>
    <col min="18" max="18" width="12" customWidth="1"/>
    <col min="19" max="19" width="22.6640625" customWidth="1"/>
    <col min="20" max="25" width="13.6640625" customWidth="1"/>
    <col min="26" max="28" width="10.6640625" customWidth="1"/>
    <col min="29" max="34" width="9.33203125" customWidth="1"/>
  </cols>
  <sheetData>
    <row r="1" spans="1:34" ht="4.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 t="s">
        <v>0</v>
      </c>
      <c r="AC1" s="4"/>
      <c r="AD1" s="4"/>
      <c r="AE1" s="4"/>
      <c r="AF1" s="4"/>
      <c r="AG1" s="4"/>
      <c r="AH1" s="4"/>
    </row>
    <row r="2" spans="1:34" ht="4.5" customHeight="1" x14ac:dyDescent="0.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 t="s">
        <v>0</v>
      </c>
      <c r="AC2" s="4"/>
      <c r="AD2" s="4"/>
      <c r="AE2" s="4"/>
      <c r="AF2" s="4"/>
      <c r="AG2" s="4"/>
      <c r="AH2" s="4"/>
    </row>
    <row r="3" spans="1:34" ht="15.75" customHeight="1" x14ac:dyDescent="0.2">
      <c r="A3" s="4"/>
      <c r="B3" s="120" t="s">
        <v>1</v>
      </c>
      <c r="C3" s="114"/>
      <c r="D3" s="114"/>
      <c r="E3" s="123"/>
      <c r="F3" s="124"/>
      <c r="G3" s="124"/>
      <c r="H3" s="125"/>
      <c r="I3" s="114"/>
      <c r="J3" s="123"/>
      <c r="K3" s="124"/>
      <c r="L3" s="124"/>
      <c r="M3" s="124"/>
      <c r="N3" s="124"/>
      <c r="O3" s="125"/>
      <c r="P3" s="114"/>
      <c r="Q3" s="114"/>
      <c r="R3" s="114"/>
      <c r="S3" s="123"/>
      <c r="T3" s="124"/>
      <c r="U3" s="124"/>
      <c r="V3" s="124"/>
      <c r="W3" s="124"/>
      <c r="X3" s="124"/>
      <c r="Y3" s="125"/>
      <c r="Z3" s="4"/>
      <c r="AA3" s="4"/>
      <c r="AB3" s="4"/>
      <c r="AC3" s="4"/>
      <c r="AD3" s="4"/>
      <c r="AE3" s="4"/>
      <c r="AF3" s="4"/>
      <c r="AG3" s="4"/>
      <c r="AH3" s="4"/>
    </row>
    <row r="4" spans="1:34" ht="15.75" customHeight="1" x14ac:dyDescent="0.2">
      <c r="A4" s="4"/>
      <c r="B4" s="120"/>
      <c r="C4" s="114"/>
      <c r="D4" s="114"/>
      <c r="E4" s="126" t="s">
        <v>2</v>
      </c>
      <c r="F4" s="115"/>
      <c r="G4" s="115"/>
      <c r="H4" s="127"/>
      <c r="I4" s="114"/>
      <c r="J4" s="130" t="s">
        <v>3</v>
      </c>
      <c r="K4" s="116"/>
      <c r="L4" s="116"/>
      <c r="M4" s="116"/>
      <c r="N4" s="116"/>
      <c r="O4" s="131"/>
      <c r="P4" s="117"/>
      <c r="Q4" s="117"/>
      <c r="R4" s="117"/>
      <c r="S4" s="130" t="s">
        <v>4</v>
      </c>
      <c r="T4" s="116"/>
      <c r="U4" s="116"/>
      <c r="V4" s="116"/>
      <c r="W4" s="116"/>
      <c r="X4" s="116"/>
      <c r="Y4" s="131"/>
      <c r="Z4" s="4"/>
      <c r="AA4" s="4"/>
      <c r="AB4" s="4"/>
      <c r="AC4" s="4"/>
      <c r="AD4" s="4"/>
      <c r="AE4" s="4"/>
      <c r="AF4" s="4"/>
      <c r="AG4" s="4"/>
      <c r="AH4" s="4"/>
    </row>
    <row r="5" spans="1:34" ht="15.75" customHeight="1" x14ac:dyDescent="0.2">
      <c r="A5" s="4"/>
      <c r="B5" s="121" t="s">
        <v>5</v>
      </c>
      <c r="C5" s="121" t="s">
        <v>6</v>
      </c>
      <c r="D5" s="118"/>
      <c r="E5" s="128" t="s">
        <v>7</v>
      </c>
      <c r="F5" s="118" t="s">
        <v>8</v>
      </c>
      <c r="G5" s="118" t="s">
        <v>9</v>
      </c>
      <c r="H5" s="129" t="s">
        <v>10</v>
      </c>
      <c r="I5" s="118"/>
      <c r="J5" s="128" t="s">
        <v>11</v>
      </c>
      <c r="K5" s="118" t="s">
        <v>12</v>
      </c>
      <c r="L5" s="118" t="s">
        <v>13</v>
      </c>
      <c r="M5" s="119" t="s">
        <v>14</v>
      </c>
      <c r="N5" s="118" t="s">
        <v>15</v>
      </c>
      <c r="O5" s="129" t="s">
        <v>16</v>
      </c>
      <c r="P5" s="118" t="s">
        <v>17</v>
      </c>
      <c r="Q5" s="118"/>
      <c r="R5" s="118"/>
      <c r="S5" s="128" t="s">
        <v>18</v>
      </c>
      <c r="T5" s="118" t="s">
        <v>19</v>
      </c>
      <c r="U5" s="118" t="s">
        <v>20</v>
      </c>
      <c r="V5" s="118" t="s">
        <v>21</v>
      </c>
      <c r="W5" s="118" t="s">
        <v>22</v>
      </c>
      <c r="X5" s="118" t="s">
        <v>23</v>
      </c>
      <c r="Y5" s="129" t="s">
        <v>24</v>
      </c>
      <c r="Z5" s="4"/>
      <c r="AA5" s="4"/>
      <c r="AB5" s="4"/>
      <c r="AC5" s="4"/>
      <c r="AD5" s="4"/>
      <c r="AE5" s="4"/>
      <c r="AF5" s="4"/>
      <c r="AG5" s="4"/>
      <c r="AH5" s="4"/>
    </row>
    <row r="6" spans="1:34" ht="15.75" customHeight="1" x14ac:dyDescent="0.2">
      <c r="A6" s="4"/>
      <c r="B6" s="5" t="s">
        <v>25</v>
      </c>
      <c r="C6" s="5" t="s">
        <v>26</v>
      </c>
      <c r="D6" s="6"/>
      <c r="E6" s="122">
        <v>100</v>
      </c>
      <c r="F6" s="7">
        <v>57.87</v>
      </c>
      <c r="G6" s="8">
        <v>6449.9</v>
      </c>
      <c r="H6" s="8">
        <v>8206.2999999999993</v>
      </c>
      <c r="I6" s="9"/>
      <c r="J6" s="8">
        <v>8378.2999999999993</v>
      </c>
      <c r="K6" s="8">
        <v>1340</v>
      </c>
      <c r="L6" s="8">
        <v>1284.5999999999999</v>
      </c>
      <c r="M6" s="8">
        <v>8.74</v>
      </c>
      <c r="N6" s="8">
        <v>896.3</v>
      </c>
      <c r="O6" s="10">
        <f>2113.6-370.6</f>
        <v>1743</v>
      </c>
      <c r="P6" s="8">
        <v>370.6</v>
      </c>
      <c r="Q6" s="11"/>
      <c r="R6" s="9"/>
      <c r="S6" s="12">
        <v>0.98</v>
      </c>
      <c r="T6" s="12">
        <v>6.4</v>
      </c>
      <c r="U6" s="12">
        <v>6.69</v>
      </c>
      <c r="V6" s="12">
        <v>7.56</v>
      </c>
      <c r="W6" s="12">
        <v>66.010000000000005</v>
      </c>
      <c r="X6" s="12">
        <v>1.04</v>
      </c>
      <c r="Y6" s="12"/>
      <c r="Z6" s="4"/>
      <c r="AA6" s="4"/>
      <c r="AB6" s="4"/>
      <c r="AC6" s="4"/>
      <c r="AD6" s="4"/>
      <c r="AE6" s="4"/>
      <c r="AF6" s="4"/>
      <c r="AG6" s="4"/>
      <c r="AH6" s="4"/>
    </row>
    <row r="7" spans="1:34" ht="15.75" customHeight="1" x14ac:dyDescent="0.2">
      <c r="A7" s="4"/>
      <c r="B7" s="5" t="s">
        <v>27</v>
      </c>
      <c r="C7" s="5" t="s">
        <v>28</v>
      </c>
      <c r="D7" s="6"/>
      <c r="E7" s="122">
        <v>67.7</v>
      </c>
      <c r="F7" s="7">
        <v>57.87</v>
      </c>
      <c r="G7" s="8">
        <v>3747.9</v>
      </c>
      <c r="H7" s="8">
        <v>5360.9</v>
      </c>
      <c r="I7" s="9"/>
      <c r="J7" s="8">
        <v>6541.7</v>
      </c>
      <c r="K7" s="8">
        <v>691.1</v>
      </c>
      <c r="L7" s="8">
        <v>654.6</v>
      </c>
      <c r="M7" s="8">
        <v>7.36</v>
      </c>
      <c r="N7" s="8">
        <v>532.4</v>
      </c>
      <c r="O7" s="10">
        <f>1943.6-330.6</f>
        <v>1613</v>
      </c>
      <c r="P7" s="8">
        <v>330.6</v>
      </c>
      <c r="Q7" s="11"/>
      <c r="R7" s="9"/>
      <c r="S7" s="12">
        <v>0.88</v>
      </c>
      <c r="T7" s="12">
        <v>8.5299999999999994</v>
      </c>
      <c r="U7" s="12">
        <v>9.02</v>
      </c>
      <c r="V7" s="12">
        <v>8.64</v>
      </c>
      <c r="W7" s="12">
        <v>66.55</v>
      </c>
      <c r="X7" s="12">
        <v>1.05</v>
      </c>
      <c r="Y7" s="12"/>
      <c r="Z7" s="4"/>
      <c r="AA7" s="4"/>
      <c r="AB7" s="4"/>
      <c r="AC7" s="4"/>
      <c r="AD7" s="4"/>
      <c r="AE7" s="4"/>
      <c r="AF7" s="4"/>
      <c r="AG7" s="4"/>
      <c r="AH7" s="4"/>
    </row>
    <row r="8" spans="1:34" ht="15.75" customHeight="1" x14ac:dyDescent="0.2">
      <c r="A8" s="4"/>
      <c r="B8" s="5" t="s">
        <v>29</v>
      </c>
      <c r="C8" s="5" t="s">
        <v>30</v>
      </c>
      <c r="D8" s="6"/>
      <c r="E8" s="122">
        <v>71.2</v>
      </c>
      <c r="F8" s="7">
        <v>65.680000000000007</v>
      </c>
      <c r="G8" s="8">
        <v>5099.6000000000004</v>
      </c>
      <c r="H8" s="8">
        <v>6261.6</v>
      </c>
      <c r="I8" s="9"/>
      <c r="J8" s="8">
        <v>6048.2</v>
      </c>
      <c r="K8" s="8">
        <v>700.3</v>
      </c>
      <c r="L8" s="8">
        <v>675.1</v>
      </c>
      <c r="M8" s="8">
        <v>6.67</v>
      </c>
      <c r="N8" s="8">
        <v>553.1</v>
      </c>
      <c r="O8" s="10">
        <f>1891-728.9</f>
        <v>1162.0999999999999</v>
      </c>
      <c r="P8" s="8">
        <v>728.9</v>
      </c>
      <c r="Q8" s="11"/>
      <c r="R8" s="9"/>
      <c r="S8" s="12">
        <v>1.04</v>
      </c>
      <c r="T8" s="12">
        <v>9.1300000000000008</v>
      </c>
      <c r="U8" s="12">
        <v>9.48</v>
      </c>
      <c r="V8" s="12">
        <v>9.44</v>
      </c>
      <c r="W8" s="12">
        <v>72.430000000000007</v>
      </c>
      <c r="X8" s="12">
        <v>0.96</v>
      </c>
      <c r="Y8" s="12"/>
      <c r="Z8" s="4"/>
      <c r="AA8" s="4"/>
      <c r="AB8" s="4"/>
      <c r="AC8" s="4"/>
      <c r="AD8" s="4"/>
      <c r="AE8" s="4"/>
      <c r="AF8" s="4"/>
      <c r="AG8" s="4"/>
      <c r="AH8" s="4"/>
    </row>
    <row r="9" spans="1:34" ht="15.75" customHeight="1" x14ac:dyDescent="0.2">
      <c r="A9" s="4"/>
      <c r="B9" s="5" t="s">
        <v>31</v>
      </c>
      <c r="C9" s="5" t="s">
        <v>32</v>
      </c>
      <c r="D9" s="6"/>
      <c r="E9" s="122">
        <v>30</v>
      </c>
      <c r="F9" s="7">
        <v>56.68</v>
      </c>
      <c r="G9" s="8">
        <v>1862.1</v>
      </c>
      <c r="H9" s="8">
        <v>3218.3</v>
      </c>
      <c r="I9" s="9"/>
      <c r="J9" s="8">
        <v>4157.7</v>
      </c>
      <c r="K9" s="8">
        <v>330.5</v>
      </c>
      <c r="L9" s="8">
        <v>304.7</v>
      </c>
      <c r="M9" s="8">
        <v>7.03</v>
      </c>
      <c r="N9" s="8">
        <v>220.1</v>
      </c>
      <c r="O9" s="10">
        <f>1486.4-130.1</f>
        <v>1356.3000000000002</v>
      </c>
      <c r="P9" s="8">
        <v>130.1</v>
      </c>
      <c r="Q9" s="11"/>
      <c r="R9" s="9"/>
      <c r="S9" s="12">
        <v>0.77</v>
      </c>
      <c r="T9" s="12">
        <v>9.85</v>
      </c>
      <c r="U9" s="12">
        <v>10.69</v>
      </c>
      <c r="V9" s="12">
        <v>9.01</v>
      </c>
      <c r="W9" s="12">
        <v>63.37</v>
      </c>
      <c r="X9" s="12">
        <v>0.72</v>
      </c>
      <c r="Y9" s="12"/>
      <c r="Z9" s="4"/>
      <c r="AA9" s="4"/>
      <c r="AB9" s="4"/>
      <c r="AC9" s="4"/>
      <c r="AD9" s="4"/>
      <c r="AE9" s="4"/>
      <c r="AF9" s="4"/>
      <c r="AG9" s="4"/>
      <c r="AH9" s="4"/>
    </row>
    <row r="10" spans="1:34" ht="15.75" customHeight="1" x14ac:dyDescent="0.2">
      <c r="A10" s="4"/>
      <c r="B10" s="5" t="s">
        <v>33</v>
      </c>
      <c r="C10" s="5" t="s">
        <v>34</v>
      </c>
      <c r="D10" s="4"/>
      <c r="E10" s="122">
        <v>198.1</v>
      </c>
      <c r="F10" s="7">
        <v>114.35</v>
      </c>
      <c r="G10" s="8">
        <v>25754.400000000001</v>
      </c>
      <c r="H10" s="8">
        <v>26055.8</v>
      </c>
      <c r="I10" s="9"/>
      <c r="J10" s="8">
        <v>17623</v>
      </c>
      <c r="K10" s="8">
        <v>3603</v>
      </c>
      <c r="L10" s="8">
        <v>3489.2</v>
      </c>
      <c r="M10" s="8">
        <v>13.39</v>
      </c>
      <c r="N10" s="8">
        <v>2710.5</v>
      </c>
      <c r="O10" s="10">
        <f>1752.9-1451.5</f>
        <v>301.40000000000009</v>
      </c>
      <c r="P10" s="8">
        <v>1451.5</v>
      </c>
      <c r="Q10" s="11"/>
      <c r="R10" s="9"/>
      <c r="S10" s="12">
        <v>1.48</v>
      </c>
      <c r="T10" s="12">
        <v>7.41</v>
      </c>
      <c r="U10" s="12">
        <v>7.65</v>
      </c>
      <c r="V10" s="12">
        <v>9.8699999999999992</v>
      </c>
      <c r="W10" s="12">
        <v>132.13</v>
      </c>
      <c r="X10" s="12">
        <v>2.0099999999999998</v>
      </c>
      <c r="Y10" s="13"/>
      <c r="Z10" s="4"/>
      <c r="AA10" s="4"/>
      <c r="AB10" s="4"/>
      <c r="AC10" s="4"/>
      <c r="AD10" s="4"/>
      <c r="AE10" s="4"/>
      <c r="AF10" s="4"/>
      <c r="AG10" s="4"/>
      <c r="AH10" s="4"/>
    </row>
    <row r="11" spans="1:34" ht="15.75" customHeight="1" x14ac:dyDescent="0.2">
      <c r="A11" s="4"/>
      <c r="B11" s="5" t="s">
        <v>35</v>
      </c>
      <c r="C11" s="5" t="s">
        <v>36</v>
      </c>
      <c r="D11" s="14"/>
      <c r="E11" s="122">
        <v>27.2</v>
      </c>
      <c r="F11" s="7">
        <v>124.5</v>
      </c>
      <c r="G11" s="7">
        <v>3776.9</v>
      </c>
      <c r="H11" s="8">
        <v>4031.4</v>
      </c>
      <c r="I11" s="9"/>
      <c r="J11" s="8">
        <v>4475.8</v>
      </c>
      <c r="K11" s="8">
        <v>641</v>
      </c>
      <c r="L11" s="8">
        <v>625.79999999999995</v>
      </c>
      <c r="M11" s="8">
        <v>17.88</v>
      </c>
      <c r="N11" s="8">
        <v>496.1</v>
      </c>
      <c r="O11" s="10">
        <f>988.7-734.2</f>
        <v>254.5</v>
      </c>
      <c r="P11" s="8">
        <v>734.2</v>
      </c>
      <c r="Q11" s="15"/>
      <c r="R11" s="9"/>
      <c r="S11" s="12">
        <v>0.9</v>
      </c>
      <c r="T11" s="12">
        <v>6.6</v>
      </c>
      <c r="U11" s="12">
        <v>6.77</v>
      </c>
      <c r="V11" s="12">
        <v>8.08</v>
      </c>
      <c r="W11" s="12">
        <v>144.44</v>
      </c>
      <c r="X11" s="12">
        <v>1.2</v>
      </c>
      <c r="Y11" s="13"/>
      <c r="Z11" s="4"/>
      <c r="AA11" s="4"/>
      <c r="AB11" s="4"/>
      <c r="AC11" s="4"/>
      <c r="AD11" s="4"/>
      <c r="AE11" s="4"/>
      <c r="AF11" s="4"/>
      <c r="AG11" s="4"/>
      <c r="AH11" s="4"/>
    </row>
    <row r="12" spans="1:34" ht="15.75" customHeight="1" x14ac:dyDescent="0.2">
      <c r="A12" s="4"/>
      <c r="B12" s="6"/>
      <c r="C12" s="6"/>
      <c r="D12" s="14"/>
      <c r="E12" s="14"/>
      <c r="F12" s="16"/>
      <c r="G12" s="16"/>
      <c r="H12" s="17"/>
      <c r="I12" s="4"/>
      <c r="J12" s="17"/>
      <c r="K12" s="17"/>
      <c r="L12" s="4"/>
      <c r="M12" s="18"/>
      <c r="N12" s="18"/>
      <c r="O12" s="18"/>
      <c r="P12" s="18"/>
      <c r="Q12" s="1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 spans="1:34" ht="15.75" customHeight="1" x14ac:dyDescent="0.2">
      <c r="A13" s="4"/>
      <c r="B13" s="6"/>
      <c r="C13" s="6"/>
      <c r="D13" s="14"/>
      <c r="E13" s="14"/>
      <c r="F13" s="16"/>
      <c r="G13" s="16"/>
      <c r="H13" s="17"/>
      <c r="I13" s="4"/>
      <c r="J13" s="17"/>
      <c r="K13" s="17"/>
      <c r="L13" s="19"/>
      <c r="M13" s="18"/>
      <c r="N13" s="18"/>
      <c r="O13" s="18"/>
      <c r="P13" s="18"/>
      <c r="Q13" s="14"/>
      <c r="R13" s="20" t="s">
        <v>37</v>
      </c>
      <c r="S13" s="21">
        <f t="shared" ref="S13:Y13" si="0">AVERAGE(S6:S11)</f>
        <v>1.0083333333333335</v>
      </c>
      <c r="T13" s="21">
        <f t="shared" si="0"/>
        <v>7.9866666666666681</v>
      </c>
      <c r="U13" s="21">
        <f t="shared" si="0"/>
        <v>8.3833333333333329</v>
      </c>
      <c r="V13" s="21">
        <f t="shared" si="0"/>
        <v>8.7666666666666657</v>
      </c>
      <c r="W13" s="21">
        <f t="shared" si="0"/>
        <v>90.821666666666673</v>
      </c>
      <c r="X13" s="21">
        <f t="shared" si="0"/>
        <v>1.1633333333333333</v>
      </c>
      <c r="Y13" s="21" t="e">
        <f t="shared" si="0"/>
        <v>#DIV/0!</v>
      </c>
      <c r="Z13" s="4"/>
      <c r="AA13" s="4"/>
      <c r="AB13" s="4"/>
      <c r="AC13" s="4"/>
      <c r="AD13" s="4"/>
      <c r="AE13" s="4"/>
      <c r="AF13" s="4"/>
      <c r="AG13" s="4"/>
      <c r="AH13" s="4"/>
    </row>
    <row r="14" spans="1:34" ht="15.75" customHeight="1" x14ac:dyDescent="0.2">
      <c r="A14" s="4"/>
      <c r="B14" s="6"/>
      <c r="C14" s="6"/>
      <c r="D14" s="14"/>
      <c r="E14" s="14"/>
      <c r="F14" s="16"/>
      <c r="G14" s="16"/>
      <c r="H14" s="17"/>
      <c r="I14" s="4"/>
      <c r="J14" s="17"/>
      <c r="K14" s="17"/>
      <c r="L14" s="19"/>
      <c r="M14" s="18"/>
      <c r="N14" s="18"/>
      <c r="O14" s="18"/>
      <c r="P14" s="18"/>
      <c r="Q14" s="14"/>
      <c r="R14" s="20" t="s">
        <v>38</v>
      </c>
      <c r="S14" s="22">
        <f t="shared" ref="S14:Y14" si="1">MEDIAN(S6:S11)</f>
        <v>0.94</v>
      </c>
      <c r="T14" s="22">
        <f t="shared" si="1"/>
        <v>7.97</v>
      </c>
      <c r="U14" s="22">
        <f t="shared" si="1"/>
        <v>8.3350000000000009</v>
      </c>
      <c r="V14" s="22">
        <f t="shared" si="1"/>
        <v>8.8249999999999993</v>
      </c>
      <c r="W14" s="22">
        <f t="shared" si="1"/>
        <v>69.490000000000009</v>
      </c>
      <c r="X14" s="22">
        <f t="shared" si="1"/>
        <v>1.0449999999999999</v>
      </c>
      <c r="Y14" s="22" t="e">
        <f t="shared" si="1"/>
        <v>#NUM!</v>
      </c>
      <c r="Z14" s="4"/>
      <c r="AA14" s="4"/>
      <c r="AB14" s="4"/>
      <c r="AC14" s="4"/>
      <c r="AD14" s="4"/>
      <c r="AE14" s="4"/>
      <c r="AF14" s="4"/>
      <c r="AG14" s="4"/>
      <c r="AH14" s="4"/>
    </row>
    <row r="15" spans="1:34" ht="15.75" customHeight="1" x14ac:dyDescent="0.2">
      <c r="A15" s="4"/>
      <c r="B15" s="23"/>
      <c r="C15" s="14"/>
      <c r="D15" s="14"/>
      <c r="E15" s="14"/>
      <c r="F15" s="14"/>
      <c r="G15" s="14"/>
      <c r="H15" s="14"/>
      <c r="I15" s="14"/>
      <c r="J15" s="24"/>
      <c r="K15" s="24"/>
      <c r="L15" s="24"/>
      <c r="M15" s="24"/>
      <c r="N15" s="24"/>
      <c r="O15" s="14"/>
      <c r="P15" s="14"/>
      <c r="Q15" s="14"/>
      <c r="R15" s="14"/>
      <c r="S15" s="25"/>
      <c r="T15" s="25"/>
      <c r="U15" s="25"/>
      <c r="V15" s="25"/>
      <c r="W15" s="25"/>
      <c r="X15" s="25"/>
      <c r="Y15" s="25"/>
      <c r="Z15" s="4"/>
      <c r="AA15" s="4"/>
      <c r="AB15" s="4"/>
      <c r="AC15" s="4"/>
      <c r="AD15" s="4"/>
      <c r="AE15" s="4"/>
      <c r="AF15" s="4"/>
      <c r="AG15" s="4"/>
      <c r="AH15" s="4"/>
    </row>
    <row r="16" spans="1:34" ht="15.75" customHeight="1" x14ac:dyDescent="0.2">
      <c r="A16" s="4"/>
      <c r="B16" s="121" t="s">
        <v>5</v>
      </c>
      <c r="C16" s="121" t="s">
        <v>6</v>
      </c>
      <c r="D16" s="118"/>
      <c r="E16" s="118" t="s">
        <v>7</v>
      </c>
      <c r="F16" s="118" t="s">
        <v>8</v>
      </c>
      <c r="G16" s="118" t="s">
        <v>9</v>
      </c>
      <c r="H16" s="118" t="s">
        <v>10</v>
      </c>
      <c r="I16" s="118"/>
      <c r="J16" s="118" t="s">
        <v>11</v>
      </c>
      <c r="K16" s="118" t="s">
        <v>12</v>
      </c>
      <c r="L16" s="118" t="s">
        <v>13</v>
      </c>
      <c r="M16" s="119" t="s">
        <v>14</v>
      </c>
      <c r="N16" s="118" t="s">
        <v>15</v>
      </c>
      <c r="O16" s="118" t="s">
        <v>16</v>
      </c>
      <c r="P16" s="118" t="s">
        <v>17</v>
      </c>
      <c r="Q16" s="118"/>
      <c r="R16" s="118"/>
      <c r="S16" s="118" t="s">
        <v>18</v>
      </c>
      <c r="T16" s="118" t="s">
        <v>19</v>
      </c>
      <c r="U16" s="118" t="s">
        <v>20</v>
      </c>
      <c r="V16" s="118" t="s">
        <v>21</v>
      </c>
      <c r="W16" s="118" t="s">
        <v>22</v>
      </c>
      <c r="X16" s="118" t="s">
        <v>23</v>
      </c>
      <c r="Y16" s="118" t="s">
        <v>24</v>
      </c>
      <c r="Z16" s="4"/>
      <c r="AA16" s="4"/>
      <c r="AB16" s="4"/>
      <c r="AC16" s="4"/>
      <c r="AD16" s="4"/>
      <c r="AE16" s="4"/>
      <c r="AF16" s="4"/>
      <c r="AG16" s="4"/>
      <c r="AH16" s="4"/>
    </row>
    <row r="17" spans="1:34" ht="15.75" customHeight="1" x14ac:dyDescent="0.2">
      <c r="A17" s="4" t="s">
        <v>39</v>
      </c>
      <c r="B17" s="1" t="s">
        <v>40</v>
      </c>
      <c r="C17" s="5" t="s">
        <v>41</v>
      </c>
      <c r="D17" s="6"/>
      <c r="E17" s="26">
        <v>87.9</v>
      </c>
      <c r="F17" s="27">
        <v>30.65</v>
      </c>
      <c r="G17" s="28">
        <v>2921.1</v>
      </c>
      <c r="H17" s="28">
        <v>3324</v>
      </c>
      <c r="I17" s="4"/>
      <c r="J17" s="28">
        <v>3751.9</v>
      </c>
      <c r="K17" s="28">
        <v>432.6</v>
      </c>
      <c r="L17" s="28">
        <v>389.2</v>
      </c>
      <c r="M17" s="29">
        <v>3.38</v>
      </c>
      <c r="N17" s="30">
        <v>309.3</v>
      </c>
      <c r="O17" s="31">
        <f>1194.8-792</f>
        <v>402.79999999999995</v>
      </c>
      <c r="P17" s="30">
        <v>792</v>
      </c>
      <c r="Q17" s="32"/>
      <c r="R17" s="4"/>
      <c r="S17" s="29">
        <v>0.89</v>
      </c>
      <c r="T17" s="29">
        <v>7.67</v>
      </c>
      <c r="U17" s="29">
        <v>8.42</v>
      </c>
      <c r="V17" s="29">
        <v>10.050000000000001</v>
      </c>
      <c r="W17" s="29">
        <v>33.97</v>
      </c>
      <c r="X17" s="29">
        <v>0.88</v>
      </c>
      <c r="Y17" s="29"/>
      <c r="Z17" s="4"/>
      <c r="AA17" s="4"/>
      <c r="AB17" s="4"/>
      <c r="AC17" s="4"/>
      <c r="AD17" s="4"/>
      <c r="AE17" s="4"/>
      <c r="AF17" s="4"/>
      <c r="AG17" s="4"/>
      <c r="AH17" s="4"/>
    </row>
    <row r="18" spans="1:34" ht="15.75" customHeight="1" x14ac:dyDescent="0.2">
      <c r="A18" s="4"/>
      <c r="B18" s="4"/>
      <c r="C18" s="4"/>
      <c r="D18" s="4"/>
      <c r="E18" s="4"/>
      <c r="F18" s="4"/>
      <c r="G18" s="4"/>
      <c r="H18" s="4"/>
      <c r="I18" s="4"/>
      <c r="J18" s="14"/>
      <c r="K18" s="4"/>
      <c r="L18" s="4"/>
      <c r="M18" s="1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 spans="1:34" ht="15.75" customHeight="1" x14ac:dyDescent="0.2">
      <c r="A19" s="4"/>
      <c r="B19" s="33"/>
      <c r="C19" s="33"/>
      <c r="D19" s="33"/>
      <c r="E19" s="34"/>
      <c r="F19" s="34"/>
      <c r="G19" s="34"/>
      <c r="H19" s="34"/>
      <c r="I19" s="4"/>
      <c r="J19" s="4"/>
      <c r="K19" s="4"/>
      <c r="L19" s="4"/>
      <c r="M19" s="1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 spans="1:34" ht="15.75" customHeight="1" x14ac:dyDescent="0.2">
      <c r="A20" s="4"/>
      <c r="B20" s="4"/>
      <c r="C20" s="4"/>
      <c r="D20" s="4"/>
      <c r="E20" s="35"/>
      <c r="F20" s="35"/>
      <c r="G20" s="35"/>
      <c r="H20" s="35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 spans="1:34" ht="15.75" customHeight="1" x14ac:dyDescent="0.2">
      <c r="A21" s="4"/>
      <c r="B21" s="4"/>
      <c r="C21" s="4"/>
      <c r="D21" s="4"/>
      <c r="E21" s="36"/>
      <c r="F21" s="36"/>
      <c r="G21" s="36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 spans="1:34" ht="15.75" customHeight="1" x14ac:dyDescent="0.2">
      <c r="A22" s="4"/>
      <c r="B22" s="4"/>
      <c r="C22" s="4"/>
      <c r="D22" s="4"/>
      <c r="E22" s="37"/>
      <c r="F22" s="37"/>
      <c r="G22" s="37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 spans="1:34" ht="15.75" customHeight="1" x14ac:dyDescent="0.2">
      <c r="A23" s="4"/>
      <c r="B23" s="4"/>
      <c r="C23" s="4"/>
      <c r="D23" s="4"/>
      <c r="E23" s="37"/>
      <c r="F23" s="37"/>
      <c r="G23" s="37"/>
      <c r="H23" s="37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 spans="1:34" ht="15.75" customHeight="1" x14ac:dyDescent="0.2">
      <c r="A24" s="4"/>
      <c r="B24" s="4"/>
      <c r="C24" s="4"/>
      <c r="D24" s="4"/>
      <c r="E24" s="36"/>
      <c r="F24" s="36"/>
      <c r="G24" s="36"/>
      <c r="H24" s="37"/>
      <c r="I24" s="4"/>
      <c r="J24" s="16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 spans="1:34" ht="15.75" customHeight="1" x14ac:dyDescent="0.2">
      <c r="A25" s="4"/>
      <c r="B25" s="4"/>
      <c r="C25" s="4"/>
      <c r="D25" s="4"/>
      <c r="E25" s="38"/>
      <c r="F25" s="38"/>
      <c r="G25" s="38"/>
      <c r="H25" s="38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 spans="1:34" ht="15.75" customHeight="1" x14ac:dyDescent="0.2">
      <c r="A26" s="4"/>
      <c r="B26" s="6"/>
      <c r="C26" s="6"/>
      <c r="D26" s="6"/>
      <c r="E26" s="39"/>
      <c r="F26" s="39"/>
      <c r="G26" s="39"/>
      <c r="H26" s="39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 spans="1:34" ht="15.75" customHeight="1" x14ac:dyDescent="0.25">
      <c r="A27" s="4"/>
      <c r="B27" s="4"/>
      <c r="C27" s="4"/>
      <c r="D27" s="4"/>
      <c r="E27" s="34"/>
      <c r="F27" s="4"/>
      <c r="G27" s="4"/>
      <c r="H27" s="4"/>
      <c r="I27" s="4"/>
      <c r="J27" s="132" t="s">
        <v>42</v>
      </c>
      <c r="K27" s="132"/>
      <c r="L27" s="132"/>
      <c r="M27" s="132"/>
      <c r="N27" s="132"/>
      <c r="O27" s="132"/>
      <c r="P27" s="114"/>
      <c r="Q27" s="114"/>
      <c r="R27" s="114"/>
      <c r="S27" s="114"/>
      <c r="T27" s="114"/>
      <c r="U27" s="114"/>
      <c r="V27" s="114"/>
      <c r="W27" s="114"/>
      <c r="X27" s="114"/>
      <c r="Y27" s="114"/>
      <c r="Z27" s="114"/>
      <c r="AA27" s="114"/>
      <c r="AB27" s="114"/>
      <c r="AC27" s="114"/>
      <c r="AD27" s="114"/>
      <c r="AE27" s="114"/>
      <c r="AF27" s="114"/>
      <c r="AG27" s="4"/>
      <c r="AH27" s="4"/>
    </row>
    <row r="28" spans="1:34" ht="15.75" customHeight="1" thickBot="1" x14ac:dyDescent="0.25">
      <c r="A28" s="4"/>
      <c r="B28" s="4"/>
      <c r="C28" s="4"/>
      <c r="D28" s="4"/>
      <c r="E28" s="40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 spans="1:34" ht="15.75" customHeight="1" x14ac:dyDescent="0.2">
      <c r="A29" s="4"/>
      <c r="B29" s="4"/>
      <c r="C29" s="4"/>
      <c r="D29" s="4"/>
      <c r="E29" s="40"/>
      <c r="F29" s="4"/>
      <c r="G29" s="4"/>
      <c r="H29" s="4"/>
      <c r="I29" s="4"/>
      <c r="J29" s="151">
        <f>J17</f>
        <v>3751.9</v>
      </c>
      <c r="K29" s="148" t="s">
        <v>18</v>
      </c>
      <c r="L29" s="149"/>
      <c r="M29" s="149"/>
      <c r="N29" s="149"/>
      <c r="O29" s="150"/>
      <c r="P29" s="4"/>
      <c r="Q29" s="4"/>
      <c r="R29" s="4"/>
      <c r="S29" s="137" t="s">
        <v>5</v>
      </c>
      <c r="T29" s="138" t="s">
        <v>6</v>
      </c>
      <c r="U29" s="139" t="s">
        <v>18</v>
      </c>
      <c r="V29" s="139" t="s">
        <v>19</v>
      </c>
      <c r="W29" s="139" t="s">
        <v>20</v>
      </c>
      <c r="X29" s="139" t="s">
        <v>21</v>
      </c>
      <c r="Y29" s="140" t="s">
        <v>24</v>
      </c>
      <c r="Z29" s="4"/>
      <c r="AA29" s="4"/>
      <c r="AB29" s="4"/>
      <c r="AC29" s="4"/>
      <c r="AD29" s="4"/>
      <c r="AE29" s="145" t="s">
        <v>22</v>
      </c>
      <c r="AF29" s="140" t="s">
        <v>23</v>
      </c>
      <c r="AG29" s="4"/>
      <c r="AH29" s="4"/>
    </row>
    <row r="30" spans="1:34" ht="15.75" customHeight="1" x14ac:dyDescent="0.2">
      <c r="A30" s="4"/>
      <c r="B30" s="4"/>
      <c r="C30" s="4"/>
      <c r="D30" s="4"/>
      <c r="E30" s="40"/>
      <c r="F30" s="4"/>
      <c r="G30" s="4"/>
      <c r="H30" s="4"/>
      <c r="I30" s="4"/>
      <c r="J30" s="41"/>
      <c r="K30" s="2">
        <f>L30-0.25</f>
        <v>0.43999999999999995</v>
      </c>
      <c r="L30" s="2">
        <f>M30-0.25</f>
        <v>0.69</v>
      </c>
      <c r="M30" s="2">
        <f>+U39</f>
        <v>0.94</v>
      </c>
      <c r="N30" s="2">
        <f>M30+0.25</f>
        <v>1.19</v>
      </c>
      <c r="O30" s="42">
        <f>N30+0.5</f>
        <v>1.69</v>
      </c>
      <c r="P30" s="4"/>
      <c r="Q30" s="4"/>
      <c r="R30" s="4"/>
      <c r="S30" s="133" t="str">
        <f>B17</f>
        <v>Tri Point Homes</v>
      </c>
      <c r="T30" s="134" t="str">
        <f>C17</f>
        <v>TPH</v>
      </c>
      <c r="U30" s="135">
        <f>S17</f>
        <v>0.89</v>
      </c>
      <c r="V30" s="135">
        <f>T17</f>
        <v>7.67</v>
      </c>
      <c r="W30" s="135">
        <f>U17</f>
        <v>8.42</v>
      </c>
      <c r="X30" s="135">
        <f>V17</f>
        <v>10.050000000000001</v>
      </c>
      <c r="Y30" s="136">
        <f>Y17</f>
        <v>0</v>
      </c>
      <c r="Z30" s="4"/>
      <c r="AA30" s="4"/>
      <c r="AB30" s="4"/>
      <c r="AC30" s="4"/>
      <c r="AD30" s="4"/>
      <c r="AE30" s="146">
        <f>W17</f>
        <v>33.97</v>
      </c>
      <c r="AF30" s="146">
        <f>X17</f>
        <v>0.88</v>
      </c>
      <c r="AG30" s="4"/>
      <c r="AH30" s="4"/>
    </row>
    <row r="31" spans="1:34" ht="15.75" customHeight="1" thickBot="1" x14ac:dyDescent="0.25">
      <c r="A31" s="4"/>
      <c r="B31" s="4"/>
      <c r="C31" s="4"/>
      <c r="D31" s="4"/>
      <c r="E31" s="40"/>
      <c r="F31" s="4"/>
      <c r="G31" s="4"/>
      <c r="H31" s="4"/>
      <c r="I31" s="4"/>
      <c r="J31" s="43" t="s">
        <v>43</v>
      </c>
      <c r="K31" s="44">
        <f>(($J$17*K$30)-$O$17)/$E$17</f>
        <v>14.198361774744024</v>
      </c>
      <c r="L31" s="44">
        <f>(($J$17*L$30)-$O$17)/$E$17</f>
        <v>24.869294653014784</v>
      </c>
      <c r="M31" s="44">
        <f>(($J$17*M$30)-$O$17)/$E$17</f>
        <v>35.540227531285545</v>
      </c>
      <c r="N31" s="44">
        <f>(($J$17*N$30)-$O$17)/$E$17</f>
        <v>46.211160409556307</v>
      </c>
      <c r="O31" s="45">
        <f>(($J$17*O$30)-$O$17)/$E$17</f>
        <v>67.553026166097837</v>
      </c>
      <c r="P31" s="4"/>
      <c r="Q31" s="4"/>
      <c r="R31" s="4"/>
      <c r="S31" s="41" t="str">
        <f>B6</f>
        <v>Taylor Morrison Home Corp</v>
      </c>
      <c r="T31" s="5" t="str">
        <f>C6</f>
        <v>TMHC</v>
      </c>
      <c r="U31" s="46">
        <f>S6</f>
        <v>0.98</v>
      </c>
      <c r="V31" s="46">
        <f>T6</f>
        <v>6.4</v>
      </c>
      <c r="W31" s="46">
        <f>U6</f>
        <v>6.69</v>
      </c>
      <c r="X31" s="46">
        <f>V6</f>
        <v>7.56</v>
      </c>
      <c r="Y31" s="47">
        <f>Y6</f>
        <v>0</v>
      </c>
      <c r="Z31" s="4"/>
      <c r="AA31" s="4"/>
      <c r="AB31" s="4"/>
      <c r="AC31" s="4"/>
      <c r="AD31" s="4"/>
      <c r="AE31" s="46">
        <f>W6</f>
        <v>66.010000000000005</v>
      </c>
      <c r="AF31" s="46">
        <f>X6</f>
        <v>1.04</v>
      </c>
      <c r="AG31" s="4"/>
      <c r="AH31" s="4"/>
    </row>
    <row r="32" spans="1:34" ht="15.75" customHeight="1" thickBot="1" x14ac:dyDescent="0.25">
      <c r="A32" s="4"/>
      <c r="B32" s="4"/>
      <c r="C32" s="4"/>
      <c r="D32" s="4"/>
      <c r="E32" s="40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1" t="str">
        <f>B7</f>
        <v>KB Home</v>
      </c>
      <c r="T32" s="5" t="str">
        <f>C7</f>
        <v>KBH</v>
      </c>
      <c r="U32" s="46">
        <f>S7</f>
        <v>0.88</v>
      </c>
      <c r="V32" s="46">
        <f>T7</f>
        <v>8.5299999999999994</v>
      </c>
      <c r="W32" s="46">
        <f>U7</f>
        <v>9.02</v>
      </c>
      <c r="X32" s="46">
        <f>V7</f>
        <v>8.64</v>
      </c>
      <c r="Y32" s="47">
        <f>Y7</f>
        <v>0</v>
      </c>
      <c r="Z32" s="4"/>
      <c r="AA32" s="4"/>
      <c r="AB32" s="4"/>
      <c r="AC32" s="4"/>
      <c r="AD32" s="4"/>
      <c r="AE32" s="46">
        <f>W7</f>
        <v>66.55</v>
      </c>
      <c r="AF32" s="46">
        <f>X7</f>
        <v>1.05</v>
      </c>
      <c r="AG32" s="4"/>
      <c r="AH32" s="4"/>
    </row>
    <row r="33" spans="1:34" ht="15.75" customHeight="1" x14ac:dyDescent="0.2">
      <c r="A33" s="4"/>
      <c r="B33" s="4"/>
      <c r="C33" s="4"/>
      <c r="D33" s="4"/>
      <c r="E33" s="40"/>
      <c r="F33" s="4"/>
      <c r="G33" s="4"/>
      <c r="H33" s="4"/>
      <c r="I33" s="4"/>
      <c r="J33" s="151">
        <f>K17</f>
        <v>432.6</v>
      </c>
      <c r="K33" s="148" t="s">
        <v>19</v>
      </c>
      <c r="L33" s="149"/>
      <c r="M33" s="149"/>
      <c r="N33" s="149"/>
      <c r="O33" s="150"/>
      <c r="P33" s="4"/>
      <c r="Q33" s="4"/>
      <c r="R33" s="4"/>
      <c r="S33" s="41" t="str">
        <f>B8</f>
        <v>Meritage Homes Corp</v>
      </c>
      <c r="T33" s="5" t="str">
        <f>C8</f>
        <v>MTH</v>
      </c>
      <c r="U33" s="46">
        <f>S8</f>
        <v>1.04</v>
      </c>
      <c r="V33" s="46">
        <f>T8</f>
        <v>9.1300000000000008</v>
      </c>
      <c r="W33" s="46">
        <f>U8</f>
        <v>9.48</v>
      </c>
      <c r="X33" s="46">
        <f>V8</f>
        <v>9.44</v>
      </c>
      <c r="Y33" s="47">
        <f>Y8</f>
        <v>0</v>
      </c>
      <c r="Z33" s="4"/>
      <c r="AA33" s="4"/>
      <c r="AB33" s="4"/>
      <c r="AC33" s="4"/>
      <c r="AD33" s="4"/>
      <c r="AE33" s="46">
        <f>W8</f>
        <v>72.430000000000007</v>
      </c>
      <c r="AF33" s="46">
        <f>X8</f>
        <v>0.96</v>
      </c>
      <c r="AG33" s="4"/>
      <c r="AH33" s="4"/>
    </row>
    <row r="34" spans="1:34" ht="15.75" customHeight="1" x14ac:dyDescent="0.2">
      <c r="A34" s="4"/>
      <c r="B34" s="4"/>
      <c r="C34" s="4"/>
      <c r="D34" s="4"/>
      <c r="E34" s="17"/>
      <c r="F34" s="4"/>
      <c r="G34" s="4"/>
      <c r="H34" s="4"/>
      <c r="I34" s="4"/>
      <c r="J34" s="41"/>
      <c r="K34" s="2">
        <f>L34-0.5</f>
        <v>6.97</v>
      </c>
      <c r="L34" s="2">
        <f>M34-0.5</f>
        <v>7.47</v>
      </c>
      <c r="M34" s="2">
        <f>V39</f>
        <v>7.97</v>
      </c>
      <c r="N34" s="2">
        <f>M34+0.5</f>
        <v>8.4699999999999989</v>
      </c>
      <c r="O34" s="42">
        <f>N34+0.5</f>
        <v>8.9699999999999989</v>
      </c>
      <c r="P34" s="4"/>
      <c r="Q34" s="4"/>
      <c r="R34" s="4"/>
      <c r="S34" s="41" t="str">
        <f>B9</f>
        <v>Century Communities Inc</v>
      </c>
      <c r="T34" s="5" t="str">
        <f>C9</f>
        <v>CCS</v>
      </c>
      <c r="U34" s="46">
        <f>S9</f>
        <v>0.77</v>
      </c>
      <c r="V34" s="46">
        <f>T9</f>
        <v>9.85</v>
      </c>
      <c r="W34" s="46">
        <f>U9</f>
        <v>10.69</v>
      </c>
      <c r="X34" s="46">
        <f>V9</f>
        <v>9.01</v>
      </c>
      <c r="Y34" s="47">
        <f>Y9</f>
        <v>0</v>
      </c>
      <c r="Z34" s="4"/>
      <c r="AA34" s="4"/>
      <c r="AB34" s="4"/>
      <c r="AC34" s="4"/>
      <c r="AD34" s="4"/>
      <c r="AE34" s="46">
        <f>W9</f>
        <v>63.37</v>
      </c>
      <c r="AF34" s="46">
        <f>V9</f>
        <v>9.01</v>
      </c>
      <c r="AG34" s="4"/>
      <c r="AH34" s="4"/>
    </row>
    <row r="35" spans="1:34" ht="15.75" customHeight="1" thickBot="1" x14ac:dyDescent="0.25">
      <c r="A35" s="4"/>
      <c r="B35" s="4"/>
      <c r="C35" s="4"/>
      <c r="D35" s="4"/>
      <c r="E35" s="17"/>
      <c r="F35" s="4"/>
      <c r="G35" s="4"/>
      <c r="H35" s="4"/>
      <c r="I35" s="4"/>
      <c r="J35" s="43" t="s">
        <v>43</v>
      </c>
      <c r="K35" s="44">
        <f>(($K$17*K$34)-$O$17)/$E$17</f>
        <v>29.720386803185441</v>
      </c>
      <c r="L35" s="44">
        <f>(($K$17*L$34)-$O$17)/$E$17</f>
        <v>32.181137656427751</v>
      </c>
      <c r="M35" s="44">
        <f>(($K$17*M$34)-$O$17)/$E$17</f>
        <v>34.641888509670075</v>
      </c>
      <c r="N35" s="44">
        <f>(($K$17*N$34)-$O$17)/$E$17</f>
        <v>37.102639362912399</v>
      </c>
      <c r="O35" s="45">
        <f>(($K$17*O$34)-$O$17)/$E$17</f>
        <v>39.563390216154708</v>
      </c>
      <c r="P35" s="4"/>
      <c r="Q35" s="4"/>
      <c r="R35" s="4"/>
      <c r="S35" s="41" t="str">
        <f>B10</f>
        <v>PulteGroup Inc</v>
      </c>
      <c r="T35" s="5" t="str">
        <f>C10</f>
        <v>PHM</v>
      </c>
      <c r="U35" s="46">
        <f>S10</f>
        <v>1.48</v>
      </c>
      <c r="V35" s="46">
        <f>T10</f>
        <v>7.41</v>
      </c>
      <c r="W35" s="46">
        <f>U10</f>
        <v>7.65</v>
      </c>
      <c r="X35" s="46">
        <f>V10</f>
        <v>9.8699999999999992</v>
      </c>
      <c r="Y35" s="47">
        <f>Y10</f>
        <v>0</v>
      </c>
      <c r="Z35" s="4"/>
      <c r="AA35" s="4"/>
      <c r="AB35" s="4"/>
      <c r="AC35" s="4"/>
      <c r="AD35" s="4"/>
      <c r="AE35" s="46">
        <f>W10</f>
        <v>132.13</v>
      </c>
      <c r="AF35" s="46">
        <f>X10</f>
        <v>2.0099999999999998</v>
      </c>
      <c r="AG35" s="4"/>
      <c r="AH35" s="4"/>
    </row>
    <row r="36" spans="1:34" ht="15.75" customHeight="1" thickBot="1" x14ac:dyDescent="0.25">
      <c r="A36" s="4"/>
      <c r="B36" s="4"/>
      <c r="C36" s="4"/>
      <c r="D36" s="4"/>
      <c r="E36" s="17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1" t="str">
        <f>B11</f>
        <v>M/I Homes Inc</v>
      </c>
      <c r="T36" s="5" t="str">
        <f>C11</f>
        <v>MHO</v>
      </c>
      <c r="U36" s="46">
        <f>S11</f>
        <v>0.9</v>
      </c>
      <c r="V36" s="46">
        <f>T11</f>
        <v>6.6</v>
      </c>
      <c r="W36" s="46">
        <f>U11</f>
        <v>6.77</v>
      </c>
      <c r="X36" s="46">
        <f>V11</f>
        <v>8.08</v>
      </c>
      <c r="Y36" s="48">
        <f>Y11</f>
        <v>0</v>
      </c>
      <c r="Z36" s="4"/>
      <c r="AA36" s="4"/>
      <c r="AB36" s="4"/>
      <c r="AC36" s="4"/>
      <c r="AD36" s="4"/>
      <c r="AE36" s="46">
        <f>W11</f>
        <v>144.44</v>
      </c>
      <c r="AF36" s="46">
        <f>X11</f>
        <v>1.2</v>
      </c>
      <c r="AG36" s="4"/>
      <c r="AH36" s="4"/>
    </row>
    <row r="37" spans="1:34" ht="15.75" customHeight="1" x14ac:dyDescent="0.2">
      <c r="A37" s="4"/>
      <c r="B37" s="4"/>
      <c r="C37" s="4"/>
      <c r="D37" s="4"/>
      <c r="E37" s="4"/>
      <c r="F37" s="4"/>
      <c r="G37" s="4"/>
      <c r="H37" s="4"/>
      <c r="I37" s="4"/>
      <c r="J37" s="151">
        <f>L17</f>
        <v>389.2</v>
      </c>
      <c r="K37" s="148" t="s">
        <v>20</v>
      </c>
      <c r="L37" s="149"/>
      <c r="M37" s="149"/>
      <c r="N37" s="149"/>
      <c r="O37" s="150"/>
      <c r="P37" s="4"/>
      <c r="Q37" s="4"/>
      <c r="R37" s="4"/>
      <c r="S37" s="49"/>
      <c r="T37" s="50"/>
      <c r="U37" s="51"/>
      <c r="V37" s="51"/>
      <c r="W37" s="51"/>
      <c r="X37" s="51"/>
      <c r="Y37" s="52"/>
      <c r="Z37" s="4"/>
      <c r="AA37" s="4"/>
      <c r="AB37" s="4"/>
      <c r="AC37" s="4"/>
      <c r="AD37" s="4"/>
      <c r="AE37" s="51"/>
      <c r="AF37" s="51"/>
      <c r="AG37" s="4"/>
      <c r="AH37" s="4"/>
    </row>
    <row r="38" spans="1:34" ht="15.75" customHeight="1" x14ac:dyDescent="0.2">
      <c r="A38" s="4"/>
      <c r="B38" s="4"/>
      <c r="C38" s="4"/>
      <c r="D38" s="4"/>
      <c r="E38" s="34"/>
      <c r="F38" s="4"/>
      <c r="G38" s="4"/>
      <c r="H38" s="4"/>
      <c r="I38" s="4"/>
      <c r="J38" s="41"/>
      <c r="K38" s="2">
        <f>L38-0.75</f>
        <v>6.8350000000000009</v>
      </c>
      <c r="L38" s="2">
        <f>M38-0.75</f>
        <v>7.5850000000000009</v>
      </c>
      <c r="M38" s="2">
        <f>W39</f>
        <v>8.3350000000000009</v>
      </c>
      <c r="N38" s="2">
        <f>M38+0.75</f>
        <v>9.0850000000000009</v>
      </c>
      <c r="O38" s="42">
        <f>N38+0.75</f>
        <v>9.8350000000000009</v>
      </c>
      <c r="P38" s="4"/>
      <c r="Q38" s="4"/>
      <c r="R38" s="4"/>
      <c r="S38" s="53" t="s">
        <v>37</v>
      </c>
      <c r="T38" s="54"/>
      <c r="U38" s="55">
        <f>AVERAGE(U31:U37)</f>
        <v>1.0083333333333335</v>
      </c>
      <c r="V38" s="55">
        <f>AVERAGE(V31:V37)</f>
        <v>7.9866666666666681</v>
      </c>
      <c r="W38" s="55">
        <f>AVERAGE(W31:W37)</f>
        <v>8.3833333333333329</v>
      </c>
      <c r="X38" s="55">
        <f>AVERAGE(X31:X37)</f>
        <v>8.7666666666666657</v>
      </c>
      <c r="Y38" s="56">
        <f>AVERAGE(Y31:Y37)</f>
        <v>0</v>
      </c>
      <c r="Z38" s="4"/>
      <c r="AA38" s="4"/>
      <c r="AB38" s="4"/>
      <c r="AC38" s="4"/>
      <c r="AD38" s="4"/>
      <c r="AE38" s="57">
        <f>AVERAGE(AE31:AE37)</f>
        <v>90.821666666666673</v>
      </c>
      <c r="AF38" s="57">
        <f>AVERAGE(AF31:AF37)</f>
        <v>2.5449999999999995</v>
      </c>
      <c r="AG38" s="4"/>
      <c r="AH38" s="4"/>
    </row>
    <row r="39" spans="1:34" ht="15.75" customHeight="1" thickBot="1" x14ac:dyDescent="0.25">
      <c r="A39" s="4"/>
      <c r="B39" s="4"/>
      <c r="C39" s="4"/>
      <c r="D39" s="4"/>
      <c r="E39" s="17"/>
      <c r="F39" s="4"/>
      <c r="G39" s="4"/>
      <c r="H39" s="4"/>
      <c r="I39" s="4"/>
      <c r="J39" s="43" t="s">
        <v>43</v>
      </c>
      <c r="K39" s="44">
        <f>(($L$17*K$38)-$O$17)/$E$17</f>
        <v>25.681251422070538</v>
      </c>
      <c r="L39" s="44">
        <f>(($L$17*L$38)-$O$17)/$E$17</f>
        <v>29.002070534698522</v>
      </c>
      <c r="M39" s="44">
        <f>(($L$17*M$38)-$O$17)/$E$17</f>
        <v>32.322889647326512</v>
      </c>
      <c r="N39" s="44">
        <f>(($L$17*N$38)-$O$17)/$E$17</f>
        <v>35.643708759954492</v>
      </c>
      <c r="O39" s="45">
        <f>(($L$17*O$38)-$O$17)/$E$17</f>
        <v>38.96452787258248</v>
      </c>
      <c r="P39" s="4"/>
      <c r="Q39" s="4"/>
      <c r="R39" s="4"/>
      <c r="S39" s="58" t="s">
        <v>38</v>
      </c>
      <c r="T39" s="59"/>
      <c r="U39" s="60">
        <f>MEDIAN(U31:U37)</f>
        <v>0.94</v>
      </c>
      <c r="V39" s="60">
        <f>MEDIAN(V31:V37)</f>
        <v>7.97</v>
      </c>
      <c r="W39" s="60">
        <f>MEDIAN(W31:W37)</f>
        <v>8.3350000000000009</v>
      </c>
      <c r="X39" s="60">
        <f>MEDIAN(X31:X37)</f>
        <v>8.8249999999999993</v>
      </c>
      <c r="Y39" s="61">
        <f>MEDIAN(Y31:Y37)</f>
        <v>0</v>
      </c>
      <c r="Z39" s="4"/>
      <c r="AA39" s="4"/>
      <c r="AB39" s="4"/>
      <c r="AC39" s="4"/>
      <c r="AD39" s="4"/>
      <c r="AE39" s="57">
        <f>MEDIAN(AE31:AE37)</f>
        <v>69.490000000000009</v>
      </c>
      <c r="AF39" s="57">
        <f>MEDIAN(AF31:AF37)</f>
        <v>1.125</v>
      </c>
      <c r="AG39" s="4"/>
      <c r="AH39" s="4"/>
    </row>
    <row r="40" spans="1:34" ht="15.75" customHeight="1" thickBot="1" x14ac:dyDescent="0.2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Y40" s="4"/>
      <c r="Z40" s="4"/>
      <c r="AA40" s="4"/>
      <c r="AB40" s="4"/>
      <c r="AC40" s="4"/>
      <c r="AD40" s="4"/>
      <c r="AF40" s="4"/>
      <c r="AG40" s="4"/>
      <c r="AH40" s="4"/>
    </row>
    <row r="41" spans="1:34" ht="15.75" customHeight="1" x14ac:dyDescent="0.2">
      <c r="A41" s="4"/>
      <c r="B41" s="4"/>
      <c r="C41" s="4"/>
      <c r="D41" s="4"/>
      <c r="E41" s="4"/>
      <c r="F41" s="4"/>
      <c r="G41" s="4"/>
      <c r="H41" s="4"/>
      <c r="I41" s="4"/>
      <c r="J41" s="151">
        <f>N17</f>
        <v>309.3</v>
      </c>
      <c r="K41" s="148" t="s">
        <v>21</v>
      </c>
      <c r="L41" s="149"/>
      <c r="M41" s="149"/>
      <c r="N41" s="149"/>
      <c r="O41" s="150"/>
      <c r="P41" s="4"/>
      <c r="Q41" s="4"/>
      <c r="R41" s="4"/>
      <c r="S41" s="137" t="s">
        <v>5</v>
      </c>
      <c r="T41" s="138" t="s">
        <v>6</v>
      </c>
      <c r="U41" s="139" t="s">
        <v>18</v>
      </c>
      <c r="V41" s="139" t="s">
        <v>19</v>
      </c>
      <c r="W41" s="139" t="s">
        <v>20</v>
      </c>
      <c r="X41" s="139" t="s">
        <v>21</v>
      </c>
      <c r="Y41" s="140" t="s">
        <v>24</v>
      </c>
      <c r="Z41" s="4"/>
      <c r="AA41" s="4"/>
      <c r="AB41" s="4"/>
      <c r="AC41" s="4"/>
      <c r="AD41" s="4"/>
      <c r="AE41" s="145" t="s">
        <v>22</v>
      </c>
      <c r="AF41" s="140" t="s">
        <v>23</v>
      </c>
      <c r="AG41" s="4"/>
      <c r="AH41" s="4"/>
    </row>
    <row r="42" spans="1:34" ht="15.75" customHeight="1" x14ac:dyDescent="0.2">
      <c r="A42" s="4"/>
      <c r="B42" s="4"/>
      <c r="C42" s="4"/>
      <c r="D42" s="4"/>
      <c r="E42" s="4"/>
      <c r="F42" s="4"/>
      <c r="G42" s="4"/>
      <c r="H42" s="4"/>
      <c r="I42" s="4"/>
      <c r="J42" s="41"/>
      <c r="K42" s="2">
        <f>L42-0.5</f>
        <v>7.8249999999999993</v>
      </c>
      <c r="L42" s="2">
        <f>M42-0.5</f>
        <v>8.3249999999999993</v>
      </c>
      <c r="M42" s="2">
        <f>X39</f>
        <v>8.8249999999999993</v>
      </c>
      <c r="N42" s="2">
        <f>M42+0.5</f>
        <v>9.3249999999999993</v>
      </c>
      <c r="O42" s="42">
        <f>N42+0.5</f>
        <v>9.8249999999999993</v>
      </c>
      <c r="P42" s="4"/>
      <c r="Q42" s="4"/>
      <c r="R42" s="4"/>
      <c r="S42" s="141" t="str">
        <f>S30</f>
        <v>Tri Point Homes</v>
      </c>
      <c r="T42" s="142" t="str">
        <f>T30</f>
        <v>TPH</v>
      </c>
      <c r="U42" s="143">
        <f>((J17*U39)-O17)/E17</f>
        <v>35.540227531285545</v>
      </c>
      <c r="V42" s="143">
        <f>((K17*V39)-O17)/E17</f>
        <v>34.641888509670075</v>
      </c>
      <c r="W42" s="143">
        <f>((L17*W39)-O17)/E17</f>
        <v>32.322889647326512</v>
      </c>
      <c r="X42" s="143">
        <f>X39*M17</f>
        <v>29.828499999999998</v>
      </c>
      <c r="Y42" s="144" t="e">
        <f>(Y39/Y30)*F17</f>
        <v>#DIV/0!</v>
      </c>
      <c r="Z42" s="4"/>
      <c r="AA42" s="4" t="s">
        <v>44</v>
      </c>
      <c r="AB42" s="4"/>
      <c r="AC42" s="4"/>
      <c r="AD42" s="4"/>
      <c r="AE42" s="147">
        <f>(AE39/AE30)*F17</f>
        <v>62.698513394171329</v>
      </c>
      <c r="AF42" s="147">
        <f>(AF39/AF30)*F17</f>
        <v>39.183238636363633</v>
      </c>
      <c r="AG42" s="4"/>
      <c r="AH42" s="4"/>
    </row>
    <row r="43" spans="1:34" ht="15.75" customHeight="1" thickBot="1" x14ac:dyDescent="0.25">
      <c r="A43" s="4"/>
      <c r="B43" s="4"/>
      <c r="C43" s="4"/>
      <c r="D43" s="4"/>
      <c r="E43" s="4"/>
      <c r="F43" s="4"/>
      <c r="G43" s="4"/>
      <c r="H43" s="4"/>
      <c r="I43" s="4"/>
      <c r="J43" s="43" t="s">
        <v>43</v>
      </c>
      <c r="K43" s="44">
        <f>K$42*$M$17</f>
        <v>26.448499999999996</v>
      </c>
      <c r="L43" s="44">
        <f>L$42*$M$17</f>
        <v>28.138499999999997</v>
      </c>
      <c r="M43" s="44">
        <f>M$42*$M$17</f>
        <v>29.828499999999998</v>
      </c>
      <c r="N43" s="44">
        <f>N$42*$M$17</f>
        <v>31.518499999999996</v>
      </c>
      <c r="O43" s="45">
        <f>O$42*$M$17</f>
        <v>33.208499999999994</v>
      </c>
      <c r="P43" s="4"/>
      <c r="Q43" s="4"/>
      <c r="R43" s="4"/>
      <c r="S43" s="62" t="s">
        <v>45</v>
      </c>
      <c r="U43" s="63">
        <v>0.25</v>
      </c>
      <c r="V43" s="63">
        <v>0.15</v>
      </c>
      <c r="W43" s="63">
        <v>0.2</v>
      </c>
      <c r="X43" s="63">
        <v>0.2</v>
      </c>
      <c r="Y43" s="64">
        <v>0.2</v>
      </c>
      <c r="Z43" s="4"/>
      <c r="AA43" s="65">
        <f>SUM(U43:Z43)</f>
        <v>1</v>
      </c>
      <c r="AB43" s="4"/>
      <c r="AC43" s="4"/>
      <c r="AD43" s="4"/>
      <c r="AE43" s="4"/>
      <c r="AF43" s="4"/>
    </row>
    <row r="44" spans="1:34" ht="15.75" customHeight="1" thickBot="1" x14ac:dyDescent="0.2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66"/>
      <c r="Y44" s="67"/>
      <c r="Z44" s="4"/>
      <c r="AA44" s="4"/>
      <c r="AB44" s="4"/>
      <c r="AC44" s="4"/>
      <c r="AD44" s="4"/>
      <c r="AE44" s="4"/>
      <c r="AF44" s="4"/>
    </row>
    <row r="45" spans="1:34" ht="15.75" customHeight="1" x14ac:dyDescent="0.2">
      <c r="A45" s="4"/>
      <c r="B45" s="4"/>
      <c r="C45" s="4"/>
      <c r="D45" s="4"/>
      <c r="E45" s="4"/>
      <c r="F45" s="4"/>
      <c r="G45" s="4"/>
      <c r="H45" s="4"/>
      <c r="I45" s="4"/>
      <c r="J45" s="152">
        <f>Y17</f>
        <v>0</v>
      </c>
      <c r="K45" s="148" t="s">
        <v>24</v>
      </c>
      <c r="L45" s="149"/>
      <c r="M45" s="149"/>
      <c r="N45" s="149"/>
      <c r="O45" s="150"/>
      <c r="P45" s="4"/>
      <c r="Q45" s="4"/>
      <c r="R45" s="4"/>
      <c r="S45" s="41" t="s">
        <v>46</v>
      </c>
      <c r="T45" s="68">
        <v>27.11</v>
      </c>
      <c r="Y45" s="67"/>
      <c r="Z45" s="4"/>
      <c r="AA45" s="4"/>
      <c r="AB45" s="4"/>
      <c r="AC45" s="4"/>
      <c r="AD45" s="4"/>
      <c r="AE45" s="4"/>
      <c r="AF45" s="4"/>
    </row>
    <row r="46" spans="1:34" ht="15.75" customHeight="1" x14ac:dyDescent="0.2">
      <c r="A46" s="4"/>
      <c r="B46" s="4"/>
      <c r="C46" s="4"/>
      <c r="D46" s="4"/>
      <c r="E46" s="4"/>
      <c r="F46" s="4"/>
      <c r="G46" s="4"/>
      <c r="H46" s="4"/>
      <c r="I46" s="4"/>
      <c r="J46" s="41"/>
      <c r="K46" s="2">
        <f>L46-0.25</f>
        <v>-0.5</v>
      </c>
      <c r="L46" s="2">
        <f>M46-0.25</f>
        <v>-0.25</v>
      </c>
      <c r="M46" s="2">
        <f>Y39</f>
        <v>0</v>
      </c>
      <c r="N46" s="2">
        <f>M46+0.25</f>
        <v>0.25</v>
      </c>
      <c r="O46" s="42">
        <f>N46+0.25</f>
        <v>0.5</v>
      </c>
      <c r="P46" s="4"/>
      <c r="Q46" s="4"/>
      <c r="R46" s="4"/>
      <c r="S46" s="69" t="s">
        <v>47</v>
      </c>
      <c r="T46" s="70" t="e">
        <f>SUMPRODUCT(U42:Y42,U43:Y43)</f>
        <v>#DIV/0!</v>
      </c>
      <c r="Y46" s="67"/>
      <c r="Z46" s="4"/>
      <c r="AA46" s="4"/>
      <c r="AB46" s="4"/>
      <c r="AC46" s="4"/>
      <c r="AD46" s="4"/>
      <c r="AE46" s="4"/>
      <c r="AF46" s="4"/>
    </row>
    <row r="47" spans="1:34" ht="15.75" customHeight="1" thickBot="1" x14ac:dyDescent="0.25">
      <c r="A47" s="4"/>
      <c r="B47" s="4"/>
      <c r="C47" s="4"/>
      <c r="D47" s="4"/>
      <c r="E47" s="4"/>
      <c r="F47" s="4"/>
      <c r="G47" s="4"/>
      <c r="H47" s="4"/>
      <c r="I47" s="4"/>
      <c r="J47" s="43" t="s">
        <v>43</v>
      </c>
      <c r="K47" s="44" t="e">
        <f>(K$46/$Y$30)*$F$17</f>
        <v>#DIV/0!</v>
      </c>
      <c r="L47" s="44" t="e">
        <f>(L$46/$Y$30)*$F$17</f>
        <v>#DIV/0!</v>
      </c>
      <c r="M47" s="44" t="e">
        <f>(M$46/$Y$30)*$F$17</f>
        <v>#DIV/0!</v>
      </c>
      <c r="N47" s="44" t="e">
        <f>(N$46/$Y$30)*$F$17</f>
        <v>#DIV/0!</v>
      </c>
      <c r="O47" s="45" t="e">
        <f>(O$46/$Y$30)*$F$17</f>
        <v>#DIV/0!</v>
      </c>
      <c r="P47" s="4"/>
      <c r="Q47" s="4"/>
      <c r="R47" s="4"/>
      <c r="S47" s="71" t="str">
        <f t="array" aca="1" ref="S47" ca="1">IFERROR(_xludf.IFS(T46&gt;T45,"Upside",T46&lt;T45,"Downside",T46=T45,"Fair Value",T47="",""),"")</f>
        <v/>
      </c>
      <c r="T47" s="72" t="str">
        <f>IFERROR(IF(T46/T45-1=-100%,"",T46/T45-1),"")</f>
        <v/>
      </c>
      <c r="U47" s="73"/>
      <c r="V47" s="73"/>
      <c r="W47" s="73"/>
      <c r="X47" s="73"/>
      <c r="Y47" s="74"/>
      <c r="Z47" s="4"/>
      <c r="AA47" s="4"/>
      <c r="AB47" s="4"/>
      <c r="AC47" s="4"/>
      <c r="AD47" s="4"/>
      <c r="AE47" s="4"/>
      <c r="AF47" s="4"/>
    </row>
    <row r="48" spans="1:34" ht="15.75" customHeight="1" x14ac:dyDescent="0.2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4" ht="15.75" customHeight="1" x14ac:dyDescent="0.2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4" ht="15.75" customHeight="1" x14ac:dyDescent="0.2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4" ht="15.75" customHeight="1" x14ac:dyDescent="0.2">
      <c r="A51" s="4"/>
      <c r="B51" s="4"/>
      <c r="C51" s="4"/>
      <c r="D51" s="4"/>
      <c r="E51" s="4"/>
      <c r="F51" s="4"/>
      <c r="G51" s="4"/>
      <c r="H51" s="4"/>
      <c r="I51" s="4"/>
      <c r="J51" s="4"/>
      <c r="K51" s="36">
        <f>L31</f>
        <v>24.869294653014784</v>
      </c>
      <c r="L51" s="36">
        <f>M51-K51</f>
        <v>21.341865756541523</v>
      </c>
      <c r="M51" s="36">
        <f>N31</f>
        <v>46.211160409556307</v>
      </c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 spans="1:34" ht="15.75" customHeight="1" x14ac:dyDescent="0.2">
      <c r="A52" s="4"/>
      <c r="B52" s="4"/>
      <c r="C52" s="4"/>
      <c r="D52" s="4"/>
      <c r="E52" s="4"/>
      <c r="F52" s="4"/>
      <c r="G52" s="4"/>
      <c r="H52" s="4"/>
      <c r="I52" s="4"/>
      <c r="J52" s="4"/>
      <c r="K52" s="36"/>
      <c r="L52" s="4"/>
      <c r="M52" s="36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 spans="1:34" ht="15.75" customHeight="1" x14ac:dyDescent="0.2">
      <c r="A53" s="4"/>
      <c r="B53" s="4"/>
      <c r="C53" s="4"/>
      <c r="D53" s="4"/>
      <c r="E53" s="4"/>
      <c r="F53" s="4"/>
      <c r="G53" s="4"/>
      <c r="H53" s="4"/>
      <c r="I53" s="4"/>
      <c r="J53" s="4"/>
      <c r="K53" s="36"/>
      <c r="L53" s="4"/>
      <c r="M53" s="36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 spans="1:34" ht="15.75" customHeight="1" x14ac:dyDescent="0.2">
      <c r="A54" s="4"/>
      <c r="B54" s="4"/>
      <c r="C54" s="4"/>
      <c r="D54" s="4"/>
      <c r="E54" s="4"/>
      <c r="F54" s="4"/>
      <c r="G54" s="4"/>
      <c r="H54" s="4"/>
      <c r="I54" s="4"/>
      <c r="J54" s="4"/>
      <c r="K54" s="36"/>
      <c r="L54" s="4"/>
      <c r="M54" s="36"/>
      <c r="N54" s="4"/>
      <c r="O54" s="4"/>
      <c r="P54" s="4"/>
      <c r="Q54" s="4"/>
      <c r="R54" s="4"/>
      <c r="S54" s="4"/>
      <c r="T54" s="4" t="s">
        <v>46</v>
      </c>
      <c r="U54" s="4" t="s">
        <v>48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 spans="1:34" ht="15.75" customHeight="1" x14ac:dyDescent="0.2">
      <c r="A55" s="4"/>
      <c r="B55" s="4"/>
      <c r="C55" s="4"/>
      <c r="D55" s="4"/>
      <c r="E55" s="4"/>
      <c r="F55" s="4"/>
      <c r="G55" s="4"/>
      <c r="H55" s="4"/>
      <c r="I55" s="4"/>
      <c r="J55" s="4"/>
      <c r="K55" s="36">
        <f>L35</f>
        <v>32.181137656427751</v>
      </c>
      <c r="L55" s="36">
        <f>M55-K55</f>
        <v>4.9215017064846478</v>
      </c>
      <c r="M55" s="36">
        <f>N35</f>
        <v>37.102639362912399</v>
      </c>
      <c r="N55" s="4"/>
      <c r="O55" s="4"/>
      <c r="P55" s="4"/>
      <c r="Q55" s="4"/>
      <c r="R55" s="4"/>
      <c r="S55" s="4"/>
      <c r="T55" s="4" t="s">
        <v>49</v>
      </c>
      <c r="U55" s="4" t="s">
        <v>48</v>
      </c>
      <c r="V55" s="75" t="e">
        <f>(U55-$U$54)/$U$54</f>
        <v>#VALUE!</v>
      </c>
      <c r="W55" s="4" t="s">
        <v>50</v>
      </c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 spans="1:34" ht="15.75" customHeight="1" x14ac:dyDescent="0.2">
      <c r="A56" s="4"/>
      <c r="B56" s="4"/>
      <c r="C56" s="4"/>
      <c r="D56" s="4"/>
      <c r="E56" s="4"/>
      <c r="F56" s="4"/>
      <c r="G56" s="4"/>
      <c r="H56" s="4"/>
      <c r="I56" s="4"/>
      <c r="J56" s="4"/>
      <c r="K56" s="36"/>
      <c r="L56" s="4"/>
      <c r="M56" s="36"/>
      <c r="N56" s="4"/>
      <c r="O56" s="4"/>
      <c r="P56" s="4"/>
      <c r="Q56" s="4"/>
      <c r="R56" s="4"/>
      <c r="S56" s="4"/>
      <c r="T56" s="4" t="s">
        <v>38</v>
      </c>
      <c r="U56" s="4" t="s">
        <v>48</v>
      </c>
      <c r="V56" s="75" t="e">
        <f>(U56-$U$54)/$U$54</f>
        <v>#VALUE!</v>
      </c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 spans="1:34" ht="15.75" customHeight="1" x14ac:dyDescent="0.2">
      <c r="A57" s="4"/>
      <c r="B57" s="4"/>
      <c r="C57" s="4"/>
      <c r="D57" s="4"/>
      <c r="E57" s="4"/>
      <c r="F57" s="4"/>
      <c r="G57" s="4"/>
      <c r="H57" s="4"/>
      <c r="I57" s="4"/>
      <c r="J57" s="4"/>
      <c r="K57" s="36"/>
      <c r="L57" s="4"/>
      <c r="M57" s="36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 spans="1:34" ht="15.75" customHeight="1" x14ac:dyDescent="0.2">
      <c r="A58" s="4"/>
      <c r="B58" s="4"/>
      <c r="C58" s="4"/>
      <c r="D58" s="4"/>
      <c r="E58" s="4"/>
      <c r="F58" s="4"/>
      <c r="G58" s="4"/>
      <c r="H58" s="4"/>
      <c r="I58" s="4"/>
      <c r="J58" s="4"/>
      <c r="K58" s="36"/>
      <c r="L58" s="4"/>
      <c r="M58" s="36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 spans="1:34" ht="15.75" customHeight="1" x14ac:dyDescent="0.2">
      <c r="A59" s="4"/>
      <c r="B59" s="4"/>
      <c r="C59" s="4"/>
      <c r="D59" s="4"/>
      <c r="E59" s="4"/>
      <c r="F59" s="4"/>
      <c r="G59" s="4"/>
      <c r="H59" s="4"/>
      <c r="I59" s="4"/>
      <c r="J59" s="4"/>
      <c r="K59" s="36">
        <f>L39</f>
        <v>29.002070534698522</v>
      </c>
      <c r="L59" s="36">
        <f>M59-K59</f>
        <v>6.6416382252559707</v>
      </c>
      <c r="M59" s="36">
        <f>N39</f>
        <v>35.643708759954492</v>
      </c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  <row r="60" spans="1:34" ht="15.75" customHeight="1" x14ac:dyDescent="0.2">
      <c r="A60" s="4"/>
      <c r="B60" s="4"/>
      <c r="C60" s="4"/>
      <c r="D60" s="4"/>
      <c r="E60" s="4"/>
      <c r="F60" s="4"/>
      <c r="G60" s="4"/>
      <c r="H60" s="4"/>
      <c r="I60" s="4"/>
      <c r="J60" s="4"/>
      <c r="K60" s="36"/>
      <c r="L60" s="4"/>
      <c r="M60" s="36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</row>
    <row r="61" spans="1:34" ht="15.75" customHeight="1" x14ac:dyDescent="0.2">
      <c r="A61" s="4"/>
      <c r="B61" s="4"/>
      <c r="C61" s="4"/>
      <c r="D61" s="4"/>
      <c r="E61" s="4"/>
      <c r="F61" s="4"/>
      <c r="G61" s="4"/>
      <c r="H61" s="4"/>
      <c r="I61" s="4"/>
      <c r="J61" s="4"/>
      <c r="K61" s="36"/>
      <c r="L61" s="4"/>
      <c r="M61" s="36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</row>
    <row r="62" spans="1:34" ht="15.75" customHeight="1" x14ac:dyDescent="0.2">
      <c r="A62" s="4"/>
      <c r="B62" s="4"/>
      <c r="C62" s="4"/>
      <c r="D62" s="4"/>
      <c r="E62" s="4"/>
      <c r="F62" s="4"/>
      <c r="G62" s="4"/>
      <c r="H62" s="4"/>
      <c r="I62" s="4"/>
      <c r="J62" s="4"/>
      <c r="K62" s="36"/>
      <c r="L62" s="4"/>
      <c r="M62" s="36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</row>
    <row r="63" spans="1:34" ht="15.75" customHeight="1" x14ac:dyDescent="0.2">
      <c r="A63" s="4"/>
      <c r="B63" s="4"/>
      <c r="C63" s="4"/>
      <c r="D63" s="4"/>
      <c r="E63" s="4"/>
      <c r="F63" s="4"/>
      <c r="G63" s="4"/>
      <c r="H63" s="4"/>
      <c r="I63" s="4"/>
      <c r="J63" s="4"/>
      <c r="K63" s="36">
        <f>L43</f>
        <v>28.138499999999997</v>
      </c>
      <c r="L63" s="36">
        <f>M63-K63</f>
        <v>3.379999999999999</v>
      </c>
      <c r="M63" s="36">
        <f>N43</f>
        <v>31.518499999999996</v>
      </c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</row>
    <row r="64" spans="1:34" ht="15.75" customHeight="1" x14ac:dyDescent="0.2">
      <c r="A64" s="4"/>
      <c r="B64" s="4"/>
      <c r="C64" s="4"/>
      <c r="D64" s="4"/>
      <c r="E64" s="4"/>
      <c r="F64" s="4"/>
      <c r="G64" s="4"/>
      <c r="H64" s="4"/>
      <c r="I64" s="4"/>
      <c r="J64" s="4"/>
      <c r="K64" s="36"/>
      <c r="L64" s="4"/>
      <c r="M64" s="36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</row>
    <row r="65" spans="1:34" ht="15.75" customHeight="1" x14ac:dyDescent="0.2">
      <c r="A65" s="4"/>
      <c r="B65" s="4"/>
      <c r="C65" s="4"/>
      <c r="D65" s="4"/>
      <c r="E65" s="4"/>
      <c r="F65" s="4"/>
      <c r="G65" s="4"/>
      <c r="H65" s="4"/>
      <c r="I65" s="4"/>
      <c r="J65" s="4"/>
      <c r="K65" s="36"/>
      <c r="L65" s="4"/>
      <c r="M65" s="36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 spans="1:34" ht="15.75" customHeight="1" x14ac:dyDescent="0.2">
      <c r="A66" s="4"/>
      <c r="B66" s="4"/>
      <c r="C66" s="4"/>
      <c r="D66" s="4"/>
      <c r="E66" s="4"/>
      <c r="F66" s="4"/>
      <c r="G66" s="4"/>
      <c r="H66" s="4"/>
      <c r="I66" s="4"/>
      <c r="J66" s="4"/>
      <c r="K66" s="36"/>
      <c r="L66" s="4"/>
      <c r="M66" s="36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</row>
    <row r="67" spans="1:34" ht="15.75" customHeight="1" x14ac:dyDescent="0.2">
      <c r="A67" s="4"/>
      <c r="B67" s="4"/>
      <c r="C67" s="4"/>
      <c r="D67" s="4"/>
      <c r="E67" s="4"/>
      <c r="F67" s="4"/>
      <c r="G67" s="4"/>
      <c r="H67" s="4"/>
      <c r="I67" s="4"/>
      <c r="J67" s="4"/>
      <c r="K67" s="36" t="e">
        <f>L47</f>
        <v>#DIV/0!</v>
      </c>
      <c r="L67" s="36" t="e">
        <f>M67-K67</f>
        <v>#DIV/0!</v>
      </c>
      <c r="M67" s="36" t="e">
        <f>N47</f>
        <v>#DIV/0!</v>
      </c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 spans="1:34" ht="15.75" customHeight="1" x14ac:dyDescent="0.2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</row>
    <row r="69" spans="1:34" ht="15.75" customHeight="1" x14ac:dyDescent="0.2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36" t="e">
        <f>AVERAGE(L51:L67)</f>
        <v>#DIV/0!</v>
      </c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</row>
    <row r="70" spans="1:34" ht="15.75" customHeight="1" x14ac:dyDescent="0.2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36" t="e">
        <f>L69/2</f>
        <v>#DIV/0!</v>
      </c>
      <c r="M70" s="75" t="e">
        <f>L70/28.13</f>
        <v>#DIV/0!</v>
      </c>
      <c r="N70" s="75" t="e">
        <f>M70/2</f>
        <v>#DIV/0!</v>
      </c>
      <c r="O70" s="4" t="s">
        <v>51</v>
      </c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</row>
    <row r="71" spans="1:34" ht="15.75" customHeight="1" x14ac:dyDescent="0.2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 t="s">
        <v>52</v>
      </c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</row>
    <row r="72" spans="1:34" ht="15.75" customHeight="1" x14ac:dyDescent="0.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</row>
    <row r="73" spans="1:34" ht="15.75" customHeight="1" x14ac:dyDescent="0.2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</row>
    <row r="74" spans="1:34" ht="15.75" customHeight="1" x14ac:dyDescent="0.2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</row>
    <row r="75" spans="1:34" ht="15.75" customHeight="1" x14ac:dyDescent="0.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</row>
    <row r="76" spans="1:34" ht="15.75" customHeight="1" x14ac:dyDescent="0.2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</row>
    <row r="77" spans="1:34" ht="15.75" customHeight="1" x14ac:dyDescent="0.2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</row>
    <row r="78" spans="1:34" ht="15.75" customHeight="1" x14ac:dyDescent="0.2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</row>
    <row r="79" spans="1:34" ht="15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</row>
    <row r="80" spans="1:34" ht="15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</row>
    <row r="81" spans="1:34" ht="15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</row>
    <row r="82" spans="1:34" ht="15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</row>
    <row r="83" spans="1:34" ht="15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</row>
    <row r="84" spans="1:34" ht="15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</row>
    <row r="85" spans="1:34" ht="15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</row>
    <row r="86" spans="1:34" ht="15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</row>
    <row r="87" spans="1:34" ht="15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</row>
    <row r="88" spans="1:34" ht="15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</row>
    <row r="89" spans="1:34" ht="15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</row>
    <row r="90" spans="1:34" ht="15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</row>
    <row r="91" spans="1:34" ht="15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</row>
    <row r="92" spans="1:34" ht="15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</row>
    <row r="93" spans="1:34" ht="15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 spans="1:34" ht="15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 ht="15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 ht="15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:34" ht="15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:34" ht="15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:34" ht="15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:34" ht="15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:34" ht="15.75" customHeight="1" x14ac:dyDescent="0.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:34" ht="15.75" customHeight="1" x14ac:dyDescent="0.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:34" ht="15.75" customHeight="1" x14ac:dyDescent="0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:34" ht="15.75" customHeight="1" x14ac:dyDescent="0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:34" ht="15.75" customHeight="1" x14ac:dyDescent="0.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:34" ht="15.75" customHeight="1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:34" ht="15.75" customHeight="1" x14ac:dyDescent="0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:34" ht="15.75" customHeight="1" x14ac:dyDescent="0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:34" ht="15.75" customHeight="1" x14ac:dyDescent="0.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:34" ht="15.75" customHeight="1" x14ac:dyDescent="0.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:34" ht="15.75" customHeight="1" x14ac:dyDescent="0.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:34" ht="15.75" customHeight="1" x14ac:dyDescent="0.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:34" ht="15.75" customHeight="1" x14ac:dyDescent="0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</row>
    <row r="114" spans="1:34" ht="15.75" customHeight="1" x14ac:dyDescent="0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</row>
    <row r="115" spans="1:34" ht="15.75" customHeight="1" x14ac:dyDescent="0.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</row>
    <row r="116" spans="1:34" ht="15.75" customHeight="1" x14ac:dyDescent="0.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</row>
    <row r="117" spans="1:34" ht="15.75" customHeight="1" x14ac:dyDescent="0.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</row>
    <row r="118" spans="1:34" ht="15.75" customHeight="1" x14ac:dyDescent="0.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</row>
    <row r="119" spans="1:34" ht="15.75" customHeight="1" x14ac:dyDescent="0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</row>
    <row r="120" spans="1:34" ht="15.75" customHeight="1" x14ac:dyDescent="0.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</row>
    <row r="121" spans="1:34" ht="15.75" customHeight="1" x14ac:dyDescent="0.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</row>
    <row r="122" spans="1:34" ht="15.75" customHeight="1" x14ac:dyDescent="0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</row>
    <row r="123" spans="1:34" ht="15.75" customHeight="1" x14ac:dyDescent="0.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</row>
    <row r="124" spans="1:34" ht="15.75" customHeight="1" x14ac:dyDescent="0.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</row>
    <row r="125" spans="1:34" ht="15.75" customHeight="1" x14ac:dyDescent="0.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</row>
    <row r="126" spans="1:34" ht="15.75" customHeight="1" x14ac:dyDescent="0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</row>
    <row r="127" spans="1:34" ht="15.75" customHeight="1" x14ac:dyDescent="0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</row>
    <row r="128" spans="1:34" ht="15.75" customHeight="1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</row>
    <row r="129" spans="1:34" ht="15.75" customHeight="1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</row>
    <row r="130" spans="1:34" ht="15.75" customHeight="1" x14ac:dyDescent="0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</row>
    <row r="131" spans="1:34" ht="15.75" customHeight="1" x14ac:dyDescent="0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</row>
    <row r="132" spans="1:34" ht="15.75" customHeight="1" x14ac:dyDescent="0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</row>
    <row r="133" spans="1:34" ht="15.75" customHeight="1" x14ac:dyDescent="0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</row>
    <row r="134" spans="1:34" ht="15.75" customHeight="1" x14ac:dyDescent="0.2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</row>
    <row r="135" spans="1:34" ht="15.75" customHeight="1" x14ac:dyDescent="0.2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</row>
    <row r="136" spans="1:34" ht="15.75" customHeight="1" x14ac:dyDescent="0.2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</row>
    <row r="137" spans="1:34" ht="15.75" customHeight="1" x14ac:dyDescent="0.2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</row>
    <row r="138" spans="1:34" ht="15.75" customHeight="1" x14ac:dyDescent="0.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</row>
    <row r="139" spans="1:34" ht="15.75" customHeight="1" x14ac:dyDescent="0.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</row>
    <row r="140" spans="1:34" ht="15.75" customHeight="1" x14ac:dyDescent="0.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</row>
    <row r="141" spans="1:34" ht="15.75" customHeight="1" x14ac:dyDescent="0.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</row>
    <row r="142" spans="1:34" ht="15.75" customHeight="1" x14ac:dyDescent="0.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</row>
    <row r="143" spans="1:34" ht="15.75" customHeight="1" x14ac:dyDescent="0.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</row>
    <row r="144" spans="1:34" ht="15.75" customHeight="1" x14ac:dyDescent="0.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</row>
    <row r="145" spans="1:34" ht="15.75" customHeight="1" x14ac:dyDescent="0.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</row>
    <row r="146" spans="1:34" ht="15.75" customHeight="1" x14ac:dyDescent="0.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</row>
    <row r="147" spans="1:34" ht="15.75" customHeight="1" x14ac:dyDescent="0.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</row>
    <row r="148" spans="1:34" ht="15.75" customHeight="1" x14ac:dyDescent="0.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</row>
    <row r="149" spans="1:34" ht="15.75" customHeight="1" x14ac:dyDescent="0.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</row>
    <row r="150" spans="1:34" ht="15.75" customHeight="1" x14ac:dyDescent="0.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</row>
    <row r="151" spans="1:34" ht="15.75" customHeight="1" x14ac:dyDescent="0.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</row>
    <row r="152" spans="1:34" ht="15.75" customHeight="1" x14ac:dyDescent="0.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</row>
    <row r="153" spans="1:34" ht="15.75" customHeight="1" x14ac:dyDescent="0.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</row>
    <row r="154" spans="1:34" ht="15.75" customHeight="1" x14ac:dyDescent="0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</row>
    <row r="155" spans="1:34" ht="15.75" customHeight="1" x14ac:dyDescent="0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</row>
    <row r="156" spans="1:34" ht="15.75" customHeight="1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</row>
    <row r="157" spans="1:34" ht="15.75" customHeight="1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</row>
    <row r="158" spans="1:34" ht="15.75" customHeight="1" x14ac:dyDescent="0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</row>
    <row r="159" spans="1:34" ht="15.75" customHeight="1" x14ac:dyDescent="0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</row>
    <row r="160" spans="1:34" ht="15.75" customHeight="1" x14ac:dyDescent="0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</row>
    <row r="161" spans="1:34" ht="15.75" customHeight="1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</row>
    <row r="162" spans="1:34" ht="15.75" customHeight="1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</row>
    <row r="163" spans="1:34" ht="15.75" customHeight="1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</row>
    <row r="164" spans="1:34" ht="15.75" customHeight="1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</row>
    <row r="165" spans="1:34" ht="15.75" customHeight="1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</row>
    <row r="166" spans="1:34" ht="15.75" customHeight="1" x14ac:dyDescent="0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</row>
    <row r="167" spans="1:34" ht="15.75" customHeight="1" x14ac:dyDescent="0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</row>
    <row r="168" spans="1:34" ht="15.75" customHeight="1" x14ac:dyDescent="0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</row>
    <row r="169" spans="1:34" ht="15.75" customHeight="1" x14ac:dyDescent="0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</row>
    <row r="170" spans="1:34" ht="15.75" customHeight="1" x14ac:dyDescent="0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</row>
    <row r="171" spans="1:34" ht="15.75" customHeight="1" x14ac:dyDescent="0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</row>
    <row r="172" spans="1:34" ht="15.75" customHeight="1" x14ac:dyDescent="0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</row>
    <row r="173" spans="1:34" ht="15.75" customHeight="1" x14ac:dyDescent="0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</row>
    <row r="174" spans="1:34" ht="15.75" customHeight="1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 spans="1:34" ht="15.75" customHeight="1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 spans="1:34" ht="15.75" customHeight="1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</row>
    <row r="177" spans="1:34" ht="15.75" customHeight="1" x14ac:dyDescent="0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</row>
    <row r="178" spans="1:34" ht="15.75" customHeight="1" x14ac:dyDescent="0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</row>
    <row r="179" spans="1:34" ht="15.75" customHeight="1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</row>
    <row r="180" spans="1:34" ht="15.75" customHeight="1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</row>
    <row r="181" spans="1:34" ht="15.75" customHeight="1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</row>
    <row r="182" spans="1:34" ht="15.75" customHeight="1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</row>
    <row r="183" spans="1:34" ht="15.75" customHeight="1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</row>
    <row r="184" spans="1:34" ht="15.75" customHeight="1" x14ac:dyDescent="0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</row>
    <row r="185" spans="1:34" ht="15.75" customHeight="1" x14ac:dyDescent="0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</row>
    <row r="186" spans="1:34" ht="15.75" customHeight="1" x14ac:dyDescent="0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</row>
    <row r="187" spans="1:34" ht="15.75" customHeight="1" x14ac:dyDescent="0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</row>
    <row r="188" spans="1:34" ht="15.75" customHeight="1" x14ac:dyDescent="0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</row>
    <row r="189" spans="1:34" ht="15.75" customHeight="1" x14ac:dyDescent="0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</row>
    <row r="190" spans="1:34" ht="15.75" customHeight="1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</row>
    <row r="191" spans="1:34" ht="15.75" customHeight="1" x14ac:dyDescent="0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</row>
    <row r="192" spans="1:34" ht="15.75" customHeight="1" x14ac:dyDescent="0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</row>
    <row r="193" spans="1:34" ht="15.75" customHeight="1" x14ac:dyDescent="0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</row>
    <row r="194" spans="1:34" ht="15.75" customHeight="1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</row>
    <row r="195" spans="1:34" ht="15.75" customHeight="1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</row>
    <row r="196" spans="1:34" ht="15.75" customHeight="1" x14ac:dyDescent="0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</row>
    <row r="197" spans="1:34" ht="15.75" customHeight="1" x14ac:dyDescent="0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</row>
    <row r="198" spans="1:34" ht="15.75" customHeight="1" x14ac:dyDescent="0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</row>
    <row r="199" spans="1:34" ht="15.75" customHeight="1" x14ac:dyDescent="0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</row>
    <row r="200" spans="1:34" ht="15.75" customHeight="1" x14ac:dyDescent="0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</row>
    <row r="201" spans="1:34" ht="15.75" customHeight="1" x14ac:dyDescent="0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</row>
    <row r="202" spans="1:34" ht="15.75" customHeight="1" x14ac:dyDescent="0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</row>
    <row r="203" spans="1:34" ht="15.75" customHeight="1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</row>
    <row r="204" spans="1:34" ht="15.75" customHeight="1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</row>
    <row r="205" spans="1:34" ht="15.75" customHeight="1" x14ac:dyDescent="0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</row>
    <row r="206" spans="1:34" ht="15.75" customHeight="1" x14ac:dyDescent="0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</row>
    <row r="207" spans="1:34" ht="15.75" customHeight="1" x14ac:dyDescent="0.2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</row>
    <row r="208" spans="1:34" ht="15.75" customHeight="1" x14ac:dyDescent="0.2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</row>
    <row r="209" spans="1:34" ht="15.75" customHeight="1" x14ac:dyDescent="0.2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</row>
    <row r="210" spans="1:34" ht="15.75" customHeight="1" x14ac:dyDescent="0.2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</row>
    <row r="211" spans="1:34" ht="15.75" customHeight="1" x14ac:dyDescent="0.2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</row>
    <row r="212" spans="1:34" ht="15.75" customHeight="1" x14ac:dyDescent="0.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</row>
    <row r="213" spans="1:34" ht="15.75" customHeight="1" x14ac:dyDescent="0.2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</row>
    <row r="214" spans="1:34" ht="15.75" customHeight="1" x14ac:dyDescent="0.2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</row>
    <row r="215" spans="1:34" ht="15.75" customHeight="1" x14ac:dyDescent="0.2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</row>
    <row r="216" spans="1:34" ht="15.75" customHeight="1" x14ac:dyDescent="0.2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</row>
    <row r="217" spans="1:34" ht="15.75" customHeight="1" x14ac:dyDescent="0.2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</row>
    <row r="218" spans="1:34" ht="15.75" customHeight="1" x14ac:dyDescent="0.2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</row>
    <row r="219" spans="1:34" ht="15.75" customHeight="1" x14ac:dyDescent="0.2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</row>
    <row r="220" spans="1:34" ht="15.75" customHeight="1" x14ac:dyDescent="0.2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</row>
    <row r="221" spans="1:34" ht="15.75" customHeight="1" x14ac:dyDescent="0.2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</row>
    <row r="222" spans="1:34" ht="15.75" customHeight="1" x14ac:dyDescent="0.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</row>
    <row r="223" spans="1:34" ht="15.75" customHeight="1" x14ac:dyDescent="0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</row>
    <row r="224" spans="1:34" ht="15.75" customHeight="1" x14ac:dyDescent="0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</row>
    <row r="225" spans="1:34" ht="15.75" customHeight="1" x14ac:dyDescent="0.2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</row>
    <row r="226" spans="1:34" ht="15.75" customHeight="1" x14ac:dyDescent="0.2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</row>
    <row r="227" spans="1:34" ht="15.75" customHeight="1" x14ac:dyDescent="0.2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</row>
    <row r="228" spans="1:34" ht="15.75" customHeight="1" x14ac:dyDescent="0.2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</row>
    <row r="229" spans="1:34" ht="15.75" customHeight="1" x14ac:dyDescent="0.2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</row>
    <row r="230" spans="1:34" ht="15.75" customHeight="1" x14ac:dyDescent="0.2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</row>
    <row r="231" spans="1:34" ht="15.75" customHeight="1" x14ac:dyDescent="0.2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</row>
    <row r="232" spans="1:34" ht="15.75" customHeight="1" x14ac:dyDescent="0.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</row>
    <row r="233" spans="1:34" ht="15.75" customHeight="1" x14ac:dyDescent="0.2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</row>
    <row r="234" spans="1:34" ht="15.75" customHeight="1" x14ac:dyDescent="0.2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</row>
    <row r="235" spans="1:34" ht="15.75" customHeight="1" x14ac:dyDescent="0.2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</row>
    <row r="236" spans="1:34" ht="15.75" customHeight="1" x14ac:dyDescent="0.2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</row>
    <row r="237" spans="1:34" ht="15.75" customHeight="1" x14ac:dyDescent="0.2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</row>
    <row r="238" spans="1:34" ht="15.75" customHeight="1" x14ac:dyDescent="0.2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</row>
    <row r="239" spans="1:34" ht="15.75" customHeight="1" x14ac:dyDescent="0.2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</row>
    <row r="240" spans="1:34" ht="15.75" customHeight="1" x14ac:dyDescent="0.2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</row>
    <row r="241" spans="1:34" ht="15.75" customHeight="1" x14ac:dyDescent="0.2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</row>
    <row r="242" spans="1:34" ht="15.75" customHeight="1" x14ac:dyDescent="0.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</row>
    <row r="243" spans="1:34" ht="15.75" customHeight="1" x14ac:dyDescent="0.2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</row>
    <row r="244" spans="1:34" ht="15.75" customHeight="1" x14ac:dyDescent="0.2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</row>
    <row r="245" spans="1:34" ht="15.75" customHeight="1" x14ac:dyDescent="0.2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</row>
    <row r="246" spans="1:34" ht="15.75" customHeight="1" x14ac:dyDescent="0.2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</row>
    <row r="247" spans="1:34" ht="15.75" customHeight="1" x14ac:dyDescent="0.2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</row>
    <row r="248" spans="1:34" ht="15.75" customHeight="1" x14ac:dyDescent="0.2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</row>
    <row r="249" spans="1:34" ht="15.75" customHeight="1" x14ac:dyDescent="0.2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</row>
    <row r="250" spans="1:34" ht="15.75" customHeight="1" x14ac:dyDescent="0.2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</row>
    <row r="251" spans="1:34" ht="15.75" customHeight="1" x14ac:dyDescent="0.2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</row>
    <row r="252" spans="1:34" ht="15.75" customHeight="1" x14ac:dyDescent="0.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</row>
    <row r="253" spans="1:34" ht="15.75" customHeight="1" x14ac:dyDescent="0.2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</row>
    <row r="254" spans="1:34" ht="15.75" customHeight="1" x14ac:dyDescent="0.2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</row>
    <row r="255" spans="1:34" ht="15.75" customHeight="1" x14ac:dyDescent="0.2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</row>
    <row r="256" spans="1:34" ht="15.75" customHeight="1" x14ac:dyDescent="0.2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</row>
    <row r="257" spans="1:34" ht="15.75" customHeight="1" x14ac:dyDescent="0.2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</row>
    <row r="258" spans="1:34" ht="15.75" customHeight="1" x14ac:dyDescent="0.2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</row>
    <row r="259" spans="1:34" ht="15.75" customHeight="1" x14ac:dyDescent="0.2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</row>
    <row r="260" spans="1:34" ht="15.75" customHeight="1" x14ac:dyDescent="0.2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</row>
    <row r="261" spans="1:34" ht="15.75" customHeight="1" x14ac:dyDescent="0.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</row>
    <row r="262" spans="1:34" ht="15.75" customHeight="1" x14ac:dyDescent="0.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</row>
    <row r="263" spans="1:34" ht="15.75" customHeight="1" x14ac:dyDescent="0.2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</row>
    <row r="264" spans="1:34" ht="15.75" customHeight="1" x14ac:dyDescent="0.2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</row>
    <row r="265" spans="1:34" ht="15.75" customHeight="1" x14ac:dyDescent="0.2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</row>
    <row r="266" spans="1:34" ht="15.75" customHeight="1" x14ac:dyDescent="0.2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</row>
    <row r="267" spans="1:34" ht="15.75" customHeight="1" x14ac:dyDescent="0.2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</row>
    <row r="268" spans="1:34" ht="15.75" customHeight="1" x14ac:dyDescent="0.2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</row>
    <row r="269" spans="1:34" ht="15.75" customHeight="1" x14ac:dyDescent="0.2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</row>
    <row r="270" spans="1:34" ht="15.75" customHeight="1" x14ac:dyDescent="0.2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</row>
    <row r="271" spans="1:34" ht="15.75" customHeight="1" x14ac:dyDescent="0.2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</row>
    <row r="272" spans="1:34" ht="15.75" customHeight="1" x14ac:dyDescent="0.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</row>
    <row r="273" spans="1:34" ht="15.75" customHeight="1" x14ac:dyDescent="0.2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</row>
    <row r="274" spans="1:34" ht="15.75" customHeight="1" x14ac:dyDescent="0.2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</row>
    <row r="275" spans="1:34" ht="15.75" customHeight="1" x14ac:dyDescent="0.2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</row>
    <row r="276" spans="1:34" ht="15.75" customHeight="1" x14ac:dyDescent="0.2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</row>
    <row r="277" spans="1:34" ht="15.75" customHeight="1" x14ac:dyDescent="0.2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</row>
    <row r="278" spans="1:34" ht="15.75" customHeight="1" x14ac:dyDescent="0.2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</row>
    <row r="279" spans="1:34" ht="15.75" customHeight="1" x14ac:dyDescent="0.2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</row>
    <row r="280" spans="1:34" ht="15.75" customHeight="1" x14ac:dyDescent="0.2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</row>
    <row r="281" spans="1:34" ht="15.75" customHeight="1" x14ac:dyDescent="0.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</row>
    <row r="282" spans="1:34" ht="15.75" customHeight="1" x14ac:dyDescent="0.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</row>
    <row r="283" spans="1:34" ht="15.75" customHeight="1" x14ac:dyDescent="0.2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</row>
    <row r="284" spans="1:34" ht="15.75" customHeight="1" x14ac:dyDescent="0.2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</row>
    <row r="285" spans="1:34" ht="15.75" customHeight="1" x14ac:dyDescent="0.2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</row>
    <row r="286" spans="1:34" ht="15.75" customHeight="1" x14ac:dyDescent="0.2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</row>
    <row r="287" spans="1:34" ht="15.75" customHeight="1" x14ac:dyDescent="0.2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</row>
    <row r="288" spans="1:34" ht="15.75" customHeight="1" x14ac:dyDescent="0.2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</row>
    <row r="289" spans="1:34" ht="15.75" customHeight="1" x14ac:dyDescent="0.2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</row>
    <row r="290" spans="1:34" ht="15.75" customHeight="1" x14ac:dyDescent="0.2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</row>
    <row r="291" spans="1:34" ht="15.75" customHeight="1" x14ac:dyDescent="0.2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</row>
    <row r="292" spans="1:34" ht="15.75" customHeight="1" x14ac:dyDescent="0.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</row>
    <row r="293" spans="1:34" ht="15.75" customHeight="1" x14ac:dyDescent="0.2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</row>
    <row r="294" spans="1:34" ht="15.75" customHeight="1" x14ac:dyDescent="0.2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</row>
    <row r="295" spans="1:34" ht="15.75" customHeight="1" x14ac:dyDescent="0.2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</row>
    <row r="296" spans="1:34" ht="15.75" customHeight="1" x14ac:dyDescent="0.2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</row>
    <row r="297" spans="1:34" ht="15.75" customHeight="1" x14ac:dyDescent="0.2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</row>
    <row r="298" spans="1:34" ht="15.75" customHeight="1" x14ac:dyDescent="0.2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</row>
    <row r="299" spans="1:34" ht="15.75" customHeight="1" x14ac:dyDescent="0.2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</row>
    <row r="300" spans="1:34" ht="15.75" customHeight="1" x14ac:dyDescent="0.2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</row>
    <row r="301" spans="1:34" ht="15.75" customHeight="1" x14ac:dyDescent="0.2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</row>
    <row r="302" spans="1:34" ht="15.75" customHeight="1" x14ac:dyDescent="0.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</row>
    <row r="303" spans="1:34" ht="15.75" customHeight="1" x14ac:dyDescent="0.2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</row>
    <row r="304" spans="1:34" ht="15.75" customHeight="1" x14ac:dyDescent="0.2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</row>
    <row r="305" spans="1:34" ht="15.75" customHeight="1" x14ac:dyDescent="0.2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</row>
    <row r="306" spans="1:34" ht="15.75" customHeight="1" x14ac:dyDescent="0.2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</row>
    <row r="307" spans="1:34" ht="15.75" customHeight="1" x14ac:dyDescent="0.2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</row>
    <row r="308" spans="1:34" ht="15.75" customHeight="1" x14ac:dyDescent="0.2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</row>
    <row r="309" spans="1:34" ht="15.75" customHeight="1" x14ac:dyDescent="0.2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</row>
    <row r="310" spans="1:34" ht="15.75" customHeight="1" x14ac:dyDescent="0.2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</row>
    <row r="311" spans="1:34" ht="15.75" customHeight="1" x14ac:dyDescent="0.2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</row>
    <row r="312" spans="1:34" ht="15.75" customHeight="1" x14ac:dyDescent="0.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</row>
    <row r="313" spans="1:34" ht="15.75" customHeight="1" x14ac:dyDescent="0.2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</row>
    <row r="314" spans="1:34" ht="15.75" customHeight="1" x14ac:dyDescent="0.2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</row>
    <row r="315" spans="1:34" ht="15.75" customHeight="1" x14ac:dyDescent="0.2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</row>
    <row r="316" spans="1:34" ht="15.75" customHeight="1" x14ac:dyDescent="0.2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</row>
    <row r="317" spans="1:34" ht="15.75" customHeight="1" x14ac:dyDescent="0.2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</row>
    <row r="318" spans="1:34" ht="15.75" customHeight="1" x14ac:dyDescent="0.2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</row>
    <row r="319" spans="1:34" ht="15.75" customHeight="1" x14ac:dyDescent="0.2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</row>
    <row r="320" spans="1:34" ht="15.75" customHeight="1" x14ac:dyDescent="0.2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</row>
    <row r="321" spans="1:34" ht="15.75" customHeight="1" x14ac:dyDescent="0.2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</row>
    <row r="322" spans="1:34" ht="15.75" customHeight="1" x14ac:dyDescent="0.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</row>
    <row r="323" spans="1:34" ht="15.75" customHeight="1" x14ac:dyDescent="0.2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</row>
    <row r="324" spans="1:34" ht="15.75" customHeight="1" x14ac:dyDescent="0.2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</row>
    <row r="325" spans="1:34" ht="15.75" customHeight="1" x14ac:dyDescent="0.2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</row>
    <row r="326" spans="1:34" ht="15.75" customHeight="1" x14ac:dyDescent="0.2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</row>
    <row r="327" spans="1:34" ht="15.75" customHeight="1" x14ac:dyDescent="0.2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</row>
    <row r="328" spans="1:34" ht="15.75" customHeight="1" x14ac:dyDescent="0.2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</row>
    <row r="329" spans="1:34" ht="15.75" customHeight="1" x14ac:dyDescent="0.2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</row>
    <row r="330" spans="1:34" ht="15.75" customHeight="1" x14ac:dyDescent="0.2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</row>
    <row r="331" spans="1:34" ht="15.75" customHeight="1" x14ac:dyDescent="0.2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</row>
    <row r="332" spans="1:34" ht="15.75" customHeight="1" x14ac:dyDescent="0.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</row>
    <row r="333" spans="1:34" ht="15.75" customHeight="1" x14ac:dyDescent="0.2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</row>
    <row r="334" spans="1:34" ht="15.75" customHeight="1" x14ac:dyDescent="0.2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</row>
    <row r="335" spans="1:34" ht="15.75" customHeight="1" x14ac:dyDescent="0.2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</row>
    <row r="336" spans="1:34" ht="15.75" customHeight="1" x14ac:dyDescent="0.2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</row>
    <row r="337" spans="1:34" ht="15.75" customHeight="1" x14ac:dyDescent="0.2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</row>
    <row r="338" spans="1:34" ht="15.75" customHeight="1" x14ac:dyDescent="0.2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</row>
    <row r="339" spans="1:34" ht="15.75" customHeight="1" x14ac:dyDescent="0.2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</row>
    <row r="340" spans="1:34" ht="15.75" customHeight="1" x14ac:dyDescent="0.2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</row>
    <row r="341" spans="1:34" ht="15.75" customHeight="1" x14ac:dyDescent="0.2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</row>
    <row r="342" spans="1:34" ht="15.75" customHeight="1" x14ac:dyDescent="0.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</row>
    <row r="343" spans="1:34" ht="15.75" customHeight="1" x14ac:dyDescent="0.2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</row>
    <row r="344" spans="1:34" ht="15.75" customHeight="1" x14ac:dyDescent="0.2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</row>
    <row r="345" spans="1:34" ht="15.75" customHeight="1" x14ac:dyDescent="0.2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</row>
    <row r="346" spans="1:34" ht="15.75" customHeight="1" x14ac:dyDescent="0.2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</row>
    <row r="347" spans="1:34" ht="15.75" customHeight="1" x14ac:dyDescent="0.2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</row>
    <row r="348" spans="1:34" ht="15.75" customHeight="1" x14ac:dyDescent="0.2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</row>
    <row r="349" spans="1:34" ht="15.75" customHeight="1" x14ac:dyDescent="0.2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</row>
    <row r="350" spans="1:34" ht="15.75" customHeight="1" x14ac:dyDescent="0.2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</row>
    <row r="351" spans="1:34" ht="15.75" customHeight="1" x14ac:dyDescent="0.2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</row>
    <row r="352" spans="1:34" ht="15.75" customHeight="1" x14ac:dyDescent="0.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</row>
    <row r="353" spans="1:34" ht="15.75" customHeight="1" x14ac:dyDescent="0.2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</row>
    <row r="354" spans="1:34" ht="15.75" customHeight="1" x14ac:dyDescent="0.2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</row>
    <row r="355" spans="1:34" ht="15.75" customHeight="1" x14ac:dyDescent="0.2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</row>
    <row r="356" spans="1:34" ht="15.75" customHeight="1" x14ac:dyDescent="0.2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</row>
    <row r="357" spans="1:34" ht="15.75" customHeight="1" x14ac:dyDescent="0.2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</row>
    <row r="358" spans="1:34" ht="15.75" customHeight="1" x14ac:dyDescent="0.2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</row>
    <row r="359" spans="1:34" ht="15.75" customHeight="1" x14ac:dyDescent="0.2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</row>
    <row r="360" spans="1:34" ht="15.75" customHeight="1" x14ac:dyDescent="0.2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</row>
    <row r="361" spans="1:34" ht="15.75" customHeight="1" x14ac:dyDescent="0.2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</row>
    <row r="362" spans="1:34" ht="15.75" customHeight="1" x14ac:dyDescent="0.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</row>
    <row r="363" spans="1:34" ht="15.75" customHeight="1" x14ac:dyDescent="0.2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</row>
    <row r="364" spans="1:34" ht="15.75" customHeight="1" x14ac:dyDescent="0.2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</row>
    <row r="365" spans="1:34" ht="15.75" customHeight="1" x14ac:dyDescent="0.2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</row>
    <row r="366" spans="1:34" ht="15.75" customHeight="1" x14ac:dyDescent="0.2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</row>
    <row r="367" spans="1:34" ht="15.75" customHeight="1" x14ac:dyDescent="0.2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</row>
    <row r="368" spans="1:34" ht="15.75" customHeight="1" x14ac:dyDescent="0.2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</row>
    <row r="369" spans="1:34" ht="15.75" customHeight="1" x14ac:dyDescent="0.2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</row>
    <row r="370" spans="1:34" ht="15.75" customHeight="1" x14ac:dyDescent="0.2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</row>
    <row r="371" spans="1:34" ht="15.75" customHeight="1" x14ac:dyDescent="0.2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</row>
    <row r="372" spans="1:34" ht="15.75" customHeight="1" x14ac:dyDescent="0.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</row>
    <row r="373" spans="1:34" ht="15.75" customHeight="1" x14ac:dyDescent="0.2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</row>
    <row r="374" spans="1:34" ht="15.75" customHeight="1" x14ac:dyDescent="0.2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</row>
    <row r="375" spans="1:34" ht="15.75" customHeight="1" x14ac:dyDescent="0.2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</row>
    <row r="376" spans="1:34" ht="15.75" customHeight="1" x14ac:dyDescent="0.2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</row>
    <row r="377" spans="1:34" ht="15.75" customHeight="1" x14ac:dyDescent="0.2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</row>
    <row r="378" spans="1:34" ht="15.75" customHeight="1" x14ac:dyDescent="0.2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</row>
    <row r="379" spans="1:34" ht="15.75" customHeight="1" x14ac:dyDescent="0.2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</row>
    <row r="380" spans="1:34" ht="15.75" customHeight="1" x14ac:dyDescent="0.2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</row>
    <row r="381" spans="1:34" ht="15.75" customHeight="1" x14ac:dyDescent="0.2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</row>
    <row r="382" spans="1:34" ht="15.75" customHeight="1" x14ac:dyDescent="0.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</row>
    <row r="383" spans="1:34" ht="15.75" customHeight="1" x14ac:dyDescent="0.2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</row>
    <row r="384" spans="1:34" ht="15.75" customHeight="1" x14ac:dyDescent="0.2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</row>
    <row r="385" spans="1:34" ht="15.75" customHeight="1" x14ac:dyDescent="0.2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</row>
    <row r="386" spans="1:34" ht="15.75" customHeight="1" x14ac:dyDescent="0.2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</row>
    <row r="387" spans="1:34" ht="15.75" customHeight="1" x14ac:dyDescent="0.2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</row>
    <row r="388" spans="1:34" ht="15.75" customHeight="1" x14ac:dyDescent="0.2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</row>
    <row r="389" spans="1:34" ht="15.75" customHeight="1" x14ac:dyDescent="0.2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</row>
    <row r="390" spans="1:34" ht="15.75" customHeight="1" x14ac:dyDescent="0.2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</row>
    <row r="391" spans="1:34" ht="15.75" customHeight="1" x14ac:dyDescent="0.2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</row>
    <row r="392" spans="1:34" ht="15.75" customHeight="1" x14ac:dyDescent="0.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</row>
    <row r="393" spans="1:34" ht="15.75" customHeight="1" x14ac:dyDescent="0.2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</row>
    <row r="394" spans="1:34" ht="15.75" customHeight="1" x14ac:dyDescent="0.2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</row>
    <row r="395" spans="1:34" ht="15.75" customHeight="1" x14ac:dyDescent="0.2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</row>
    <row r="396" spans="1:34" ht="15.75" customHeight="1" x14ac:dyDescent="0.2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</row>
    <row r="397" spans="1:34" ht="15.75" customHeight="1" x14ac:dyDescent="0.2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</row>
    <row r="398" spans="1:34" ht="15.75" customHeight="1" x14ac:dyDescent="0.2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</row>
    <row r="399" spans="1:34" ht="15.75" customHeight="1" x14ac:dyDescent="0.2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</row>
    <row r="400" spans="1:34" ht="15.75" customHeight="1" x14ac:dyDescent="0.2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</row>
    <row r="401" spans="1:34" ht="15.75" customHeight="1" x14ac:dyDescent="0.2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</row>
    <row r="402" spans="1:34" ht="15.75" customHeight="1" x14ac:dyDescent="0.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</row>
    <row r="403" spans="1:34" ht="15.75" customHeight="1" x14ac:dyDescent="0.2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</row>
    <row r="404" spans="1:34" ht="15.75" customHeight="1" x14ac:dyDescent="0.2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</row>
    <row r="405" spans="1:34" ht="15.75" customHeight="1" x14ac:dyDescent="0.2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</row>
    <row r="406" spans="1:34" ht="15.75" customHeight="1" x14ac:dyDescent="0.2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</row>
    <row r="407" spans="1:34" ht="15.75" customHeight="1" x14ac:dyDescent="0.2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</row>
    <row r="408" spans="1:34" ht="15.75" customHeight="1" x14ac:dyDescent="0.2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</row>
    <row r="409" spans="1:34" ht="15.75" customHeight="1" x14ac:dyDescent="0.2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</row>
    <row r="410" spans="1:34" ht="15.75" customHeight="1" x14ac:dyDescent="0.2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</row>
    <row r="411" spans="1:34" ht="15.75" customHeight="1" x14ac:dyDescent="0.2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</row>
    <row r="412" spans="1:34" ht="15.75" customHeight="1" x14ac:dyDescent="0.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</row>
    <row r="413" spans="1:34" ht="15.75" customHeight="1" x14ac:dyDescent="0.2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</row>
    <row r="414" spans="1:34" ht="15.75" customHeight="1" x14ac:dyDescent="0.2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</row>
    <row r="415" spans="1:34" ht="15.75" customHeight="1" x14ac:dyDescent="0.2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</row>
    <row r="416" spans="1:34" ht="15.75" customHeight="1" x14ac:dyDescent="0.2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</row>
    <row r="417" spans="1:34" ht="15.75" customHeight="1" x14ac:dyDescent="0.2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</row>
    <row r="418" spans="1:34" ht="15.75" customHeight="1" x14ac:dyDescent="0.2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</row>
    <row r="419" spans="1:34" ht="15.75" customHeight="1" x14ac:dyDescent="0.2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</row>
    <row r="420" spans="1:34" ht="15.75" customHeight="1" x14ac:dyDescent="0.2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</row>
    <row r="421" spans="1:34" ht="15.75" customHeight="1" x14ac:dyDescent="0.2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</row>
    <row r="422" spans="1:34" ht="15.75" customHeight="1" x14ac:dyDescent="0.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</row>
    <row r="423" spans="1:34" ht="15.75" customHeight="1" x14ac:dyDescent="0.2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</row>
    <row r="424" spans="1:34" ht="15.75" customHeight="1" x14ac:dyDescent="0.2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</row>
    <row r="425" spans="1:34" ht="15.75" customHeight="1" x14ac:dyDescent="0.2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</row>
    <row r="426" spans="1:34" ht="15.75" customHeight="1" x14ac:dyDescent="0.2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</row>
    <row r="427" spans="1:34" ht="15.75" customHeight="1" x14ac:dyDescent="0.2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</row>
    <row r="428" spans="1:34" ht="15.75" customHeight="1" x14ac:dyDescent="0.2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</row>
    <row r="429" spans="1:34" ht="15.75" customHeight="1" x14ac:dyDescent="0.2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</row>
    <row r="430" spans="1:34" ht="15.75" customHeight="1" x14ac:dyDescent="0.2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</row>
    <row r="431" spans="1:34" ht="15.75" customHeight="1" x14ac:dyDescent="0.2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</row>
    <row r="432" spans="1:34" ht="15.75" customHeight="1" x14ac:dyDescent="0.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</row>
    <row r="433" spans="1:34" ht="15.75" customHeight="1" x14ac:dyDescent="0.2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</row>
    <row r="434" spans="1:34" ht="15.75" customHeight="1" x14ac:dyDescent="0.2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</row>
    <row r="435" spans="1:34" ht="15.75" customHeight="1" x14ac:dyDescent="0.2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</row>
    <row r="436" spans="1:34" ht="15.75" customHeight="1" x14ac:dyDescent="0.2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</row>
    <row r="437" spans="1:34" ht="15.75" customHeight="1" x14ac:dyDescent="0.2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</row>
    <row r="438" spans="1:34" ht="15.75" customHeight="1" x14ac:dyDescent="0.2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</row>
    <row r="439" spans="1:34" ht="15.75" customHeight="1" x14ac:dyDescent="0.2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</row>
    <row r="440" spans="1:34" ht="15.75" customHeight="1" x14ac:dyDescent="0.2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</row>
    <row r="441" spans="1:34" ht="15.75" customHeight="1" x14ac:dyDescent="0.2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</row>
    <row r="442" spans="1:34" ht="15.75" customHeight="1" x14ac:dyDescent="0.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</row>
    <row r="443" spans="1:34" ht="15.75" customHeight="1" x14ac:dyDescent="0.2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</row>
    <row r="444" spans="1:34" ht="15.75" customHeight="1" x14ac:dyDescent="0.2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</row>
    <row r="445" spans="1:34" ht="15.75" customHeight="1" x14ac:dyDescent="0.2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</row>
    <row r="446" spans="1:34" ht="15.75" customHeight="1" x14ac:dyDescent="0.2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</row>
    <row r="447" spans="1:34" ht="15.75" customHeight="1" x14ac:dyDescent="0.2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</row>
    <row r="448" spans="1:34" ht="15.75" customHeight="1" x14ac:dyDescent="0.2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</row>
    <row r="449" spans="1:34" ht="15.75" customHeight="1" x14ac:dyDescent="0.2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</row>
    <row r="450" spans="1:34" ht="15.75" customHeight="1" x14ac:dyDescent="0.2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</row>
    <row r="451" spans="1:34" ht="15.75" customHeight="1" x14ac:dyDescent="0.2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</row>
    <row r="452" spans="1:34" ht="15.75" customHeight="1" x14ac:dyDescent="0.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</row>
    <row r="453" spans="1:34" ht="15.75" customHeight="1" x14ac:dyDescent="0.2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</row>
    <row r="454" spans="1:34" ht="15.75" customHeight="1" x14ac:dyDescent="0.2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</row>
    <row r="455" spans="1:34" ht="15.75" customHeight="1" x14ac:dyDescent="0.2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</row>
    <row r="456" spans="1:34" ht="15.75" customHeight="1" x14ac:dyDescent="0.2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</row>
    <row r="457" spans="1:34" ht="15.75" customHeight="1" x14ac:dyDescent="0.2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</row>
    <row r="458" spans="1:34" ht="15.75" customHeight="1" x14ac:dyDescent="0.2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</row>
    <row r="459" spans="1:34" ht="15.75" customHeight="1" x14ac:dyDescent="0.2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</row>
    <row r="460" spans="1:34" ht="15.75" customHeight="1" x14ac:dyDescent="0.2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</row>
    <row r="461" spans="1:34" ht="15.75" customHeight="1" x14ac:dyDescent="0.2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</row>
    <row r="462" spans="1:34" ht="15.75" customHeight="1" x14ac:dyDescent="0.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</row>
    <row r="463" spans="1:34" ht="15.75" customHeight="1" x14ac:dyDescent="0.2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</row>
    <row r="464" spans="1:34" ht="15.75" customHeight="1" x14ac:dyDescent="0.2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</row>
    <row r="465" spans="1:34" ht="15.75" customHeight="1" x14ac:dyDescent="0.2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</row>
    <row r="466" spans="1:34" ht="15.75" customHeight="1" x14ac:dyDescent="0.2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</row>
    <row r="467" spans="1:34" ht="15.75" customHeight="1" x14ac:dyDescent="0.2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</row>
    <row r="468" spans="1:34" ht="15.75" customHeight="1" x14ac:dyDescent="0.2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</row>
    <row r="469" spans="1:34" ht="15.75" customHeight="1" x14ac:dyDescent="0.2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</row>
    <row r="470" spans="1:34" ht="15.75" customHeight="1" x14ac:dyDescent="0.2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</row>
    <row r="471" spans="1:34" ht="15.75" customHeight="1" x14ac:dyDescent="0.2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</row>
    <row r="472" spans="1:34" ht="15.75" customHeight="1" x14ac:dyDescent="0.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</row>
    <row r="473" spans="1:34" ht="15.75" customHeight="1" x14ac:dyDescent="0.2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</row>
    <row r="474" spans="1:34" ht="15.75" customHeight="1" x14ac:dyDescent="0.2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</row>
    <row r="475" spans="1:34" ht="15.75" customHeight="1" x14ac:dyDescent="0.2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</row>
    <row r="476" spans="1:34" ht="15.75" customHeight="1" x14ac:dyDescent="0.2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</row>
    <row r="477" spans="1:34" ht="15.75" customHeight="1" x14ac:dyDescent="0.2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</row>
    <row r="478" spans="1:34" ht="15.75" customHeight="1" x14ac:dyDescent="0.2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</row>
    <row r="479" spans="1:34" ht="15.75" customHeight="1" x14ac:dyDescent="0.2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</row>
    <row r="480" spans="1:34" ht="15.75" customHeight="1" x14ac:dyDescent="0.2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</row>
    <row r="481" spans="1:34" ht="15.75" customHeight="1" x14ac:dyDescent="0.2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</row>
    <row r="482" spans="1:34" ht="15.75" customHeight="1" x14ac:dyDescent="0.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</row>
    <row r="483" spans="1:34" ht="15.75" customHeight="1" x14ac:dyDescent="0.2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</row>
    <row r="484" spans="1:34" ht="15.75" customHeight="1" x14ac:dyDescent="0.2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</row>
    <row r="485" spans="1:34" ht="15.75" customHeight="1" x14ac:dyDescent="0.2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</row>
    <row r="486" spans="1:34" ht="15.75" customHeight="1" x14ac:dyDescent="0.2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</row>
    <row r="487" spans="1:34" ht="15.75" customHeight="1" x14ac:dyDescent="0.2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</row>
    <row r="488" spans="1:34" ht="15.75" customHeight="1" x14ac:dyDescent="0.2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</row>
    <row r="489" spans="1:34" ht="15.75" customHeight="1" x14ac:dyDescent="0.2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</row>
    <row r="490" spans="1:34" ht="15.75" customHeight="1" x14ac:dyDescent="0.2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</row>
    <row r="491" spans="1:34" ht="15.75" customHeight="1" x14ac:dyDescent="0.2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</row>
    <row r="492" spans="1:34" ht="15.75" customHeight="1" x14ac:dyDescent="0.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</row>
    <row r="493" spans="1:34" ht="15.75" customHeight="1" x14ac:dyDescent="0.2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</row>
    <row r="494" spans="1:34" ht="15.75" customHeight="1" x14ac:dyDescent="0.2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</row>
    <row r="495" spans="1:34" ht="15.75" customHeight="1" x14ac:dyDescent="0.2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</row>
    <row r="496" spans="1:34" ht="15.75" customHeight="1" x14ac:dyDescent="0.2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</row>
    <row r="497" spans="1:34" ht="15.75" customHeight="1" x14ac:dyDescent="0.2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</row>
    <row r="498" spans="1:34" ht="15.75" customHeight="1" x14ac:dyDescent="0.2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</row>
    <row r="499" spans="1:34" ht="15.75" customHeight="1" x14ac:dyDescent="0.2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</row>
    <row r="500" spans="1:34" ht="15.75" customHeight="1" x14ac:dyDescent="0.2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</row>
    <row r="501" spans="1:34" ht="15.75" customHeight="1" x14ac:dyDescent="0.2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</row>
    <row r="502" spans="1:34" ht="15.75" customHeight="1" x14ac:dyDescent="0.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</row>
    <row r="503" spans="1:34" ht="15.75" customHeight="1" x14ac:dyDescent="0.2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</row>
    <row r="504" spans="1:34" ht="15.75" customHeight="1" x14ac:dyDescent="0.2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</row>
    <row r="505" spans="1:34" ht="15.75" customHeight="1" x14ac:dyDescent="0.2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</row>
    <row r="506" spans="1:34" ht="15.75" customHeight="1" x14ac:dyDescent="0.2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</row>
    <row r="507" spans="1:34" ht="15.75" customHeight="1" x14ac:dyDescent="0.2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</row>
    <row r="508" spans="1:34" ht="15.75" customHeight="1" x14ac:dyDescent="0.2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</row>
    <row r="509" spans="1:34" ht="15.75" customHeight="1" x14ac:dyDescent="0.2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</row>
    <row r="510" spans="1:34" ht="15.75" customHeight="1" x14ac:dyDescent="0.2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</row>
    <row r="511" spans="1:34" ht="15.75" customHeight="1" x14ac:dyDescent="0.2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</row>
    <row r="512" spans="1:34" ht="15.75" customHeight="1" x14ac:dyDescent="0.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</row>
    <row r="513" spans="1:34" ht="15.75" customHeight="1" x14ac:dyDescent="0.2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</row>
    <row r="514" spans="1:34" ht="15.75" customHeight="1" x14ac:dyDescent="0.2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</row>
    <row r="515" spans="1:34" ht="15.75" customHeight="1" x14ac:dyDescent="0.2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</row>
    <row r="516" spans="1:34" ht="15.75" customHeight="1" x14ac:dyDescent="0.2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</row>
    <row r="517" spans="1:34" ht="15.75" customHeight="1" x14ac:dyDescent="0.2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</row>
    <row r="518" spans="1:34" ht="15.75" customHeight="1" x14ac:dyDescent="0.2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</row>
    <row r="519" spans="1:34" ht="15.75" customHeight="1" x14ac:dyDescent="0.2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</row>
    <row r="520" spans="1:34" ht="15.75" customHeight="1" x14ac:dyDescent="0.2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</row>
    <row r="521" spans="1:34" ht="15.75" customHeight="1" x14ac:dyDescent="0.2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</row>
    <row r="522" spans="1:34" ht="15.75" customHeight="1" x14ac:dyDescent="0.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</row>
    <row r="523" spans="1:34" ht="15.75" customHeight="1" x14ac:dyDescent="0.2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</row>
    <row r="524" spans="1:34" ht="15.75" customHeight="1" x14ac:dyDescent="0.2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</row>
    <row r="525" spans="1:34" ht="15.75" customHeight="1" x14ac:dyDescent="0.2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</row>
    <row r="526" spans="1:34" ht="15.75" customHeight="1" x14ac:dyDescent="0.2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</row>
    <row r="527" spans="1:34" ht="15.75" customHeight="1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</row>
    <row r="528" spans="1:34" ht="15.75" customHeight="1" x14ac:dyDescent="0.2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</row>
    <row r="529" spans="1:34" ht="15.75" customHeight="1" x14ac:dyDescent="0.2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</row>
    <row r="530" spans="1:34" ht="15.75" customHeight="1" x14ac:dyDescent="0.2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</row>
    <row r="531" spans="1:34" ht="15.75" customHeight="1" x14ac:dyDescent="0.2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</row>
    <row r="532" spans="1:34" ht="15.75" customHeight="1" x14ac:dyDescent="0.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</row>
    <row r="533" spans="1:34" ht="15.75" customHeight="1" x14ac:dyDescent="0.2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</row>
    <row r="534" spans="1:34" ht="15.75" customHeight="1" x14ac:dyDescent="0.2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</row>
    <row r="535" spans="1:34" ht="15.75" customHeight="1" x14ac:dyDescent="0.2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</row>
    <row r="536" spans="1:34" ht="15.75" customHeight="1" x14ac:dyDescent="0.2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</row>
    <row r="537" spans="1:34" ht="15.75" customHeight="1" x14ac:dyDescent="0.2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</row>
    <row r="538" spans="1:34" ht="15.75" customHeight="1" x14ac:dyDescent="0.2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</row>
    <row r="539" spans="1:34" ht="15.75" customHeight="1" x14ac:dyDescent="0.2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</row>
    <row r="540" spans="1:34" ht="15.75" customHeight="1" x14ac:dyDescent="0.2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</row>
    <row r="541" spans="1:34" ht="15.75" customHeight="1" x14ac:dyDescent="0.2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</row>
    <row r="542" spans="1:34" ht="15.75" customHeight="1" x14ac:dyDescent="0.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</row>
    <row r="543" spans="1:34" ht="15.75" customHeight="1" x14ac:dyDescent="0.2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</row>
    <row r="544" spans="1:34" ht="15.75" customHeight="1" x14ac:dyDescent="0.2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</row>
    <row r="545" spans="1:34" ht="15.75" customHeight="1" x14ac:dyDescent="0.2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</row>
    <row r="546" spans="1:34" ht="15.75" customHeight="1" x14ac:dyDescent="0.2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</row>
    <row r="547" spans="1:34" ht="15.75" customHeight="1" x14ac:dyDescent="0.2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</row>
    <row r="548" spans="1:34" ht="15.75" customHeight="1" x14ac:dyDescent="0.2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</row>
    <row r="549" spans="1:34" ht="15.75" customHeight="1" x14ac:dyDescent="0.2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</row>
    <row r="550" spans="1:34" ht="15.75" customHeight="1" x14ac:dyDescent="0.2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</row>
    <row r="551" spans="1:34" ht="15.75" customHeight="1" x14ac:dyDescent="0.2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</row>
    <row r="552" spans="1:34" ht="15.75" customHeight="1" x14ac:dyDescent="0.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</row>
    <row r="553" spans="1:34" ht="15.75" customHeight="1" x14ac:dyDescent="0.2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</row>
    <row r="554" spans="1:34" ht="15.75" customHeight="1" x14ac:dyDescent="0.2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</row>
    <row r="555" spans="1:34" ht="15.75" customHeight="1" x14ac:dyDescent="0.2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</row>
    <row r="556" spans="1:34" ht="15.75" customHeight="1" x14ac:dyDescent="0.2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</row>
    <row r="557" spans="1:34" ht="15.75" customHeight="1" x14ac:dyDescent="0.2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</row>
    <row r="558" spans="1:34" ht="15.75" customHeight="1" x14ac:dyDescent="0.2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</row>
    <row r="559" spans="1:34" ht="15.75" customHeight="1" x14ac:dyDescent="0.2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</row>
    <row r="560" spans="1:34" ht="15.75" customHeight="1" x14ac:dyDescent="0.2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</row>
    <row r="561" spans="1:34" ht="15.75" customHeight="1" x14ac:dyDescent="0.2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</row>
    <row r="562" spans="1:34" ht="15.75" customHeight="1" x14ac:dyDescent="0.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</row>
    <row r="563" spans="1:34" ht="15.75" customHeight="1" x14ac:dyDescent="0.2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</row>
    <row r="564" spans="1:34" ht="15.75" customHeight="1" x14ac:dyDescent="0.2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</row>
    <row r="565" spans="1:34" ht="15.75" customHeight="1" x14ac:dyDescent="0.2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</row>
    <row r="566" spans="1:34" ht="15.75" customHeight="1" x14ac:dyDescent="0.2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</row>
    <row r="567" spans="1:34" ht="15.75" customHeight="1" x14ac:dyDescent="0.2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</row>
    <row r="568" spans="1:34" ht="15.75" customHeight="1" x14ac:dyDescent="0.2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</row>
    <row r="569" spans="1:34" ht="15.75" customHeight="1" x14ac:dyDescent="0.2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</row>
    <row r="570" spans="1:34" ht="15.75" customHeight="1" x14ac:dyDescent="0.2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</row>
    <row r="571" spans="1:34" ht="15.75" customHeight="1" x14ac:dyDescent="0.2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</row>
    <row r="572" spans="1:34" ht="15.75" customHeight="1" x14ac:dyDescent="0.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</row>
    <row r="573" spans="1:34" ht="15.75" customHeight="1" x14ac:dyDescent="0.2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</row>
    <row r="574" spans="1:34" ht="15.75" customHeight="1" x14ac:dyDescent="0.2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</row>
    <row r="575" spans="1:34" ht="15.75" customHeight="1" x14ac:dyDescent="0.2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</row>
    <row r="576" spans="1:34" ht="15.75" customHeight="1" x14ac:dyDescent="0.2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</row>
    <row r="577" spans="1:34" ht="15.75" customHeight="1" x14ac:dyDescent="0.2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</row>
    <row r="578" spans="1:34" ht="15.75" customHeight="1" x14ac:dyDescent="0.2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</row>
    <row r="579" spans="1:34" ht="15.75" customHeight="1" x14ac:dyDescent="0.2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</row>
    <row r="580" spans="1:34" ht="15.75" customHeight="1" x14ac:dyDescent="0.2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</row>
    <row r="581" spans="1:34" ht="15.75" customHeight="1" x14ac:dyDescent="0.2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</row>
    <row r="582" spans="1:34" ht="15.75" customHeight="1" x14ac:dyDescent="0.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</row>
    <row r="583" spans="1:34" ht="15.75" customHeight="1" x14ac:dyDescent="0.2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</row>
    <row r="584" spans="1:34" ht="15.75" customHeight="1" x14ac:dyDescent="0.2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</row>
    <row r="585" spans="1:34" ht="15.75" customHeight="1" x14ac:dyDescent="0.2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</row>
    <row r="586" spans="1:34" ht="15.75" customHeight="1" x14ac:dyDescent="0.2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</row>
    <row r="587" spans="1:34" ht="15.75" customHeight="1" x14ac:dyDescent="0.2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</row>
    <row r="588" spans="1:34" ht="15.75" customHeight="1" x14ac:dyDescent="0.2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</row>
    <row r="589" spans="1:34" ht="15.75" customHeight="1" x14ac:dyDescent="0.2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</row>
    <row r="590" spans="1:34" ht="15.75" customHeight="1" x14ac:dyDescent="0.2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</row>
    <row r="591" spans="1:34" ht="15.75" customHeight="1" x14ac:dyDescent="0.2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</row>
    <row r="592" spans="1:34" ht="15.75" customHeight="1" x14ac:dyDescent="0.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</row>
    <row r="593" spans="1:34" ht="15.75" customHeight="1" x14ac:dyDescent="0.2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</row>
    <row r="594" spans="1:34" ht="15.75" customHeight="1" x14ac:dyDescent="0.2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</row>
    <row r="595" spans="1:34" ht="15.75" customHeight="1" x14ac:dyDescent="0.2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</row>
    <row r="596" spans="1:34" ht="15.75" customHeight="1" x14ac:dyDescent="0.2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</row>
    <row r="597" spans="1:34" ht="15.75" customHeight="1" x14ac:dyDescent="0.2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</row>
    <row r="598" spans="1:34" ht="15.75" customHeight="1" x14ac:dyDescent="0.2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</row>
    <row r="599" spans="1:34" ht="15.75" customHeight="1" x14ac:dyDescent="0.2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</row>
    <row r="600" spans="1:34" ht="15.75" customHeight="1" x14ac:dyDescent="0.2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</row>
    <row r="601" spans="1:34" ht="15.75" customHeight="1" x14ac:dyDescent="0.2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</row>
    <row r="602" spans="1:34" ht="15.75" customHeight="1" x14ac:dyDescent="0.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</row>
    <row r="603" spans="1:34" ht="15.75" customHeight="1" x14ac:dyDescent="0.2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</row>
    <row r="604" spans="1:34" ht="15.75" customHeight="1" x14ac:dyDescent="0.2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</row>
    <row r="605" spans="1:34" ht="15.75" customHeight="1" x14ac:dyDescent="0.2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</row>
    <row r="606" spans="1:34" ht="15.75" customHeight="1" x14ac:dyDescent="0.2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</row>
    <row r="607" spans="1:34" ht="15.75" customHeight="1" x14ac:dyDescent="0.2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</row>
    <row r="608" spans="1:34" ht="15.75" customHeight="1" x14ac:dyDescent="0.2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</row>
    <row r="609" spans="1:34" ht="15.75" customHeight="1" x14ac:dyDescent="0.2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</row>
    <row r="610" spans="1:34" ht="15.75" customHeight="1" x14ac:dyDescent="0.2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</row>
    <row r="611" spans="1:34" ht="15.75" customHeight="1" x14ac:dyDescent="0.2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</row>
    <row r="612" spans="1:34" ht="15.75" customHeight="1" x14ac:dyDescent="0.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</row>
    <row r="613" spans="1:34" ht="15.75" customHeight="1" x14ac:dyDescent="0.2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</row>
    <row r="614" spans="1:34" ht="15.75" customHeight="1" x14ac:dyDescent="0.2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</row>
    <row r="615" spans="1:34" ht="15.75" customHeight="1" x14ac:dyDescent="0.2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</row>
    <row r="616" spans="1:34" ht="15.75" customHeight="1" x14ac:dyDescent="0.2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</row>
    <row r="617" spans="1:34" ht="15.75" customHeight="1" x14ac:dyDescent="0.2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</row>
    <row r="618" spans="1:34" ht="15.75" customHeight="1" x14ac:dyDescent="0.2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</row>
    <row r="619" spans="1:34" ht="15.75" customHeight="1" x14ac:dyDescent="0.2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</row>
    <row r="620" spans="1:34" ht="15.75" customHeight="1" x14ac:dyDescent="0.2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</row>
    <row r="621" spans="1:34" ht="15.75" customHeight="1" x14ac:dyDescent="0.2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</row>
    <row r="622" spans="1:34" ht="15.75" customHeight="1" x14ac:dyDescent="0.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</row>
    <row r="623" spans="1:34" ht="15.75" customHeight="1" x14ac:dyDescent="0.2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</row>
    <row r="624" spans="1:34" ht="15.75" customHeight="1" x14ac:dyDescent="0.2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</row>
    <row r="625" spans="1:34" ht="15.75" customHeight="1" x14ac:dyDescent="0.2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</row>
    <row r="626" spans="1:34" ht="15.75" customHeight="1" x14ac:dyDescent="0.2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</row>
    <row r="627" spans="1:34" ht="15.75" customHeight="1" x14ac:dyDescent="0.2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</row>
    <row r="628" spans="1:34" ht="15.75" customHeight="1" x14ac:dyDescent="0.2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</row>
    <row r="629" spans="1:34" ht="15.75" customHeight="1" x14ac:dyDescent="0.2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</row>
    <row r="630" spans="1:34" ht="15.75" customHeight="1" x14ac:dyDescent="0.2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</row>
    <row r="631" spans="1:34" ht="15.75" customHeight="1" x14ac:dyDescent="0.2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</row>
    <row r="632" spans="1:34" ht="15.75" customHeight="1" x14ac:dyDescent="0.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</row>
    <row r="633" spans="1:34" ht="15.75" customHeight="1" x14ac:dyDescent="0.2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</row>
    <row r="634" spans="1:34" ht="15.75" customHeight="1" x14ac:dyDescent="0.2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</row>
    <row r="635" spans="1:34" ht="15.75" customHeight="1" x14ac:dyDescent="0.2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</row>
    <row r="636" spans="1:34" ht="15.75" customHeight="1" x14ac:dyDescent="0.2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</row>
    <row r="637" spans="1:34" ht="15.75" customHeight="1" x14ac:dyDescent="0.2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</row>
    <row r="638" spans="1:34" ht="15.75" customHeight="1" x14ac:dyDescent="0.2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</row>
    <row r="639" spans="1:34" ht="15.75" customHeight="1" x14ac:dyDescent="0.2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</row>
    <row r="640" spans="1:34" ht="15.75" customHeight="1" x14ac:dyDescent="0.2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</row>
    <row r="641" spans="1:34" ht="15.75" customHeight="1" x14ac:dyDescent="0.2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</row>
    <row r="642" spans="1:34" ht="15.75" customHeight="1" x14ac:dyDescent="0.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</row>
    <row r="643" spans="1:34" ht="15.75" customHeight="1" x14ac:dyDescent="0.2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</row>
    <row r="644" spans="1:34" ht="15.75" customHeight="1" x14ac:dyDescent="0.2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</row>
    <row r="645" spans="1:34" ht="15.75" customHeight="1" x14ac:dyDescent="0.2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</row>
    <row r="646" spans="1:34" ht="15.75" customHeight="1" x14ac:dyDescent="0.2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</row>
    <row r="647" spans="1:34" ht="15.75" customHeight="1" x14ac:dyDescent="0.2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</row>
    <row r="648" spans="1:34" ht="15.75" customHeight="1" x14ac:dyDescent="0.2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</row>
    <row r="649" spans="1:34" ht="15.75" customHeight="1" x14ac:dyDescent="0.2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</row>
    <row r="650" spans="1:34" ht="15.75" customHeight="1" x14ac:dyDescent="0.2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</row>
    <row r="651" spans="1:34" ht="15.75" customHeight="1" x14ac:dyDescent="0.2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</row>
    <row r="652" spans="1:34" ht="15.75" customHeight="1" x14ac:dyDescent="0.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</row>
    <row r="653" spans="1:34" ht="15.75" customHeight="1" x14ac:dyDescent="0.2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</row>
    <row r="654" spans="1:34" ht="15.75" customHeight="1" x14ac:dyDescent="0.2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</row>
    <row r="655" spans="1:34" ht="15.75" customHeight="1" x14ac:dyDescent="0.2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</row>
    <row r="656" spans="1:34" ht="15.75" customHeight="1" x14ac:dyDescent="0.2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</row>
    <row r="657" spans="1:34" ht="15.75" customHeight="1" x14ac:dyDescent="0.2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</row>
    <row r="658" spans="1:34" ht="15.75" customHeight="1" x14ac:dyDescent="0.2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</row>
    <row r="659" spans="1:34" ht="15.75" customHeight="1" x14ac:dyDescent="0.2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</row>
    <row r="660" spans="1:34" ht="15.75" customHeight="1" x14ac:dyDescent="0.2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</row>
    <row r="661" spans="1:34" ht="15.75" customHeight="1" x14ac:dyDescent="0.2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</row>
    <row r="662" spans="1:34" ht="15.75" customHeight="1" x14ac:dyDescent="0.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</row>
    <row r="663" spans="1:34" ht="15.75" customHeight="1" x14ac:dyDescent="0.2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</row>
    <row r="664" spans="1:34" ht="15.75" customHeight="1" x14ac:dyDescent="0.2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</row>
    <row r="665" spans="1:34" ht="15.75" customHeight="1" x14ac:dyDescent="0.2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</row>
    <row r="666" spans="1:34" ht="15.75" customHeight="1" x14ac:dyDescent="0.2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</row>
    <row r="667" spans="1:34" ht="15.75" customHeight="1" x14ac:dyDescent="0.2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</row>
    <row r="668" spans="1:34" ht="15.75" customHeight="1" x14ac:dyDescent="0.2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</row>
    <row r="669" spans="1:34" ht="15.75" customHeight="1" x14ac:dyDescent="0.2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</row>
    <row r="670" spans="1:34" ht="15.75" customHeight="1" x14ac:dyDescent="0.2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</row>
    <row r="671" spans="1:34" ht="15.75" customHeight="1" x14ac:dyDescent="0.2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</row>
    <row r="672" spans="1:34" ht="15.75" customHeight="1" x14ac:dyDescent="0.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</row>
    <row r="673" spans="1:34" ht="15.75" customHeight="1" x14ac:dyDescent="0.2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</row>
    <row r="674" spans="1:34" ht="15.75" customHeight="1" x14ac:dyDescent="0.2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</row>
    <row r="675" spans="1:34" ht="15.75" customHeight="1" x14ac:dyDescent="0.2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</row>
    <row r="676" spans="1:34" ht="15.75" customHeight="1" x14ac:dyDescent="0.2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</row>
    <row r="677" spans="1:34" ht="15.75" customHeight="1" x14ac:dyDescent="0.2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</row>
    <row r="678" spans="1:34" ht="15.75" customHeight="1" x14ac:dyDescent="0.2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</row>
    <row r="679" spans="1:34" ht="15.75" customHeight="1" x14ac:dyDescent="0.2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</row>
    <row r="680" spans="1:34" ht="15.75" customHeight="1" x14ac:dyDescent="0.2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</row>
    <row r="681" spans="1:34" ht="15.75" customHeight="1" x14ac:dyDescent="0.2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</row>
    <row r="682" spans="1:34" ht="15.75" customHeight="1" x14ac:dyDescent="0.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</row>
    <row r="683" spans="1:34" ht="15.75" customHeight="1" x14ac:dyDescent="0.2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</row>
    <row r="684" spans="1:34" ht="15.75" customHeight="1" x14ac:dyDescent="0.2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</row>
    <row r="685" spans="1:34" ht="15.75" customHeight="1" x14ac:dyDescent="0.2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</row>
    <row r="686" spans="1:34" ht="15.75" customHeight="1" x14ac:dyDescent="0.2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</row>
    <row r="687" spans="1:34" ht="15.75" customHeight="1" x14ac:dyDescent="0.2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</row>
    <row r="688" spans="1:34" ht="15.75" customHeight="1" x14ac:dyDescent="0.2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</row>
    <row r="689" spans="1:34" ht="15.75" customHeight="1" x14ac:dyDescent="0.2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</row>
    <row r="690" spans="1:34" ht="15.75" customHeight="1" x14ac:dyDescent="0.2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</row>
    <row r="691" spans="1:34" ht="15.75" customHeight="1" x14ac:dyDescent="0.2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</row>
    <row r="692" spans="1:34" ht="15.75" customHeight="1" x14ac:dyDescent="0.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</row>
    <row r="693" spans="1:34" ht="15.75" customHeight="1" x14ac:dyDescent="0.2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</row>
    <row r="694" spans="1:34" ht="15.75" customHeight="1" x14ac:dyDescent="0.2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</row>
    <row r="695" spans="1:34" ht="15.75" customHeight="1" x14ac:dyDescent="0.2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</row>
    <row r="696" spans="1:34" ht="15.75" customHeight="1" x14ac:dyDescent="0.2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</row>
    <row r="697" spans="1:34" ht="15.75" customHeight="1" x14ac:dyDescent="0.2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</row>
    <row r="698" spans="1:34" ht="15.75" customHeight="1" x14ac:dyDescent="0.2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</row>
    <row r="699" spans="1:34" ht="15.75" customHeight="1" x14ac:dyDescent="0.2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</row>
    <row r="700" spans="1:34" ht="15.75" customHeight="1" x14ac:dyDescent="0.2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</row>
    <row r="701" spans="1:34" ht="15.75" customHeight="1" x14ac:dyDescent="0.2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</row>
    <row r="702" spans="1:34" ht="15.75" customHeight="1" x14ac:dyDescent="0.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</row>
    <row r="703" spans="1:34" ht="15.75" customHeight="1" x14ac:dyDescent="0.2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</row>
    <row r="704" spans="1:34" ht="15.75" customHeight="1" x14ac:dyDescent="0.2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</row>
    <row r="705" spans="1:34" ht="15.75" customHeight="1" x14ac:dyDescent="0.2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</row>
    <row r="706" spans="1:34" ht="15.75" customHeight="1" x14ac:dyDescent="0.2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</row>
    <row r="707" spans="1:34" ht="15.75" customHeight="1" x14ac:dyDescent="0.2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</row>
    <row r="708" spans="1:34" ht="15.75" customHeight="1" x14ac:dyDescent="0.2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</row>
    <row r="709" spans="1:34" ht="15.75" customHeight="1" x14ac:dyDescent="0.2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</row>
    <row r="710" spans="1:34" ht="15.75" customHeight="1" x14ac:dyDescent="0.2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</row>
    <row r="711" spans="1:34" ht="15.75" customHeight="1" x14ac:dyDescent="0.2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</row>
    <row r="712" spans="1:34" ht="15.75" customHeight="1" x14ac:dyDescent="0.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</row>
    <row r="713" spans="1:34" ht="15.75" customHeight="1" x14ac:dyDescent="0.2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</row>
    <row r="714" spans="1:34" ht="15.75" customHeight="1" x14ac:dyDescent="0.2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</row>
    <row r="715" spans="1:34" ht="15.75" customHeight="1" x14ac:dyDescent="0.2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</row>
    <row r="716" spans="1:34" ht="15.75" customHeight="1" x14ac:dyDescent="0.2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</row>
    <row r="717" spans="1:34" ht="15.75" customHeight="1" x14ac:dyDescent="0.2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</row>
    <row r="718" spans="1:34" ht="15.75" customHeight="1" x14ac:dyDescent="0.2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</row>
    <row r="719" spans="1:34" ht="15.75" customHeight="1" x14ac:dyDescent="0.2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</row>
    <row r="720" spans="1:34" ht="15.75" customHeight="1" x14ac:dyDescent="0.2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</row>
    <row r="721" spans="1:34" ht="15.75" customHeight="1" x14ac:dyDescent="0.2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</row>
    <row r="722" spans="1:34" ht="15.75" customHeight="1" x14ac:dyDescent="0.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</row>
    <row r="723" spans="1:34" ht="15.75" customHeight="1" x14ac:dyDescent="0.2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</row>
    <row r="724" spans="1:34" ht="15.75" customHeight="1" x14ac:dyDescent="0.2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</row>
    <row r="725" spans="1:34" ht="15.75" customHeight="1" x14ac:dyDescent="0.2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</row>
    <row r="726" spans="1:34" ht="15.75" customHeight="1" x14ac:dyDescent="0.2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</row>
    <row r="727" spans="1:34" ht="15.75" customHeight="1" x14ac:dyDescent="0.2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</row>
    <row r="728" spans="1:34" ht="15.75" customHeight="1" x14ac:dyDescent="0.2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</row>
    <row r="729" spans="1:34" ht="15.75" customHeight="1" x14ac:dyDescent="0.2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</row>
    <row r="730" spans="1:34" ht="15.75" customHeight="1" x14ac:dyDescent="0.2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</row>
    <row r="731" spans="1:34" ht="15.75" customHeight="1" x14ac:dyDescent="0.2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</row>
    <row r="732" spans="1:34" ht="15.75" customHeight="1" x14ac:dyDescent="0.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</row>
    <row r="733" spans="1:34" ht="15.75" customHeight="1" x14ac:dyDescent="0.2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</row>
    <row r="734" spans="1:34" ht="15.75" customHeight="1" x14ac:dyDescent="0.2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</row>
    <row r="735" spans="1:34" ht="15.75" customHeight="1" x14ac:dyDescent="0.2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</row>
    <row r="736" spans="1:34" ht="15.75" customHeight="1" x14ac:dyDescent="0.2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</row>
    <row r="737" spans="1:34" ht="15.75" customHeight="1" x14ac:dyDescent="0.2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</row>
    <row r="738" spans="1:34" ht="15.75" customHeight="1" x14ac:dyDescent="0.2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</row>
    <row r="739" spans="1:34" ht="15.75" customHeight="1" x14ac:dyDescent="0.2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</row>
    <row r="740" spans="1:34" ht="15.75" customHeight="1" x14ac:dyDescent="0.2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</row>
    <row r="741" spans="1:34" ht="15.75" customHeight="1" x14ac:dyDescent="0.2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</row>
    <row r="742" spans="1:34" ht="15.75" customHeight="1" x14ac:dyDescent="0.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</row>
    <row r="743" spans="1:34" ht="15.75" customHeight="1" x14ac:dyDescent="0.2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</row>
    <row r="744" spans="1:34" ht="15.75" customHeight="1" x14ac:dyDescent="0.2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</row>
    <row r="745" spans="1:34" ht="15.75" customHeight="1" x14ac:dyDescent="0.2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</row>
    <row r="746" spans="1:34" ht="15.75" customHeight="1" x14ac:dyDescent="0.2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</row>
    <row r="747" spans="1:34" ht="15.75" customHeight="1" x14ac:dyDescent="0.2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</row>
    <row r="748" spans="1:34" ht="15.75" customHeight="1" x14ac:dyDescent="0.2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</row>
    <row r="749" spans="1:34" ht="15.75" customHeight="1" x14ac:dyDescent="0.2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</row>
    <row r="750" spans="1:34" ht="15.75" customHeight="1" x14ac:dyDescent="0.2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</row>
    <row r="751" spans="1:34" ht="15.75" customHeight="1" x14ac:dyDescent="0.2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</row>
    <row r="752" spans="1:34" ht="15.75" customHeight="1" x14ac:dyDescent="0.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</row>
    <row r="753" spans="1:34" ht="15.75" customHeight="1" x14ac:dyDescent="0.2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</row>
    <row r="754" spans="1:34" ht="15.75" customHeight="1" x14ac:dyDescent="0.2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</row>
    <row r="755" spans="1:34" ht="15.75" customHeight="1" x14ac:dyDescent="0.2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</row>
    <row r="756" spans="1:34" ht="15.75" customHeight="1" x14ac:dyDescent="0.2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</row>
    <row r="757" spans="1:34" ht="15.75" customHeight="1" x14ac:dyDescent="0.2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</row>
    <row r="758" spans="1:34" ht="15.75" customHeight="1" x14ac:dyDescent="0.2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</row>
    <row r="759" spans="1:34" ht="15.75" customHeight="1" x14ac:dyDescent="0.2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</row>
    <row r="760" spans="1:34" ht="15.75" customHeight="1" x14ac:dyDescent="0.2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</row>
    <row r="761" spans="1:34" ht="15.75" customHeight="1" x14ac:dyDescent="0.2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</row>
    <row r="762" spans="1:34" ht="15.75" customHeight="1" x14ac:dyDescent="0.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</row>
    <row r="763" spans="1:34" ht="15.75" customHeight="1" x14ac:dyDescent="0.2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</row>
    <row r="764" spans="1:34" ht="15.75" customHeight="1" x14ac:dyDescent="0.2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</row>
    <row r="765" spans="1:34" ht="15.75" customHeight="1" x14ac:dyDescent="0.2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</row>
    <row r="766" spans="1:34" ht="15.75" customHeight="1" x14ac:dyDescent="0.2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</row>
    <row r="767" spans="1:34" ht="15.75" customHeight="1" x14ac:dyDescent="0.2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</row>
    <row r="768" spans="1:34" ht="15.75" customHeight="1" x14ac:dyDescent="0.2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</row>
    <row r="769" spans="1:34" ht="15.75" customHeight="1" x14ac:dyDescent="0.2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</row>
    <row r="770" spans="1:34" ht="15.75" customHeight="1" x14ac:dyDescent="0.2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</row>
    <row r="771" spans="1:34" ht="15.75" customHeight="1" x14ac:dyDescent="0.2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</row>
    <row r="772" spans="1:34" ht="15.75" customHeight="1" x14ac:dyDescent="0.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</row>
    <row r="773" spans="1:34" ht="15.75" customHeight="1" x14ac:dyDescent="0.2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</row>
    <row r="774" spans="1:34" ht="15.75" customHeight="1" x14ac:dyDescent="0.2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</row>
    <row r="775" spans="1:34" ht="15.75" customHeight="1" x14ac:dyDescent="0.2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</row>
    <row r="776" spans="1:34" ht="15.75" customHeight="1" x14ac:dyDescent="0.2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</row>
    <row r="777" spans="1:34" ht="15.75" customHeight="1" x14ac:dyDescent="0.2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</row>
    <row r="778" spans="1:34" ht="15.75" customHeight="1" x14ac:dyDescent="0.2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</row>
    <row r="779" spans="1:34" ht="15.75" customHeight="1" x14ac:dyDescent="0.2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</row>
    <row r="780" spans="1:34" ht="15.75" customHeight="1" x14ac:dyDescent="0.2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</row>
    <row r="781" spans="1:34" ht="15.75" customHeight="1" x14ac:dyDescent="0.2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</row>
    <row r="782" spans="1:34" ht="15.75" customHeight="1" x14ac:dyDescent="0.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</row>
    <row r="783" spans="1:34" ht="15.75" customHeight="1" x14ac:dyDescent="0.2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</row>
    <row r="784" spans="1:34" ht="15.75" customHeight="1" x14ac:dyDescent="0.2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</row>
    <row r="785" spans="1:34" ht="15.75" customHeight="1" x14ac:dyDescent="0.2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</row>
    <row r="786" spans="1:34" ht="15.75" customHeight="1" x14ac:dyDescent="0.2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</row>
    <row r="787" spans="1:34" ht="15.75" customHeight="1" x14ac:dyDescent="0.2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</row>
    <row r="788" spans="1:34" ht="15.75" customHeight="1" x14ac:dyDescent="0.2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</row>
    <row r="789" spans="1:34" ht="15.75" customHeight="1" x14ac:dyDescent="0.2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</row>
    <row r="790" spans="1:34" ht="15.75" customHeight="1" x14ac:dyDescent="0.2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</row>
    <row r="791" spans="1:34" ht="15.75" customHeight="1" x14ac:dyDescent="0.2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</row>
    <row r="792" spans="1:34" ht="15.75" customHeight="1" x14ac:dyDescent="0.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</row>
    <row r="793" spans="1:34" ht="15.75" customHeight="1" x14ac:dyDescent="0.2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</row>
    <row r="794" spans="1:34" ht="15.75" customHeight="1" x14ac:dyDescent="0.2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</row>
    <row r="795" spans="1:34" ht="15.75" customHeight="1" x14ac:dyDescent="0.2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</row>
    <row r="796" spans="1:34" ht="15.75" customHeight="1" x14ac:dyDescent="0.2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</row>
    <row r="797" spans="1:34" ht="15.75" customHeight="1" x14ac:dyDescent="0.2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</row>
    <row r="798" spans="1:34" ht="15.75" customHeight="1" x14ac:dyDescent="0.2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</row>
    <row r="799" spans="1:34" ht="15.75" customHeight="1" x14ac:dyDescent="0.2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</row>
    <row r="800" spans="1:34" ht="15.75" customHeight="1" x14ac:dyDescent="0.2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</row>
    <row r="801" spans="1:34" ht="15.75" customHeight="1" x14ac:dyDescent="0.2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</row>
    <row r="802" spans="1:34" ht="15.75" customHeight="1" x14ac:dyDescent="0.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</row>
    <row r="803" spans="1:34" ht="15.75" customHeight="1" x14ac:dyDescent="0.2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</row>
    <row r="804" spans="1:34" ht="15.75" customHeight="1" x14ac:dyDescent="0.2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</row>
    <row r="805" spans="1:34" ht="15.75" customHeight="1" x14ac:dyDescent="0.2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</row>
    <row r="806" spans="1:34" ht="15.75" customHeight="1" x14ac:dyDescent="0.2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</row>
    <row r="807" spans="1:34" ht="15.75" customHeight="1" x14ac:dyDescent="0.2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</row>
    <row r="808" spans="1:34" ht="15.75" customHeight="1" x14ac:dyDescent="0.2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</row>
    <row r="809" spans="1:34" ht="15.75" customHeight="1" x14ac:dyDescent="0.2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</row>
    <row r="810" spans="1:34" ht="15.75" customHeight="1" x14ac:dyDescent="0.2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</row>
    <row r="811" spans="1:34" ht="15.75" customHeight="1" x14ac:dyDescent="0.2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</row>
    <row r="812" spans="1:34" ht="15.75" customHeight="1" x14ac:dyDescent="0.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</row>
    <row r="813" spans="1:34" ht="15.75" customHeight="1" x14ac:dyDescent="0.2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</row>
    <row r="814" spans="1:34" ht="15.75" customHeight="1" x14ac:dyDescent="0.2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</row>
    <row r="815" spans="1:34" ht="15.75" customHeight="1" x14ac:dyDescent="0.2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</row>
    <row r="816" spans="1:34" ht="15.75" customHeight="1" x14ac:dyDescent="0.2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</row>
    <row r="817" spans="1:34" ht="15.75" customHeight="1" x14ac:dyDescent="0.2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</row>
    <row r="818" spans="1:34" ht="15.75" customHeight="1" x14ac:dyDescent="0.2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</row>
    <row r="819" spans="1:34" ht="15.75" customHeight="1" x14ac:dyDescent="0.2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</row>
    <row r="820" spans="1:34" ht="15.75" customHeight="1" x14ac:dyDescent="0.2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</row>
    <row r="821" spans="1:34" ht="15.75" customHeight="1" x14ac:dyDescent="0.2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</row>
    <row r="822" spans="1:34" ht="15.75" customHeight="1" x14ac:dyDescent="0.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</row>
    <row r="823" spans="1:34" ht="15.75" customHeight="1" x14ac:dyDescent="0.2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</row>
    <row r="824" spans="1:34" ht="15.75" customHeight="1" x14ac:dyDescent="0.2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</row>
    <row r="825" spans="1:34" ht="15.75" customHeight="1" x14ac:dyDescent="0.2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</row>
    <row r="826" spans="1:34" ht="15.75" customHeight="1" x14ac:dyDescent="0.2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</row>
    <row r="827" spans="1:34" ht="15.75" customHeight="1" x14ac:dyDescent="0.2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</row>
    <row r="828" spans="1:34" ht="15.75" customHeight="1" x14ac:dyDescent="0.2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</row>
    <row r="829" spans="1:34" ht="15.75" customHeight="1" x14ac:dyDescent="0.2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</row>
    <row r="830" spans="1:34" ht="15.75" customHeight="1" x14ac:dyDescent="0.2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</row>
    <row r="831" spans="1:34" ht="15.75" customHeight="1" x14ac:dyDescent="0.2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</row>
    <row r="832" spans="1:34" ht="15.75" customHeight="1" x14ac:dyDescent="0.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</row>
    <row r="833" spans="1:34" ht="15.75" customHeight="1" x14ac:dyDescent="0.2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</row>
    <row r="834" spans="1:34" ht="15.75" customHeight="1" x14ac:dyDescent="0.2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</row>
    <row r="835" spans="1:34" ht="15.75" customHeight="1" x14ac:dyDescent="0.2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</row>
    <row r="836" spans="1:34" ht="15.75" customHeight="1" x14ac:dyDescent="0.2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</row>
    <row r="837" spans="1:34" ht="15.75" customHeight="1" x14ac:dyDescent="0.2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</row>
    <row r="838" spans="1:34" ht="15.75" customHeight="1" x14ac:dyDescent="0.2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</row>
    <row r="839" spans="1:34" ht="15.75" customHeight="1" x14ac:dyDescent="0.2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</row>
    <row r="840" spans="1:34" ht="15.75" customHeight="1" x14ac:dyDescent="0.2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</row>
    <row r="841" spans="1:34" ht="15.75" customHeight="1" x14ac:dyDescent="0.2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</row>
    <row r="842" spans="1:34" ht="15.75" customHeight="1" x14ac:dyDescent="0.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</row>
    <row r="843" spans="1:34" ht="15.75" customHeight="1" x14ac:dyDescent="0.2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</row>
    <row r="844" spans="1:34" ht="15.75" customHeight="1" x14ac:dyDescent="0.2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</row>
    <row r="845" spans="1:34" ht="15.75" customHeight="1" x14ac:dyDescent="0.2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</row>
    <row r="846" spans="1:34" ht="15.75" customHeight="1" x14ac:dyDescent="0.2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</row>
    <row r="847" spans="1:34" ht="15.75" customHeight="1" x14ac:dyDescent="0.2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</row>
    <row r="848" spans="1:34" ht="15.75" customHeight="1" x14ac:dyDescent="0.2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</row>
    <row r="849" spans="1:34" ht="15.75" customHeight="1" x14ac:dyDescent="0.2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</row>
    <row r="850" spans="1:34" ht="15.75" customHeight="1" x14ac:dyDescent="0.2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</row>
    <row r="851" spans="1:34" ht="15.75" customHeight="1" x14ac:dyDescent="0.2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</row>
    <row r="852" spans="1:34" ht="15.75" customHeight="1" x14ac:dyDescent="0.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</row>
    <row r="853" spans="1:34" ht="15.75" customHeight="1" x14ac:dyDescent="0.2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</row>
    <row r="854" spans="1:34" ht="15.75" customHeight="1" x14ac:dyDescent="0.2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</row>
    <row r="855" spans="1:34" ht="15.75" customHeight="1" x14ac:dyDescent="0.2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</row>
    <row r="856" spans="1:34" ht="15.75" customHeight="1" x14ac:dyDescent="0.2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</row>
    <row r="857" spans="1:34" ht="15.75" customHeight="1" x14ac:dyDescent="0.2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</row>
    <row r="858" spans="1:34" ht="15.75" customHeight="1" x14ac:dyDescent="0.2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</row>
    <row r="859" spans="1:34" ht="15.75" customHeight="1" x14ac:dyDescent="0.2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</row>
    <row r="860" spans="1:34" ht="15.75" customHeight="1" x14ac:dyDescent="0.2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</row>
    <row r="861" spans="1:34" ht="15.75" customHeight="1" x14ac:dyDescent="0.2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</row>
    <row r="862" spans="1:34" ht="15.75" customHeight="1" x14ac:dyDescent="0.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</row>
    <row r="863" spans="1:34" ht="15.75" customHeight="1" x14ac:dyDescent="0.2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</row>
    <row r="864" spans="1:34" ht="15.75" customHeight="1" x14ac:dyDescent="0.2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</row>
    <row r="865" spans="1:34" ht="15.75" customHeight="1" x14ac:dyDescent="0.2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</row>
    <row r="866" spans="1:34" ht="15.75" customHeight="1" x14ac:dyDescent="0.2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</row>
    <row r="867" spans="1:34" ht="15.75" customHeight="1" x14ac:dyDescent="0.2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</row>
    <row r="868" spans="1:34" ht="15.75" customHeight="1" x14ac:dyDescent="0.2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</row>
    <row r="869" spans="1:34" ht="15.75" customHeight="1" x14ac:dyDescent="0.2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</row>
    <row r="870" spans="1:34" ht="15.75" customHeight="1" x14ac:dyDescent="0.2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</row>
    <row r="871" spans="1:34" ht="15.75" customHeight="1" x14ac:dyDescent="0.2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</row>
    <row r="872" spans="1:34" ht="15.75" customHeight="1" x14ac:dyDescent="0.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</row>
    <row r="873" spans="1:34" ht="15.75" customHeight="1" x14ac:dyDescent="0.2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</row>
    <row r="874" spans="1:34" ht="15.75" customHeight="1" x14ac:dyDescent="0.2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</row>
    <row r="875" spans="1:34" ht="15.75" customHeight="1" x14ac:dyDescent="0.2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</row>
    <row r="876" spans="1:34" ht="15.75" customHeight="1" x14ac:dyDescent="0.2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</row>
    <row r="877" spans="1:34" ht="15.75" customHeight="1" x14ac:dyDescent="0.2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</row>
    <row r="878" spans="1:34" ht="15.75" customHeight="1" x14ac:dyDescent="0.2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</row>
    <row r="879" spans="1:34" ht="15.75" customHeight="1" x14ac:dyDescent="0.2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</row>
    <row r="880" spans="1:34" ht="15.75" customHeight="1" x14ac:dyDescent="0.2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</row>
    <row r="881" spans="1:34" ht="15.75" customHeight="1" x14ac:dyDescent="0.2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</row>
    <row r="882" spans="1:34" ht="15.75" customHeight="1" x14ac:dyDescent="0.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</row>
    <row r="883" spans="1:34" ht="15.75" customHeight="1" x14ac:dyDescent="0.2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</row>
    <row r="884" spans="1:34" ht="15.75" customHeight="1" x14ac:dyDescent="0.2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</row>
    <row r="885" spans="1:34" ht="15.75" customHeight="1" x14ac:dyDescent="0.2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</row>
    <row r="886" spans="1:34" ht="15.75" customHeight="1" x14ac:dyDescent="0.2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</row>
    <row r="887" spans="1:34" ht="15.75" customHeight="1" x14ac:dyDescent="0.2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</row>
    <row r="888" spans="1:34" ht="15.75" customHeight="1" x14ac:dyDescent="0.2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</row>
    <row r="889" spans="1:34" ht="15.75" customHeight="1" x14ac:dyDescent="0.2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</row>
    <row r="890" spans="1:34" ht="15.75" customHeight="1" x14ac:dyDescent="0.2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</row>
    <row r="891" spans="1:34" ht="15.75" customHeight="1" x14ac:dyDescent="0.2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</row>
    <row r="892" spans="1:34" ht="15.75" customHeight="1" x14ac:dyDescent="0.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</row>
    <row r="893" spans="1:34" ht="15.75" customHeight="1" x14ac:dyDescent="0.2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</row>
    <row r="894" spans="1:34" ht="15.75" customHeight="1" x14ac:dyDescent="0.2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</row>
    <row r="895" spans="1:34" ht="15.75" customHeight="1" x14ac:dyDescent="0.2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</row>
    <row r="896" spans="1:34" ht="15.75" customHeight="1" x14ac:dyDescent="0.2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</row>
    <row r="897" spans="1:34" ht="15.75" customHeight="1" x14ac:dyDescent="0.2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</row>
    <row r="898" spans="1:34" ht="15.75" customHeight="1" x14ac:dyDescent="0.2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</row>
    <row r="899" spans="1:34" ht="15.75" customHeight="1" x14ac:dyDescent="0.2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</row>
    <row r="900" spans="1:34" ht="15.75" customHeight="1" x14ac:dyDescent="0.2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</row>
    <row r="901" spans="1:34" ht="15.75" customHeight="1" x14ac:dyDescent="0.2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</row>
    <row r="902" spans="1:34" ht="15.75" customHeight="1" x14ac:dyDescent="0.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</row>
    <row r="903" spans="1:34" ht="15.75" customHeight="1" x14ac:dyDescent="0.2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</row>
    <row r="904" spans="1:34" ht="15.75" customHeight="1" x14ac:dyDescent="0.2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</row>
    <row r="905" spans="1:34" ht="15.75" customHeight="1" x14ac:dyDescent="0.2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</row>
    <row r="906" spans="1:34" ht="15.75" customHeight="1" x14ac:dyDescent="0.2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</row>
    <row r="907" spans="1:34" ht="15.75" customHeight="1" x14ac:dyDescent="0.2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</row>
    <row r="908" spans="1:34" ht="15.75" customHeight="1" x14ac:dyDescent="0.2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</row>
    <row r="909" spans="1:34" ht="15.75" customHeight="1" x14ac:dyDescent="0.2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</row>
    <row r="910" spans="1:34" ht="15.75" customHeight="1" x14ac:dyDescent="0.2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</row>
    <row r="911" spans="1:34" ht="15.75" customHeight="1" x14ac:dyDescent="0.2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</row>
    <row r="912" spans="1:34" ht="15.75" customHeight="1" x14ac:dyDescent="0.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</row>
    <row r="913" spans="1:34" ht="15.75" customHeight="1" x14ac:dyDescent="0.2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</row>
    <row r="914" spans="1:34" ht="15.75" customHeight="1" x14ac:dyDescent="0.2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</row>
    <row r="915" spans="1:34" ht="15.75" customHeight="1" x14ac:dyDescent="0.2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</row>
    <row r="916" spans="1:34" ht="15.75" customHeight="1" x14ac:dyDescent="0.2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</row>
    <row r="917" spans="1:34" ht="15.75" customHeight="1" x14ac:dyDescent="0.2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</row>
    <row r="918" spans="1:34" ht="15.75" customHeight="1" x14ac:dyDescent="0.2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</row>
    <row r="919" spans="1:34" ht="15.75" customHeight="1" x14ac:dyDescent="0.2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</row>
    <row r="920" spans="1:34" ht="15.75" customHeight="1" x14ac:dyDescent="0.2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</row>
    <row r="921" spans="1:34" ht="15.75" customHeight="1" x14ac:dyDescent="0.2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</row>
    <row r="922" spans="1:34" ht="15.75" customHeight="1" x14ac:dyDescent="0.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</row>
    <row r="923" spans="1:34" ht="15.75" customHeight="1" x14ac:dyDescent="0.2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</row>
    <row r="924" spans="1:34" ht="15.75" customHeight="1" x14ac:dyDescent="0.2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</row>
    <row r="925" spans="1:34" ht="15.75" customHeight="1" x14ac:dyDescent="0.2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</row>
    <row r="926" spans="1:34" ht="15.75" customHeight="1" x14ac:dyDescent="0.2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</row>
    <row r="927" spans="1:34" ht="15.75" customHeight="1" x14ac:dyDescent="0.2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</row>
    <row r="928" spans="1:34" ht="15.75" customHeight="1" x14ac:dyDescent="0.2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</row>
    <row r="929" spans="1:34" ht="15.75" customHeight="1" x14ac:dyDescent="0.2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</row>
    <row r="930" spans="1:34" ht="15.75" customHeight="1" x14ac:dyDescent="0.2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</row>
    <row r="931" spans="1:34" ht="15.75" customHeight="1" x14ac:dyDescent="0.2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</row>
    <row r="932" spans="1:34" ht="15.75" customHeight="1" x14ac:dyDescent="0.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</row>
    <row r="933" spans="1:34" ht="15.75" customHeight="1" x14ac:dyDescent="0.2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</row>
    <row r="934" spans="1:34" ht="15.75" customHeight="1" x14ac:dyDescent="0.2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</row>
    <row r="935" spans="1:34" ht="15.75" customHeight="1" x14ac:dyDescent="0.2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</row>
    <row r="936" spans="1:34" ht="15.75" customHeight="1" x14ac:dyDescent="0.2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</row>
    <row r="937" spans="1:34" ht="15.75" customHeight="1" x14ac:dyDescent="0.2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</row>
    <row r="938" spans="1:34" ht="15.75" customHeight="1" x14ac:dyDescent="0.2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</row>
    <row r="939" spans="1:34" ht="15.75" customHeight="1" x14ac:dyDescent="0.2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</row>
    <row r="940" spans="1:34" ht="15.75" customHeight="1" x14ac:dyDescent="0.2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</row>
    <row r="941" spans="1:34" ht="15.75" customHeight="1" x14ac:dyDescent="0.2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</row>
    <row r="942" spans="1:34" ht="15.75" customHeight="1" x14ac:dyDescent="0.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</row>
    <row r="943" spans="1:34" ht="15.75" customHeight="1" x14ac:dyDescent="0.2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</row>
    <row r="944" spans="1:34" ht="15.75" customHeight="1" x14ac:dyDescent="0.2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</row>
    <row r="945" spans="1:34" ht="15.75" customHeight="1" x14ac:dyDescent="0.2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</row>
    <row r="946" spans="1:34" ht="15.75" customHeight="1" x14ac:dyDescent="0.2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</row>
    <row r="947" spans="1:34" ht="15.75" customHeight="1" x14ac:dyDescent="0.2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</row>
    <row r="948" spans="1:34" ht="15.75" customHeight="1" x14ac:dyDescent="0.2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</row>
    <row r="949" spans="1:34" ht="15.75" customHeight="1" x14ac:dyDescent="0.2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</row>
    <row r="950" spans="1:34" ht="15.75" customHeight="1" x14ac:dyDescent="0.2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</row>
    <row r="951" spans="1:34" ht="15.75" customHeight="1" x14ac:dyDescent="0.2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</row>
    <row r="952" spans="1:34" ht="15.75" customHeight="1" x14ac:dyDescent="0.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</row>
    <row r="953" spans="1:34" ht="15.75" customHeight="1" x14ac:dyDescent="0.2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</row>
    <row r="954" spans="1:34" ht="15.75" customHeight="1" x14ac:dyDescent="0.2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</row>
    <row r="955" spans="1:34" ht="15.75" customHeight="1" x14ac:dyDescent="0.2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 spans="1:34" ht="15.75" customHeight="1" x14ac:dyDescent="0.2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 spans="1:34" ht="15.75" customHeight="1" x14ac:dyDescent="0.2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 spans="1:34" ht="15.75" customHeight="1" x14ac:dyDescent="0.2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 spans="1:34" ht="15.75" customHeight="1" x14ac:dyDescent="0.2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 spans="1:34" ht="15.75" customHeight="1" x14ac:dyDescent="0.2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 spans="1:34" ht="15.75" customHeight="1" x14ac:dyDescent="0.2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 spans="1:34" ht="15.75" customHeight="1" x14ac:dyDescent="0.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 spans="1:34" ht="15.75" customHeight="1" x14ac:dyDescent="0.2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  <row r="964" spans="1:34" ht="15.75" customHeight="1" x14ac:dyDescent="0.2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</row>
    <row r="965" spans="1:34" ht="15.75" customHeight="1" x14ac:dyDescent="0.2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</row>
    <row r="966" spans="1:34" ht="15.75" customHeight="1" x14ac:dyDescent="0.2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</row>
    <row r="967" spans="1:34" ht="15.75" customHeight="1" x14ac:dyDescent="0.2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</row>
    <row r="968" spans="1:34" ht="15.75" customHeight="1" x14ac:dyDescent="0.2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</row>
    <row r="969" spans="1:34" ht="15.75" customHeight="1" x14ac:dyDescent="0.2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</row>
    <row r="970" spans="1:34" ht="15.75" customHeight="1" x14ac:dyDescent="0.2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</row>
    <row r="971" spans="1:34" ht="15.75" customHeight="1" x14ac:dyDescent="0.2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</row>
    <row r="972" spans="1:34" ht="15.75" customHeight="1" x14ac:dyDescent="0.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</row>
    <row r="973" spans="1:34" ht="15.75" customHeight="1" x14ac:dyDescent="0.2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</row>
    <row r="974" spans="1:34" ht="15.75" customHeight="1" x14ac:dyDescent="0.2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</row>
    <row r="975" spans="1:34" ht="15.75" customHeight="1" x14ac:dyDescent="0.2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</row>
    <row r="976" spans="1:34" ht="15.75" customHeight="1" x14ac:dyDescent="0.2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</row>
    <row r="977" spans="1:34" ht="15.75" customHeight="1" x14ac:dyDescent="0.2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</row>
    <row r="978" spans="1:34" ht="15.75" customHeight="1" x14ac:dyDescent="0.2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</row>
    <row r="979" spans="1:34" ht="15.75" customHeight="1" x14ac:dyDescent="0.2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</row>
    <row r="980" spans="1:34" ht="15.75" customHeight="1" x14ac:dyDescent="0.2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</row>
    <row r="981" spans="1:34" ht="15.75" customHeight="1" x14ac:dyDescent="0.2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</row>
    <row r="982" spans="1:34" ht="15.75" customHeight="1" x14ac:dyDescent="0.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</row>
    <row r="983" spans="1:34" ht="15.75" customHeight="1" x14ac:dyDescent="0.2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</row>
    <row r="984" spans="1:34" ht="15.75" customHeight="1" x14ac:dyDescent="0.2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</row>
    <row r="985" spans="1:34" ht="15.75" customHeight="1" x14ac:dyDescent="0.2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</row>
    <row r="986" spans="1:34" ht="15.75" customHeight="1" x14ac:dyDescent="0.2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</row>
    <row r="987" spans="1:34" ht="15.75" customHeight="1" x14ac:dyDescent="0.2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</row>
    <row r="988" spans="1:34" ht="15.75" customHeight="1" x14ac:dyDescent="0.2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</row>
    <row r="989" spans="1:34" ht="15.75" customHeight="1" x14ac:dyDescent="0.2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</row>
    <row r="990" spans="1:34" ht="15.75" customHeight="1" x14ac:dyDescent="0.2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</row>
    <row r="991" spans="1:34" ht="15.75" customHeight="1" x14ac:dyDescent="0.2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</row>
    <row r="992" spans="1:34" ht="15.75" customHeight="1" x14ac:dyDescent="0.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</row>
    <row r="993" spans="1:34" ht="15.75" customHeight="1" x14ac:dyDescent="0.2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</row>
    <row r="994" spans="1:34" ht="15.75" customHeight="1" x14ac:dyDescent="0.2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</row>
    <row r="995" spans="1:34" ht="15.75" customHeight="1" x14ac:dyDescent="0.2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</row>
    <row r="996" spans="1:34" ht="15.75" customHeight="1" x14ac:dyDescent="0.2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</row>
    <row r="997" spans="1:34" ht="15.75" customHeight="1" x14ac:dyDescent="0.2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</row>
    <row r="998" spans="1:34" ht="15.75" customHeight="1" x14ac:dyDescent="0.2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</row>
    <row r="999" spans="1:34" ht="15.75" customHeight="1" x14ac:dyDescent="0.2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</row>
    <row r="1000" spans="1:34" ht="15.75" customHeight="1" x14ac:dyDescent="0.2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</row>
  </sheetData>
  <mergeCells count="8">
    <mergeCell ref="S4:Y4"/>
    <mergeCell ref="K29:O29"/>
    <mergeCell ref="K33:O33"/>
    <mergeCell ref="K37:O37"/>
    <mergeCell ref="K41:O41"/>
    <mergeCell ref="K45:O45"/>
    <mergeCell ref="E4:H4"/>
    <mergeCell ref="J4:O4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1000"/>
  <sheetViews>
    <sheetView showGridLines="0" zoomScaleNormal="100" workbookViewId="0"/>
  </sheetViews>
  <sheetFormatPr baseColWidth="10" defaultColWidth="14.5" defaultRowHeight="15" x14ac:dyDescent="0.2"/>
  <cols>
    <col min="1" max="2" width="9.33203125" customWidth="1"/>
    <col min="3" max="3" width="11.5" customWidth="1"/>
    <col min="4" max="5" width="20.5" customWidth="1"/>
    <col min="6" max="8" width="9.33203125" customWidth="1"/>
    <col min="9" max="9" width="14" customWidth="1"/>
    <col min="10" max="10" width="10.6640625" customWidth="1"/>
    <col min="11" max="12" width="9.33203125" customWidth="1"/>
    <col min="13" max="14" width="10.6640625" customWidth="1"/>
    <col min="15" max="23" width="9.33203125" customWidth="1"/>
    <col min="24" max="24" width="23.6640625" customWidth="1"/>
    <col min="25" max="25" width="25.5" customWidth="1"/>
    <col min="26" max="26" width="14.6640625" customWidth="1"/>
    <col min="27" max="27" width="15.33203125" customWidth="1"/>
    <col min="28" max="28" width="16" customWidth="1"/>
    <col min="29" max="29" width="9.33203125" customWidth="1"/>
    <col min="30" max="30" width="13.5" customWidth="1"/>
    <col min="31" max="31" width="13.33203125" customWidth="1"/>
    <col min="32" max="32" width="13.5" customWidth="1"/>
    <col min="33" max="33" width="13" customWidth="1"/>
    <col min="34" max="34" width="11.6640625" customWidth="1"/>
    <col min="35" max="35" width="13" customWidth="1"/>
  </cols>
  <sheetData>
    <row r="1" spans="1:35" ht="15" customHeight="1" x14ac:dyDescent="0.2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 spans="1:35" ht="15" customHeight="1" x14ac:dyDescent="0.3">
      <c r="A2" s="4"/>
      <c r="B2" s="113" t="s">
        <v>53</v>
      </c>
      <c r="C2" s="113"/>
      <c r="D2" s="113"/>
      <c r="E2" s="113"/>
      <c r="F2" s="113"/>
      <c r="G2" s="112" t="s">
        <v>54</v>
      </c>
      <c r="H2" s="112"/>
      <c r="I2" s="112"/>
      <c r="J2" s="112" t="s">
        <v>55</v>
      </c>
      <c r="K2" s="112"/>
      <c r="L2" s="112" t="s">
        <v>56</v>
      </c>
      <c r="M2" s="112"/>
      <c r="N2" s="112" t="s">
        <v>12</v>
      </c>
      <c r="O2" s="112"/>
      <c r="P2" s="112" t="s">
        <v>18</v>
      </c>
      <c r="Q2" s="112"/>
      <c r="R2" s="112" t="s">
        <v>19</v>
      </c>
      <c r="S2" s="112"/>
      <c r="T2" s="76"/>
      <c r="U2" s="76"/>
      <c r="V2" s="76"/>
      <c r="W2" s="76"/>
      <c r="X2" s="77" t="s">
        <v>5</v>
      </c>
      <c r="Y2" s="3" t="s">
        <v>7</v>
      </c>
      <c r="Z2" s="3" t="s">
        <v>8</v>
      </c>
      <c r="AA2" s="3" t="s">
        <v>9</v>
      </c>
      <c r="AB2" s="3" t="s">
        <v>10</v>
      </c>
      <c r="AC2" s="78"/>
      <c r="AD2" s="77" t="s">
        <v>56</v>
      </c>
      <c r="AE2" s="3" t="s">
        <v>12</v>
      </c>
      <c r="AF2" s="79" t="s">
        <v>57</v>
      </c>
      <c r="AG2" s="3" t="s">
        <v>15</v>
      </c>
      <c r="AH2" s="3" t="s">
        <v>16</v>
      </c>
      <c r="AI2" s="3" t="s">
        <v>17</v>
      </c>
    </row>
    <row r="3" spans="1:35" ht="15" customHeight="1" x14ac:dyDescent="0.2">
      <c r="A3" s="4"/>
      <c r="B3" s="5" t="s">
        <v>58</v>
      </c>
      <c r="C3" s="4"/>
      <c r="D3" s="4"/>
      <c r="E3" s="4"/>
      <c r="F3" s="4"/>
      <c r="G3" s="109">
        <v>44945</v>
      </c>
      <c r="H3" s="109"/>
      <c r="I3" s="109"/>
      <c r="J3" s="110">
        <v>1147</v>
      </c>
      <c r="K3" s="110"/>
      <c r="L3" s="110">
        <v>25</v>
      </c>
      <c r="M3" s="110"/>
      <c r="N3" s="110" t="s">
        <v>59</v>
      </c>
      <c r="O3" s="110"/>
      <c r="P3" s="108">
        <f>J3/L3</f>
        <v>45.88</v>
      </c>
      <c r="Q3" s="108"/>
      <c r="R3" s="108" t="s">
        <v>59</v>
      </c>
      <c r="S3" s="108"/>
      <c r="T3" s="4"/>
      <c r="U3" s="4"/>
      <c r="V3" s="4"/>
      <c r="W3" s="4"/>
      <c r="X3" s="23" t="s">
        <v>60</v>
      </c>
      <c r="Y3" s="26">
        <v>1620</v>
      </c>
      <c r="Z3" s="80">
        <v>118.59</v>
      </c>
      <c r="AA3" s="27">
        <f>Y3*Z3</f>
        <v>192115.80000000002</v>
      </c>
      <c r="AB3" s="27">
        <f>AA3+AH3-AI3</f>
        <v>191475.80000000002</v>
      </c>
      <c r="AC3" s="81"/>
      <c r="AD3" s="27">
        <v>22110</v>
      </c>
      <c r="AE3" s="27">
        <v>4010</v>
      </c>
      <c r="AF3" s="82">
        <v>0.25</v>
      </c>
      <c r="AG3" s="82">
        <v>208</v>
      </c>
      <c r="AH3" s="82">
        <v>2920</v>
      </c>
      <c r="AI3" s="82">
        <v>3560</v>
      </c>
    </row>
    <row r="4" spans="1:35" ht="15" customHeight="1" x14ac:dyDescent="0.2">
      <c r="A4" s="4"/>
      <c r="B4" s="5" t="s">
        <v>61</v>
      </c>
      <c r="C4" s="4"/>
      <c r="D4" s="4"/>
      <c r="E4" s="4"/>
      <c r="F4" s="4"/>
      <c r="G4" s="109">
        <v>44634</v>
      </c>
      <c r="H4" s="109"/>
      <c r="I4" s="109"/>
      <c r="J4" s="110">
        <v>139</v>
      </c>
      <c r="K4" s="110"/>
      <c r="L4" s="110">
        <v>78</v>
      </c>
      <c r="M4" s="110"/>
      <c r="N4" s="110">
        <v>9</v>
      </c>
      <c r="O4" s="110"/>
      <c r="P4" s="108">
        <f>J4/L4</f>
        <v>1.7820512820512822</v>
      </c>
      <c r="Q4" s="108"/>
      <c r="R4" s="108">
        <f>J4/N4</f>
        <v>15.444444444444445</v>
      </c>
      <c r="S4" s="108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</row>
    <row r="5" spans="1:35" ht="15" customHeight="1" x14ac:dyDescent="0.2">
      <c r="A5" s="4"/>
      <c r="B5" s="5" t="s">
        <v>62</v>
      </c>
      <c r="C5" s="4"/>
      <c r="D5" s="4"/>
      <c r="E5" s="4"/>
      <c r="F5" s="4"/>
      <c r="G5" s="111">
        <v>44604</v>
      </c>
      <c r="H5" s="111"/>
      <c r="I5" s="111"/>
      <c r="J5" s="110">
        <v>5327</v>
      </c>
      <c r="K5" s="110"/>
      <c r="L5" s="110">
        <v>1508</v>
      </c>
      <c r="M5" s="110"/>
      <c r="N5" s="110">
        <v>505</v>
      </c>
      <c r="O5" s="110"/>
      <c r="P5" s="108">
        <f>J5/L5</f>
        <v>3.5324933687002651</v>
      </c>
      <c r="Q5" s="108"/>
      <c r="R5" s="108">
        <f>J5/N5</f>
        <v>10.548514851485148</v>
      </c>
      <c r="S5" s="108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</row>
    <row r="6" spans="1:35" ht="15" customHeight="1" x14ac:dyDescent="0.2">
      <c r="A6" s="4"/>
      <c r="B6" s="5" t="s">
        <v>63</v>
      </c>
      <c r="C6" s="4"/>
      <c r="D6" s="4"/>
      <c r="E6" s="4"/>
      <c r="F6" s="4"/>
      <c r="G6" s="109">
        <v>44614</v>
      </c>
      <c r="H6" s="109"/>
      <c r="I6" s="109"/>
      <c r="J6" s="110">
        <v>572</v>
      </c>
      <c r="K6" s="110"/>
      <c r="L6" s="110">
        <v>173</v>
      </c>
      <c r="M6" s="110"/>
      <c r="N6" s="110">
        <v>38</v>
      </c>
      <c r="O6" s="110"/>
      <c r="P6" s="108">
        <f>J6/L6</f>
        <v>3.3063583815028901</v>
      </c>
      <c r="Q6" s="108"/>
      <c r="R6" s="108">
        <f>J6/N6</f>
        <v>15.052631578947368</v>
      </c>
      <c r="S6" s="108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</row>
    <row r="7" spans="1:35" ht="15" customHeight="1" x14ac:dyDescent="0.2">
      <c r="A7" s="4"/>
      <c r="B7" s="5" t="s">
        <v>64</v>
      </c>
      <c r="C7" s="4"/>
      <c r="D7" s="4"/>
      <c r="E7" s="4"/>
      <c r="F7" s="4"/>
      <c r="G7" s="109">
        <v>44131</v>
      </c>
      <c r="H7" s="109"/>
      <c r="I7" s="109"/>
      <c r="J7" s="110">
        <v>49000</v>
      </c>
      <c r="K7" s="110"/>
      <c r="L7" s="110">
        <v>3000</v>
      </c>
      <c r="M7" s="110"/>
      <c r="N7" s="110">
        <v>936.2</v>
      </c>
      <c r="O7" s="110"/>
      <c r="P7" s="108">
        <f>J7/L7</f>
        <v>16.333333333333332</v>
      </c>
      <c r="Q7" s="108"/>
      <c r="R7" s="108">
        <f>J7/N7</f>
        <v>52.339243751335182</v>
      </c>
      <c r="S7" s="108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</row>
    <row r="8" spans="1:35" ht="15" customHeight="1" x14ac:dyDescent="0.2">
      <c r="A8" s="4"/>
      <c r="B8" s="4"/>
      <c r="C8" s="4"/>
      <c r="D8" s="4"/>
      <c r="E8" s="4"/>
      <c r="F8" s="4"/>
      <c r="G8" s="106"/>
      <c r="H8" s="106"/>
      <c r="I8" s="106"/>
      <c r="J8" s="107"/>
      <c r="K8" s="107"/>
      <c r="L8" s="107"/>
      <c r="M8" s="107"/>
      <c r="N8" s="107"/>
      <c r="O8" s="107"/>
      <c r="P8" s="102"/>
      <c r="Q8" s="102"/>
      <c r="R8" s="102"/>
      <c r="S8" s="102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</row>
    <row r="9" spans="1:35" ht="15" customHeight="1" x14ac:dyDescent="0.2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103" t="s">
        <v>37</v>
      </c>
      <c r="O9" s="103"/>
      <c r="P9" s="104">
        <f>AVERAGE(P3:Q7)</f>
        <v>14.166847273117554</v>
      </c>
      <c r="Q9" s="104"/>
      <c r="R9" s="104">
        <f>AVERAGE(R3:S7)</f>
        <v>23.346208656553038</v>
      </c>
      <c r="S9" s="10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</row>
    <row r="10" spans="1:35" ht="15" customHeight="1" x14ac:dyDescent="0.2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103" t="s">
        <v>38</v>
      </c>
      <c r="O10" s="103"/>
      <c r="P10" s="105">
        <f>MEDIAN(P3:Q7)</f>
        <v>3.5324933687002651</v>
      </c>
      <c r="Q10" s="105"/>
      <c r="R10" s="105">
        <f>MEDIAN(R3:S7)</f>
        <v>15.248538011695906</v>
      </c>
      <c r="S10" s="105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</row>
    <row r="11" spans="1:35" ht="15" customHeight="1" x14ac:dyDescent="0.2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</row>
    <row r="12" spans="1:35" ht="15" customHeight="1" x14ac:dyDescent="0.2">
      <c r="A12" s="4"/>
      <c r="B12" s="83"/>
      <c r="C12" s="84"/>
      <c r="D12" s="85" t="s">
        <v>18</v>
      </c>
      <c r="E12" s="85" t="s">
        <v>19</v>
      </c>
      <c r="F12" s="4"/>
      <c r="G12" s="4"/>
      <c r="H12" s="4"/>
      <c r="I12" s="86">
        <f>AD3</f>
        <v>22110</v>
      </c>
      <c r="J12" s="99" t="s">
        <v>65</v>
      </c>
      <c r="K12" s="99"/>
      <c r="L12" s="99"/>
      <c r="M12" s="99"/>
      <c r="N12" s="99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</row>
    <row r="13" spans="1:35" ht="15" customHeight="1" x14ac:dyDescent="0.2">
      <c r="A13" s="4"/>
      <c r="B13" s="62" t="s">
        <v>66</v>
      </c>
      <c r="C13" s="4"/>
      <c r="D13" s="87">
        <f>P10</f>
        <v>3.5324933687002651</v>
      </c>
      <c r="E13" s="88">
        <f>R10</f>
        <v>15.248538011695906</v>
      </c>
      <c r="F13" s="4"/>
      <c r="G13" s="4"/>
      <c r="H13" s="4"/>
      <c r="I13" s="89"/>
      <c r="J13" s="2">
        <f>K13-0.5</f>
        <v>2.5</v>
      </c>
      <c r="K13" s="2">
        <f>L13-0.5</f>
        <v>3</v>
      </c>
      <c r="L13" s="2">
        <v>3.5</v>
      </c>
      <c r="M13" s="2">
        <f>L13+0.5</f>
        <v>4</v>
      </c>
      <c r="N13" s="42">
        <f>M13+0.5</f>
        <v>4.5</v>
      </c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</row>
    <row r="14" spans="1:35" ht="15" customHeight="1" x14ac:dyDescent="0.2">
      <c r="A14" s="4"/>
      <c r="B14" s="41" t="s">
        <v>67</v>
      </c>
      <c r="C14" s="4"/>
      <c r="D14" s="90">
        <f>D13*AD3</f>
        <v>78103.428381962862</v>
      </c>
      <c r="E14" s="91">
        <f>E13*AE3</f>
        <v>61146.637426900583</v>
      </c>
      <c r="F14" s="4"/>
      <c r="G14" s="4"/>
      <c r="H14" s="4"/>
      <c r="I14" s="43" t="s">
        <v>43</v>
      </c>
      <c r="J14" s="44">
        <f>((J13*$I$12)-$AH$3+$AI$3)/$Y$3</f>
        <v>34.51543209876543</v>
      </c>
      <c r="K14" s="44">
        <f>((K13*$I$12)-$AH$3+$AI$3)/$Y$3</f>
        <v>41.339506172839506</v>
      </c>
      <c r="L14" s="44">
        <f>((L13*$I$12)-$AH$3+$AI$3)/$Y$3</f>
        <v>48.163580246913583</v>
      </c>
      <c r="M14" s="44">
        <f>((M13*$I$12)-$AH$3+$AI$3)/$Y$3</f>
        <v>54.987654320987652</v>
      </c>
      <c r="N14" s="45">
        <f>((N13*$I$12)-$AH$3+$AI$3)/$Y$3</f>
        <v>61.811728395061728</v>
      </c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</row>
    <row r="15" spans="1:35" ht="15" customHeight="1" x14ac:dyDescent="0.2">
      <c r="A15" s="4"/>
      <c r="B15" s="41" t="s">
        <v>68</v>
      </c>
      <c r="C15" s="4"/>
      <c r="D15" s="92">
        <f>-AH3</f>
        <v>-2920</v>
      </c>
      <c r="E15" s="93">
        <f>-AH3</f>
        <v>-2920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</row>
    <row r="16" spans="1:35" ht="15" customHeight="1" x14ac:dyDescent="0.2">
      <c r="A16" s="4"/>
      <c r="B16" s="41" t="s">
        <v>17</v>
      </c>
      <c r="C16" s="4"/>
      <c r="D16" s="92">
        <f>AI3</f>
        <v>3560</v>
      </c>
      <c r="E16" s="93">
        <f>AI3</f>
        <v>3560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</row>
    <row r="17" spans="1:35" ht="15" customHeight="1" x14ac:dyDescent="0.2">
      <c r="A17" s="4"/>
      <c r="B17" s="62" t="s">
        <v>69</v>
      </c>
      <c r="C17" s="4"/>
      <c r="D17" s="94">
        <f>SUM(D14:D16)</f>
        <v>78743.428381962862</v>
      </c>
      <c r="E17" s="94">
        <f>SUM(E14:E16)</f>
        <v>61786.637426900583</v>
      </c>
      <c r="F17" s="4"/>
      <c r="G17" s="4"/>
      <c r="H17" s="4"/>
      <c r="I17" s="86">
        <f>AE3</f>
        <v>4010</v>
      </c>
      <c r="J17" s="100" t="s">
        <v>65</v>
      </c>
      <c r="K17" s="100"/>
      <c r="L17" s="100"/>
      <c r="M17" s="100"/>
      <c r="N17" s="100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</row>
    <row r="18" spans="1:35" ht="15" customHeight="1" x14ac:dyDescent="0.2">
      <c r="A18" s="4"/>
      <c r="B18" s="41" t="s">
        <v>70</v>
      </c>
      <c r="C18" s="4"/>
      <c r="D18" s="95">
        <f>Y3</f>
        <v>1620</v>
      </c>
      <c r="E18" s="96">
        <f>Y3</f>
        <v>1620</v>
      </c>
      <c r="F18" s="4"/>
      <c r="G18" s="4"/>
      <c r="H18" s="4"/>
      <c r="I18" s="89"/>
      <c r="J18" s="2">
        <f>K18-0.5</f>
        <v>14.248538011695906</v>
      </c>
      <c r="K18" s="2">
        <f>L18-0.5</f>
        <v>14.748538011695906</v>
      </c>
      <c r="L18" s="2">
        <f>E13</f>
        <v>15.248538011695906</v>
      </c>
      <c r="M18" s="2">
        <f>L18+0.5</f>
        <v>15.748538011695906</v>
      </c>
      <c r="N18" s="42">
        <f>M18+0.5</f>
        <v>16.248538011695906</v>
      </c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</row>
    <row r="19" spans="1:35" ht="15" customHeight="1" x14ac:dyDescent="0.2">
      <c r="A19" s="4"/>
      <c r="B19" s="97" t="s">
        <v>71</v>
      </c>
      <c r="C19" s="98"/>
      <c r="D19" s="94">
        <f>D17/D18</f>
        <v>48.607054556767196</v>
      </c>
      <c r="E19" s="94">
        <f>E17/E18</f>
        <v>38.13989964623493</v>
      </c>
      <c r="F19" s="4"/>
      <c r="G19" s="4"/>
      <c r="H19" s="4"/>
      <c r="I19" s="43" t="s">
        <v>43</v>
      </c>
      <c r="J19" s="44">
        <f>((J18*$I$17)-$AH$3+$AI$3)/$Y$3</f>
        <v>35.66459100425962</v>
      </c>
      <c r="K19" s="44">
        <f>((K18*$I$17)-$AH$3+$AI$3)/$Y$3</f>
        <v>36.902245325247272</v>
      </c>
      <c r="L19" s="44">
        <f>((L18*$I$17)-$AH$3+$AI$3)/$Y$3</f>
        <v>38.13989964623493</v>
      </c>
      <c r="M19" s="44">
        <f>((M18*$I$17)-$AH$3+$AI$3)/$Y$3</f>
        <v>39.377553967222582</v>
      </c>
      <c r="N19" s="45">
        <f>((N18*$I$17)-$AH$3+$AI$3)/$Y$3</f>
        <v>40.615208288210241</v>
      </c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5" customHeight="1" x14ac:dyDescent="0.2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</row>
    <row r="21" spans="1:35" ht="15" customHeight="1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</row>
    <row r="22" spans="1:35" ht="15" customHeight="1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</row>
    <row r="23" spans="1:35" ht="15" customHeight="1" x14ac:dyDescent="0.2">
      <c r="A23" s="4"/>
      <c r="B23" s="101" t="s">
        <v>72</v>
      </c>
      <c r="C23" s="101"/>
      <c r="D23" s="101"/>
      <c r="E23" s="101"/>
      <c r="F23" s="101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</row>
    <row r="24" spans="1:35" ht="15" customHeight="1" x14ac:dyDescent="0.2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</row>
    <row r="25" spans="1:35" ht="15" customHeight="1" x14ac:dyDescent="0.2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</row>
    <row r="26" spans="1:35" ht="15" customHeight="1" x14ac:dyDescent="0.2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</row>
    <row r="27" spans="1:35" ht="15" customHeight="1" x14ac:dyDescent="0.2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</row>
    <row r="28" spans="1:35" ht="15" customHeight="1" x14ac:dyDescent="0.2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</row>
    <row r="29" spans="1:35" ht="15" customHeight="1" x14ac:dyDescent="0.2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</row>
    <row r="30" spans="1:35" ht="15" customHeight="1" x14ac:dyDescent="0.2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</row>
    <row r="31" spans="1:35" ht="15" customHeight="1" x14ac:dyDescent="0.2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</row>
    <row r="32" spans="1:35" ht="15" customHeight="1" x14ac:dyDescent="0.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</row>
    <row r="33" spans="1:35" ht="15" customHeight="1" x14ac:dyDescent="0.2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</row>
    <row r="34" spans="1:35" ht="15" customHeight="1" x14ac:dyDescent="0.2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</row>
    <row r="35" spans="1:35" ht="15" customHeight="1" x14ac:dyDescent="0.2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</row>
    <row r="36" spans="1:35" ht="15" customHeight="1" x14ac:dyDescent="0.2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</row>
    <row r="37" spans="1:35" ht="15" customHeight="1" x14ac:dyDescent="0.2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</row>
    <row r="38" spans="1:35" ht="15" customHeight="1" x14ac:dyDescent="0.2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5" customHeight="1" x14ac:dyDescent="0.2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</row>
    <row r="40" spans="1:35" ht="15" customHeight="1" x14ac:dyDescent="0.2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</row>
    <row r="41" spans="1:35" ht="15" customHeight="1" x14ac:dyDescent="0.2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</row>
    <row r="42" spans="1:35" ht="15" customHeight="1" x14ac:dyDescent="0.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</row>
    <row r="43" spans="1:35" ht="15" customHeight="1" x14ac:dyDescent="0.2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</row>
    <row r="44" spans="1:35" ht="15" customHeight="1" x14ac:dyDescent="0.2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</row>
    <row r="45" spans="1:35" ht="15.75" customHeight="1" x14ac:dyDescent="0.2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</row>
    <row r="46" spans="1:35" ht="15.75" customHeight="1" x14ac:dyDescent="0.2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</row>
    <row r="47" spans="1:35" ht="15.75" customHeight="1" x14ac:dyDescent="0.2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</row>
    <row r="48" spans="1:35" ht="15.75" customHeight="1" x14ac:dyDescent="0.2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</row>
    <row r="49" spans="1:35" ht="15.75" customHeight="1" x14ac:dyDescent="0.2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</row>
    <row r="50" spans="1:35" ht="15.75" customHeight="1" x14ac:dyDescent="0.2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</row>
    <row r="51" spans="1:35" ht="15.75" customHeight="1" x14ac:dyDescent="0.2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</row>
    <row r="52" spans="1:35" ht="15.75" customHeight="1" x14ac:dyDescent="0.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</row>
    <row r="53" spans="1:35" ht="15.75" customHeight="1" x14ac:dyDescent="0.2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</row>
    <row r="54" spans="1:35" ht="15.75" customHeight="1" x14ac:dyDescent="0.2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</row>
    <row r="55" spans="1:35" ht="15.75" customHeight="1" x14ac:dyDescent="0.2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</row>
    <row r="56" spans="1:35" ht="15.75" customHeight="1" x14ac:dyDescent="0.2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</row>
    <row r="57" spans="1:35" ht="15.75" customHeight="1" x14ac:dyDescent="0.2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5.75" customHeight="1" x14ac:dyDescent="0.2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</row>
    <row r="59" spans="1:35" ht="15.75" customHeight="1" x14ac:dyDescent="0.2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</row>
    <row r="60" spans="1:35" ht="15.75" customHeight="1" x14ac:dyDescent="0.2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</row>
    <row r="61" spans="1:35" ht="15.75" customHeight="1" x14ac:dyDescent="0.2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</row>
    <row r="62" spans="1:35" ht="15.75" customHeight="1" x14ac:dyDescent="0.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</row>
    <row r="63" spans="1:35" ht="15.75" customHeight="1" x14ac:dyDescent="0.2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</row>
    <row r="64" spans="1:35" ht="15.75" customHeight="1" x14ac:dyDescent="0.2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</row>
    <row r="65" spans="1:35" ht="15.75" customHeight="1" x14ac:dyDescent="0.2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</row>
    <row r="66" spans="1:35" ht="15.75" customHeight="1" x14ac:dyDescent="0.2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</row>
    <row r="67" spans="1:35" ht="15.75" customHeight="1" x14ac:dyDescent="0.2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</row>
    <row r="68" spans="1:35" ht="15.75" customHeight="1" x14ac:dyDescent="0.2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</row>
    <row r="69" spans="1:35" ht="15.75" customHeight="1" x14ac:dyDescent="0.2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</row>
    <row r="70" spans="1:35" ht="15.75" customHeight="1" x14ac:dyDescent="0.2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</row>
    <row r="71" spans="1:35" ht="15.75" customHeight="1" x14ac:dyDescent="0.2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</row>
    <row r="72" spans="1:35" ht="15.75" customHeight="1" x14ac:dyDescent="0.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</row>
    <row r="73" spans="1:35" ht="15.75" customHeight="1" x14ac:dyDescent="0.2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</row>
    <row r="74" spans="1:35" ht="15.75" customHeight="1" x14ac:dyDescent="0.2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</row>
    <row r="75" spans="1:35" ht="15.75" customHeight="1" x14ac:dyDescent="0.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</row>
    <row r="76" spans="1:35" ht="15.75" customHeight="1" x14ac:dyDescent="0.2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5.75" customHeight="1" x14ac:dyDescent="0.2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</row>
    <row r="78" spans="1:35" ht="15.75" customHeight="1" x14ac:dyDescent="0.2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</row>
    <row r="79" spans="1:35" ht="15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</row>
    <row r="80" spans="1:35" ht="15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</row>
    <row r="81" spans="1:35" ht="15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</row>
    <row r="82" spans="1:35" ht="15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</row>
    <row r="83" spans="1:35" ht="15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</row>
    <row r="84" spans="1:35" ht="15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</row>
    <row r="85" spans="1:35" ht="15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</row>
    <row r="86" spans="1:35" ht="15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</row>
    <row r="87" spans="1:35" ht="15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</row>
    <row r="88" spans="1:35" ht="15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</row>
    <row r="89" spans="1:35" ht="15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</row>
    <row r="90" spans="1:35" ht="15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</row>
    <row r="91" spans="1:35" ht="15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</row>
    <row r="92" spans="1:35" ht="15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</row>
    <row r="93" spans="1:35" ht="15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</row>
    <row r="94" spans="1:35" ht="15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</row>
    <row r="95" spans="1:35" ht="15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5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</row>
    <row r="97" spans="1:35" ht="15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</row>
    <row r="98" spans="1:35" ht="15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</row>
    <row r="99" spans="1:35" ht="15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</row>
    <row r="100" spans="1:35" ht="15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</row>
    <row r="101" spans="1:35" ht="15.75" customHeight="1" x14ac:dyDescent="0.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</row>
    <row r="102" spans="1:35" ht="15.75" customHeight="1" x14ac:dyDescent="0.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</row>
    <row r="103" spans="1:35" ht="15.75" customHeight="1" x14ac:dyDescent="0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</row>
    <row r="104" spans="1:35" ht="15.75" customHeight="1" x14ac:dyDescent="0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</row>
    <row r="105" spans="1:35" ht="15.75" customHeight="1" x14ac:dyDescent="0.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</row>
    <row r="106" spans="1:35" ht="15.75" customHeight="1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</row>
    <row r="107" spans="1:35" ht="15.75" customHeight="1" x14ac:dyDescent="0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</row>
    <row r="108" spans="1:35" ht="15.75" customHeight="1" x14ac:dyDescent="0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</row>
    <row r="109" spans="1:35" ht="15.75" customHeight="1" x14ac:dyDescent="0.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</row>
    <row r="110" spans="1:35" ht="15.75" customHeight="1" x14ac:dyDescent="0.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</row>
    <row r="111" spans="1:35" ht="15.75" customHeight="1" x14ac:dyDescent="0.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</row>
    <row r="112" spans="1:35" ht="15.75" customHeight="1" x14ac:dyDescent="0.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</row>
    <row r="113" spans="1:35" ht="15.75" customHeight="1" x14ac:dyDescent="0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</row>
    <row r="114" spans="1:35" ht="15.75" customHeight="1" x14ac:dyDescent="0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</row>
    <row r="115" spans="1:35" ht="15.75" customHeight="1" x14ac:dyDescent="0.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</row>
    <row r="116" spans="1:35" ht="15.75" customHeight="1" x14ac:dyDescent="0.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</row>
    <row r="117" spans="1:35" ht="15.75" customHeight="1" x14ac:dyDescent="0.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</row>
    <row r="118" spans="1:35" ht="15.75" customHeight="1" x14ac:dyDescent="0.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</row>
    <row r="119" spans="1:35" ht="15.75" customHeight="1" x14ac:dyDescent="0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</row>
    <row r="120" spans="1:35" ht="15.75" customHeight="1" x14ac:dyDescent="0.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</row>
    <row r="121" spans="1:35" ht="15.75" customHeight="1" x14ac:dyDescent="0.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</row>
    <row r="122" spans="1:35" ht="15.75" customHeight="1" x14ac:dyDescent="0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</row>
    <row r="123" spans="1:35" ht="15.75" customHeight="1" x14ac:dyDescent="0.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</row>
    <row r="124" spans="1:35" ht="15.75" customHeight="1" x14ac:dyDescent="0.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</row>
    <row r="125" spans="1:35" ht="15.75" customHeight="1" x14ac:dyDescent="0.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</row>
    <row r="126" spans="1:35" ht="15.75" customHeight="1" x14ac:dyDescent="0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</row>
    <row r="127" spans="1:35" ht="15.75" customHeight="1" x14ac:dyDescent="0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</row>
    <row r="128" spans="1:35" ht="15.75" customHeight="1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</row>
    <row r="129" spans="1:35" ht="15.75" customHeight="1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</row>
    <row r="130" spans="1:35" ht="15.75" customHeight="1" x14ac:dyDescent="0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</row>
    <row r="131" spans="1:35" ht="15.75" customHeight="1" x14ac:dyDescent="0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</row>
    <row r="132" spans="1:35" ht="15.75" customHeight="1" x14ac:dyDescent="0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</row>
    <row r="133" spans="1:35" ht="15.75" customHeight="1" x14ac:dyDescent="0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</row>
    <row r="134" spans="1:35" ht="15.75" customHeight="1" x14ac:dyDescent="0.2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</row>
    <row r="135" spans="1:35" ht="15.75" customHeight="1" x14ac:dyDescent="0.2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</row>
    <row r="136" spans="1:35" ht="15.75" customHeight="1" x14ac:dyDescent="0.2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</row>
    <row r="137" spans="1:35" ht="15.75" customHeight="1" x14ac:dyDescent="0.2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</row>
    <row r="138" spans="1:35" ht="15.75" customHeight="1" x14ac:dyDescent="0.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</row>
    <row r="139" spans="1:35" ht="15.75" customHeight="1" x14ac:dyDescent="0.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</row>
    <row r="140" spans="1:35" ht="15.75" customHeight="1" x14ac:dyDescent="0.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</row>
    <row r="141" spans="1:35" ht="15.75" customHeight="1" x14ac:dyDescent="0.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</row>
    <row r="142" spans="1:35" ht="15.75" customHeight="1" x14ac:dyDescent="0.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</row>
    <row r="143" spans="1:35" ht="15.75" customHeight="1" x14ac:dyDescent="0.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</row>
    <row r="144" spans="1:35" ht="15.75" customHeight="1" x14ac:dyDescent="0.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</row>
    <row r="145" spans="1:35" ht="15.75" customHeight="1" x14ac:dyDescent="0.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</row>
    <row r="146" spans="1:35" ht="15.75" customHeight="1" x14ac:dyDescent="0.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</row>
    <row r="147" spans="1:35" ht="15.75" customHeight="1" x14ac:dyDescent="0.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</row>
    <row r="148" spans="1:35" ht="15.75" customHeight="1" x14ac:dyDescent="0.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</row>
    <row r="149" spans="1:35" ht="15.75" customHeight="1" x14ac:dyDescent="0.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</row>
    <row r="150" spans="1:35" ht="15.75" customHeight="1" x14ac:dyDescent="0.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</row>
    <row r="151" spans="1:35" ht="15.75" customHeight="1" x14ac:dyDescent="0.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</row>
    <row r="152" spans="1:35" ht="15.75" customHeight="1" x14ac:dyDescent="0.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</row>
    <row r="153" spans="1:35" ht="15.75" customHeight="1" x14ac:dyDescent="0.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</row>
    <row r="154" spans="1:35" ht="15.75" customHeight="1" x14ac:dyDescent="0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</row>
    <row r="155" spans="1:35" ht="15.75" customHeight="1" x14ac:dyDescent="0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</row>
    <row r="156" spans="1:35" ht="15.75" customHeight="1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</row>
    <row r="157" spans="1:35" ht="15.75" customHeight="1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</row>
    <row r="158" spans="1:35" ht="15.75" customHeight="1" x14ac:dyDescent="0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</row>
    <row r="159" spans="1:35" ht="15.75" customHeight="1" x14ac:dyDescent="0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</row>
    <row r="160" spans="1:35" ht="15.75" customHeight="1" x14ac:dyDescent="0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</row>
    <row r="161" spans="1:35" ht="15.75" customHeight="1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</row>
    <row r="162" spans="1:35" ht="15.75" customHeight="1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</row>
    <row r="163" spans="1:35" ht="15.75" customHeight="1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</row>
    <row r="164" spans="1:35" ht="15.75" customHeight="1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</row>
    <row r="165" spans="1:35" ht="15.75" customHeight="1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</row>
    <row r="166" spans="1:35" ht="15.75" customHeight="1" x14ac:dyDescent="0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</row>
    <row r="167" spans="1:35" ht="15.75" customHeight="1" x14ac:dyDescent="0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</row>
    <row r="168" spans="1:35" ht="15.75" customHeight="1" x14ac:dyDescent="0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</row>
    <row r="169" spans="1:35" ht="15.75" customHeight="1" x14ac:dyDescent="0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</row>
    <row r="170" spans="1:35" ht="15.75" customHeight="1" x14ac:dyDescent="0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</row>
    <row r="171" spans="1:35" ht="15.75" customHeight="1" x14ac:dyDescent="0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</row>
    <row r="172" spans="1:35" ht="15.75" customHeight="1" x14ac:dyDescent="0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</row>
    <row r="173" spans="1:35" ht="15.75" customHeight="1" x14ac:dyDescent="0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</row>
    <row r="174" spans="1:35" ht="15.75" customHeight="1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</row>
    <row r="175" spans="1:35" ht="15.75" customHeight="1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</row>
    <row r="176" spans="1:35" ht="15.75" customHeight="1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</row>
    <row r="177" spans="1:35" ht="15.75" customHeight="1" x14ac:dyDescent="0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</row>
    <row r="178" spans="1:35" ht="15.75" customHeight="1" x14ac:dyDescent="0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</row>
    <row r="179" spans="1:35" ht="15.75" customHeight="1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</row>
    <row r="180" spans="1:35" ht="15.75" customHeight="1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</row>
    <row r="181" spans="1:35" ht="15.75" customHeight="1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</row>
    <row r="182" spans="1:35" ht="15.75" customHeight="1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</row>
    <row r="183" spans="1:35" ht="15.75" customHeight="1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</row>
    <row r="184" spans="1:35" ht="15.75" customHeight="1" x14ac:dyDescent="0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</row>
    <row r="185" spans="1:35" ht="15.75" customHeight="1" x14ac:dyDescent="0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</row>
    <row r="186" spans="1:35" ht="15.75" customHeight="1" x14ac:dyDescent="0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</row>
    <row r="187" spans="1:35" ht="15.75" customHeight="1" x14ac:dyDescent="0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</row>
    <row r="188" spans="1:35" ht="15.75" customHeight="1" x14ac:dyDescent="0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</row>
    <row r="189" spans="1:35" ht="15.75" customHeight="1" x14ac:dyDescent="0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</row>
    <row r="190" spans="1:35" ht="15.75" customHeight="1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</row>
    <row r="191" spans="1:35" ht="15.75" customHeight="1" x14ac:dyDescent="0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</row>
    <row r="192" spans="1:35" ht="15.75" customHeight="1" x14ac:dyDescent="0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</row>
    <row r="193" spans="1:35" ht="15.75" customHeight="1" x14ac:dyDescent="0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</row>
    <row r="194" spans="1:35" ht="15.75" customHeight="1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</row>
    <row r="195" spans="1:35" ht="15.75" customHeight="1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</row>
    <row r="196" spans="1:35" ht="15.75" customHeight="1" x14ac:dyDescent="0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</row>
    <row r="197" spans="1:35" ht="15.75" customHeight="1" x14ac:dyDescent="0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</row>
    <row r="198" spans="1:35" ht="15.75" customHeight="1" x14ac:dyDescent="0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</row>
    <row r="199" spans="1:35" ht="15.75" customHeight="1" x14ac:dyDescent="0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</row>
    <row r="200" spans="1:35" ht="15.75" customHeight="1" x14ac:dyDescent="0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</row>
    <row r="201" spans="1:35" ht="15.75" customHeight="1" x14ac:dyDescent="0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</row>
    <row r="202" spans="1:35" ht="15.75" customHeight="1" x14ac:dyDescent="0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</row>
    <row r="203" spans="1:35" ht="15.75" customHeight="1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</row>
    <row r="204" spans="1:35" ht="15.75" customHeight="1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</row>
    <row r="205" spans="1:35" ht="15.75" customHeight="1" x14ac:dyDescent="0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</row>
    <row r="206" spans="1:35" ht="15.75" customHeight="1" x14ac:dyDescent="0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</row>
    <row r="207" spans="1:35" ht="15.75" customHeight="1" x14ac:dyDescent="0.2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</row>
    <row r="208" spans="1:35" ht="15.75" customHeight="1" x14ac:dyDescent="0.2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</row>
    <row r="209" spans="1:35" ht="15.75" customHeight="1" x14ac:dyDescent="0.2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</row>
    <row r="210" spans="1:35" ht="15.75" customHeight="1" x14ac:dyDescent="0.2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</row>
    <row r="211" spans="1:35" ht="15.75" customHeight="1" x14ac:dyDescent="0.2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</row>
    <row r="212" spans="1:35" ht="15.75" customHeight="1" x14ac:dyDescent="0.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</row>
    <row r="213" spans="1:35" ht="15.75" customHeight="1" x14ac:dyDescent="0.2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</row>
    <row r="214" spans="1:35" ht="15.75" customHeight="1" x14ac:dyDescent="0.2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</row>
    <row r="215" spans="1:35" ht="15.75" customHeight="1" x14ac:dyDescent="0.2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</row>
    <row r="216" spans="1:35" ht="15.75" customHeight="1" x14ac:dyDescent="0.2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</row>
    <row r="217" spans="1:35" ht="15.75" customHeight="1" x14ac:dyDescent="0.2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</row>
    <row r="218" spans="1:35" ht="15.75" customHeight="1" x14ac:dyDescent="0.2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</row>
    <row r="219" spans="1:35" ht="15.75" customHeight="1" x14ac:dyDescent="0.2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</row>
    <row r="220" spans="1:35" ht="15.75" customHeight="1" x14ac:dyDescent="0.2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</row>
    <row r="221" spans="1:35" ht="15.75" customHeight="1" x14ac:dyDescent="0.2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</row>
    <row r="222" spans="1:35" ht="15.75" customHeight="1" x14ac:dyDescent="0.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</row>
    <row r="223" spans="1:35" ht="15.75" customHeight="1" x14ac:dyDescent="0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</row>
    <row r="224" spans="1:35" ht="15.75" customHeight="1" x14ac:dyDescent="0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</row>
    <row r="225" spans="1:35" ht="15.75" customHeight="1" x14ac:dyDescent="0.2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</row>
    <row r="226" spans="1:35" ht="15.75" customHeight="1" x14ac:dyDescent="0.2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</row>
    <row r="227" spans="1:35" ht="15.75" customHeight="1" x14ac:dyDescent="0.2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</row>
    <row r="228" spans="1:35" ht="15.75" customHeight="1" x14ac:dyDescent="0.2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</row>
    <row r="229" spans="1:35" ht="15.75" customHeight="1" x14ac:dyDescent="0.2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</row>
    <row r="230" spans="1:35" ht="15.75" customHeight="1" x14ac:dyDescent="0.2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</row>
    <row r="231" spans="1:35" ht="15.75" customHeight="1" x14ac:dyDescent="0.2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</row>
    <row r="232" spans="1:35" ht="15.75" customHeight="1" x14ac:dyDescent="0.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</row>
    <row r="233" spans="1:35" ht="15.75" customHeight="1" x14ac:dyDescent="0.2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</row>
    <row r="234" spans="1:35" ht="15.75" customHeight="1" x14ac:dyDescent="0.2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</row>
    <row r="235" spans="1:35" ht="15.75" customHeight="1" x14ac:dyDescent="0.2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</row>
    <row r="236" spans="1:35" ht="15.75" customHeight="1" x14ac:dyDescent="0.2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</row>
    <row r="237" spans="1:35" ht="15.75" customHeight="1" x14ac:dyDescent="0.2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</row>
    <row r="238" spans="1:35" ht="15.75" customHeight="1" x14ac:dyDescent="0.2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</row>
    <row r="239" spans="1:35" ht="15.75" customHeight="1" x14ac:dyDescent="0.2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</row>
    <row r="240" spans="1:35" ht="15.75" customHeight="1" x14ac:dyDescent="0.2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</row>
    <row r="241" spans="1:35" ht="15.75" customHeight="1" x14ac:dyDescent="0.2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</row>
    <row r="242" spans="1:35" ht="15.75" customHeight="1" x14ac:dyDescent="0.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</row>
    <row r="243" spans="1:35" ht="15.75" customHeight="1" x14ac:dyDescent="0.2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</row>
    <row r="244" spans="1:35" ht="15.75" customHeight="1" x14ac:dyDescent="0.2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</row>
    <row r="245" spans="1:35" ht="15.75" customHeight="1" x14ac:dyDescent="0.2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</row>
    <row r="246" spans="1:35" ht="15.75" customHeight="1" x14ac:dyDescent="0.2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</row>
    <row r="247" spans="1:35" ht="15.75" customHeight="1" x14ac:dyDescent="0.2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</row>
    <row r="248" spans="1:35" ht="15.75" customHeight="1" x14ac:dyDescent="0.2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</row>
    <row r="249" spans="1:35" ht="15.75" customHeight="1" x14ac:dyDescent="0.2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</row>
    <row r="250" spans="1:35" ht="15.75" customHeight="1" x14ac:dyDescent="0.2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</row>
    <row r="251" spans="1:35" ht="15.75" customHeight="1" x14ac:dyDescent="0.2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</row>
    <row r="252" spans="1:35" ht="15.75" customHeight="1" x14ac:dyDescent="0.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</row>
    <row r="253" spans="1:35" ht="15.75" customHeight="1" x14ac:dyDescent="0.2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</row>
    <row r="254" spans="1:35" ht="15.75" customHeight="1" x14ac:dyDescent="0.2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</row>
    <row r="255" spans="1:35" ht="15.75" customHeight="1" x14ac:dyDescent="0.2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</row>
    <row r="256" spans="1:35" ht="15.75" customHeight="1" x14ac:dyDescent="0.2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</row>
    <row r="257" spans="1:35" ht="15.75" customHeight="1" x14ac:dyDescent="0.2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</row>
    <row r="258" spans="1:35" ht="15.75" customHeight="1" x14ac:dyDescent="0.2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</row>
    <row r="259" spans="1:35" ht="15.75" customHeight="1" x14ac:dyDescent="0.2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</row>
    <row r="260" spans="1:35" ht="15.75" customHeight="1" x14ac:dyDescent="0.2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</row>
    <row r="261" spans="1:35" ht="15.75" customHeight="1" x14ac:dyDescent="0.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</row>
    <row r="262" spans="1:35" ht="15.75" customHeight="1" x14ac:dyDescent="0.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</row>
    <row r="263" spans="1:35" ht="15.75" customHeight="1" x14ac:dyDescent="0.2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</row>
    <row r="264" spans="1:35" ht="15.75" customHeight="1" x14ac:dyDescent="0.2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</row>
    <row r="265" spans="1:35" ht="15.75" customHeight="1" x14ac:dyDescent="0.2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</row>
    <row r="266" spans="1:35" ht="15.75" customHeight="1" x14ac:dyDescent="0.2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</row>
    <row r="267" spans="1:35" ht="15.75" customHeight="1" x14ac:dyDescent="0.2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</row>
    <row r="268" spans="1:35" ht="15.75" customHeight="1" x14ac:dyDescent="0.2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</row>
    <row r="269" spans="1:35" ht="15.75" customHeight="1" x14ac:dyDescent="0.2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</row>
    <row r="270" spans="1:35" ht="15.75" customHeight="1" x14ac:dyDescent="0.2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</row>
    <row r="271" spans="1:35" ht="15.75" customHeight="1" x14ac:dyDescent="0.2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</row>
    <row r="272" spans="1:35" ht="15.75" customHeight="1" x14ac:dyDescent="0.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</row>
    <row r="273" spans="1:35" ht="15.75" customHeight="1" x14ac:dyDescent="0.2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</row>
    <row r="274" spans="1:35" ht="15.75" customHeight="1" x14ac:dyDescent="0.2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</row>
    <row r="275" spans="1:35" ht="15.75" customHeight="1" x14ac:dyDescent="0.2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</row>
    <row r="276" spans="1:35" ht="15.75" customHeight="1" x14ac:dyDescent="0.2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</row>
    <row r="277" spans="1:35" ht="15.75" customHeight="1" x14ac:dyDescent="0.2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</row>
    <row r="278" spans="1:35" ht="15.75" customHeight="1" x14ac:dyDescent="0.2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</row>
    <row r="279" spans="1:35" ht="15.75" customHeight="1" x14ac:dyDescent="0.2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</row>
    <row r="280" spans="1:35" ht="15.75" customHeight="1" x14ac:dyDescent="0.2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</row>
    <row r="281" spans="1:35" ht="15.75" customHeight="1" x14ac:dyDescent="0.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</row>
    <row r="282" spans="1:35" ht="15.75" customHeight="1" x14ac:dyDescent="0.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</row>
    <row r="283" spans="1:35" ht="15.75" customHeight="1" x14ac:dyDescent="0.2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</row>
    <row r="284" spans="1:35" ht="15.75" customHeight="1" x14ac:dyDescent="0.2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</row>
    <row r="285" spans="1:35" ht="15.75" customHeight="1" x14ac:dyDescent="0.2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</row>
    <row r="286" spans="1:35" ht="15.75" customHeight="1" x14ac:dyDescent="0.2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</row>
    <row r="287" spans="1:35" ht="15.75" customHeight="1" x14ac:dyDescent="0.2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</row>
    <row r="288" spans="1:35" ht="15.75" customHeight="1" x14ac:dyDescent="0.2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</row>
    <row r="289" spans="1:35" ht="15.75" customHeight="1" x14ac:dyDescent="0.2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</row>
    <row r="290" spans="1:35" ht="15.75" customHeight="1" x14ac:dyDescent="0.2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</row>
    <row r="291" spans="1:35" ht="15.75" customHeight="1" x14ac:dyDescent="0.2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</row>
    <row r="292" spans="1:35" ht="15.75" customHeight="1" x14ac:dyDescent="0.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</row>
    <row r="293" spans="1:35" ht="15.75" customHeight="1" x14ac:dyDescent="0.2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</row>
    <row r="294" spans="1:35" ht="15.75" customHeight="1" x14ac:dyDescent="0.2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</row>
    <row r="295" spans="1:35" ht="15.75" customHeight="1" x14ac:dyDescent="0.2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</row>
    <row r="296" spans="1:35" ht="15.75" customHeight="1" x14ac:dyDescent="0.2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</row>
    <row r="297" spans="1:35" ht="15.75" customHeight="1" x14ac:dyDescent="0.2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</row>
    <row r="298" spans="1:35" ht="15.75" customHeight="1" x14ac:dyDescent="0.2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</row>
    <row r="299" spans="1:35" ht="15.75" customHeight="1" x14ac:dyDescent="0.2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</row>
    <row r="300" spans="1:35" ht="15.75" customHeight="1" x14ac:dyDescent="0.2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</row>
    <row r="301" spans="1:35" ht="15.75" customHeight="1" x14ac:dyDescent="0.2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</row>
    <row r="302" spans="1:35" ht="15.75" customHeight="1" x14ac:dyDescent="0.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</row>
    <row r="303" spans="1:35" ht="15.75" customHeight="1" x14ac:dyDescent="0.2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</row>
    <row r="304" spans="1:35" ht="15.75" customHeight="1" x14ac:dyDescent="0.2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</row>
    <row r="305" spans="1:35" ht="15.75" customHeight="1" x14ac:dyDescent="0.2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</row>
    <row r="306" spans="1:35" ht="15.75" customHeight="1" x14ac:dyDescent="0.2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</row>
    <row r="307" spans="1:35" ht="15.75" customHeight="1" x14ac:dyDescent="0.2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</row>
    <row r="308" spans="1:35" ht="15.75" customHeight="1" x14ac:dyDescent="0.2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</row>
    <row r="309" spans="1:35" ht="15.75" customHeight="1" x14ac:dyDescent="0.2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</row>
    <row r="310" spans="1:35" ht="15.75" customHeight="1" x14ac:dyDescent="0.2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</row>
    <row r="311" spans="1:35" ht="15.75" customHeight="1" x14ac:dyDescent="0.2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</row>
    <row r="312" spans="1:35" ht="15.75" customHeight="1" x14ac:dyDescent="0.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</row>
    <row r="313" spans="1:35" ht="15.75" customHeight="1" x14ac:dyDescent="0.2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</row>
    <row r="314" spans="1:35" ht="15.75" customHeight="1" x14ac:dyDescent="0.2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</row>
    <row r="315" spans="1:35" ht="15.75" customHeight="1" x14ac:dyDescent="0.2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</row>
    <row r="316" spans="1:35" ht="15.75" customHeight="1" x14ac:dyDescent="0.2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</row>
    <row r="317" spans="1:35" ht="15.75" customHeight="1" x14ac:dyDescent="0.2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</row>
    <row r="318" spans="1:35" ht="15.75" customHeight="1" x14ac:dyDescent="0.2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</row>
    <row r="319" spans="1:35" ht="15.75" customHeight="1" x14ac:dyDescent="0.2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</row>
    <row r="320" spans="1:35" ht="15.75" customHeight="1" x14ac:dyDescent="0.2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</row>
    <row r="321" spans="1:35" ht="15.75" customHeight="1" x14ac:dyDescent="0.2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</row>
    <row r="322" spans="1:35" ht="15.75" customHeight="1" x14ac:dyDescent="0.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</row>
    <row r="323" spans="1:35" ht="15.75" customHeight="1" x14ac:dyDescent="0.2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</row>
    <row r="324" spans="1:35" ht="15.75" customHeight="1" x14ac:dyDescent="0.2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</row>
    <row r="325" spans="1:35" ht="15.75" customHeight="1" x14ac:dyDescent="0.2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</row>
    <row r="326" spans="1:35" ht="15.75" customHeight="1" x14ac:dyDescent="0.2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</row>
    <row r="327" spans="1:35" ht="15.75" customHeight="1" x14ac:dyDescent="0.2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</row>
    <row r="328" spans="1:35" ht="15.75" customHeight="1" x14ac:dyDescent="0.2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</row>
    <row r="329" spans="1:35" ht="15.75" customHeight="1" x14ac:dyDescent="0.2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</row>
    <row r="330" spans="1:35" ht="15.75" customHeight="1" x14ac:dyDescent="0.2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</row>
    <row r="331" spans="1:35" ht="15.75" customHeight="1" x14ac:dyDescent="0.2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</row>
    <row r="332" spans="1:35" ht="15.75" customHeight="1" x14ac:dyDescent="0.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</row>
    <row r="333" spans="1:35" ht="15.75" customHeight="1" x14ac:dyDescent="0.2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</row>
    <row r="334" spans="1:35" ht="15.75" customHeight="1" x14ac:dyDescent="0.2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</row>
    <row r="335" spans="1:35" ht="15.75" customHeight="1" x14ac:dyDescent="0.2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</row>
    <row r="336" spans="1:35" ht="15.75" customHeight="1" x14ac:dyDescent="0.2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</row>
    <row r="337" spans="1:35" ht="15.75" customHeight="1" x14ac:dyDescent="0.2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</row>
    <row r="338" spans="1:35" ht="15.75" customHeight="1" x14ac:dyDescent="0.2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</row>
    <row r="339" spans="1:35" ht="15.75" customHeight="1" x14ac:dyDescent="0.2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</row>
    <row r="340" spans="1:35" ht="15.75" customHeight="1" x14ac:dyDescent="0.2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</row>
    <row r="341" spans="1:35" ht="15.75" customHeight="1" x14ac:dyDescent="0.2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</row>
    <row r="342" spans="1:35" ht="15.75" customHeight="1" x14ac:dyDescent="0.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</row>
    <row r="343" spans="1:35" ht="15.75" customHeight="1" x14ac:dyDescent="0.2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</row>
    <row r="344" spans="1:35" ht="15.75" customHeight="1" x14ac:dyDescent="0.2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</row>
    <row r="345" spans="1:35" ht="15.75" customHeight="1" x14ac:dyDescent="0.2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</row>
    <row r="346" spans="1:35" ht="15.75" customHeight="1" x14ac:dyDescent="0.2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</row>
    <row r="347" spans="1:35" ht="15.75" customHeight="1" x14ac:dyDescent="0.2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</row>
    <row r="348" spans="1:35" ht="15.75" customHeight="1" x14ac:dyDescent="0.2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</row>
    <row r="349" spans="1:35" ht="15.75" customHeight="1" x14ac:dyDescent="0.2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</row>
    <row r="350" spans="1:35" ht="15.75" customHeight="1" x14ac:dyDescent="0.2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</row>
    <row r="351" spans="1:35" ht="15.75" customHeight="1" x14ac:dyDescent="0.2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</row>
    <row r="352" spans="1:35" ht="15.75" customHeight="1" x14ac:dyDescent="0.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</row>
    <row r="353" spans="1:35" ht="15.75" customHeight="1" x14ac:dyDescent="0.2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</row>
    <row r="354" spans="1:35" ht="15.75" customHeight="1" x14ac:dyDescent="0.2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</row>
    <row r="355" spans="1:35" ht="15.75" customHeight="1" x14ac:dyDescent="0.2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</row>
    <row r="356" spans="1:35" ht="15.75" customHeight="1" x14ac:dyDescent="0.2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</row>
    <row r="357" spans="1:35" ht="15.75" customHeight="1" x14ac:dyDescent="0.2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</row>
    <row r="358" spans="1:35" ht="15.75" customHeight="1" x14ac:dyDescent="0.2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</row>
    <row r="359" spans="1:35" ht="15.75" customHeight="1" x14ac:dyDescent="0.2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</row>
    <row r="360" spans="1:35" ht="15.75" customHeight="1" x14ac:dyDescent="0.2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</row>
    <row r="361" spans="1:35" ht="15.75" customHeight="1" x14ac:dyDescent="0.2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</row>
    <row r="362" spans="1:35" ht="15.75" customHeight="1" x14ac:dyDescent="0.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</row>
    <row r="363" spans="1:35" ht="15.75" customHeight="1" x14ac:dyDescent="0.2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</row>
    <row r="364" spans="1:35" ht="15.75" customHeight="1" x14ac:dyDescent="0.2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</row>
    <row r="365" spans="1:35" ht="15.75" customHeight="1" x14ac:dyDescent="0.2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</row>
    <row r="366" spans="1:35" ht="15.75" customHeight="1" x14ac:dyDescent="0.2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</row>
    <row r="367" spans="1:35" ht="15.75" customHeight="1" x14ac:dyDescent="0.2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</row>
    <row r="368" spans="1:35" ht="15.75" customHeight="1" x14ac:dyDescent="0.2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</row>
    <row r="369" spans="1:35" ht="15.75" customHeight="1" x14ac:dyDescent="0.2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</row>
    <row r="370" spans="1:35" ht="15.75" customHeight="1" x14ac:dyDescent="0.2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</row>
    <row r="371" spans="1:35" ht="15.75" customHeight="1" x14ac:dyDescent="0.2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</row>
    <row r="372" spans="1:35" ht="15.75" customHeight="1" x14ac:dyDescent="0.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</row>
    <row r="373" spans="1:35" ht="15.75" customHeight="1" x14ac:dyDescent="0.2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</row>
    <row r="374" spans="1:35" ht="15.75" customHeight="1" x14ac:dyDescent="0.2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</row>
    <row r="375" spans="1:35" ht="15.75" customHeight="1" x14ac:dyDescent="0.2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</row>
    <row r="376" spans="1:35" ht="15.75" customHeight="1" x14ac:dyDescent="0.2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</row>
    <row r="377" spans="1:35" ht="15.75" customHeight="1" x14ac:dyDescent="0.2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</row>
    <row r="378" spans="1:35" ht="15.75" customHeight="1" x14ac:dyDescent="0.2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</row>
    <row r="379" spans="1:35" ht="15.75" customHeight="1" x14ac:dyDescent="0.2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</row>
    <row r="380" spans="1:35" ht="15.75" customHeight="1" x14ac:dyDescent="0.2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</row>
    <row r="381" spans="1:35" ht="15.75" customHeight="1" x14ac:dyDescent="0.2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</row>
    <row r="382" spans="1:35" ht="15.75" customHeight="1" x14ac:dyDescent="0.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</row>
    <row r="383" spans="1:35" ht="15.75" customHeight="1" x14ac:dyDescent="0.2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</row>
    <row r="384" spans="1:35" ht="15.75" customHeight="1" x14ac:dyDescent="0.2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</row>
    <row r="385" spans="1:35" ht="15.75" customHeight="1" x14ac:dyDescent="0.2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</row>
    <row r="386" spans="1:35" ht="15.75" customHeight="1" x14ac:dyDescent="0.2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</row>
    <row r="387" spans="1:35" ht="15.75" customHeight="1" x14ac:dyDescent="0.2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</row>
    <row r="388" spans="1:35" ht="15.75" customHeight="1" x14ac:dyDescent="0.2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</row>
    <row r="389" spans="1:35" ht="15.75" customHeight="1" x14ac:dyDescent="0.2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</row>
    <row r="390" spans="1:35" ht="15.75" customHeight="1" x14ac:dyDescent="0.2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</row>
    <row r="391" spans="1:35" ht="15.75" customHeight="1" x14ac:dyDescent="0.2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</row>
    <row r="392" spans="1:35" ht="15.75" customHeight="1" x14ac:dyDescent="0.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</row>
    <row r="393" spans="1:35" ht="15.75" customHeight="1" x14ac:dyDescent="0.2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</row>
    <row r="394" spans="1:35" ht="15.75" customHeight="1" x14ac:dyDescent="0.2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</row>
    <row r="395" spans="1:35" ht="15.75" customHeight="1" x14ac:dyDescent="0.2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</row>
    <row r="396" spans="1:35" ht="15.75" customHeight="1" x14ac:dyDescent="0.2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</row>
    <row r="397" spans="1:35" ht="15.75" customHeight="1" x14ac:dyDescent="0.2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</row>
    <row r="398" spans="1:35" ht="15.75" customHeight="1" x14ac:dyDescent="0.2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</row>
    <row r="399" spans="1:35" ht="15.75" customHeight="1" x14ac:dyDescent="0.2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</row>
    <row r="400" spans="1:35" ht="15.75" customHeight="1" x14ac:dyDescent="0.2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</row>
    <row r="401" spans="1:35" ht="15.75" customHeight="1" x14ac:dyDescent="0.2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</row>
    <row r="402" spans="1:35" ht="15.75" customHeight="1" x14ac:dyDescent="0.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</row>
    <row r="403" spans="1:35" ht="15.75" customHeight="1" x14ac:dyDescent="0.2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</row>
    <row r="404" spans="1:35" ht="15.75" customHeight="1" x14ac:dyDescent="0.2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</row>
    <row r="405" spans="1:35" ht="15.75" customHeight="1" x14ac:dyDescent="0.2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</row>
    <row r="406" spans="1:35" ht="15.75" customHeight="1" x14ac:dyDescent="0.2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</row>
    <row r="407" spans="1:35" ht="15.75" customHeight="1" x14ac:dyDescent="0.2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</row>
    <row r="408" spans="1:35" ht="15.75" customHeight="1" x14ac:dyDescent="0.2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</row>
    <row r="409" spans="1:35" ht="15.75" customHeight="1" x14ac:dyDescent="0.2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</row>
    <row r="410" spans="1:35" ht="15.75" customHeight="1" x14ac:dyDescent="0.2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</row>
    <row r="411" spans="1:35" ht="15.75" customHeight="1" x14ac:dyDescent="0.2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</row>
    <row r="412" spans="1:35" ht="15.75" customHeight="1" x14ac:dyDescent="0.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</row>
    <row r="413" spans="1:35" ht="15.75" customHeight="1" x14ac:dyDescent="0.2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</row>
    <row r="414" spans="1:35" ht="15.75" customHeight="1" x14ac:dyDescent="0.2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</row>
    <row r="415" spans="1:35" ht="15.75" customHeight="1" x14ac:dyDescent="0.2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</row>
    <row r="416" spans="1:35" ht="15.75" customHeight="1" x14ac:dyDescent="0.2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</row>
    <row r="417" spans="1:35" ht="15.75" customHeight="1" x14ac:dyDescent="0.2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</row>
    <row r="418" spans="1:35" ht="15.75" customHeight="1" x14ac:dyDescent="0.2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</row>
    <row r="419" spans="1:35" ht="15.75" customHeight="1" x14ac:dyDescent="0.2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</row>
    <row r="420" spans="1:35" ht="15.75" customHeight="1" x14ac:dyDescent="0.2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</row>
    <row r="421" spans="1:35" ht="15.75" customHeight="1" x14ac:dyDescent="0.2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</row>
    <row r="422" spans="1:35" ht="15.75" customHeight="1" x14ac:dyDescent="0.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</row>
    <row r="423" spans="1:35" ht="15.75" customHeight="1" x14ac:dyDescent="0.2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</row>
    <row r="424" spans="1:35" ht="15.75" customHeight="1" x14ac:dyDescent="0.2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</row>
    <row r="425" spans="1:35" ht="15.75" customHeight="1" x14ac:dyDescent="0.2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</row>
    <row r="426" spans="1:35" ht="15.75" customHeight="1" x14ac:dyDescent="0.2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</row>
    <row r="427" spans="1:35" ht="15.75" customHeight="1" x14ac:dyDescent="0.2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</row>
    <row r="428" spans="1:35" ht="15.75" customHeight="1" x14ac:dyDescent="0.2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</row>
    <row r="429" spans="1:35" ht="15.75" customHeight="1" x14ac:dyDescent="0.2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</row>
    <row r="430" spans="1:35" ht="15.75" customHeight="1" x14ac:dyDescent="0.2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</row>
    <row r="431" spans="1:35" ht="15.75" customHeight="1" x14ac:dyDescent="0.2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</row>
    <row r="432" spans="1:35" ht="15.75" customHeight="1" x14ac:dyDescent="0.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</row>
    <row r="433" spans="1:35" ht="15.75" customHeight="1" x14ac:dyDescent="0.2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</row>
    <row r="434" spans="1:35" ht="15.75" customHeight="1" x14ac:dyDescent="0.2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</row>
    <row r="435" spans="1:35" ht="15.75" customHeight="1" x14ac:dyDescent="0.2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</row>
    <row r="436" spans="1:35" ht="15.75" customHeight="1" x14ac:dyDescent="0.2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</row>
    <row r="437" spans="1:35" ht="15.75" customHeight="1" x14ac:dyDescent="0.2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</row>
    <row r="438" spans="1:35" ht="15.75" customHeight="1" x14ac:dyDescent="0.2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</row>
    <row r="439" spans="1:35" ht="15.75" customHeight="1" x14ac:dyDescent="0.2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</row>
    <row r="440" spans="1:35" ht="15.75" customHeight="1" x14ac:dyDescent="0.2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</row>
    <row r="441" spans="1:35" ht="15.75" customHeight="1" x14ac:dyDescent="0.2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</row>
    <row r="442" spans="1:35" ht="15.75" customHeight="1" x14ac:dyDescent="0.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</row>
    <row r="443" spans="1:35" ht="15.75" customHeight="1" x14ac:dyDescent="0.2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</row>
    <row r="444" spans="1:35" ht="15.75" customHeight="1" x14ac:dyDescent="0.2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</row>
    <row r="445" spans="1:35" ht="15.75" customHeight="1" x14ac:dyDescent="0.2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</row>
    <row r="446" spans="1:35" ht="15.75" customHeight="1" x14ac:dyDescent="0.2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</row>
    <row r="447" spans="1:35" ht="15.75" customHeight="1" x14ac:dyDescent="0.2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</row>
    <row r="448" spans="1:35" ht="15.75" customHeight="1" x14ac:dyDescent="0.2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</row>
    <row r="449" spans="1:35" ht="15.75" customHeight="1" x14ac:dyDescent="0.2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</row>
    <row r="450" spans="1:35" ht="15.75" customHeight="1" x14ac:dyDescent="0.2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</row>
    <row r="451" spans="1:35" ht="15.75" customHeight="1" x14ac:dyDescent="0.2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</row>
    <row r="452" spans="1:35" ht="15.75" customHeight="1" x14ac:dyDescent="0.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</row>
    <row r="453" spans="1:35" ht="15.75" customHeight="1" x14ac:dyDescent="0.2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</row>
    <row r="454" spans="1:35" ht="15.75" customHeight="1" x14ac:dyDescent="0.2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</row>
    <row r="455" spans="1:35" ht="15.75" customHeight="1" x14ac:dyDescent="0.2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</row>
    <row r="456" spans="1:35" ht="15.75" customHeight="1" x14ac:dyDescent="0.2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</row>
    <row r="457" spans="1:35" ht="15.75" customHeight="1" x14ac:dyDescent="0.2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</row>
    <row r="458" spans="1:35" ht="15.75" customHeight="1" x14ac:dyDescent="0.2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</row>
    <row r="459" spans="1:35" ht="15.75" customHeight="1" x14ac:dyDescent="0.2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</row>
    <row r="460" spans="1:35" ht="15.75" customHeight="1" x14ac:dyDescent="0.2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</row>
    <row r="461" spans="1:35" ht="15.75" customHeight="1" x14ac:dyDescent="0.2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</row>
    <row r="462" spans="1:35" ht="15.75" customHeight="1" x14ac:dyDescent="0.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</row>
    <row r="463" spans="1:35" ht="15.75" customHeight="1" x14ac:dyDescent="0.2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</row>
    <row r="464" spans="1:35" ht="15.75" customHeight="1" x14ac:dyDescent="0.2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</row>
    <row r="465" spans="1:35" ht="15.75" customHeight="1" x14ac:dyDescent="0.2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</row>
    <row r="466" spans="1:35" ht="15.75" customHeight="1" x14ac:dyDescent="0.2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</row>
    <row r="467" spans="1:35" ht="15.75" customHeight="1" x14ac:dyDescent="0.2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</row>
    <row r="468" spans="1:35" ht="15.75" customHeight="1" x14ac:dyDescent="0.2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</row>
    <row r="469" spans="1:35" ht="15.75" customHeight="1" x14ac:dyDescent="0.2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</row>
    <row r="470" spans="1:35" ht="15.75" customHeight="1" x14ac:dyDescent="0.2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</row>
    <row r="471" spans="1:35" ht="15.75" customHeight="1" x14ac:dyDescent="0.2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</row>
    <row r="472" spans="1:35" ht="15.75" customHeight="1" x14ac:dyDescent="0.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</row>
    <row r="473" spans="1:35" ht="15.75" customHeight="1" x14ac:dyDescent="0.2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</row>
    <row r="474" spans="1:35" ht="15.75" customHeight="1" x14ac:dyDescent="0.2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</row>
    <row r="475" spans="1:35" ht="15.75" customHeight="1" x14ac:dyDescent="0.2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</row>
    <row r="476" spans="1:35" ht="15.75" customHeight="1" x14ac:dyDescent="0.2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</row>
    <row r="477" spans="1:35" ht="15.75" customHeight="1" x14ac:dyDescent="0.2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</row>
    <row r="478" spans="1:35" ht="15.75" customHeight="1" x14ac:dyDescent="0.2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</row>
    <row r="479" spans="1:35" ht="15.75" customHeight="1" x14ac:dyDescent="0.2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</row>
    <row r="480" spans="1:35" ht="15.75" customHeight="1" x14ac:dyDescent="0.2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</row>
    <row r="481" spans="1:35" ht="15.75" customHeight="1" x14ac:dyDescent="0.2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</row>
    <row r="482" spans="1:35" ht="15.75" customHeight="1" x14ac:dyDescent="0.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</row>
    <row r="483" spans="1:35" ht="15.75" customHeight="1" x14ac:dyDescent="0.2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</row>
    <row r="484" spans="1:35" ht="15.75" customHeight="1" x14ac:dyDescent="0.2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</row>
    <row r="485" spans="1:35" ht="15.75" customHeight="1" x14ac:dyDescent="0.2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</row>
    <row r="486" spans="1:35" ht="15.75" customHeight="1" x14ac:dyDescent="0.2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</row>
    <row r="487" spans="1:35" ht="15.75" customHeight="1" x14ac:dyDescent="0.2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</row>
    <row r="488" spans="1:35" ht="15.75" customHeight="1" x14ac:dyDescent="0.2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</row>
    <row r="489" spans="1:35" ht="15.75" customHeight="1" x14ac:dyDescent="0.2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</row>
    <row r="490" spans="1:35" ht="15.75" customHeight="1" x14ac:dyDescent="0.2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</row>
    <row r="491" spans="1:35" ht="15.75" customHeight="1" x14ac:dyDescent="0.2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</row>
    <row r="492" spans="1:35" ht="15.75" customHeight="1" x14ac:dyDescent="0.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</row>
    <row r="493" spans="1:35" ht="15.75" customHeight="1" x14ac:dyDescent="0.2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</row>
    <row r="494" spans="1:35" ht="15.75" customHeight="1" x14ac:dyDescent="0.2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</row>
    <row r="495" spans="1:35" ht="15.75" customHeight="1" x14ac:dyDescent="0.2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</row>
    <row r="496" spans="1:35" ht="15.75" customHeight="1" x14ac:dyDescent="0.2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</row>
    <row r="497" spans="1:35" ht="15.75" customHeight="1" x14ac:dyDescent="0.2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</row>
    <row r="498" spans="1:35" ht="15.75" customHeight="1" x14ac:dyDescent="0.2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</row>
    <row r="499" spans="1:35" ht="15.75" customHeight="1" x14ac:dyDescent="0.2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</row>
    <row r="500" spans="1:35" ht="15.75" customHeight="1" x14ac:dyDescent="0.2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</row>
    <row r="501" spans="1:35" ht="15.75" customHeight="1" x14ac:dyDescent="0.2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</row>
    <row r="502" spans="1:35" ht="15.75" customHeight="1" x14ac:dyDescent="0.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</row>
    <row r="503" spans="1:35" ht="15.75" customHeight="1" x14ac:dyDescent="0.2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</row>
    <row r="504" spans="1:35" ht="15.75" customHeight="1" x14ac:dyDescent="0.2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</row>
    <row r="505" spans="1:35" ht="15.75" customHeight="1" x14ac:dyDescent="0.2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</row>
    <row r="506" spans="1:35" ht="15.75" customHeight="1" x14ac:dyDescent="0.2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</row>
    <row r="507" spans="1:35" ht="15.75" customHeight="1" x14ac:dyDescent="0.2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</row>
    <row r="508" spans="1:35" ht="15.75" customHeight="1" x14ac:dyDescent="0.2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</row>
    <row r="509" spans="1:35" ht="15.75" customHeight="1" x14ac:dyDescent="0.2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</row>
    <row r="510" spans="1:35" ht="15.75" customHeight="1" x14ac:dyDescent="0.2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</row>
    <row r="511" spans="1:35" ht="15.75" customHeight="1" x14ac:dyDescent="0.2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</row>
    <row r="512" spans="1:35" ht="15.75" customHeight="1" x14ac:dyDescent="0.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</row>
    <row r="513" spans="1:35" ht="15.75" customHeight="1" x14ac:dyDescent="0.2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</row>
    <row r="514" spans="1:35" ht="15.75" customHeight="1" x14ac:dyDescent="0.2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</row>
    <row r="515" spans="1:35" ht="15.75" customHeight="1" x14ac:dyDescent="0.2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</row>
    <row r="516" spans="1:35" ht="15.75" customHeight="1" x14ac:dyDescent="0.2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</row>
    <row r="517" spans="1:35" ht="15.75" customHeight="1" x14ac:dyDescent="0.2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</row>
    <row r="518" spans="1:35" ht="15.75" customHeight="1" x14ac:dyDescent="0.2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</row>
    <row r="519" spans="1:35" ht="15.75" customHeight="1" x14ac:dyDescent="0.2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</row>
    <row r="520" spans="1:35" ht="15.75" customHeight="1" x14ac:dyDescent="0.2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</row>
    <row r="521" spans="1:35" ht="15.75" customHeight="1" x14ac:dyDescent="0.2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</row>
    <row r="522" spans="1:35" ht="15.75" customHeight="1" x14ac:dyDescent="0.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</row>
    <row r="523" spans="1:35" ht="15.75" customHeight="1" x14ac:dyDescent="0.2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</row>
    <row r="524" spans="1:35" ht="15.75" customHeight="1" x14ac:dyDescent="0.2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</row>
    <row r="525" spans="1:35" ht="15.75" customHeight="1" x14ac:dyDescent="0.2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</row>
    <row r="526" spans="1:35" ht="15.75" customHeight="1" x14ac:dyDescent="0.2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</row>
    <row r="527" spans="1:35" ht="15.75" customHeight="1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</row>
    <row r="528" spans="1:35" ht="15.75" customHeight="1" x14ac:dyDescent="0.2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</row>
    <row r="529" spans="1:35" ht="15.75" customHeight="1" x14ac:dyDescent="0.2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</row>
    <row r="530" spans="1:35" ht="15.75" customHeight="1" x14ac:dyDescent="0.2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</row>
    <row r="531" spans="1:35" ht="15.75" customHeight="1" x14ac:dyDescent="0.2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</row>
    <row r="532" spans="1:35" ht="15.75" customHeight="1" x14ac:dyDescent="0.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</row>
    <row r="533" spans="1:35" ht="15.75" customHeight="1" x14ac:dyDescent="0.2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</row>
    <row r="534" spans="1:35" ht="15.75" customHeight="1" x14ac:dyDescent="0.2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</row>
    <row r="535" spans="1:35" ht="15.75" customHeight="1" x14ac:dyDescent="0.2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</row>
    <row r="536" spans="1:35" ht="15.75" customHeight="1" x14ac:dyDescent="0.2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</row>
    <row r="537" spans="1:35" ht="15.75" customHeight="1" x14ac:dyDescent="0.2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</row>
    <row r="538" spans="1:35" ht="15.75" customHeight="1" x14ac:dyDescent="0.2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</row>
    <row r="539" spans="1:35" ht="15.75" customHeight="1" x14ac:dyDescent="0.2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</row>
    <row r="540" spans="1:35" ht="15.75" customHeight="1" x14ac:dyDescent="0.2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</row>
    <row r="541" spans="1:35" ht="15.75" customHeight="1" x14ac:dyDescent="0.2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</row>
    <row r="542" spans="1:35" ht="15.75" customHeight="1" x14ac:dyDescent="0.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</row>
    <row r="543" spans="1:35" ht="15.75" customHeight="1" x14ac:dyDescent="0.2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</row>
    <row r="544" spans="1:35" ht="15.75" customHeight="1" x14ac:dyDescent="0.2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</row>
    <row r="545" spans="1:35" ht="15.75" customHeight="1" x14ac:dyDescent="0.2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</row>
    <row r="546" spans="1:35" ht="15.75" customHeight="1" x14ac:dyDescent="0.2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</row>
    <row r="547" spans="1:35" ht="15.75" customHeight="1" x14ac:dyDescent="0.2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</row>
    <row r="548" spans="1:35" ht="15.75" customHeight="1" x14ac:dyDescent="0.2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</row>
    <row r="549" spans="1:35" ht="15.75" customHeight="1" x14ac:dyDescent="0.2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</row>
    <row r="550" spans="1:35" ht="15.75" customHeight="1" x14ac:dyDescent="0.2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</row>
    <row r="551" spans="1:35" ht="15.75" customHeight="1" x14ac:dyDescent="0.2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</row>
    <row r="552" spans="1:35" ht="15.75" customHeight="1" x14ac:dyDescent="0.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</row>
    <row r="553" spans="1:35" ht="15.75" customHeight="1" x14ac:dyDescent="0.2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</row>
    <row r="554" spans="1:35" ht="15.75" customHeight="1" x14ac:dyDescent="0.2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</row>
    <row r="555" spans="1:35" ht="15.75" customHeight="1" x14ac:dyDescent="0.2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</row>
    <row r="556" spans="1:35" ht="15.75" customHeight="1" x14ac:dyDescent="0.2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</row>
    <row r="557" spans="1:35" ht="15.75" customHeight="1" x14ac:dyDescent="0.2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</row>
    <row r="558" spans="1:35" ht="15.75" customHeight="1" x14ac:dyDescent="0.2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</row>
    <row r="559" spans="1:35" ht="15.75" customHeight="1" x14ac:dyDescent="0.2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</row>
    <row r="560" spans="1:35" ht="15.75" customHeight="1" x14ac:dyDescent="0.2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</row>
    <row r="561" spans="1:35" ht="15.75" customHeight="1" x14ac:dyDescent="0.2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</row>
    <row r="562" spans="1:35" ht="15.75" customHeight="1" x14ac:dyDescent="0.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</row>
    <row r="563" spans="1:35" ht="15.75" customHeight="1" x14ac:dyDescent="0.2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</row>
    <row r="564" spans="1:35" ht="15.75" customHeight="1" x14ac:dyDescent="0.2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</row>
    <row r="565" spans="1:35" ht="15.75" customHeight="1" x14ac:dyDescent="0.2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</row>
    <row r="566" spans="1:35" ht="15.75" customHeight="1" x14ac:dyDescent="0.2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</row>
    <row r="567" spans="1:35" ht="15.75" customHeight="1" x14ac:dyDescent="0.2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</row>
    <row r="568" spans="1:35" ht="15.75" customHeight="1" x14ac:dyDescent="0.2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</row>
    <row r="569" spans="1:35" ht="15.75" customHeight="1" x14ac:dyDescent="0.2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</row>
    <row r="570" spans="1:35" ht="15.75" customHeight="1" x14ac:dyDescent="0.2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</row>
    <row r="571" spans="1:35" ht="15.75" customHeight="1" x14ac:dyDescent="0.2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</row>
    <row r="572" spans="1:35" ht="15.75" customHeight="1" x14ac:dyDescent="0.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</row>
    <row r="573" spans="1:35" ht="15.75" customHeight="1" x14ac:dyDescent="0.2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</row>
    <row r="574" spans="1:35" ht="15.75" customHeight="1" x14ac:dyDescent="0.2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</row>
    <row r="575" spans="1:35" ht="15.75" customHeight="1" x14ac:dyDescent="0.2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</row>
    <row r="576" spans="1:35" ht="15.75" customHeight="1" x14ac:dyDescent="0.2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</row>
    <row r="577" spans="1:35" ht="15.75" customHeight="1" x14ac:dyDescent="0.2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</row>
    <row r="578" spans="1:35" ht="15.75" customHeight="1" x14ac:dyDescent="0.2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</row>
    <row r="579" spans="1:35" ht="15.75" customHeight="1" x14ac:dyDescent="0.2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</row>
    <row r="580" spans="1:35" ht="15.75" customHeight="1" x14ac:dyDescent="0.2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</row>
    <row r="581" spans="1:35" ht="15.75" customHeight="1" x14ac:dyDescent="0.2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</row>
    <row r="582" spans="1:35" ht="15.75" customHeight="1" x14ac:dyDescent="0.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</row>
    <row r="583" spans="1:35" ht="15.75" customHeight="1" x14ac:dyDescent="0.2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</row>
    <row r="584" spans="1:35" ht="15.75" customHeight="1" x14ac:dyDescent="0.2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</row>
    <row r="585" spans="1:35" ht="15.75" customHeight="1" x14ac:dyDescent="0.2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</row>
    <row r="586" spans="1:35" ht="15.75" customHeight="1" x14ac:dyDescent="0.2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</row>
    <row r="587" spans="1:35" ht="15.75" customHeight="1" x14ac:dyDescent="0.2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</row>
    <row r="588" spans="1:35" ht="15.75" customHeight="1" x14ac:dyDescent="0.2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</row>
    <row r="589" spans="1:35" ht="15.75" customHeight="1" x14ac:dyDescent="0.2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</row>
    <row r="590" spans="1:35" ht="15.75" customHeight="1" x14ac:dyDescent="0.2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</row>
    <row r="591" spans="1:35" ht="15.75" customHeight="1" x14ac:dyDescent="0.2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</row>
    <row r="592" spans="1:35" ht="15.75" customHeight="1" x14ac:dyDescent="0.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</row>
    <row r="593" spans="1:35" ht="15.75" customHeight="1" x14ac:dyDescent="0.2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</row>
    <row r="594" spans="1:35" ht="15.75" customHeight="1" x14ac:dyDescent="0.2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</row>
    <row r="595" spans="1:35" ht="15.75" customHeight="1" x14ac:dyDescent="0.2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</row>
    <row r="596" spans="1:35" ht="15.75" customHeight="1" x14ac:dyDescent="0.2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</row>
    <row r="597" spans="1:35" ht="15.75" customHeight="1" x14ac:dyDescent="0.2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</row>
    <row r="598" spans="1:35" ht="15.75" customHeight="1" x14ac:dyDescent="0.2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</row>
    <row r="599" spans="1:35" ht="15.75" customHeight="1" x14ac:dyDescent="0.2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</row>
    <row r="600" spans="1:35" ht="15.75" customHeight="1" x14ac:dyDescent="0.2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</row>
    <row r="601" spans="1:35" ht="15.75" customHeight="1" x14ac:dyDescent="0.2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</row>
    <row r="602" spans="1:35" ht="15.75" customHeight="1" x14ac:dyDescent="0.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</row>
    <row r="603" spans="1:35" ht="15.75" customHeight="1" x14ac:dyDescent="0.2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</row>
    <row r="604" spans="1:35" ht="15.75" customHeight="1" x14ac:dyDescent="0.2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</row>
    <row r="605" spans="1:35" ht="15.75" customHeight="1" x14ac:dyDescent="0.2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</row>
    <row r="606" spans="1:35" ht="15.75" customHeight="1" x14ac:dyDescent="0.2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</row>
    <row r="607" spans="1:35" ht="15.75" customHeight="1" x14ac:dyDescent="0.2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</row>
    <row r="608" spans="1:35" ht="15.75" customHeight="1" x14ac:dyDescent="0.2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</row>
    <row r="609" spans="1:35" ht="15.75" customHeight="1" x14ac:dyDescent="0.2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</row>
    <row r="610" spans="1:35" ht="15.75" customHeight="1" x14ac:dyDescent="0.2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</row>
    <row r="611" spans="1:35" ht="15.75" customHeight="1" x14ac:dyDescent="0.2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</row>
    <row r="612" spans="1:35" ht="15.75" customHeight="1" x14ac:dyDescent="0.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</row>
    <row r="613" spans="1:35" ht="15.75" customHeight="1" x14ac:dyDescent="0.2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</row>
    <row r="614" spans="1:35" ht="15.75" customHeight="1" x14ac:dyDescent="0.2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</row>
    <row r="615" spans="1:35" ht="15.75" customHeight="1" x14ac:dyDescent="0.2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</row>
    <row r="616" spans="1:35" ht="15.75" customHeight="1" x14ac:dyDescent="0.2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</row>
    <row r="617" spans="1:35" ht="15.75" customHeight="1" x14ac:dyDescent="0.2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</row>
    <row r="618" spans="1:35" ht="15.75" customHeight="1" x14ac:dyDescent="0.2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</row>
    <row r="619" spans="1:35" ht="15.75" customHeight="1" x14ac:dyDescent="0.2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</row>
    <row r="620" spans="1:35" ht="15.75" customHeight="1" x14ac:dyDescent="0.2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</row>
    <row r="621" spans="1:35" ht="15.75" customHeight="1" x14ac:dyDescent="0.2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</row>
    <row r="622" spans="1:35" ht="15.75" customHeight="1" x14ac:dyDescent="0.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</row>
    <row r="623" spans="1:35" ht="15.75" customHeight="1" x14ac:dyDescent="0.2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</row>
    <row r="624" spans="1:35" ht="15.75" customHeight="1" x14ac:dyDescent="0.2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</row>
    <row r="625" spans="1:35" ht="15.75" customHeight="1" x14ac:dyDescent="0.2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</row>
    <row r="626" spans="1:35" ht="15.75" customHeight="1" x14ac:dyDescent="0.2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</row>
    <row r="627" spans="1:35" ht="15.75" customHeight="1" x14ac:dyDescent="0.2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</row>
    <row r="628" spans="1:35" ht="15.75" customHeight="1" x14ac:dyDescent="0.2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</row>
    <row r="629" spans="1:35" ht="15.75" customHeight="1" x14ac:dyDescent="0.2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</row>
    <row r="630" spans="1:35" ht="15.75" customHeight="1" x14ac:dyDescent="0.2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</row>
    <row r="631" spans="1:35" ht="15.75" customHeight="1" x14ac:dyDescent="0.2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</row>
    <row r="632" spans="1:35" ht="15.75" customHeight="1" x14ac:dyDescent="0.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</row>
    <row r="633" spans="1:35" ht="15.75" customHeight="1" x14ac:dyDescent="0.2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</row>
    <row r="634" spans="1:35" ht="15.75" customHeight="1" x14ac:dyDescent="0.2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</row>
    <row r="635" spans="1:35" ht="15.75" customHeight="1" x14ac:dyDescent="0.2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</row>
    <row r="636" spans="1:35" ht="15.75" customHeight="1" x14ac:dyDescent="0.2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</row>
    <row r="637" spans="1:35" ht="15.75" customHeight="1" x14ac:dyDescent="0.2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</row>
    <row r="638" spans="1:35" ht="15.75" customHeight="1" x14ac:dyDescent="0.2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</row>
    <row r="639" spans="1:35" ht="15.75" customHeight="1" x14ac:dyDescent="0.2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</row>
    <row r="640" spans="1:35" ht="15.75" customHeight="1" x14ac:dyDescent="0.2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</row>
    <row r="641" spans="1:35" ht="15.75" customHeight="1" x14ac:dyDescent="0.2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</row>
    <row r="642" spans="1:35" ht="15.75" customHeight="1" x14ac:dyDescent="0.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</row>
    <row r="643" spans="1:35" ht="15.75" customHeight="1" x14ac:dyDescent="0.2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</row>
    <row r="644" spans="1:35" ht="15.75" customHeight="1" x14ac:dyDescent="0.2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</row>
    <row r="645" spans="1:35" ht="15.75" customHeight="1" x14ac:dyDescent="0.2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</row>
    <row r="646" spans="1:35" ht="15.75" customHeight="1" x14ac:dyDescent="0.2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</row>
    <row r="647" spans="1:35" ht="15.75" customHeight="1" x14ac:dyDescent="0.2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</row>
    <row r="648" spans="1:35" ht="15.75" customHeight="1" x14ac:dyDescent="0.2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</row>
    <row r="649" spans="1:35" ht="15.75" customHeight="1" x14ac:dyDescent="0.2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</row>
    <row r="650" spans="1:35" ht="15.75" customHeight="1" x14ac:dyDescent="0.2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</row>
    <row r="651" spans="1:35" ht="15.75" customHeight="1" x14ac:dyDescent="0.2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</row>
    <row r="652" spans="1:35" ht="15.75" customHeight="1" x14ac:dyDescent="0.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</row>
    <row r="653" spans="1:35" ht="15.75" customHeight="1" x14ac:dyDescent="0.2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</row>
    <row r="654" spans="1:35" ht="15.75" customHeight="1" x14ac:dyDescent="0.2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</row>
    <row r="655" spans="1:35" ht="15.75" customHeight="1" x14ac:dyDescent="0.2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</row>
    <row r="656" spans="1:35" ht="15.75" customHeight="1" x14ac:dyDescent="0.2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</row>
    <row r="657" spans="1:35" ht="15.75" customHeight="1" x14ac:dyDescent="0.2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</row>
    <row r="658" spans="1:35" ht="15.75" customHeight="1" x14ac:dyDescent="0.2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</row>
    <row r="659" spans="1:35" ht="15.75" customHeight="1" x14ac:dyDescent="0.2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</row>
    <row r="660" spans="1:35" ht="15.75" customHeight="1" x14ac:dyDescent="0.2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</row>
    <row r="661" spans="1:35" ht="15.75" customHeight="1" x14ac:dyDescent="0.2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</row>
    <row r="662" spans="1:35" ht="15.75" customHeight="1" x14ac:dyDescent="0.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</row>
    <row r="663" spans="1:35" ht="15.75" customHeight="1" x14ac:dyDescent="0.2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</row>
    <row r="664" spans="1:35" ht="15.75" customHeight="1" x14ac:dyDescent="0.2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</row>
    <row r="665" spans="1:35" ht="15.75" customHeight="1" x14ac:dyDescent="0.2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</row>
    <row r="666" spans="1:35" ht="15.75" customHeight="1" x14ac:dyDescent="0.2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</row>
    <row r="667" spans="1:35" ht="15.75" customHeight="1" x14ac:dyDescent="0.2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</row>
    <row r="668" spans="1:35" ht="15.75" customHeight="1" x14ac:dyDescent="0.2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</row>
    <row r="669" spans="1:35" ht="15.75" customHeight="1" x14ac:dyDescent="0.2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</row>
    <row r="670" spans="1:35" ht="15.75" customHeight="1" x14ac:dyDescent="0.2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</row>
    <row r="671" spans="1:35" ht="15.75" customHeight="1" x14ac:dyDescent="0.2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</row>
    <row r="672" spans="1:35" ht="15.75" customHeight="1" x14ac:dyDescent="0.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</row>
    <row r="673" spans="1:35" ht="15.75" customHeight="1" x14ac:dyDescent="0.2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</row>
    <row r="674" spans="1:35" ht="15.75" customHeight="1" x14ac:dyDescent="0.2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</row>
    <row r="675" spans="1:35" ht="15.75" customHeight="1" x14ac:dyDescent="0.2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</row>
    <row r="676" spans="1:35" ht="15.75" customHeight="1" x14ac:dyDescent="0.2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</row>
    <row r="677" spans="1:35" ht="15.75" customHeight="1" x14ac:dyDescent="0.2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</row>
    <row r="678" spans="1:35" ht="15.75" customHeight="1" x14ac:dyDescent="0.2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</row>
    <row r="679" spans="1:35" ht="15.75" customHeight="1" x14ac:dyDescent="0.2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</row>
    <row r="680" spans="1:35" ht="15.75" customHeight="1" x14ac:dyDescent="0.2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</row>
    <row r="681" spans="1:35" ht="15.75" customHeight="1" x14ac:dyDescent="0.2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</row>
    <row r="682" spans="1:35" ht="15.75" customHeight="1" x14ac:dyDescent="0.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</row>
    <row r="683" spans="1:35" ht="15.75" customHeight="1" x14ac:dyDescent="0.2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</row>
    <row r="684" spans="1:35" ht="15.75" customHeight="1" x14ac:dyDescent="0.2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</row>
    <row r="685" spans="1:35" ht="15.75" customHeight="1" x14ac:dyDescent="0.2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</row>
    <row r="686" spans="1:35" ht="15.75" customHeight="1" x14ac:dyDescent="0.2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</row>
    <row r="687" spans="1:35" ht="15.75" customHeight="1" x14ac:dyDescent="0.2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</row>
    <row r="688" spans="1:35" ht="15.75" customHeight="1" x14ac:dyDescent="0.2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</row>
    <row r="689" spans="1:35" ht="15.75" customHeight="1" x14ac:dyDescent="0.2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</row>
    <row r="690" spans="1:35" ht="15.75" customHeight="1" x14ac:dyDescent="0.2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</row>
    <row r="691" spans="1:35" ht="15.75" customHeight="1" x14ac:dyDescent="0.2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</row>
    <row r="692" spans="1:35" ht="15.75" customHeight="1" x14ac:dyDescent="0.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</row>
    <row r="693" spans="1:35" ht="15.75" customHeight="1" x14ac:dyDescent="0.2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</row>
    <row r="694" spans="1:35" ht="15.75" customHeight="1" x14ac:dyDescent="0.2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</row>
    <row r="695" spans="1:35" ht="15.75" customHeight="1" x14ac:dyDescent="0.2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</row>
    <row r="696" spans="1:35" ht="15.75" customHeight="1" x14ac:dyDescent="0.2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</row>
    <row r="697" spans="1:35" ht="15.75" customHeight="1" x14ac:dyDescent="0.2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</row>
    <row r="698" spans="1:35" ht="15.75" customHeight="1" x14ac:dyDescent="0.2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</row>
    <row r="699" spans="1:35" ht="15.75" customHeight="1" x14ac:dyDescent="0.2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</row>
    <row r="700" spans="1:35" ht="15.75" customHeight="1" x14ac:dyDescent="0.2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</row>
    <row r="701" spans="1:35" ht="15.75" customHeight="1" x14ac:dyDescent="0.2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</row>
    <row r="702" spans="1:35" ht="15.75" customHeight="1" x14ac:dyDescent="0.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</row>
    <row r="703" spans="1:35" ht="15.75" customHeight="1" x14ac:dyDescent="0.2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</row>
    <row r="704" spans="1:35" ht="15.75" customHeight="1" x14ac:dyDescent="0.2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</row>
    <row r="705" spans="1:35" ht="15.75" customHeight="1" x14ac:dyDescent="0.2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</row>
    <row r="706" spans="1:35" ht="15.75" customHeight="1" x14ac:dyDescent="0.2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</row>
    <row r="707" spans="1:35" ht="15.75" customHeight="1" x14ac:dyDescent="0.2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</row>
    <row r="708" spans="1:35" ht="15.75" customHeight="1" x14ac:dyDescent="0.2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</row>
    <row r="709" spans="1:35" ht="15.75" customHeight="1" x14ac:dyDescent="0.2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</row>
    <row r="710" spans="1:35" ht="15.75" customHeight="1" x14ac:dyDescent="0.2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</row>
    <row r="711" spans="1:35" ht="15.75" customHeight="1" x14ac:dyDescent="0.2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</row>
    <row r="712" spans="1:35" ht="15.75" customHeight="1" x14ac:dyDescent="0.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</row>
    <row r="713" spans="1:35" ht="15.75" customHeight="1" x14ac:dyDescent="0.2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</row>
    <row r="714" spans="1:35" ht="15.75" customHeight="1" x14ac:dyDescent="0.2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</row>
    <row r="715" spans="1:35" ht="15.75" customHeight="1" x14ac:dyDescent="0.2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</row>
    <row r="716" spans="1:35" ht="15.75" customHeight="1" x14ac:dyDescent="0.2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</row>
    <row r="717" spans="1:35" ht="15.75" customHeight="1" x14ac:dyDescent="0.2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</row>
    <row r="718" spans="1:35" ht="15.75" customHeight="1" x14ac:dyDescent="0.2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</row>
    <row r="719" spans="1:35" ht="15.75" customHeight="1" x14ac:dyDescent="0.2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</row>
    <row r="720" spans="1:35" ht="15.75" customHeight="1" x14ac:dyDescent="0.2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</row>
    <row r="721" spans="1:35" ht="15.75" customHeight="1" x14ac:dyDescent="0.2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</row>
    <row r="722" spans="1:35" ht="15.75" customHeight="1" x14ac:dyDescent="0.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</row>
    <row r="723" spans="1:35" ht="15.75" customHeight="1" x14ac:dyDescent="0.2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</row>
    <row r="724" spans="1:35" ht="15.75" customHeight="1" x14ac:dyDescent="0.2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</row>
    <row r="725" spans="1:35" ht="15.75" customHeight="1" x14ac:dyDescent="0.2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</row>
    <row r="726" spans="1:35" ht="15.75" customHeight="1" x14ac:dyDescent="0.2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</row>
    <row r="727" spans="1:35" ht="15.75" customHeight="1" x14ac:dyDescent="0.2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</row>
    <row r="728" spans="1:35" ht="15.75" customHeight="1" x14ac:dyDescent="0.2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</row>
    <row r="729" spans="1:35" ht="15.75" customHeight="1" x14ac:dyDescent="0.2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</row>
    <row r="730" spans="1:35" ht="15.75" customHeight="1" x14ac:dyDescent="0.2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</row>
    <row r="731" spans="1:35" ht="15.75" customHeight="1" x14ac:dyDescent="0.2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</row>
    <row r="732" spans="1:35" ht="15.75" customHeight="1" x14ac:dyDescent="0.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</row>
    <row r="733" spans="1:35" ht="15.75" customHeight="1" x14ac:dyDescent="0.2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</row>
    <row r="734" spans="1:35" ht="15.75" customHeight="1" x14ac:dyDescent="0.2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</row>
    <row r="735" spans="1:35" ht="15.75" customHeight="1" x14ac:dyDescent="0.2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</row>
    <row r="736" spans="1:35" ht="15.75" customHeight="1" x14ac:dyDescent="0.2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</row>
    <row r="737" spans="1:35" ht="15.75" customHeight="1" x14ac:dyDescent="0.2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</row>
    <row r="738" spans="1:35" ht="15.75" customHeight="1" x14ac:dyDescent="0.2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</row>
    <row r="739" spans="1:35" ht="15.75" customHeight="1" x14ac:dyDescent="0.2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</row>
    <row r="740" spans="1:35" ht="15.75" customHeight="1" x14ac:dyDescent="0.2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</row>
    <row r="741" spans="1:35" ht="15.75" customHeight="1" x14ac:dyDescent="0.2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</row>
    <row r="742" spans="1:35" ht="15.75" customHeight="1" x14ac:dyDescent="0.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</row>
    <row r="743" spans="1:35" ht="15.75" customHeight="1" x14ac:dyDescent="0.2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</row>
    <row r="744" spans="1:35" ht="15.75" customHeight="1" x14ac:dyDescent="0.2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</row>
    <row r="745" spans="1:35" ht="15.75" customHeight="1" x14ac:dyDescent="0.2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</row>
    <row r="746" spans="1:35" ht="15.75" customHeight="1" x14ac:dyDescent="0.2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</row>
    <row r="747" spans="1:35" ht="15.75" customHeight="1" x14ac:dyDescent="0.2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</row>
    <row r="748" spans="1:35" ht="15.75" customHeight="1" x14ac:dyDescent="0.2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</row>
    <row r="749" spans="1:35" ht="15.75" customHeight="1" x14ac:dyDescent="0.2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</row>
    <row r="750" spans="1:35" ht="15.75" customHeight="1" x14ac:dyDescent="0.2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</row>
    <row r="751" spans="1:35" ht="15.75" customHeight="1" x14ac:dyDescent="0.2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</row>
    <row r="752" spans="1:35" ht="15.75" customHeight="1" x14ac:dyDescent="0.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</row>
    <row r="753" spans="1:35" ht="15.75" customHeight="1" x14ac:dyDescent="0.2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</row>
    <row r="754" spans="1:35" ht="15.75" customHeight="1" x14ac:dyDescent="0.2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</row>
    <row r="755" spans="1:35" ht="15.75" customHeight="1" x14ac:dyDescent="0.2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</row>
    <row r="756" spans="1:35" ht="15.75" customHeight="1" x14ac:dyDescent="0.2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</row>
    <row r="757" spans="1:35" ht="15.75" customHeight="1" x14ac:dyDescent="0.2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</row>
    <row r="758" spans="1:35" ht="15.75" customHeight="1" x14ac:dyDescent="0.2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</row>
    <row r="759" spans="1:35" ht="15.75" customHeight="1" x14ac:dyDescent="0.2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</row>
    <row r="760" spans="1:35" ht="15.75" customHeight="1" x14ac:dyDescent="0.2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</row>
    <row r="761" spans="1:35" ht="15.75" customHeight="1" x14ac:dyDescent="0.2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</row>
    <row r="762" spans="1:35" ht="15.75" customHeight="1" x14ac:dyDescent="0.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</row>
    <row r="763" spans="1:35" ht="15.75" customHeight="1" x14ac:dyDescent="0.2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</row>
    <row r="764" spans="1:35" ht="15.75" customHeight="1" x14ac:dyDescent="0.2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</row>
    <row r="765" spans="1:35" ht="15.75" customHeight="1" x14ac:dyDescent="0.2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</row>
    <row r="766" spans="1:35" ht="15.75" customHeight="1" x14ac:dyDescent="0.2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</row>
    <row r="767" spans="1:35" ht="15.75" customHeight="1" x14ac:dyDescent="0.2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</row>
    <row r="768" spans="1:35" ht="15.75" customHeight="1" x14ac:dyDescent="0.2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</row>
    <row r="769" spans="1:35" ht="15.75" customHeight="1" x14ac:dyDescent="0.2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</row>
    <row r="770" spans="1:35" ht="15.75" customHeight="1" x14ac:dyDescent="0.2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</row>
    <row r="771" spans="1:35" ht="15.75" customHeight="1" x14ac:dyDescent="0.2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</row>
    <row r="772" spans="1:35" ht="15.75" customHeight="1" x14ac:dyDescent="0.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</row>
    <row r="773" spans="1:35" ht="15.75" customHeight="1" x14ac:dyDescent="0.2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</row>
    <row r="774" spans="1:35" ht="15.75" customHeight="1" x14ac:dyDescent="0.2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</row>
    <row r="775" spans="1:35" ht="15.75" customHeight="1" x14ac:dyDescent="0.2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</row>
    <row r="776" spans="1:35" ht="15.75" customHeight="1" x14ac:dyDescent="0.2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</row>
    <row r="777" spans="1:35" ht="15.75" customHeight="1" x14ac:dyDescent="0.2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</row>
    <row r="778" spans="1:35" ht="15.75" customHeight="1" x14ac:dyDescent="0.2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</row>
    <row r="779" spans="1:35" ht="15.75" customHeight="1" x14ac:dyDescent="0.2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</row>
    <row r="780" spans="1:35" ht="15.75" customHeight="1" x14ac:dyDescent="0.2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</row>
    <row r="781" spans="1:35" ht="15.75" customHeight="1" x14ac:dyDescent="0.2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</row>
    <row r="782" spans="1:35" ht="15.75" customHeight="1" x14ac:dyDescent="0.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</row>
    <row r="783" spans="1:35" ht="15.75" customHeight="1" x14ac:dyDescent="0.2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</row>
    <row r="784" spans="1:35" ht="15.75" customHeight="1" x14ac:dyDescent="0.2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</row>
    <row r="785" spans="1:35" ht="15.75" customHeight="1" x14ac:dyDescent="0.2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</row>
    <row r="786" spans="1:35" ht="15.75" customHeight="1" x14ac:dyDescent="0.2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</row>
    <row r="787" spans="1:35" ht="15.75" customHeight="1" x14ac:dyDescent="0.2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</row>
    <row r="788" spans="1:35" ht="15.75" customHeight="1" x14ac:dyDescent="0.2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</row>
    <row r="789" spans="1:35" ht="15.75" customHeight="1" x14ac:dyDescent="0.2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</row>
    <row r="790" spans="1:35" ht="15.75" customHeight="1" x14ac:dyDescent="0.2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</row>
    <row r="791" spans="1:35" ht="15.75" customHeight="1" x14ac:dyDescent="0.2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</row>
    <row r="792" spans="1:35" ht="15.75" customHeight="1" x14ac:dyDescent="0.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</row>
    <row r="793" spans="1:35" ht="15.75" customHeight="1" x14ac:dyDescent="0.2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</row>
    <row r="794" spans="1:35" ht="15.75" customHeight="1" x14ac:dyDescent="0.2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</row>
    <row r="795" spans="1:35" ht="15.75" customHeight="1" x14ac:dyDescent="0.2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</row>
    <row r="796" spans="1:35" ht="15.75" customHeight="1" x14ac:dyDescent="0.2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</row>
    <row r="797" spans="1:35" ht="15.75" customHeight="1" x14ac:dyDescent="0.2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</row>
    <row r="798" spans="1:35" ht="15.75" customHeight="1" x14ac:dyDescent="0.2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</row>
    <row r="799" spans="1:35" ht="15.75" customHeight="1" x14ac:dyDescent="0.2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</row>
    <row r="800" spans="1:35" ht="15.75" customHeight="1" x14ac:dyDescent="0.2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</row>
    <row r="801" spans="1:35" ht="15.75" customHeight="1" x14ac:dyDescent="0.2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</row>
    <row r="802" spans="1:35" ht="15.75" customHeight="1" x14ac:dyDescent="0.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</row>
    <row r="803" spans="1:35" ht="15.75" customHeight="1" x14ac:dyDescent="0.2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</row>
    <row r="804" spans="1:35" ht="15.75" customHeight="1" x14ac:dyDescent="0.2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</row>
    <row r="805" spans="1:35" ht="15.75" customHeight="1" x14ac:dyDescent="0.2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</row>
    <row r="806" spans="1:35" ht="15.75" customHeight="1" x14ac:dyDescent="0.2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</row>
    <row r="807" spans="1:35" ht="15.75" customHeight="1" x14ac:dyDescent="0.2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</row>
    <row r="808" spans="1:35" ht="15.75" customHeight="1" x14ac:dyDescent="0.2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</row>
    <row r="809" spans="1:35" ht="15.75" customHeight="1" x14ac:dyDescent="0.2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</row>
    <row r="810" spans="1:35" ht="15.75" customHeight="1" x14ac:dyDescent="0.2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</row>
    <row r="811" spans="1:35" ht="15.75" customHeight="1" x14ac:dyDescent="0.2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</row>
    <row r="812" spans="1:35" ht="15.75" customHeight="1" x14ac:dyDescent="0.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</row>
    <row r="813" spans="1:35" ht="15.75" customHeight="1" x14ac:dyDescent="0.2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</row>
    <row r="814" spans="1:35" ht="15.75" customHeight="1" x14ac:dyDescent="0.2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</row>
    <row r="815" spans="1:35" ht="15.75" customHeight="1" x14ac:dyDescent="0.2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</row>
    <row r="816" spans="1:35" ht="15.75" customHeight="1" x14ac:dyDescent="0.2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</row>
    <row r="817" spans="1:35" ht="15.75" customHeight="1" x14ac:dyDescent="0.2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</row>
    <row r="818" spans="1:35" ht="15.75" customHeight="1" x14ac:dyDescent="0.2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</row>
    <row r="819" spans="1:35" ht="15.75" customHeight="1" x14ac:dyDescent="0.2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</row>
    <row r="820" spans="1:35" ht="15.75" customHeight="1" x14ac:dyDescent="0.2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</row>
    <row r="821" spans="1:35" ht="15.75" customHeight="1" x14ac:dyDescent="0.2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</row>
    <row r="822" spans="1:35" ht="15.75" customHeight="1" x14ac:dyDescent="0.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</row>
    <row r="823" spans="1:35" ht="15.75" customHeight="1" x14ac:dyDescent="0.2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</row>
    <row r="824" spans="1:35" ht="15.75" customHeight="1" x14ac:dyDescent="0.2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</row>
    <row r="825" spans="1:35" ht="15.75" customHeight="1" x14ac:dyDescent="0.2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</row>
    <row r="826" spans="1:35" ht="15.75" customHeight="1" x14ac:dyDescent="0.2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</row>
    <row r="827" spans="1:35" ht="15.75" customHeight="1" x14ac:dyDescent="0.2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</row>
    <row r="828" spans="1:35" ht="15.75" customHeight="1" x14ac:dyDescent="0.2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</row>
    <row r="829" spans="1:35" ht="15.75" customHeight="1" x14ac:dyDescent="0.2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</row>
    <row r="830" spans="1:35" ht="15.75" customHeight="1" x14ac:dyDescent="0.2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</row>
    <row r="831" spans="1:35" ht="15.75" customHeight="1" x14ac:dyDescent="0.2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</row>
    <row r="832" spans="1:35" ht="15.75" customHeight="1" x14ac:dyDescent="0.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</row>
    <row r="833" spans="1:35" ht="15.75" customHeight="1" x14ac:dyDescent="0.2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</row>
    <row r="834" spans="1:35" ht="15.75" customHeight="1" x14ac:dyDescent="0.2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</row>
    <row r="835" spans="1:35" ht="15.75" customHeight="1" x14ac:dyDescent="0.2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</row>
    <row r="836" spans="1:35" ht="15.75" customHeight="1" x14ac:dyDescent="0.2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</row>
    <row r="837" spans="1:35" ht="15.75" customHeight="1" x14ac:dyDescent="0.2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</row>
    <row r="838" spans="1:35" ht="15.75" customHeight="1" x14ac:dyDescent="0.2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</row>
    <row r="839" spans="1:35" ht="15.75" customHeight="1" x14ac:dyDescent="0.2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</row>
    <row r="840" spans="1:35" ht="15.75" customHeight="1" x14ac:dyDescent="0.2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</row>
    <row r="841" spans="1:35" ht="15.75" customHeight="1" x14ac:dyDescent="0.2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</row>
    <row r="842" spans="1:35" ht="15.75" customHeight="1" x14ac:dyDescent="0.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</row>
    <row r="843" spans="1:35" ht="15.75" customHeight="1" x14ac:dyDescent="0.2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</row>
    <row r="844" spans="1:35" ht="15.75" customHeight="1" x14ac:dyDescent="0.2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</row>
    <row r="845" spans="1:35" ht="15.75" customHeight="1" x14ac:dyDescent="0.2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</row>
    <row r="846" spans="1:35" ht="15.75" customHeight="1" x14ac:dyDescent="0.2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</row>
    <row r="847" spans="1:35" ht="15.75" customHeight="1" x14ac:dyDescent="0.2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</row>
    <row r="848" spans="1:35" ht="15.75" customHeight="1" x14ac:dyDescent="0.2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</row>
    <row r="849" spans="1:35" ht="15.75" customHeight="1" x14ac:dyDescent="0.2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</row>
    <row r="850" spans="1:35" ht="15.75" customHeight="1" x14ac:dyDescent="0.2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</row>
    <row r="851" spans="1:35" ht="15.75" customHeight="1" x14ac:dyDescent="0.2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</row>
    <row r="852" spans="1:35" ht="15.75" customHeight="1" x14ac:dyDescent="0.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</row>
    <row r="853" spans="1:35" ht="15.75" customHeight="1" x14ac:dyDescent="0.2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</row>
    <row r="854" spans="1:35" ht="15.75" customHeight="1" x14ac:dyDescent="0.2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</row>
    <row r="855" spans="1:35" ht="15.75" customHeight="1" x14ac:dyDescent="0.2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</row>
    <row r="856" spans="1:35" ht="15.75" customHeight="1" x14ac:dyDescent="0.2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</row>
    <row r="857" spans="1:35" ht="15.75" customHeight="1" x14ac:dyDescent="0.2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</row>
    <row r="858" spans="1:35" ht="15.75" customHeight="1" x14ac:dyDescent="0.2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</row>
    <row r="859" spans="1:35" ht="15.75" customHeight="1" x14ac:dyDescent="0.2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</row>
    <row r="860" spans="1:35" ht="15.75" customHeight="1" x14ac:dyDescent="0.2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</row>
    <row r="861" spans="1:35" ht="15.75" customHeight="1" x14ac:dyDescent="0.2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</row>
    <row r="862" spans="1:35" ht="15.75" customHeight="1" x14ac:dyDescent="0.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</row>
    <row r="863" spans="1:35" ht="15.75" customHeight="1" x14ac:dyDescent="0.2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</row>
    <row r="864" spans="1:35" ht="15.75" customHeight="1" x14ac:dyDescent="0.2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</row>
    <row r="865" spans="1:35" ht="15.75" customHeight="1" x14ac:dyDescent="0.2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</row>
    <row r="866" spans="1:35" ht="15.75" customHeight="1" x14ac:dyDescent="0.2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</row>
    <row r="867" spans="1:35" ht="15.75" customHeight="1" x14ac:dyDescent="0.2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</row>
    <row r="868" spans="1:35" ht="15.75" customHeight="1" x14ac:dyDescent="0.2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</row>
    <row r="869" spans="1:35" ht="15.75" customHeight="1" x14ac:dyDescent="0.2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</row>
    <row r="870" spans="1:35" ht="15.75" customHeight="1" x14ac:dyDescent="0.2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</row>
    <row r="871" spans="1:35" ht="15.75" customHeight="1" x14ac:dyDescent="0.2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</row>
    <row r="872" spans="1:35" ht="15.75" customHeight="1" x14ac:dyDescent="0.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</row>
    <row r="873" spans="1:35" ht="15.75" customHeight="1" x14ac:dyDescent="0.2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</row>
    <row r="874" spans="1:35" ht="15.75" customHeight="1" x14ac:dyDescent="0.2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</row>
    <row r="875" spans="1:35" ht="15.75" customHeight="1" x14ac:dyDescent="0.2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</row>
    <row r="876" spans="1:35" ht="15.75" customHeight="1" x14ac:dyDescent="0.2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</row>
    <row r="877" spans="1:35" ht="15.75" customHeight="1" x14ac:dyDescent="0.2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</row>
    <row r="878" spans="1:35" ht="15.75" customHeight="1" x14ac:dyDescent="0.2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</row>
    <row r="879" spans="1:35" ht="15.75" customHeight="1" x14ac:dyDescent="0.2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</row>
    <row r="880" spans="1:35" ht="15.75" customHeight="1" x14ac:dyDescent="0.2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</row>
    <row r="881" spans="1:35" ht="15.75" customHeight="1" x14ac:dyDescent="0.2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</row>
    <row r="882" spans="1:35" ht="15.75" customHeight="1" x14ac:dyDescent="0.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</row>
    <row r="883" spans="1:35" ht="15.75" customHeight="1" x14ac:dyDescent="0.2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</row>
    <row r="884" spans="1:35" ht="15.75" customHeight="1" x14ac:dyDescent="0.2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</row>
    <row r="885" spans="1:35" ht="15.75" customHeight="1" x14ac:dyDescent="0.2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</row>
    <row r="886" spans="1:35" ht="15.75" customHeight="1" x14ac:dyDescent="0.2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</row>
    <row r="887" spans="1:35" ht="15.75" customHeight="1" x14ac:dyDescent="0.2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</row>
    <row r="888" spans="1:35" ht="15.75" customHeight="1" x14ac:dyDescent="0.2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</row>
    <row r="889" spans="1:35" ht="15.75" customHeight="1" x14ac:dyDescent="0.2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</row>
    <row r="890" spans="1:35" ht="15.75" customHeight="1" x14ac:dyDescent="0.2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</row>
    <row r="891" spans="1:35" ht="15.75" customHeight="1" x14ac:dyDescent="0.2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</row>
    <row r="892" spans="1:35" ht="15.75" customHeight="1" x14ac:dyDescent="0.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</row>
    <row r="893" spans="1:35" ht="15.75" customHeight="1" x14ac:dyDescent="0.2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</row>
    <row r="894" spans="1:35" ht="15.75" customHeight="1" x14ac:dyDescent="0.2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</row>
    <row r="895" spans="1:35" ht="15.75" customHeight="1" x14ac:dyDescent="0.2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</row>
    <row r="896" spans="1:35" ht="15.75" customHeight="1" x14ac:dyDescent="0.2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</row>
    <row r="897" spans="1:35" ht="15.75" customHeight="1" x14ac:dyDescent="0.2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</row>
    <row r="898" spans="1:35" ht="15.75" customHeight="1" x14ac:dyDescent="0.2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</row>
    <row r="899" spans="1:35" ht="15.75" customHeight="1" x14ac:dyDescent="0.2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</row>
    <row r="900" spans="1:35" ht="15.75" customHeight="1" x14ac:dyDescent="0.2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</row>
    <row r="901" spans="1:35" ht="15.75" customHeight="1" x14ac:dyDescent="0.2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</row>
    <row r="902" spans="1:35" ht="15.75" customHeight="1" x14ac:dyDescent="0.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</row>
    <row r="903" spans="1:35" ht="15.75" customHeight="1" x14ac:dyDescent="0.2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</row>
    <row r="904" spans="1:35" ht="15.75" customHeight="1" x14ac:dyDescent="0.2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</row>
    <row r="905" spans="1:35" ht="15.75" customHeight="1" x14ac:dyDescent="0.2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</row>
    <row r="906" spans="1:35" ht="15.75" customHeight="1" x14ac:dyDescent="0.2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</row>
    <row r="907" spans="1:35" ht="15.75" customHeight="1" x14ac:dyDescent="0.2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</row>
    <row r="908" spans="1:35" ht="15.75" customHeight="1" x14ac:dyDescent="0.2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</row>
    <row r="909" spans="1:35" ht="15.75" customHeight="1" x14ac:dyDescent="0.2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</row>
    <row r="910" spans="1:35" ht="15.75" customHeight="1" x14ac:dyDescent="0.2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</row>
    <row r="911" spans="1:35" ht="15.75" customHeight="1" x14ac:dyDescent="0.2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</row>
    <row r="912" spans="1:35" ht="15.75" customHeight="1" x14ac:dyDescent="0.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</row>
    <row r="913" spans="1:35" ht="15.75" customHeight="1" x14ac:dyDescent="0.2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</row>
    <row r="914" spans="1:35" ht="15.75" customHeight="1" x14ac:dyDescent="0.2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</row>
    <row r="915" spans="1:35" ht="15.75" customHeight="1" x14ac:dyDescent="0.2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</row>
    <row r="916" spans="1:35" ht="15.75" customHeight="1" x14ac:dyDescent="0.2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</row>
    <row r="917" spans="1:35" ht="15.75" customHeight="1" x14ac:dyDescent="0.2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</row>
    <row r="918" spans="1:35" ht="15.75" customHeight="1" x14ac:dyDescent="0.2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</row>
    <row r="919" spans="1:35" ht="15.75" customHeight="1" x14ac:dyDescent="0.2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</row>
    <row r="920" spans="1:35" ht="15.75" customHeight="1" x14ac:dyDescent="0.2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</row>
    <row r="921" spans="1:35" ht="15.75" customHeight="1" x14ac:dyDescent="0.2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</row>
    <row r="922" spans="1:35" ht="15.75" customHeight="1" x14ac:dyDescent="0.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</row>
    <row r="923" spans="1:35" ht="15.75" customHeight="1" x14ac:dyDescent="0.2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</row>
    <row r="924" spans="1:35" ht="15.75" customHeight="1" x14ac:dyDescent="0.2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</row>
    <row r="925" spans="1:35" ht="15.75" customHeight="1" x14ac:dyDescent="0.2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</row>
    <row r="926" spans="1:35" ht="15.75" customHeight="1" x14ac:dyDescent="0.2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</row>
    <row r="927" spans="1:35" ht="15.75" customHeight="1" x14ac:dyDescent="0.2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</row>
    <row r="928" spans="1:35" ht="15.75" customHeight="1" x14ac:dyDescent="0.2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</row>
    <row r="929" spans="1:35" ht="15.75" customHeight="1" x14ac:dyDescent="0.2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</row>
    <row r="930" spans="1:35" ht="15.75" customHeight="1" x14ac:dyDescent="0.2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</row>
    <row r="931" spans="1:35" ht="15.75" customHeight="1" x14ac:dyDescent="0.2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</row>
    <row r="932" spans="1:35" ht="15.75" customHeight="1" x14ac:dyDescent="0.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</row>
    <row r="933" spans="1:35" ht="15.75" customHeight="1" x14ac:dyDescent="0.2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</row>
    <row r="934" spans="1:35" ht="15.75" customHeight="1" x14ac:dyDescent="0.2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</row>
    <row r="935" spans="1:35" ht="15.75" customHeight="1" x14ac:dyDescent="0.2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</row>
    <row r="936" spans="1:35" ht="15.75" customHeight="1" x14ac:dyDescent="0.2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</row>
    <row r="937" spans="1:35" ht="15.75" customHeight="1" x14ac:dyDescent="0.2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</row>
    <row r="938" spans="1:35" ht="15.75" customHeight="1" x14ac:dyDescent="0.2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</row>
    <row r="939" spans="1:35" ht="15.75" customHeight="1" x14ac:dyDescent="0.2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</row>
    <row r="940" spans="1:35" ht="15.75" customHeight="1" x14ac:dyDescent="0.2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</row>
    <row r="941" spans="1:35" ht="15.75" customHeight="1" x14ac:dyDescent="0.2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</row>
    <row r="942" spans="1:35" ht="15.75" customHeight="1" x14ac:dyDescent="0.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</row>
    <row r="943" spans="1:35" ht="15.75" customHeight="1" x14ac:dyDescent="0.2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</row>
    <row r="944" spans="1:35" ht="15.75" customHeight="1" x14ac:dyDescent="0.2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</row>
    <row r="945" spans="1:35" ht="15.75" customHeight="1" x14ac:dyDescent="0.2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</row>
    <row r="946" spans="1:35" ht="15.75" customHeight="1" x14ac:dyDescent="0.2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</row>
    <row r="947" spans="1:35" ht="15.75" customHeight="1" x14ac:dyDescent="0.2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</row>
    <row r="948" spans="1:35" ht="15.75" customHeight="1" x14ac:dyDescent="0.2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</row>
    <row r="949" spans="1:35" ht="15.75" customHeight="1" x14ac:dyDescent="0.2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</row>
    <row r="950" spans="1:35" ht="15.75" customHeight="1" x14ac:dyDescent="0.2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</row>
    <row r="951" spans="1:35" ht="15.75" customHeight="1" x14ac:dyDescent="0.2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</row>
    <row r="952" spans="1:35" ht="15.75" customHeight="1" x14ac:dyDescent="0.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</row>
    <row r="953" spans="1:35" ht="15.75" customHeight="1" x14ac:dyDescent="0.2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</row>
    <row r="954" spans="1:35" ht="15.75" customHeight="1" x14ac:dyDescent="0.2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</row>
    <row r="955" spans="1:35" ht="15.75" customHeight="1" x14ac:dyDescent="0.2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</row>
    <row r="956" spans="1:35" ht="15.75" customHeight="1" x14ac:dyDescent="0.2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</row>
    <row r="957" spans="1:35" ht="15.75" customHeight="1" x14ac:dyDescent="0.2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</row>
    <row r="958" spans="1:35" ht="15.75" customHeight="1" x14ac:dyDescent="0.2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</row>
    <row r="959" spans="1:35" ht="15.75" customHeight="1" x14ac:dyDescent="0.2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</row>
    <row r="960" spans="1:35" ht="15.75" customHeight="1" x14ac:dyDescent="0.2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</row>
    <row r="961" spans="1:35" ht="15.75" customHeight="1" x14ac:dyDescent="0.2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</row>
    <row r="962" spans="1:35" ht="15.75" customHeight="1" x14ac:dyDescent="0.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</row>
    <row r="963" spans="1:35" ht="15.75" customHeight="1" x14ac:dyDescent="0.2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</row>
    <row r="964" spans="1:35" ht="15.75" customHeight="1" x14ac:dyDescent="0.2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</row>
    <row r="965" spans="1:35" ht="15.75" customHeight="1" x14ac:dyDescent="0.2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</row>
    <row r="966" spans="1:35" ht="15.75" customHeight="1" x14ac:dyDescent="0.2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</row>
    <row r="967" spans="1:35" ht="15.75" customHeight="1" x14ac:dyDescent="0.2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</row>
    <row r="968" spans="1:35" ht="15.75" customHeight="1" x14ac:dyDescent="0.2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</row>
    <row r="969" spans="1:35" ht="15.75" customHeight="1" x14ac:dyDescent="0.2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</row>
    <row r="970" spans="1:35" ht="15.75" customHeight="1" x14ac:dyDescent="0.2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</row>
    <row r="971" spans="1:35" ht="15.75" customHeight="1" x14ac:dyDescent="0.2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</row>
    <row r="972" spans="1:35" ht="15.75" customHeight="1" x14ac:dyDescent="0.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</row>
    <row r="973" spans="1:35" ht="15.75" customHeight="1" x14ac:dyDescent="0.2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</row>
    <row r="974" spans="1:35" ht="15.75" customHeight="1" x14ac:dyDescent="0.2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</row>
    <row r="975" spans="1:35" ht="15.75" customHeight="1" x14ac:dyDescent="0.2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</row>
    <row r="976" spans="1:35" ht="15.75" customHeight="1" x14ac:dyDescent="0.2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</row>
    <row r="977" spans="1:35" ht="15.75" customHeight="1" x14ac:dyDescent="0.2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</row>
    <row r="978" spans="1:35" ht="15.75" customHeight="1" x14ac:dyDescent="0.2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</row>
    <row r="979" spans="1:35" ht="15.75" customHeight="1" x14ac:dyDescent="0.2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</row>
    <row r="980" spans="1:35" ht="15.75" customHeight="1" x14ac:dyDescent="0.2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</row>
    <row r="981" spans="1:35" ht="15.75" customHeight="1" x14ac:dyDescent="0.2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</row>
    <row r="982" spans="1:35" ht="15.75" customHeight="1" x14ac:dyDescent="0.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</row>
    <row r="983" spans="1:35" ht="15.75" customHeight="1" x14ac:dyDescent="0.2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</row>
    <row r="984" spans="1:35" ht="15.75" customHeight="1" x14ac:dyDescent="0.2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</row>
    <row r="985" spans="1:35" ht="15.75" customHeight="1" x14ac:dyDescent="0.2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</row>
    <row r="986" spans="1:35" ht="15.75" customHeight="1" x14ac:dyDescent="0.2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</row>
    <row r="987" spans="1:35" ht="15.75" customHeight="1" x14ac:dyDescent="0.2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</row>
    <row r="988" spans="1:35" ht="15.75" customHeight="1" x14ac:dyDescent="0.2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</row>
    <row r="989" spans="1:35" ht="15.75" customHeight="1" x14ac:dyDescent="0.2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</row>
    <row r="990" spans="1:35" ht="15.75" customHeight="1" x14ac:dyDescent="0.2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</row>
    <row r="991" spans="1:35" ht="15.75" customHeight="1" x14ac:dyDescent="0.2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</row>
    <row r="992" spans="1:35" ht="15.75" customHeight="1" x14ac:dyDescent="0.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</row>
    <row r="993" spans="1:35" ht="15.75" customHeight="1" x14ac:dyDescent="0.2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</row>
    <row r="994" spans="1:35" ht="15.75" customHeight="1" x14ac:dyDescent="0.2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</row>
    <row r="995" spans="1:35" ht="15.75" customHeight="1" x14ac:dyDescent="0.2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</row>
    <row r="996" spans="1:35" ht="15.75" customHeight="1" x14ac:dyDescent="0.2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</row>
    <row r="997" spans="1:35" ht="15.75" customHeight="1" x14ac:dyDescent="0.2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</row>
    <row r="998" spans="1:35" ht="15.75" customHeight="1" x14ac:dyDescent="0.2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</row>
    <row r="999" spans="1:35" ht="15.75" customHeight="1" x14ac:dyDescent="0.2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</row>
    <row r="1000" spans="1:35" ht="15.75" customHeight="1" x14ac:dyDescent="0.2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</row>
  </sheetData>
  <mergeCells count="52">
    <mergeCell ref="B2:F2"/>
    <mergeCell ref="G2:I2"/>
    <mergeCell ref="J2:K2"/>
    <mergeCell ref="L2:M2"/>
    <mergeCell ref="N2:O2"/>
    <mergeCell ref="P2:Q2"/>
    <mergeCell ref="R2:S2"/>
    <mergeCell ref="G3:I3"/>
    <mergeCell ref="J3:K3"/>
    <mergeCell ref="L3:M3"/>
    <mergeCell ref="N3:O3"/>
    <mergeCell ref="P3:Q3"/>
    <mergeCell ref="R3:S3"/>
    <mergeCell ref="R4:S4"/>
    <mergeCell ref="G5:I5"/>
    <mergeCell ref="J5:K5"/>
    <mergeCell ref="L5:M5"/>
    <mergeCell ref="N5:O5"/>
    <mergeCell ref="P5:Q5"/>
    <mergeCell ref="R5:S5"/>
    <mergeCell ref="G4:I4"/>
    <mergeCell ref="J4:K4"/>
    <mergeCell ref="L4:M4"/>
    <mergeCell ref="N4:O4"/>
    <mergeCell ref="P4:Q4"/>
    <mergeCell ref="R6:S6"/>
    <mergeCell ref="G7:I7"/>
    <mergeCell ref="J7:K7"/>
    <mergeCell ref="L7:M7"/>
    <mergeCell ref="N7:O7"/>
    <mergeCell ref="P7:Q7"/>
    <mergeCell ref="R7:S7"/>
    <mergeCell ref="G6:I6"/>
    <mergeCell ref="J6:K6"/>
    <mergeCell ref="L6:M6"/>
    <mergeCell ref="N6:O6"/>
    <mergeCell ref="P6:Q6"/>
    <mergeCell ref="J12:N12"/>
    <mergeCell ref="J17:N17"/>
    <mergeCell ref="B23:F23"/>
    <mergeCell ref="R8:S8"/>
    <mergeCell ref="N9:O9"/>
    <mergeCell ref="P9:Q9"/>
    <mergeCell ref="R9:S9"/>
    <mergeCell ref="N10:O10"/>
    <mergeCell ref="P10:Q10"/>
    <mergeCell ref="R10:S10"/>
    <mergeCell ref="G8:I8"/>
    <mergeCell ref="J8:K8"/>
    <mergeCell ref="L8:M8"/>
    <mergeCell ref="N8:O8"/>
    <mergeCell ref="P8:Q8"/>
  </mergeCells>
  <pageMargins left="0.7" right="0.7" top="0.75" bottom="0.75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TPH Comps Model</vt:lpstr>
      <vt:lpstr>AMD Precedent Transactions EXAM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nickc</dc:creator>
  <dc:description/>
  <cp:lastModifiedBy>Sam Heier</cp:lastModifiedBy>
  <cp:revision>0</cp:revision>
  <dcterms:created xsi:type="dcterms:W3CDTF">2023-04-06T20:43:36Z</dcterms:created>
  <dcterms:modified xsi:type="dcterms:W3CDTF">2026-08-13T23:58:55Z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0x01010013A40ED7266A9F499B0E3BDF53150E07</vt:lpwstr>
  </property>
  <property fmtid="{D5CDD505-2E9C-101B-9397-08002B2CF9AE}" pid="3" name="WorkbookGuid">
    <vt:lpwstr>53ecec6e-22a9-4b71-8cc0-1db74a27013d</vt:lpwstr>
  </property>
</Properties>
</file>
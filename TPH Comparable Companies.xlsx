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amheier/Documents/Investing/"/>
    </mc:Choice>
  </mc:AlternateContent>
  <xr:revisionPtr revIDLastSave="0" documentId="13_ncr:1_{91C7FF8C-2450-7544-8D3E-576C65920913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TPH Comps Model" sheetId="1" r:id="rId1"/>
    <sheet name="AMD Precedent Transactions EXAM" sheetId="2" r:id="rId2"/>
  </sheets>
  <definedNames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"c2108"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"c2106"</definedName>
    <definedName name="IQ_DIV_RECORD_DATE">"c2105"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PS_HIGH_EST">"c400"</definedName>
    <definedName name="IQ_EPS_LOW_EST">"c401"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GROWTH_1YR">"c1636"</definedName>
    <definedName name="IQ_EST_EPS_GROWTH_5YR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STDDEV">"c1660"</definedName>
    <definedName name="IQ_EST_EPS_GROWTH_Q_1YR">"c1641"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FO">"c1574"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MACHINERY">"c711"</definedName>
    <definedName name="IQ_MAINT_REPAIR">"c2087"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XDIV_DATE">"c2104"</definedName>
    <definedName name="IQ_YEARHIGH">"c1337"</definedName>
    <definedName name="IQ_YEARLOW">"c1338"</definedName>
    <definedName name="IQ_YTD">3000</definedName>
    <definedName name="IQ_Z_SCORE">"c1339"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vaEHoWwrcm/0+WH2y6RiqLT4C5bOuyQhAxgIx56Xm8="/>
    </ext>
  </extLst>
</workbook>
</file>

<file path=xl/calcChain.xml><?xml version="1.0" encoding="utf-8"?>
<calcChain xmlns="http://schemas.openxmlformats.org/spreadsheetml/2006/main">
  <c r="T46" i="1" l="1"/>
  <c r="K46" i="1"/>
  <c r="O31" i="1"/>
  <c r="N31" i="1"/>
  <c r="M31" i="1"/>
  <c r="L31" i="1"/>
  <c r="K31" i="1"/>
  <c r="E18" i="2"/>
  <c r="D18" i="2"/>
  <c r="I17" i="2"/>
  <c r="E16" i="2"/>
  <c r="D16" i="2"/>
  <c r="E15" i="2"/>
  <c r="D15" i="2"/>
  <c r="K14" i="2"/>
  <c r="N13" i="2"/>
  <c r="N14" i="2" s="1"/>
  <c r="M13" i="2"/>
  <c r="M14" i="2" s="1"/>
  <c r="K13" i="2"/>
  <c r="J13" i="2" s="1"/>
  <c r="J14" i="2" s="1"/>
  <c r="I12" i="2"/>
  <c r="L14" i="2" s="1"/>
  <c r="R10" i="2"/>
  <c r="E13" i="2" s="1"/>
  <c r="P10" i="2"/>
  <c r="D13" i="2" s="1"/>
  <c r="D14" i="2" s="1"/>
  <c r="D17" i="2" s="1"/>
  <c r="D19" i="2" s="1"/>
  <c r="R7" i="2"/>
  <c r="R9" i="2" s="1"/>
  <c r="P7" i="2"/>
  <c r="R6" i="2"/>
  <c r="P6" i="2"/>
  <c r="R5" i="2"/>
  <c r="P5" i="2"/>
  <c r="R4" i="2"/>
  <c r="P4" i="2"/>
  <c r="AA3" i="2"/>
  <c r="AB3" i="2" s="1"/>
  <c r="P3" i="2"/>
  <c r="P9" i="2" s="1"/>
  <c r="V56" i="1"/>
  <c r="V55" i="1"/>
  <c r="J45" i="1"/>
  <c r="AA43" i="1"/>
  <c r="S42" i="1"/>
  <c r="J41" i="1"/>
  <c r="Y39" i="1"/>
  <c r="Y42" i="1" s="1"/>
  <c r="J37" i="1"/>
  <c r="AF36" i="1"/>
  <c r="AE36" i="1"/>
  <c r="Y36" i="1"/>
  <c r="X36" i="1"/>
  <c r="W36" i="1"/>
  <c r="V36" i="1"/>
  <c r="U36" i="1"/>
  <c r="T36" i="1"/>
  <c r="S36" i="1"/>
  <c r="AF35" i="1"/>
  <c r="AE35" i="1"/>
  <c r="Y35" i="1"/>
  <c r="X35" i="1"/>
  <c r="W35" i="1"/>
  <c r="V35" i="1"/>
  <c r="U35" i="1"/>
  <c r="T35" i="1"/>
  <c r="S35" i="1"/>
  <c r="AF34" i="1"/>
  <c r="AE34" i="1"/>
  <c r="Y34" i="1"/>
  <c r="X34" i="1"/>
  <c r="W34" i="1"/>
  <c r="V34" i="1"/>
  <c r="U34" i="1"/>
  <c r="T34" i="1"/>
  <c r="S34" i="1"/>
  <c r="AF33" i="1"/>
  <c r="AF39" i="1" s="1"/>
  <c r="AF42" i="1" s="1"/>
  <c r="AE33" i="1"/>
  <c r="Y33" i="1"/>
  <c r="X33" i="1"/>
  <c r="W33" i="1"/>
  <c r="V33" i="1"/>
  <c r="U33" i="1"/>
  <c r="T33" i="1"/>
  <c r="S33" i="1"/>
  <c r="J33" i="1"/>
  <c r="AF32" i="1"/>
  <c r="AF38" i="1" s="1"/>
  <c r="AE32" i="1"/>
  <c r="Y32" i="1"/>
  <c r="Y38" i="1" s="1"/>
  <c r="X32" i="1"/>
  <c r="X39" i="1" s="1"/>
  <c r="W32" i="1"/>
  <c r="V32" i="1"/>
  <c r="U32" i="1"/>
  <c r="T32" i="1"/>
  <c r="S32" i="1"/>
  <c r="AF31" i="1"/>
  <c r="AE31" i="1"/>
  <c r="Y31" i="1"/>
  <c r="X31" i="1"/>
  <c r="W31" i="1"/>
  <c r="W39" i="1" s="1"/>
  <c r="V31" i="1"/>
  <c r="V39" i="1" s="1"/>
  <c r="U31" i="1"/>
  <c r="U39" i="1" s="1"/>
  <c r="T31" i="1"/>
  <c r="S31" i="1"/>
  <c r="AF30" i="1"/>
  <c r="AE30" i="1"/>
  <c r="Y30" i="1"/>
  <c r="X30" i="1"/>
  <c r="W30" i="1"/>
  <c r="V30" i="1"/>
  <c r="U30" i="1"/>
  <c r="T30" i="1"/>
  <c r="T42" i="1" s="1"/>
  <c r="S30" i="1"/>
  <c r="J29" i="1"/>
  <c r="O17" i="1"/>
  <c r="Y14" i="1"/>
  <c r="X14" i="1"/>
  <c r="W14" i="1"/>
  <c r="V14" i="1"/>
  <c r="U14" i="1"/>
  <c r="T14" i="1"/>
  <c r="S14" i="1"/>
  <c r="Y13" i="1"/>
  <c r="X13" i="1"/>
  <c r="W13" i="1"/>
  <c r="V13" i="1"/>
  <c r="U13" i="1"/>
  <c r="T13" i="1"/>
  <c r="S13" i="1"/>
  <c r="O11" i="1"/>
  <c r="O10" i="1"/>
  <c r="O9" i="1"/>
  <c r="O8" i="1"/>
  <c r="O7" i="1"/>
  <c r="O6" i="1"/>
  <c r="AE39" i="1" l="1"/>
  <c r="AE42" i="1" s="1"/>
  <c r="M38" i="1"/>
  <c r="W42" i="1"/>
  <c r="V42" i="1"/>
  <c r="M34" i="1"/>
  <c r="U42" i="1"/>
  <c r="M30" i="1"/>
  <c r="M42" i="1"/>
  <c r="X42" i="1"/>
  <c r="E14" i="2"/>
  <c r="E17" i="2" s="1"/>
  <c r="E19" i="2" s="1"/>
  <c r="L18" i="2"/>
  <c r="AE38" i="1"/>
  <c r="M46" i="1"/>
  <c r="U38" i="1"/>
  <c r="V38" i="1"/>
  <c r="W38" i="1"/>
  <c r="X38" i="1"/>
  <c r="M47" i="1" l="1"/>
  <c r="N46" i="1"/>
  <c r="L46" i="1"/>
  <c r="L19" i="2"/>
  <c r="M18" i="2"/>
  <c r="K18" i="2"/>
  <c r="M43" i="1"/>
  <c r="N42" i="1"/>
  <c r="L42" i="1"/>
  <c r="N30" i="1"/>
  <c r="L30" i="1"/>
  <c r="T47" i="1"/>
  <c r="S47" i="1" s="1" a="1"/>
  <c r="S47" i="1" s="1"/>
  <c r="M35" i="1"/>
  <c r="N34" i="1"/>
  <c r="L34" i="1"/>
  <c r="N38" i="1"/>
  <c r="M39" i="1"/>
  <c r="L38" i="1"/>
  <c r="L35" i="1" l="1"/>
  <c r="K55" i="1" s="1"/>
  <c r="K34" i="1"/>
  <c r="K35" i="1" s="1"/>
  <c r="K51" i="1"/>
  <c r="K30" i="1"/>
  <c r="M51" i="1"/>
  <c r="L51" i="1" s="1"/>
  <c r="O30" i="1"/>
  <c r="L43" i="1"/>
  <c r="K63" i="1" s="1"/>
  <c r="K42" i="1"/>
  <c r="K43" i="1" s="1"/>
  <c r="N43" i="1"/>
  <c r="M63" i="1" s="1"/>
  <c r="L63" i="1" s="1"/>
  <c r="O42" i="1"/>
  <c r="O43" i="1" s="1"/>
  <c r="K19" i="2"/>
  <c r="J18" i="2"/>
  <c r="J19" i="2" s="1"/>
  <c r="L47" i="1"/>
  <c r="K67" i="1" s="1"/>
  <c r="K47" i="1"/>
  <c r="N47" i="1"/>
  <c r="M67" i="1" s="1"/>
  <c r="L67" i="1" s="1"/>
  <c r="O46" i="1"/>
  <c r="O47" i="1" s="1"/>
  <c r="L39" i="1"/>
  <c r="K59" i="1" s="1"/>
  <c r="K38" i="1"/>
  <c r="K39" i="1" s="1"/>
  <c r="O38" i="1"/>
  <c r="O39" i="1" s="1"/>
  <c r="N39" i="1"/>
  <c r="M59" i="1" s="1"/>
  <c r="L59" i="1" s="1"/>
  <c r="M19" i="2"/>
  <c r="N18" i="2"/>
  <c r="N19" i="2" s="1"/>
  <c r="N35" i="1"/>
  <c r="M55" i="1" s="1"/>
  <c r="L55" i="1" s="1"/>
  <c r="O34" i="1"/>
  <c r="O35" i="1" s="1"/>
  <c r="L69" i="1" l="1"/>
  <c r="L70" i="1" s="1"/>
  <c r="M70" i="1" s="1"/>
  <c r="N70" i="1" s="1"/>
</calcChain>
</file>

<file path=xl/sharedStrings.xml><?xml version="1.0" encoding="utf-8"?>
<sst xmlns="http://schemas.openxmlformats.org/spreadsheetml/2006/main" count="151" uniqueCount="75">
  <si>
    <t>x</t>
  </si>
  <si>
    <t>Reported in millions</t>
  </si>
  <si>
    <t>Source: Bloomberg, TTM Data Used</t>
  </si>
  <si>
    <t>Market Data</t>
  </si>
  <si>
    <t>Financial Data</t>
  </si>
  <si>
    <t xml:space="preserve">Valuation </t>
  </si>
  <si>
    <t>Company</t>
  </si>
  <si>
    <t>Ticker</t>
  </si>
  <si>
    <t>Diluted Shares Outstanding</t>
  </si>
  <si>
    <t>Price</t>
  </si>
  <si>
    <t>Market Cap</t>
  </si>
  <si>
    <t>Enterprise Value</t>
  </si>
  <si>
    <t>Revenue</t>
  </si>
  <si>
    <t>EBITDA</t>
  </si>
  <si>
    <t>EBIT</t>
  </si>
  <si>
    <t>EPS</t>
  </si>
  <si>
    <t>Net Income</t>
  </si>
  <si>
    <t xml:space="preserve">Net Debt </t>
  </si>
  <si>
    <t>Cash</t>
  </si>
  <si>
    <t>EV/Sales</t>
  </si>
  <si>
    <t>EV/EBITDA</t>
  </si>
  <si>
    <t>EV/EBIT</t>
  </si>
  <si>
    <t>P/E</t>
  </si>
  <si>
    <t>P/S</t>
  </si>
  <si>
    <t>P/B</t>
  </si>
  <si>
    <t>PEG</t>
  </si>
  <si>
    <t>Taylor Morrison Home Corp</t>
  </si>
  <si>
    <t>TMHC</t>
  </si>
  <si>
    <t>KB Home</t>
  </si>
  <si>
    <t>KBH</t>
  </si>
  <si>
    <t>Meritage Homes Corp</t>
  </si>
  <si>
    <t>MTH</t>
  </si>
  <si>
    <t>Century Communities Inc</t>
  </si>
  <si>
    <t>CCS</t>
  </si>
  <si>
    <t>PulteGroup Inc</t>
  </si>
  <si>
    <t>PHM</t>
  </si>
  <si>
    <t>M/I Homes Inc</t>
  </si>
  <si>
    <t>MHO</t>
  </si>
  <si>
    <t>Average</t>
  </si>
  <si>
    <t>Median</t>
  </si>
  <si>
    <t xml:space="preserve"> </t>
  </si>
  <si>
    <t>Tri Point Homes</t>
  </si>
  <si>
    <t>TPH</t>
  </si>
  <si>
    <t>Relative Valuation Sensitivity Analysis</t>
  </si>
  <si>
    <t>Share Prices:</t>
  </si>
  <si>
    <t>Weight Check</t>
  </si>
  <si>
    <t>Weightings</t>
  </si>
  <si>
    <t>Current Price</t>
  </si>
  <si>
    <t>Implied Target Price</t>
  </si>
  <si>
    <t>XX.XX</t>
  </si>
  <si>
    <t>Min</t>
  </si>
  <si>
    <t>Upside / Downside</t>
  </si>
  <si>
    <t>Feel free to delete or clean this up</t>
  </si>
  <si>
    <t>&lt;- this + / - target price</t>
  </si>
  <si>
    <t>valuation range</t>
  </si>
  <si>
    <t>Precedent Transactions</t>
  </si>
  <si>
    <t>Date</t>
  </si>
  <si>
    <t>Purchase Price</t>
  </si>
  <si>
    <t>Sales</t>
  </si>
  <si>
    <t>FY23A EPS</t>
  </si>
  <si>
    <t>XinXin Semiconductor Technology</t>
  </si>
  <si>
    <t>N/A</t>
  </si>
  <si>
    <t>AMD (NASDAQ:AMD)</t>
  </si>
  <si>
    <t>O2 Micro International</t>
  </si>
  <si>
    <t>Tower Semiconductor (acquired by Intel)</t>
  </si>
  <si>
    <t>Subtron Technology</t>
  </si>
  <si>
    <t>Xilinx, Inc.</t>
  </si>
  <si>
    <t>EV/Sales Sensitivity</t>
  </si>
  <si>
    <t>Multiple</t>
  </si>
  <si>
    <t>Implied EV</t>
  </si>
  <si>
    <t>Debt</t>
  </si>
  <si>
    <t>Implied Equity Value</t>
  </si>
  <si>
    <t>Shares Outstanding</t>
  </si>
  <si>
    <t>Implied Share Price</t>
  </si>
  <si>
    <t>Use this as an example if you want to do precedent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</si>
</sst>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164" formatCode="&quot;$&quot;#,##0.0_);[Red]\(&quot;$&quot;#,##0.0\)"/>
    <numFmt numFmtId="165" formatCode="0.0\x"/>
    <numFmt numFmtId="166" formatCode="_([$$-409]* #,##0.00_);_([$$-409]* \(#,##0.00\);_([$$-409]* &quot;-&quot;??_);_(@_)"/>
    <numFmt numFmtId="167" formatCode="0.00\x"/>
    <numFmt numFmtId="168" formatCode="&quot;$&quot;#,##0.0"/>
  </numFmts>
  <fonts count="14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i/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name val="Calibri"/>
      <family val="2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4CCCC"/>
        <bgColor rgb="FFF4CCCC"/>
      </patternFill>
    </fill>
    <fill>
      <patternFill patternType="solid">
        <fgColor rgb="FF7F6000"/>
        <bgColor rgb="FF7F6000"/>
      </patternFill>
    </fill>
    <fill>
      <patternFill patternType="solid">
        <fgColor rgb="FFFFE598"/>
        <bgColor rgb="FFFFE598"/>
      </patternFill>
    </fill>
    <fill>
      <patternFill patternType="solid">
        <fgColor rgb="FFD0CECE"/>
        <bgColor rgb="FFD0CECE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/>
    </xf>
    <xf numFmtId="8" fontId="3" fillId="2" borderId="1" xfId="0" applyNumberFormat="1" applyFont="1" applyFill="1" applyBorder="1" applyAlignment="1">
      <alignment horizontal="center"/>
    </xf>
    <xf numFmtId="0" fontId="6" fillId="0" borderId="0" xfId="0" applyFont="1"/>
    <xf numFmtId="1" fontId="1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/>
    <xf numFmtId="1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8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6" fillId="4" borderId="1" xfId="0" applyFont="1" applyFill="1" applyBorder="1"/>
    <xf numFmtId="165" fontId="1" fillId="4" borderId="1" xfId="0" applyNumberFormat="1" applyFont="1" applyFill="1" applyBorder="1"/>
    <xf numFmtId="0" fontId="6" fillId="3" borderId="1" xfId="0" applyFont="1" applyFill="1" applyBorder="1"/>
    <xf numFmtId="8" fontId="1" fillId="3" borderId="1" xfId="0" applyNumberFormat="1" applyFont="1" applyFill="1" applyBorder="1"/>
    <xf numFmtId="165" fontId="1" fillId="3" borderId="1" xfId="0" applyNumberFormat="1" applyFont="1" applyFill="1" applyBorder="1"/>
    <xf numFmtId="3" fontId="1" fillId="0" borderId="0" xfId="0" applyNumberFormat="1" applyFont="1"/>
    <xf numFmtId="8" fontId="1" fillId="0" borderId="0" xfId="0" applyNumberFormat="1" applyFont="1" applyAlignment="1">
      <alignment horizontal="center"/>
    </xf>
    <xf numFmtId="165" fontId="7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center"/>
    </xf>
    <xf numFmtId="165" fontId="6" fillId="0" borderId="0" xfId="0" applyNumberFormat="1" applyFont="1" applyAlignment="1">
      <alignment horizontal="right"/>
    </xf>
    <xf numFmtId="166" fontId="1" fillId="0" borderId="0" xfId="0" applyNumberFormat="1" applyFont="1"/>
    <xf numFmtId="7" fontId="1" fillId="0" borderId="0" xfId="0" applyNumberFormat="1" applyFont="1"/>
    <xf numFmtId="166" fontId="6" fillId="0" borderId="0" xfId="0" applyNumberFormat="1" applyFont="1"/>
    <xf numFmtId="0" fontId="3" fillId="0" borderId="0" xfId="0" applyFont="1"/>
    <xf numFmtId="166" fontId="1" fillId="5" borderId="11" xfId="0" applyNumberFormat="1" applyFont="1" applyFill="1" applyBorder="1"/>
    <xf numFmtId="0" fontId="9" fillId="2" borderId="11" xfId="0" applyFont="1" applyFill="1" applyBorder="1"/>
    <xf numFmtId="0" fontId="9" fillId="2" borderId="15" xfId="0" applyFont="1" applyFill="1" applyBorder="1"/>
    <xf numFmtId="0" fontId="9" fillId="2" borderId="15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" fillId="0" borderId="17" xfId="0" applyFont="1" applyBorder="1"/>
    <xf numFmtId="165" fontId="6" fillId="0" borderId="0" xfId="0" applyNumberFormat="1" applyFont="1" applyAlignment="1">
      <alignment horizontal="center"/>
    </xf>
    <xf numFmtId="165" fontId="6" fillId="0" borderId="18" xfId="0" applyNumberFormat="1" applyFont="1" applyBorder="1" applyAlignment="1">
      <alignment horizontal="center"/>
    </xf>
    <xf numFmtId="0" fontId="10" fillId="5" borderId="19" xfId="0" applyFont="1" applyFill="1" applyBorder="1"/>
    <xf numFmtId="0" fontId="10" fillId="5" borderId="1" xfId="0" applyFont="1" applyFill="1" applyBorder="1"/>
    <xf numFmtId="165" fontId="11" fillId="5" borderId="1" xfId="0" applyNumberFormat="1" applyFont="1" applyFill="1" applyBorder="1"/>
    <xf numFmtId="165" fontId="11" fillId="5" borderId="20" xfId="0" applyNumberFormat="1" applyFont="1" applyFill="1" applyBorder="1"/>
    <xf numFmtId="165" fontId="11" fillId="7" borderId="1" xfId="0" applyNumberFormat="1" applyFont="1" applyFill="1" applyBorder="1"/>
    <xf numFmtId="166" fontId="6" fillId="0" borderId="21" xfId="0" applyNumberFormat="1" applyFont="1" applyBorder="1"/>
    <xf numFmtId="166" fontId="1" fillId="0" borderId="22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0" fontId="10" fillId="0" borderId="17" xfId="0" applyFont="1" applyBorder="1"/>
    <xf numFmtId="0" fontId="10" fillId="0" borderId="0" xfId="0" applyFont="1"/>
    <xf numFmtId="165" fontId="11" fillId="0" borderId="0" xfId="0" applyNumberFormat="1" applyFont="1"/>
    <xf numFmtId="165" fontId="11" fillId="0" borderId="18" xfId="0" applyNumberFormat="1" applyFont="1" applyBorder="1"/>
    <xf numFmtId="165" fontId="11" fillId="0" borderId="18" xfId="0" applyNumberFormat="1" applyFont="1" applyBorder="1" applyAlignment="1">
      <alignment horizontal="right"/>
    </xf>
    <xf numFmtId="0" fontId="10" fillId="4" borderId="19" xfId="0" applyFont="1" applyFill="1" applyBorder="1"/>
    <xf numFmtId="0" fontId="11" fillId="4" borderId="1" xfId="0" applyFont="1" applyFill="1" applyBorder="1"/>
    <xf numFmtId="165" fontId="11" fillId="4" borderId="1" xfId="0" applyNumberFormat="1" applyFont="1" applyFill="1" applyBorder="1"/>
    <xf numFmtId="165" fontId="11" fillId="4" borderId="20" xfId="0" applyNumberFormat="1" applyFont="1" applyFill="1" applyBorder="1"/>
    <xf numFmtId="167" fontId="11" fillId="4" borderId="1" xfId="0" applyNumberFormat="1" applyFont="1" applyFill="1" applyBorder="1"/>
    <xf numFmtId="0" fontId="10" fillId="4" borderId="24" xfId="0" applyFont="1" applyFill="1" applyBorder="1"/>
    <xf numFmtId="0" fontId="11" fillId="4" borderId="25" xfId="0" applyFont="1" applyFill="1" applyBorder="1"/>
    <xf numFmtId="165" fontId="11" fillId="4" borderId="25" xfId="0" applyNumberFormat="1" applyFont="1" applyFill="1" applyBorder="1"/>
    <xf numFmtId="165" fontId="11" fillId="4" borderId="26" xfId="0" applyNumberFormat="1" applyFont="1" applyFill="1" applyBorder="1"/>
    <xf numFmtId="0" fontId="9" fillId="6" borderId="15" xfId="0" applyFont="1" applyFill="1" applyBorder="1" applyAlignment="1">
      <alignment horizontal="center"/>
    </xf>
    <xf numFmtId="8" fontId="11" fillId="5" borderId="1" xfId="0" applyNumberFormat="1" applyFont="1" applyFill="1" applyBorder="1" applyAlignment="1">
      <alignment horizontal="center"/>
    </xf>
    <xf numFmtId="8" fontId="11" fillId="5" borderId="20" xfId="0" applyNumberFormat="1" applyFont="1" applyFill="1" applyBorder="1" applyAlignment="1">
      <alignment horizontal="center"/>
    </xf>
    <xf numFmtId="8" fontId="11" fillId="7" borderId="1" xfId="0" applyNumberFormat="1" applyFont="1" applyFill="1" applyBorder="1" applyAlignment="1">
      <alignment horizontal="center"/>
    </xf>
    <xf numFmtId="9" fontId="11" fillId="0" borderId="0" xfId="0" applyNumberFormat="1" applyFont="1"/>
    <xf numFmtId="9" fontId="11" fillId="0" borderId="18" xfId="0" applyNumberFormat="1" applyFont="1" applyBorder="1"/>
    <xf numFmtId="9" fontId="1" fillId="0" borderId="0" xfId="0" applyNumberFormat="1" applyFont="1"/>
    <xf numFmtId="0" fontId="11" fillId="0" borderId="17" xfId="0" applyFont="1" applyBorder="1"/>
    <xf numFmtId="0" fontId="1" fillId="0" borderId="18" xfId="0" applyFont="1" applyBorder="1"/>
    <xf numFmtId="165" fontId="1" fillId="5" borderId="11" xfId="0" applyNumberFormat="1" applyFont="1" applyFill="1" applyBorder="1" applyAlignment="1">
      <alignment horizontal="center"/>
    </xf>
    <xf numFmtId="2" fontId="11" fillId="0" borderId="0" xfId="0" applyNumberFormat="1" applyFont="1"/>
    <xf numFmtId="0" fontId="10" fillId="8" borderId="19" xfId="0" applyFont="1" applyFill="1" applyBorder="1"/>
    <xf numFmtId="2" fontId="10" fillId="8" borderId="1" xfId="0" applyNumberFormat="1" applyFont="1" applyFill="1" applyBorder="1"/>
    <xf numFmtId="0" fontId="12" fillId="0" borderId="21" xfId="0" applyFont="1" applyBorder="1" applyAlignment="1">
      <alignment horizontal="left"/>
    </xf>
    <xf numFmtId="10" fontId="12" fillId="0" borderId="22" xfId="0" applyNumberFormat="1" applyFont="1" applyBorder="1"/>
    <xf numFmtId="0" fontId="11" fillId="0" borderId="22" xfId="0" applyFont="1" applyBorder="1"/>
    <xf numFmtId="0" fontId="1" fillId="0" borderId="23" xfId="0" applyFont="1" applyBorder="1"/>
    <xf numFmtId="0" fontId="1" fillId="0" borderId="22" xfId="0" applyFont="1" applyBorder="1"/>
    <xf numFmtId="10" fontId="1" fillId="0" borderId="0" xfId="0" applyNumberFormat="1" applyFont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1" fillId="9" borderId="1" xfId="0" applyFont="1" applyFill="1" applyBorder="1"/>
    <xf numFmtId="8" fontId="3" fillId="9" borderId="1" xfId="0" applyNumberFormat="1" applyFont="1" applyFill="1" applyBorder="1"/>
    <xf numFmtId="3" fontId="1" fillId="3" borderId="1" xfId="0" applyNumberFormat="1" applyFont="1" applyFill="1" applyBorder="1"/>
    <xf numFmtId="6" fontId="1" fillId="3" borderId="1" xfId="0" applyNumberFormat="1" applyFont="1" applyFill="1" applyBorder="1"/>
    <xf numFmtId="8" fontId="1" fillId="3" borderId="1" xfId="0" applyNumberFormat="1" applyFont="1" applyFill="1" applyBorder="1" applyAlignment="1">
      <alignment horizontal="center"/>
    </xf>
    <xf numFmtId="0" fontId="8" fillId="9" borderId="11" xfId="0" applyFont="1" applyFill="1" applyBorder="1"/>
    <xf numFmtId="0" fontId="8" fillId="9" borderId="15" xfId="0" applyFont="1" applyFill="1" applyBorder="1"/>
    <xf numFmtId="0" fontId="3" fillId="9" borderId="15" xfId="0" applyFont="1" applyFill="1" applyBorder="1" applyAlignment="1">
      <alignment horizontal="center"/>
    </xf>
    <xf numFmtId="166" fontId="1" fillId="0" borderId="27" xfId="0" applyNumberFormat="1" applyFont="1" applyBorder="1"/>
    <xf numFmtId="165" fontId="6" fillId="0" borderId="28" xfId="0" applyNumberFormat="1" applyFont="1" applyBorder="1" applyAlignment="1">
      <alignment horizontal="right"/>
    </xf>
    <xf numFmtId="165" fontId="6" fillId="0" borderId="29" xfId="0" applyNumberFormat="1" applyFont="1" applyBorder="1" applyAlignment="1">
      <alignment horizontal="right"/>
    </xf>
    <xf numFmtId="166" fontId="1" fillId="0" borderId="30" xfId="0" applyNumberFormat="1" applyFont="1" applyBorder="1"/>
    <xf numFmtId="166" fontId="1" fillId="0" borderId="18" xfId="0" applyNumberFormat="1" applyFont="1" applyBorder="1"/>
    <xf numFmtId="7" fontId="1" fillId="0" borderId="30" xfId="0" applyNumberFormat="1" applyFont="1" applyBorder="1"/>
    <xf numFmtId="7" fontId="1" fillId="0" borderId="18" xfId="0" applyNumberFormat="1" applyFont="1" applyBorder="1"/>
    <xf numFmtId="3" fontId="1" fillId="0" borderId="31" xfId="0" applyNumberFormat="1" applyFont="1" applyBorder="1"/>
    <xf numFmtId="3" fontId="1" fillId="0" borderId="18" xfId="0" applyNumberFormat="1" applyFont="1" applyBorder="1"/>
    <xf numFmtId="0" fontId="6" fillId="0" borderId="32" xfId="0" applyFont="1" applyBorder="1"/>
    <xf numFmtId="0" fontId="6" fillId="0" borderId="33" xfId="0" applyFont="1" applyBorder="1"/>
    <xf numFmtId="166" fontId="6" fillId="0" borderId="22" xfId="0" applyNumberFormat="1" applyFont="1" applyBorder="1"/>
    <xf numFmtId="166" fontId="6" fillId="0" borderId="34" xfId="0" applyNumberFormat="1" applyFont="1" applyBorder="1"/>
    <xf numFmtId="0" fontId="3" fillId="2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2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3" fillId="2" borderId="8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3" fillId="9" borderId="8" xfId="0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0" fontId="0" fillId="0" borderId="0" xfId="0"/>
    <xf numFmtId="16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3" fillId="9" borderId="12" xfId="0" applyFont="1" applyFill="1" applyBorder="1" applyAlignment="1">
      <alignment horizontal="center"/>
    </xf>
    <xf numFmtId="0" fontId="1" fillId="10" borderId="8" xfId="0" applyFont="1" applyFill="1" applyBorder="1"/>
    <xf numFmtId="0" fontId="1" fillId="0" borderId="0" xfId="0" applyFont="1" applyAlignment="1">
      <alignment horizontal="center" wrapText="1"/>
    </xf>
    <xf numFmtId="0" fontId="1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showGridLines="0" tabSelected="1" topLeftCell="F1" workbookViewId="0">
      <selection activeCell="Y6" sqref="Y6"/>
    </sheetView>
  </sheetViews>
  <sheetFormatPr baseColWidth="10" defaultColWidth="14.5" defaultRowHeight="15" customHeight="1" x14ac:dyDescent="0.2"/>
  <cols>
    <col min="1" max="1" width="2.6640625" customWidth="1"/>
    <col min="2" max="2" width="32.6640625" customWidth="1"/>
    <col min="3" max="3" width="16.6640625" customWidth="1"/>
    <col min="4" max="4" width="2.6640625" customWidth="1"/>
    <col min="5" max="5" width="32.6640625" customWidth="1"/>
    <col min="6" max="8" width="16.6640625" customWidth="1"/>
    <col min="9" max="9" width="2.6640625" customWidth="1"/>
    <col min="10" max="10" width="14.6640625" customWidth="1"/>
    <col min="11" max="11" width="13.33203125" customWidth="1"/>
    <col min="12" max="13" width="12" customWidth="1"/>
    <col min="14" max="14" width="13.33203125" customWidth="1"/>
    <col min="15" max="16" width="12.5" customWidth="1"/>
    <col min="17" max="17" width="2.6640625" customWidth="1"/>
    <col min="18" max="18" width="12" customWidth="1"/>
    <col min="19" max="19" width="22.6640625" customWidth="1"/>
    <col min="20" max="25" width="13.6640625" customWidth="1"/>
    <col min="26" max="28" width="10.6640625" customWidth="1"/>
    <col min="29" max="34" width="9.33203125" customWidth="1"/>
  </cols>
  <sheetData>
    <row r="1" spans="1:34" ht="4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0</v>
      </c>
      <c r="AC1" s="1"/>
      <c r="AD1" s="1"/>
      <c r="AE1" s="1"/>
      <c r="AF1" s="1"/>
      <c r="AG1" s="1"/>
      <c r="AH1" s="1"/>
    </row>
    <row r="2" spans="1:34" ht="4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0</v>
      </c>
      <c r="AC2" s="1"/>
      <c r="AD2" s="1"/>
      <c r="AE2" s="1"/>
      <c r="AF2" s="1"/>
      <c r="AG2" s="1"/>
      <c r="AH2" s="1"/>
    </row>
    <row r="3" spans="1:34" ht="16" x14ac:dyDescent="0.2">
      <c r="A3" s="1"/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  <c r="AH3" s="1"/>
    </row>
    <row r="4" spans="1:34" ht="16" x14ac:dyDescent="0.2">
      <c r="A4" s="1"/>
      <c r="B4" s="2" t="s">
        <v>2</v>
      </c>
      <c r="C4" s="3"/>
      <c r="D4" s="3"/>
      <c r="E4" s="114" t="s">
        <v>3</v>
      </c>
      <c r="F4" s="115"/>
      <c r="G4" s="115"/>
      <c r="H4" s="116"/>
      <c r="I4" s="3"/>
      <c r="J4" s="117" t="s">
        <v>4</v>
      </c>
      <c r="K4" s="118"/>
      <c r="L4" s="118"/>
      <c r="M4" s="118"/>
      <c r="N4" s="118"/>
      <c r="O4" s="119"/>
      <c r="P4" s="4"/>
      <c r="Q4" s="4"/>
      <c r="R4" s="4"/>
      <c r="S4" s="117" t="s">
        <v>5</v>
      </c>
      <c r="T4" s="118"/>
      <c r="U4" s="118"/>
      <c r="V4" s="118"/>
      <c r="W4" s="118"/>
      <c r="X4" s="118"/>
      <c r="Y4" s="119"/>
      <c r="Z4" s="1"/>
      <c r="AA4" s="1"/>
      <c r="AB4" s="1"/>
      <c r="AC4" s="1"/>
      <c r="AD4" s="1"/>
      <c r="AE4" s="1"/>
      <c r="AF4" s="1"/>
      <c r="AG4" s="1"/>
      <c r="AH4" s="1"/>
    </row>
    <row r="5" spans="1:34" ht="16" x14ac:dyDescent="0.2">
      <c r="A5" s="1"/>
      <c r="B5" s="5" t="s">
        <v>6</v>
      </c>
      <c r="C5" s="5" t="s">
        <v>7</v>
      </c>
      <c r="D5" s="5"/>
      <c r="E5" s="4" t="s">
        <v>8</v>
      </c>
      <c r="F5" s="4" t="s">
        <v>9</v>
      </c>
      <c r="G5" s="4" t="s">
        <v>10</v>
      </c>
      <c r="H5" s="4" t="s">
        <v>11</v>
      </c>
      <c r="I5" s="3"/>
      <c r="J5" s="6" t="s">
        <v>12</v>
      </c>
      <c r="K5" s="4" t="s">
        <v>13</v>
      </c>
      <c r="L5" s="4" t="s">
        <v>14</v>
      </c>
      <c r="M5" s="7" t="s">
        <v>15</v>
      </c>
      <c r="N5" s="4" t="s">
        <v>16</v>
      </c>
      <c r="O5" s="4" t="s">
        <v>17</v>
      </c>
      <c r="P5" s="4" t="s">
        <v>18</v>
      </c>
      <c r="Q5" s="4"/>
      <c r="R5" s="5"/>
      <c r="S5" s="4" t="s">
        <v>19</v>
      </c>
      <c r="T5" s="4" t="s">
        <v>20</v>
      </c>
      <c r="U5" s="4" t="s">
        <v>21</v>
      </c>
      <c r="V5" s="4" t="s">
        <v>22</v>
      </c>
      <c r="W5" s="4" t="s">
        <v>23</v>
      </c>
      <c r="X5" s="4" t="s">
        <v>24</v>
      </c>
      <c r="Y5" s="4" t="s">
        <v>25</v>
      </c>
      <c r="Z5" s="1"/>
      <c r="AA5" s="1"/>
      <c r="AB5" s="1"/>
      <c r="AC5" s="1"/>
      <c r="AD5" s="1"/>
      <c r="AE5" s="1"/>
      <c r="AF5" s="1"/>
      <c r="AG5" s="1"/>
      <c r="AH5" s="1"/>
    </row>
    <row r="6" spans="1:34" ht="16" x14ac:dyDescent="0.2">
      <c r="A6" s="1"/>
      <c r="B6" s="8" t="s">
        <v>26</v>
      </c>
      <c r="C6" s="8" t="s">
        <v>27</v>
      </c>
      <c r="D6" s="8"/>
      <c r="E6" s="9">
        <v>100</v>
      </c>
      <c r="F6" s="10">
        <v>57.87</v>
      </c>
      <c r="G6" s="11">
        <v>6449.9</v>
      </c>
      <c r="H6" s="11">
        <v>8206.2999999999993</v>
      </c>
      <c r="I6" s="12"/>
      <c r="J6" s="11">
        <v>8378.2999999999993</v>
      </c>
      <c r="K6" s="11">
        <v>1340</v>
      </c>
      <c r="L6" s="11">
        <v>1284.5999999999999</v>
      </c>
      <c r="M6" s="11">
        <v>8.74</v>
      </c>
      <c r="N6" s="11">
        <v>896.3</v>
      </c>
      <c r="O6" s="11">
        <f>2113.6-370.6</f>
        <v>1743</v>
      </c>
      <c r="P6" s="11">
        <v>370.6</v>
      </c>
      <c r="Q6" s="10"/>
      <c r="R6" s="12"/>
      <c r="S6" s="13">
        <v>0.98</v>
      </c>
      <c r="T6" s="13">
        <v>6.4</v>
      </c>
      <c r="U6" s="13">
        <v>6.69</v>
      </c>
      <c r="V6" s="13">
        <v>7.56</v>
      </c>
      <c r="W6" s="13">
        <v>66.010000000000005</v>
      </c>
      <c r="X6" s="14">
        <v>1.04</v>
      </c>
      <c r="Y6" s="14"/>
      <c r="Z6" s="1"/>
      <c r="AA6" s="1"/>
      <c r="AB6" s="1"/>
      <c r="AC6" s="1"/>
      <c r="AD6" s="1"/>
      <c r="AE6" s="1"/>
      <c r="AF6" s="1"/>
      <c r="AG6" s="1"/>
      <c r="AH6" s="1"/>
    </row>
    <row r="7" spans="1:34" ht="16" x14ac:dyDescent="0.2">
      <c r="A7" s="1"/>
      <c r="B7" s="8" t="s">
        <v>28</v>
      </c>
      <c r="C7" s="8" t="s">
        <v>29</v>
      </c>
      <c r="D7" s="8"/>
      <c r="E7" s="9">
        <v>67.7</v>
      </c>
      <c r="F7" s="10">
        <v>57.87</v>
      </c>
      <c r="G7" s="15">
        <v>3747.9</v>
      </c>
      <c r="H7" s="11">
        <v>5360.9</v>
      </c>
      <c r="I7" s="12"/>
      <c r="J7" s="11">
        <v>6541.7</v>
      </c>
      <c r="K7" s="11">
        <v>691.1</v>
      </c>
      <c r="L7" s="11">
        <v>654.6</v>
      </c>
      <c r="M7" s="11">
        <v>7.36</v>
      </c>
      <c r="N7" s="11">
        <v>532.4</v>
      </c>
      <c r="O7" s="11">
        <f>1943.6-330.6</f>
        <v>1613</v>
      </c>
      <c r="P7" s="11">
        <v>330.6</v>
      </c>
      <c r="Q7" s="10"/>
      <c r="R7" s="12"/>
      <c r="S7" s="13">
        <v>0.88</v>
      </c>
      <c r="T7" s="13">
        <v>8.5299999999999994</v>
      </c>
      <c r="U7" s="13">
        <v>9.02</v>
      </c>
      <c r="V7" s="13">
        <v>8.64</v>
      </c>
      <c r="W7" s="13">
        <v>66.55</v>
      </c>
      <c r="X7" s="14">
        <v>1.05</v>
      </c>
      <c r="Y7" s="14"/>
      <c r="Z7" s="1"/>
      <c r="AA7" s="1"/>
      <c r="AB7" s="1"/>
      <c r="AC7" s="1"/>
      <c r="AD7" s="1"/>
      <c r="AE7" s="1"/>
      <c r="AF7" s="1"/>
      <c r="AG7" s="1"/>
      <c r="AH7" s="1"/>
    </row>
    <row r="8" spans="1:34" ht="16" x14ac:dyDescent="0.2">
      <c r="A8" s="1"/>
      <c r="B8" s="8" t="s">
        <v>30</v>
      </c>
      <c r="C8" s="8" t="s">
        <v>31</v>
      </c>
      <c r="D8" s="8"/>
      <c r="E8" s="9">
        <v>71.2</v>
      </c>
      <c r="F8" s="10">
        <v>65.680000000000007</v>
      </c>
      <c r="G8" s="15">
        <v>5099.6000000000004</v>
      </c>
      <c r="H8" s="11">
        <v>6261.6</v>
      </c>
      <c r="I8" s="12"/>
      <c r="J8" s="11">
        <v>6048.2</v>
      </c>
      <c r="K8" s="11">
        <v>700.3</v>
      </c>
      <c r="L8" s="11">
        <v>675.1</v>
      </c>
      <c r="M8" s="11">
        <v>6.67</v>
      </c>
      <c r="N8" s="11">
        <v>553.1</v>
      </c>
      <c r="O8" s="11">
        <f>1891-728.9</f>
        <v>1162.0999999999999</v>
      </c>
      <c r="P8" s="11">
        <v>728.9</v>
      </c>
      <c r="Q8" s="10"/>
      <c r="R8" s="12"/>
      <c r="S8" s="13">
        <v>1.04</v>
      </c>
      <c r="T8" s="13">
        <v>9.1300000000000008</v>
      </c>
      <c r="U8" s="13">
        <v>9.48</v>
      </c>
      <c r="V8" s="13">
        <v>9.44</v>
      </c>
      <c r="W8" s="13">
        <v>72.430000000000007</v>
      </c>
      <c r="X8" s="14">
        <v>0.96</v>
      </c>
      <c r="Y8" s="14"/>
      <c r="Z8" s="1"/>
      <c r="AA8" s="1"/>
      <c r="AB8" s="1"/>
      <c r="AC8" s="1"/>
      <c r="AD8" s="1"/>
      <c r="AE8" s="1"/>
      <c r="AF8" s="1"/>
      <c r="AG8" s="1"/>
      <c r="AH8" s="1"/>
    </row>
    <row r="9" spans="1:34" ht="16" x14ac:dyDescent="0.2">
      <c r="A9" s="1"/>
      <c r="B9" s="8" t="s">
        <v>32</v>
      </c>
      <c r="C9" s="8" t="s">
        <v>33</v>
      </c>
      <c r="D9" s="8"/>
      <c r="E9" s="9">
        <v>30</v>
      </c>
      <c r="F9" s="10">
        <v>56.68</v>
      </c>
      <c r="G9" s="15">
        <v>1862.1</v>
      </c>
      <c r="H9" s="11">
        <v>3218.3</v>
      </c>
      <c r="I9" s="12"/>
      <c r="J9" s="11">
        <v>4157.7</v>
      </c>
      <c r="K9" s="11">
        <v>330.5</v>
      </c>
      <c r="L9" s="11">
        <v>304.7</v>
      </c>
      <c r="M9" s="11">
        <v>7.03</v>
      </c>
      <c r="N9" s="11">
        <v>220.1</v>
      </c>
      <c r="O9" s="11">
        <f>1486.4-130.1</f>
        <v>1356.3000000000002</v>
      </c>
      <c r="P9" s="11">
        <v>130.1</v>
      </c>
      <c r="Q9" s="10"/>
      <c r="R9" s="12"/>
      <c r="S9" s="13">
        <v>0.77</v>
      </c>
      <c r="T9" s="13">
        <v>9.85</v>
      </c>
      <c r="U9" s="13">
        <v>10.69</v>
      </c>
      <c r="V9" s="14">
        <v>9.01</v>
      </c>
      <c r="W9" s="13">
        <v>63.37</v>
      </c>
      <c r="X9" s="14">
        <v>0.72</v>
      </c>
      <c r="Y9" s="14"/>
      <c r="Z9" s="1"/>
      <c r="AA9" s="1"/>
      <c r="AB9" s="1"/>
      <c r="AC9" s="1"/>
      <c r="AD9" s="1"/>
      <c r="AE9" s="1"/>
      <c r="AF9" s="1"/>
      <c r="AG9" s="1"/>
      <c r="AH9" s="1"/>
    </row>
    <row r="10" spans="1:34" ht="16" x14ac:dyDescent="0.2">
      <c r="A10" s="1"/>
      <c r="B10" s="8" t="s">
        <v>34</v>
      </c>
      <c r="C10" s="8" t="s">
        <v>35</v>
      </c>
      <c r="D10" s="1"/>
      <c r="E10" s="9">
        <v>198.1</v>
      </c>
      <c r="F10" s="10">
        <v>114.35</v>
      </c>
      <c r="G10" s="15">
        <v>25754.400000000001</v>
      </c>
      <c r="H10" s="11">
        <v>26055.8</v>
      </c>
      <c r="I10" s="12"/>
      <c r="J10" s="11">
        <v>17623</v>
      </c>
      <c r="K10" s="11">
        <v>3603</v>
      </c>
      <c r="L10" s="11">
        <v>3489.2</v>
      </c>
      <c r="M10" s="11">
        <v>13.39</v>
      </c>
      <c r="N10" s="11">
        <v>2710.5</v>
      </c>
      <c r="O10" s="11">
        <f>1752.9-1451.5</f>
        <v>301.40000000000009</v>
      </c>
      <c r="P10" s="11">
        <v>1451.5</v>
      </c>
      <c r="Q10" s="10"/>
      <c r="R10" s="12"/>
      <c r="S10" s="13">
        <v>1.48</v>
      </c>
      <c r="T10" s="13">
        <v>7.41</v>
      </c>
      <c r="U10" s="13">
        <v>7.65</v>
      </c>
      <c r="V10" s="13">
        <v>9.8699999999999992</v>
      </c>
      <c r="W10" s="13">
        <v>132.13</v>
      </c>
      <c r="X10" s="14">
        <v>2.0099999999999998</v>
      </c>
      <c r="Y10" s="12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6" x14ac:dyDescent="0.2">
      <c r="A11" s="1"/>
      <c r="B11" s="8" t="s">
        <v>36</v>
      </c>
      <c r="C11" s="8" t="s">
        <v>37</v>
      </c>
      <c r="D11" s="16"/>
      <c r="E11" s="17">
        <v>27.2</v>
      </c>
      <c r="F11" s="10">
        <v>124.5</v>
      </c>
      <c r="G11" s="10">
        <v>3776.9</v>
      </c>
      <c r="H11" s="11">
        <v>4031.4</v>
      </c>
      <c r="I11" s="12"/>
      <c r="J11" s="11">
        <v>4475.8</v>
      </c>
      <c r="K11" s="11">
        <v>641</v>
      </c>
      <c r="L11" s="11">
        <v>625.79999999999995</v>
      </c>
      <c r="M11" s="11">
        <v>17.88</v>
      </c>
      <c r="N11" s="11">
        <v>496.1</v>
      </c>
      <c r="O11" s="11">
        <f>988.7-734.2</f>
        <v>254.5</v>
      </c>
      <c r="P11" s="11">
        <v>734.2</v>
      </c>
      <c r="Q11" s="18"/>
      <c r="R11" s="12"/>
      <c r="S11" s="13">
        <v>0.9</v>
      </c>
      <c r="T11" s="13">
        <v>6.6</v>
      </c>
      <c r="U11" s="13">
        <v>6.77</v>
      </c>
      <c r="V11" s="13">
        <v>8.08</v>
      </c>
      <c r="W11" s="13">
        <v>144.44</v>
      </c>
      <c r="X11" s="14">
        <v>1.2</v>
      </c>
      <c r="Y11" s="12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6" x14ac:dyDescent="0.2">
      <c r="A12" s="1"/>
      <c r="B12" s="8"/>
      <c r="C12" s="8"/>
      <c r="D12" s="16"/>
      <c r="E12" s="16"/>
      <c r="F12" s="19"/>
      <c r="G12" s="19"/>
      <c r="H12" s="20"/>
      <c r="I12" s="1"/>
      <c r="J12" s="20"/>
      <c r="K12" s="20"/>
      <c r="L12" s="1"/>
      <c r="M12" s="21"/>
      <c r="N12" s="21"/>
      <c r="O12" s="21"/>
      <c r="P12" s="21"/>
      <c r="Q12" s="16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6" x14ac:dyDescent="0.2">
      <c r="A13" s="1"/>
      <c r="B13" s="8"/>
      <c r="C13" s="8"/>
      <c r="D13" s="16"/>
      <c r="E13" s="16"/>
      <c r="F13" s="19"/>
      <c r="G13" s="19"/>
      <c r="H13" s="20"/>
      <c r="I13" s="1"/>
      <c r="J13" s="20"/>
      <c r="K13" s="20"/>
      <c r="L13" s="22"/>
      <c r="M13" s="21"/>
      <c r="N13" s="21"/>
      <c r="O13" s="21"/>
      <c r="P13" s="21"/>
      <c r="Q13" s="16"/>
      <c r="R13" s="23" t="s">
        <v>38</v>
      </c>
      <c r="S13" s="24">
        <f t="shared" ref="S13:Y13" si="0">AVERAGE(S6:S11)</f>
        <v>1.0083333333333335</v>
      </c>
      <c r="T13" s="24">
        <f t="shared" si="0"/>
        <v>7.9866666666666681</v>
      </c>
      <c r="U13" s="24">
        <f t="shared" si="0"/>
        <v>8.3833333333333329</v>
      </c>
      <c r="V13" s="24">
        <f t="shared" si="0"/>
        <v>8.7666666666666657</v>
      </c>
      <c r="W13" s="24">
        <f t="shared" si="0"/>
        <v>90.821666666666673</v>
      </c>
      <c r="X13" s="24">
        <f t="shared" si="0"/>
        <v>1.1633333333333333</v>
      </c>
      <c r="Y13" s="24" t="e">
        <f t="shared" si="0"/>
        <v>#DIV/0!</v>
      </c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6" x14ac:dyDescent="0.2">
      <c r="A14" s="1"/>
      <c r="B14" s="8"/>
      <c r="C14" s="8"/>
      <c r="D14" s="16"/>
      <c r="E14" s="16"/>
      <c r="F14" s="19"/>
      <c r="G14" s="19"/>
      <c r="H14" s="20"/>
      <c r="I14" s="1"/>
      <c r="J14" s="20"/>
      <c r="K14" s="20"/>
      <c r="L14" s="22"/>
      <c r="M14" s="21"/>
      <c r="N14" s="21"/>
      <c r="O14" s="21"/>
      <c r="P14" s="21"/>
      <c r="Q14" s="16"/>
      <c r="R14" s="23" t="s">
        <v>39</v>
      </c>
      <c r="S14" s="24">
        <f t="shared" ref="S14:Y14" si="1">MEDIAN(S6:S11)</f>
        <v>0.94</v>
      </c>
      <c r="T14" s="24">
        <f t="shared" si="1"/>
        <v>7.97</v>
      </c>
      <c r="U14" s="24">
        <f t="shared" si="1"/>
        <v>8.3350000000000009</v>
      </c>
      <c r="V14" s="24">
        <f t="shared" si="1"/>
        <v>8.8249999999999993</v>
      </c>
      <c r="W14" s="24">
        <f t="shared" si="1"/>
        <v>69.490000000000009</v>
      </c>
      <c r="X14" s="24">
        <f t="shared" si="1"/>
        <v>1.0449999999999999</v>
      </c>
      <c r="Y14" s="24" t="e">
        <f t="shared" si="1"/>
        <v>#NUM!</v>
      </c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6" x14ac:dyDescent="0.2">
      <c r="A15" s="1"/>
      <c r="B15" s="25"/>
      <c r="C15" s="16"/>
      <c r="D15" s="16"/>
      <c r="E15" s="16"/>
      <c r="F15" s="16"/>
      <c r="G15" s="16"/>
      <c r="H15" s="16"/>
      <c r="I15" s="16"/>
      <c r="J15" s="26"/>
      <c r="K15" s="26"/>
      <c r="L15" s="26"/>
      <c r="M15" s="26"/>
      <c r="N15" s="26"/>
      <c r="O15" s="16"/>
      <c r="P15" s="16"/>
      <c r="Q15" s="16"/>
      <c r="R15" s="16"/>
      <c r="S15" s="27"/>
      <c r="T15" s="27"/>
      <c r="U15" s="27"/>
      <c r="V15" s="27"/>
      <c r="W15" s="27"/>
      <c r="X15" s="27"/>
      <c r="Y15" s="27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6" x14ac:dyDescent="0.2">
      <c r="A16" s="1"/>
      <c r="B16" s="5" t="s">
        <v>6</v>
      </c>
      <c r="C16" s="5" t="s">
        <v>7</v>
      </c>
      <c r="D16" s="3"/>
      <c r="E16" s="4" t="s">
        <v>8</v>
      </c>
      <c r="F16" s="4" t="s">
        <v>9</v>
      </c>
      <c r="G16" s="4" t="s">
        <v>10</v>
      </c>
      <c r="H16" s="4" t="s">
        <v>11</v>
      </c>
      <c r="I16" s="3"/>
      <c r="J16" s="6" t="s">
        <v>12</v>
      </c>
      <c r="K16" s="4" t="s">
        <v>13</v>
      </c>
      <c r="L16" s="4" t="s">
        <v>14</v>
      </c>
      <c r="M16" s="7" t="s">
        <v>15</v>
      </c>
      <c r="N16" s="4" t="s">
        <v>16</v>
      </c>
      <c r="O16" s="4" t="s">
        <v>17</v>
      </c>
      <c r="P16" s="4" t="s">
        <v>18</v>
      </c>
      <c r="Q16" s="4"/>
      <c r="R16" s="5"/>
      <c r="S16" s="4" t="s">
        <v>19</v>
      </c>
      <c r="T16" s="4" t="s">
        <v>20</v>
      </c>
      <c r="U16" s="4" t="s">
        <v>21</v>
      </c>
      <c r="V16" s="4" t="s">
        <v>22</v>
      </c>
      <c r="W16" s="4" t="s">
        <v>23</v>
      </c>
      <c r="X16" s="4" t="s">
        <v>24</v>
      </c>
      <c r="Y16" s="4" t="s">
        <v>25</v>
      </c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6" x14ac:dyDescent="0.2">
      <c r="A17" s="1" t="s">
        <v>40</v>
      </c>
      <c r="B17" s="8" t="s">
        <v>41</v>
      </c>
      <c r="C17" s="8" t="s">
        <v>42</v>
      </c>
      <c r="D17" s="8"/>
      <c r="E17" s="28">
        <v>87.9</v>
      </c>
      <c r="F17" s="19">
        <v>30.65</v>
      </c>
      <c r="G17" s="20">
        <v>2921.1</v>
      </c>
      <c r="H17" s="20">
        <v>3324</v>
      </c>
      <c r="I17" s="1"/>
      <c r="J17" s="20">
        <v>3751.9</v>
      </c>
      <c r="K17" s="20">
        <v>432.6</v>
      </c>
      <c r="L17" s="20">
        <v>389.2</v>
      </c>
      <c r="M17" s="22">
        <v>3.38</v>
      </c>
      <c r="N17" s="21">
        <v>309.3</v>
      </c>
      <c r="O17" s="21">
        <f>1194.8-792</f>
        <v>402.79999999999995</v>
      </c>
      <c r="P17" s="21">
        <v>792</v>
      </c>
      <c r="Q17" s="29"/>
      <c r="R17" s="1"/>
      <c r="S17" s="22">
        <v>0.89</v>
      </c>
      <c r="T17" s="22">
        <v>7.67</v>
      </c>
      <c r="U17" s="22">
        <v>8.42</v>
      </c>
      <c r="V17" s="30">
        <v>10.050000000000001</v>
      </c>
      <c r="W17" s="30">
        <v>33.97</v>
      </c>
      <c r="X17" s="30">
        <v>0.88</v>
      </c>
      <c r="Y17" s="30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6" x14ac:dyDescent="0.2">
      <c r="A18" s="1"/>
      <c r="B18" s="1"/>
      <c r="C18" s="1"/>
      <c r="D18" s="1"/>
      <c r="E18" s="1"/>
      <c r="F18" s="1"/>
      <c r="G18" s="1"/>
      <c r="H18" s="1"/>
      <c r="I18" s="1"/>
      <c r="J18" s="16"/>
      <c r="K18" s="1"/>
      <c r="L18" s="1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6" x14ac:dyDescent="0.2">
      <c r="A19" s="1"/>
      <c r="B19" s="31"/>
      <c r="C19" s="31"/>
      <c r="D19" s="31"/>
      <c r="E19" s="32"/>
      <c r="F19" s="32"/>
      <c r="G19" s="32"/>
      <c r="H19" s="32"/>
      <c r="I19" s="1"/>
      <c r="J19" s="1"/>
      <c r="K19" s="1"/>
      <c r="L19" s="1"/>
      <c r="M19" s="1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6" x14ac:dyDescent="0.2">
      <c r="A20" s="1"/>
      <c r="B20" s="1"/>
      <c r="C20" s="1"/>
      <c r="D20" s="1"/>
      <c r="E20" s="33"/>
      <c r="F20" s="33"/>
      <c r="G20" s="33"/>
      <c r="H20" s="3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6" x14ac:dyDescent="0.2">
      <c r="A21" s="1"/>
      <c r="B21" s="1"/>
      <c r="C21" s="1"/>
      <c r="D21" s="1"/>
      <c r="E21" s="34"/>
      <c r="F21" s="34"/>
      <c r="G21" s="3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6" x14ac:dyDescent="0.2">
      <c r="A22" s="1"/>
      <c r="B22" s="1"/>
      <c r="C22" s="1"/>
      <c r="D22" s="1"/>
      <c r="E22" s="35"/>
      <c r="F22" s="35"/>
      <c r="G22" s="3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6" x14ac:dyDescent="0.2">
      <c r="A23" s="1"/>
      <c r="B23" s="1"/>
      <c r="C23" s="1"/>
      <c r="D23" s="1"/>
      <c r="E23" s="35"/>
      <c r="F23" s="35"/>
      <c r="G23" s="35"/>
      <c r="H23" s="3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6" x14ac:dyDescent="0.2">
      <c r="A24" s="1"/>
      <c r="B24" s="1"/>
      <c r="C24" s="1"/>
      <c r="D24" s="1"/>
      <c r="E24" s="34"/>
      <c r="F24" s="34"/>
      <c r="G24" s="34"/>
      <c r="H24" s="35"/>
      <c r="I24" s="1"/>
      <c r="J24" s="1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6" x14ac:dyDescent="0.2">
      <c r="A25" s="1"/>
      <c r="B25" s="1"/>
      <c r="C25" s="1"/>
      <c r="D25" s="1"/>
      <c r="E25" s="28"/>
      <c r="F25" s="28"/>
      <c r="G25" s="28"/>
      <c r="H25" s="2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6" x14ac:dyDescent="0.2">
      <c r="A26" s="1"/>
      <c r="B26" s="8"/>
      <c r="C26" s="8"/>
      <c r="D26" s="8"/>
      <c r="E26" s="36"/>
      <c r="F26" s="36"/>
      <c r="G26" s="36"/>
      <c r="H26" s="3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6" x14ac:dyDescent="0.2">
      <c r="A27" s="1"/>
      <c r="B27" s="1"/>
      <c r="C27" s="1"/>
      <c r="D27" s="1"/>
      <c r="E27" s="32"/>
      <c r="F27" s="1"/>
      <c r="G27" s="1"/>
      <c r="H27" s="1"/>
      <c r="I27" s="1"/>
      <c r="J27" s="37"/>
      <c r="K27" s="120" t="s">
        <v>43</v>
      </c>
      <c r="L27" s="121"/>
      <c r="M27" s="121"/>
      <c r="N27" s="121"/>
      <c r="O27" s="12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6" x14ac:dyDescent="0.2">
      <c r="A28" s="1"/>
      <c r="B28" s="1"/>
      <c r="C28" s="1"/>
      <c r="D28" s="1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6" x14ac:dyDescent="0.2">
      <c r="A29" s="1"/>
      <c r="B29" s="1"/>
      <c r="C29" s="1"/>
      <c r="D29" s="1"/>
      <c r="E29" s="11"/>
      <c r="F29" s="1"/>
      <c r="G29" s="1"/>
      <c r="H29" s="1"/>
      <c r="I29" s="1"/>
      <c r="J29" s="38">
        <f>J17</f>
        <v>3751.9</v>
      </c>
      <c r="K29" s="111" t="s">
        <v>19</v>
      </c>
      <c r="L29" s="112"/>
      <c r="M29" s="112"/>
      <c r="N29" s="112"/>
      <c r="O29" s="113"/>
      <c r="P29" s="1"/>
      <c r="Q29" s="1"/>
      <c r="R29" s="1"/>
      <c r="S29" s="39" t="s">
        <v>6</v>
      </c>
      <c r="T29" s="40" t="s">
        <v>7</v>
      </c>
      <c r="U29" s="41" t="s">
        <v>19</v>
      </c>
      <c r="V29" s="41" t="s">
        <v>20</v>
      </c>
      <c r="W29" s="41" t="s">
        <v>21</v>
      </c>
      <c r="X29" s="41" t="s">
        <v>22</v>
      </c>
      <c r="Y29" s="42" t="s">
        <v>25</v>
      </c>
      <c r="Z29" s="1"/>
      <c r="AA29" s="1"/>
      <c r="AB29" s="1"/>
      <c r="AC29" s="1"/>
      <c r="AD29" s="1"/>
      <c r="AE29" s="43" t="s">
        <v>23</v>
      </c>
      <c r="AF29" s="43" t="s">
        <v>24</v>
      </c>
      <c r="AG29" s="1"/>
      <c r="AH29" s="1"/>
    </row>
    <row r="30" spans="1:34" ht="16" x14ac:dyDescent="0.2">
      <c r="A30" s="1"/>
      <c r="B30" s="1"/>
      <c r="C30" s="1"/>
      <c r="D30" s="1"/>
      <c r="E30" s="11"/>
      <c r="F30" s="1"/>
      <c r="G30" s="1"/>
      <c r="H30" s="1"/>
      <c r="I30" s="1"/>
      <c r="J30" s="44"/>
      <c r="K30" s="45">
        <f t="shared" ref="K30:L30" si="2">L30-0.25</f>
        <v>0.43999999999999995</v>
      </c>
      <c r="L30" s="45">
        <f t="shared" si="2"/>
        <v>0.69</v>
      </c>
      <c r="M30" s="45">
        <f>+U39</f>
        <v>0.94</v>
      </c>
      <c r="N30" s="45">
        <f>M30+0.25</f>
        <v>1.19</v>
      </c>
      <c r="O30" s="46">
        <f>N30+0.5</f>
        <v>1.69</v>
      </c>
      <c r="P30" s="1"/>
      <c r="Q30" s="1"/>
      <c r="R30" s="1"/>
      <c r="S30" s="47" t="str">
        <f t="shared" ref="S30:T30" si="3">B17</f>
        <v>Tri Point Homes</v>
      </c>
      <c r="T30" s="48" t="str">
        <f t="shared" si="3"/>
        <v>TPH</v>
      </c>
      <c r="U30" s="49">
        <f t="shared" ref="U30:X30" si="4">S17</f>
        <v>0.89</v>
      </c>
      <c r="V30" s="49">
        <f t="shared" si="4"/>
        <v>7.67</v>
      </c>
      <c r="W30" s="49">
        <f t="shared" si="4"/>
        <v>8.42</v>
      </c>
      <c r="X30" s="49">
        <f t="shared" si="4"/>
        <v>10.050000000000001</v>
      </c>
      <c r="Y30" s="50">
        <f>Y17</f>
        <v>0</v>
      </c>
      <c r="Z30" s="1"/>
      <c r="AA30" s="1"/>
      <c r="AB30" s="1"/>
      <c r="AC30" s="1"/>
      <c r="AD30" s="1"/>
      <c r="AE30" s="51">
        <f t="shared" ref="AE30:AF30" si="5">W17</f>
        <v>33.97</v>
      </c>
      <c r="AF30" s="51">
        <f t="shared" si="5"/>
        <v>0.88</v>
      </c>
      <c r="AG30" s="1"/>
      <c r="AH30" s="1"/>
    </row>
    <row r="31" spans="1:34" ht="16" x14ac:dyDescent="0.2">
      <c r="A31" s="1"/>
      <c r="B31" s="1"/>
      <c r="C31" s="1"/>
      <c r="D31" s="1"/>
      <c r="E31" s="11"/>
      <c r="F31" s="1"/>
      <c r="G31" s="1"/>
      <c r="H31" s="1"/>
      <c r="I31" s="1"/>
      <c r="J31" s="52" t="s">
        <v>44</v>
      </c>
      <c r="K31" s="53">
        <f>(($J$17*K$30)-$O$17)/$E$17</f>
        <v>14.198361774744024</v>
      </c>
      <c r="L31" s="53">
        <f>(($J$17*L$30)-$O$17)/$E$17</f>
        <v>24.869294653014784</v>
      </c>
      <c r="M31" s="53">
        <f>(($J$17*M$30)-$O$17)/$E$17</f>
        <v>35.540227531285545</v>
      </c>
      <c r="N31" s="53">
        <f>(($J$17*N$30)-$O$17)/$E$17</f>
        <v>46.211160409556307</v>
      </c>
      <c r="O31" s="54">
        <f>(($J$17*O$30)-$O$17)/$E$17</f>
        <v>67.553026166097837</v>
      </c>
      <c r="P31" s="1"/>
      <c r="Q31" s="1"/>
      <c r="R31" s="1"/>
      <c r="S31" s="55" t="str">
        <f t="shared" ref="S31:T31" si="6">B6</f>
        <v>Taylor Morrison Home Corp</v>
      </c>
      <c r="T31" s="56" t="str">
        <f t="shared" si="6"/>
        <v>TMHC</v>
      </c>
      <c r="U31" s="57">
        <f t="shared" ref="U31:X31" si="7">S6</f>
        <v>0.98</v>
      </c>
      <c r="V31" s="57">
        <f t="shared" si="7"/>
        <v>6.4</v>
      </c>
      <c r="W31" s="57">
        <f t="shared" si="7"/>
        <v>6.69</v>
      </c>
      <c r="X31" s="57">
        <f t="shared" si="7"/>
        <v>7.56</v>
      </c>
      <c r="Y31" s="58">
        <f t="shared" ref="Y31:Y36" si="8">Y6</f>
        <v>0</v>
      </c>
      <c r="Z31" s="1"/>
      <c r="AA31" s="1"/>
      <c r="AB31" s="1"/>
      <c r="AC31" s="1"/>
      <c r="AD31" s="1"/>
      <c r="AE31" s="57">
        <f t="shared" ref="AE31:AF31" si="9">W6</f>
        <v>66.010000000000005</v>
      </c>
      <c r="AF31" s="57">
        <f t="shared" si="9"/>
        <v>1.04</v>
      </c>
      <c r="AG31" s="1"/>
      <c r="AH31" s="1"/>
    </row>
    <row r="32" spans="1:34" ht="16" x14ac:dyDescent="0.2">
      <c r="A32" s="1"/>
      <c r="B32" s="1"/>
      <c r="C32" s="1"/>
      <c r="D32" s="1"/>
      <c r="E32" s="1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55" t="str">
        <f t="shared" ref="S32:T32" si="10">B7</f>
        <v>KB Home</v>
      </c>
      <c r="T32" s="56" t="str">
        <f t="shared" si="10"/>
        <v>KBH</v>
      </c>
      <c r="U32" s="57">
        <f t="shared" ref="U32:X32" si="11">S7</f>
        <v>0.88</v>
      </c>
      <c r="V32" s="57">
        <f t="shared" si="11"/>
        <v>8.5299999999999994</v>
      </c>
      <c r="W32" s="57">
        <f t="shared" si="11"/>
        <v>9.02</v>
      </c>
      <c r="X32" s="57">
        <f t="shared" si="11"/>
        <v>8.64</v>
      </c>
      <c r="Y32" s="58">
        <f t="shared" si="8"/>
        <v>0</v>
      </c>
      <c r="Z32" s="1"/>
      <c r="AA32" s="1"/>
      <c r="AB32" s="1"/>
      <c r="AC32" s="1"/>
      <c r="AD32" s="1"/>
      <c r="AE32" s="57">
        <f t="shared" ref="AE32:AF32" si="12">W7</f>
        <v>66.55</v>
      </c>
      <c r="AF32" s="57">
        <f t="shared" si="12"/>
        <v>1.05</v>
      </c>
      <c r="AG32" s="1"/>
      <c r="AH32" s="1"/>
    </row>
    <row r="33" spans="1:34" ht="16" x14ac:dyDescent="0.2">
      <c r="A33" s="1"/>
      <c r="B33" s="1"/>
      <c r="C33" s="1"/>
      <c r="D33" s="1"/>
      <c r="E33" s="11"/>
      <c r="F33" s="1"/>
      <c r="G33" s="1"/>
      <c r="H33" s="1"/>
      <c r="I33" s="1"/>
      <c r="J33" s="38">
        <f>K17</f>
        <v>432.6</v>
      </c>
      <c r="K33" s="111" t="s">
        <v>20</v>
      </c>
      <c r="L33" s="112"/>
      <c r="M33" s="112"/>
      <c r="N33" s="112"/>
      <c r="O33" s="113"/>
      <c r="P33" s="1"/>
      <c r="Q33" s="1"/>
      <c r="R33" s="1"/>
      <c r="S33" s="55" t="str">
        <f t="shared" ref="S33:T33" si="13">B8</f>
        <v>Meritage Homes Corp</v>
      </c>
      <c r="T33" s="56" t="str">
        <f t="shared" si="13"/>
        <v>MTH</v>
      </c>
      <c r="U33" s="57">
        <f t="shared" ref="U33:X33" si="14">S8</f>
        <v>1.04</v>
      </c>
      <c r="V33" s="57">
        <f t="shared" si="14"/>
        <v>9.1300000000000008</v>
      </c>
      <c r="W33" s="57">
        <f t="shared" si="14"/>
        <v>9.48</v>
      </c>
      <c r="X33" s="57">
        <f t="shared" si="14"/>
        <v>9.44</v>
      </c>
      <c r="Y33" s="58">
        <f t="shared" si="8"/>
        <v>0</v>
      </c>
      <c r="Z33" s="1"/>
      <c r="AA33" s="1"/>
      <c r="AB33" s="1"/>
      <c r="AC33" s="1"/>
      <c r="AD33" s="1"/>
      <c r="AE33" s="57">
        <f t="shared" ref="AE33:AF33" si="15">W8</f>
        <v>72.430000000000007</v>
      </c>
      <c r="AF33" s="57">
        <f t="shared" si="15"/>
        <v>0.96</v>
      </c>
      <c r="AG33" s="1"/>
      <c r="AH33" s="1"/>
    </row>
    <row r="34" spans="1:34" ht="16" x14ac:dyDescent="0.2">
      <c r="A34" s="1"/>
      <c r="B34" s="1"/>
      <c r="C34" s="1"/>
      <c r="D34" s="1"/>
      <c r="E34" s="20"/>
      <c r="F34" s="1"/>
      <c r="G34" s="1"/>
      <c r="H34" s="1"/>
      <c r="I34" s="1"/>
      <c r="J34" s="44"/>
      <c r="K34" s="45">
        <f t="shared" ref="K34:L34" si="16">L34-0.5</f>
        <v>6.97</v>
      </c>
      <c r="L34" s="45">
        <f t="shared" si="16"/>
        <v>7.47</v>
      </c>
      <c r="M34" s="45">
        <f>V39</f>
        <v>7.97</v>
      </c>
      <c r="N34" s="45">
        <f t="shared" ref="N34:O34" si="17">M34+0.5</f>
        <v>8.4699999999999989</v>
      </c>
      <c r="O34" s="46">
        <f t="shared" si="17"/>
        <v>8.9699999999999989</v>
      </c>
      <c r="P34" s="1"/>
      <c r="Q34" s="1"/>
      <c r="R34" s="1"/>
      <c r="S34" s="55" t="str">
        <f t="shared" ref="S34:T34" si="18">B9</f>
        <v>Century Communities Inc</v>
      </c>
      <c r="T34" s="56" t="str">
        <f t="shared" si="18"/>
        <v>CCS</v>
      </c>
      <c r="U34" s="57">
        <f t="shared" ref="U34:X34" si="19">S9</f>
        <v>0.77</v>
      </c>
      <c r="V34" s="57">
        <f t="shared" si="19"/>
        <v>9.85</v>
      </c>
      <c r="W34" s="57">
        <f t="shared" si="19"/>
        <v>10.69</v>
      </c>
      <c r="X34" s="57">
        <f t="shared" si="19"/>
        <v>9.01</v>
      </c>
      <c r="Y34" s="58">
        <f t="shared" si="8"/>
        <v>0</v>
      </c>
      <c r="Z34" s="1"/>
      <c r="AA34" s="1"/>
      <c r="AB34" s="1"/>
      <c r="AC34" s="1"/>
      <c r="AD34" s="1"/>
      <c r="AE34" s="57">
        <f t="shared" ref="AE34:AE36" si="20">W9</f>
        <v>63.37</v>
      </c>
      <c r="AF34" s="57">
        <f>V9</f>
        <v>9.01</v>
      </c>
      <c r="AG34" s="1"/>
      <c r="AH34" s="1"/>
    </row>
    <row r="35" spans="1:34" ht="16" x14ac:dyDescent="0.2">
      <c r="A35" s="1"/>
      <c r="B35" s="1"/>
      <c r="C35" s="1"/>
      <c r="D35" s="1"/>
      <c r="E35" s="20"/>
      <c r="F35" s="1"/>
      <c r="G35" s="1"/>
      <c r="H35" s="1"/>
      <c r="I35" s="1"/>
      <c r="J35" s="52" t="s">
        <v>44</v>
      </c>
      <c r="K35" s="53">
        <f t="shared" ref="K35:O35" si="21">(($K$17*K$34)-$O$17)/$E$17</f>
        <v>29.720386803185441</v>
      </c>
      <c r="L35" s="53">
        <f t="shared" si="21"/>
        <v>32.181137656427751</v>
      </c>
      <c r="M35" s="53">
        <f t="shared" si="21"/>
        <v>34.641888509670075</v>
      </c>
      <c r="N35" s="53">
        <f t="shared" si="21"/>
        <v>37.102639362912399</v>
      </c>
      <c r="O35" s="54">
        <f t="shared" si="21"/>
        <v>39.563390216154708</v>
      </c>
      <c r="P35" s="1"/>
      <c r="Q35" s="1"/>
      <c r="R35" s="1"/>
      <c r="S35" s="55" t="str">
        <f t="shared" ref="S35:T35" si="22">B10</f>
        <v>PulteGroup Inc</v>
      </c>
      <c r="T35" s="56" t="str">
        <f t="shared" si="22"/>
        <v>PHM</v>
      </c>
      <c r="U35" s="57">
        <f t="shared" ref="U35:X35" si="23">S10</f>
        <v>1.48</v>
      </c>
      <c r="V35" s="57">
        <f t="shared" si="23"/>
        <v>7.41</v>
      </c>
      <c r="W35" s="57">
        <f t="shared" si="23"/>
        <v>7.65</v>
      </c>
      <c r="X35" s="57">
        <f t="shared" si="23"/>
        <v>9.8699999999999992</v>
      </c>
      <c r="Y35" s="58">
        <f t="shared" si="8"/>
        <v>0</v>
      </c>
      <c r="Z35" s="1"/>
      <c r="AA35" s="1"/>
      <c r="AB35" s="1"/>
      <c r="AC35" s="1"/>
      <c r="AD35" s="1"/>
      <c r="AE35" s="57">
        <f t="shared" si="20"/>
        <v>132.13</v>
      </c>
      <c r="AF35" s="57">
        <f t="shared" ref="AF35:AF36" si="24">X10</f>
        <v>2.0099999999999998</v>
      </c>
      <c r="AG35" s="1"/>
      <c r="AH35" s="1"/>
    </row>
    <row r="36" spans="1:34" ht="16" x14ac:dyDescent="0.2">
      <c r="A36" s="1"/>
      <c r="B36" s="1"/>
      <c r="C36" s="1"/>
      <c r="D36" s="1"/>
      <c r="E36" s="2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55" t="str">
        <f t="shared" ref="S36:T36" si="25">B11</f>
        <v>M/I Homes Inc</v>
      </c>
      <c r="T36" s="56" t="str">
        <f t="shared" si="25"/>
        <v>MHO</v>
      </c>
      <c r="U36" s="57">
        <f t="shared" ref="U36:X36" si="26">S11</f>
        <v>0.9</v>
      </c>
      <c r="V36" s="57">
        <f t="shared" si="26"/>
        <v>6.6</v>
      </c>
      <c r="W36" s="57">
        <f t="shared" si="26"/>
        <v>6.77</v>
      </c>
      <c r="X36" s="57">
        <f t="shared" si="26"/>
        <v>8.08</v>
      </c>
      <c r="Y36" s="59">
        <f t="shared" si="8"/>
        <v>0</v>
      </c>
      <c r="Z36" s="1"/>
      <c r="AA36" s="1"/>
      <c r="AB36" s="1"/>
      <c r="AC36" s="1"/>
      <c r="AD36" s="1"/>
      <c r="AE36" s="57">
        <f t="shared" si="20"/>
        <v>144.44</v>
      </c>
      <c r="AF36" s="57">
        <f t="shared" si="24"/>
        <v>1.2</v>
      </c>
      <c r="AG36" s="1"/>
      <c r="AH36" s="1"/>
    </row>
    <row r="37" spans="1:34" ht="16" x14ac:dyDescent="0.2">
      <c r="A37" s="1"/>
      <c r="B37" s="1"/>
      <c r="C37" s="1"/>
      <c r="D37" s="1"/>
      <c r="E37" s="1"/>
      <c r="F37" s="1"/>
      <c r="G37" s="1"/>
      <c r="H37" s="1"/>
      <c r="I37" s="1"/>
      <c r="J37" s="38">
        <f>L17</f>
        <v>389.2</v>
      </c>
      <c r="K37" s="111" t="s">
        <v>21</v>
      </c>
      <c r="L37" s="112"/>
      <c r="M37" s="112"/>
      <c r="N37" s="112"/>
      <c r="O37" s="113"/>
      <c r="P37" s="1"/>
      <c r="Q37" s="1"/>
      <c r="R37" s="1"/>
      <c r="S37" s="55"/>
      <c r="T37" s="56"/>
      <c r="U37" s="57"/>
      <c r="V37" s="57"/>
      <c r="W37" s="57"/>
      <c r="X37" s="57"/>
      <c r="Y37" s="58"/>
      <c r="Z37" s="1"/>
      <c r="AA37" s="1"/>
      <c r="AB37" s="1"/>
      <c r="AC37" s="1"/>
      <c r="AD37" s="1"/>
      <c r="AE37" s="57"/>
      <c r="AF37" s="57"/>
      <c r="AG37" s="1"/>
      <c r="AH37" s="1"/>
    </row>
    <row r="38" spans="1:34" ht="16" x14ac:dyDescent="0.2">
      <c r="A38" s="1"/>
      <c r="B38" s="1"/>
      <c r="C38" s="1"/>
      <c r="D38" s="1"/>
      <c r="E38" s="32"/>
      <c r="F38" s="1"/>
      <c r="G38" s="1"/>
      <c r="H38" s="1"/>
      <c r="I38" s="1"/>
      <c r="J38" s="44"/>
      <c r="K38" s="45">
        <f t="shared" ref="K38:L38" si="27">L38-0.75</f>
        <v>6.8350000000000009</v>
      </c>
      <c r="L38" s="45">
        <f t="shared" si="27"/>
        <v>7.5850000000000009</v>
      </c>
      <c r="M38" s="45">
        <f>W39</f>
        <v>8.3350000000000009</v>
      </c>
      <c r="N38" s="45">
        <f t="shared" ref="N38:O38" si="28">M38+0.75</f>
        <v>9.0850000000000009</v>
      </c>
      <c r="O38" s="46">
        <f t="shared" si="28"/>
        <v>9.8350000000000009</v>
      </c>
      <c r="P38" s="1"/>
      <c r="Q38" s="1"/>
      <c r="R38" s="1"/>
      <c r="S38" s="60" t="s">
        <v>38</v>
      </c>
      <c r="T38" s="61"/>
      <c r="U38" s="62">
        <f t="shared" ref="U38:Y38" si="29">AVERAGE(U31:U37)</f>
        <v>1.0083333333333335</v>
      </c>
      <c r="V38" s="62">
        <f t="shared" si="29"/>
        <v>7.9866666666666681</v>
      </c>
      <c r="W38" s="62">
        <f t="shared" si="29"/>
        <v>8.3833333333333329</v>
      </c>
      <c r="X38" s="62">
        <f t="shared" si="29"/>
        <v>8.7666666666666657</v>
      </c>
      <c r="Y38" s="63">
        <f t="shared" si="29"/>
        <v>0</v>
      </c>
      <c r="Z38" s="1"/>
      <c r="AA38" s="1"/>
      <c r="AB38" s="1"/>
      <c r="AC38" s="1"/>
      <c r="AD38" s="1"/>
      <c r="AE38" s="64">
        <f t="shared" ref="AE38:AF38" si="30">AVERAGE(AE31:AE37)</f>
        <v>90.821666666666673</v>
      </c>
      <c r="AF38" s="64">
        <f t="shared" si="30"/>
        <v>2.5449999999999995</v>
      </c>
      <c r="AG38" s="1"/>
      <c r="AH38" s="1"/>
    </row>
    <row r="39" spans="1:34" ht="16" x14ac:dyDescent="0.2">
      <c r="A39" s="1"/>
      <c r="B39" s="1"/>
      <c r="C39" s="1"/>
      <c r="D39" s="1"/>
      <c r="E39" s="20"/>
      <c r="F39" s="1"/>
      <c r="G39" s="1"/>
      <c r="H39" s="1"/>
      <c r="I39" s="1"/>
      <c r="J39" s="52" t="s">
        <v>44</v>
      </c>
      <c r="K39" s="53">
        <f t="shared" ref="K39:O39" si="31">(($L$17*K$38)-$O$17)/$E$17</f>
        <v>25.681251422070538</v>
      </c>
      <c r="L39" s="53">
        <f t="shared" si="31"/>
        <v>29.002070534698522</v>
      </c>
      <c r="M39" s="53">
        <f t="shared" si="31"/>
        <v>32.322889647326512</v>
      </c>
      <c r="N39" s="53">
        <f t="shared" si="31"/>
        <v>35.643708759954492</v>
      </c>
      <c r="O39" s="54">
        <f t="shared" si="31"/>
        <v>38.96452787258248</v>
      </c>
      <c r="P39" s="1"/>
      <c r="Q39" s="1"/>
      <c r="R39" s="1"/>
      <c r="S39" s="65" t="s">
        <v>39</v>
      </c>
      <c r="T39" s="66"/>
      <c r="U39" s="67">
        <f t="shared" ref="U39:Y39" si="32">MEDIAN(U31:U37)</f>
        <v>0.94</v>
      </c>
      <c r="V39" s="67">
        <f t="shared" si="32"/>
        <v>7.97</v>
      </c>
      <c r="W39" s="67">
        <f t="shared" si="32"/>
        <v>8.3350000000000009</v>
      </c>
      <c r="X39" s="67">
        <f t="shared" si="32"/>
        <v>8.8249999999999993</v>
      </c>
      <c r="Y39" s="68">
        <f t="shared" si="32"/>
        <v>0</v>
      </c>
      <c r="Z39" s="1"/>
      <c r="AA39" s="1"/>
      <c r="AB39" s="1"/>
      <c r="AC39" s="1"/>
      <c r="AD39" s="1"/>
      <c r="AE39" s="64">
        <f t="shared" ref="AE39:AF39" si="33">MEDIAN(AE31:AE37)</f>
        <v>69.490000000000009</v>
      </c>
      <c r="AF39" s="64">
        <f t="shared" si="33"/>
        <v>1.125</v>
      </c>
      <c r="AG39" s="1"/>
      <c r="AH39" s="1"/>
    </row>
    <row r="40" spans="1:34" ht="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Y40" s="1"/>
      <c r="Z40" s="1"/>
      <c r="AA40" s="1"/>
      <c r="AB40" s="1"/>
      <c r="AC40" s="1"/>
      <c r="AD40" s="1"/>
      <c r="AF40" s="1"/>
      <c r="AG40" s="1"/>
      <c r="AH40" s="1"/>
    </row>
    <row r="41" spans="1:34" ht="16" x14ac:dyDescent="0.2">
      <c r="A41" s="1"/>
      <c r="B41" s="1"/>
      <c r="C41" s="1"/>
      <c r="D41" s="1"/>
      <c r="E41" s="1"/>
      <c r="F41" s="1"/>
      <c r="G41" s="1"/>
      <c r="H41" s="1"/>
      <c r="I41" s="1"/>
      <c r="J41" s="38">
        <f>N17</f>
        <v>309.3</v>
      </c>
      <c r="K41" s="111" t="s">
        <v>22</v>
      </c>
      <c r="L41" s="112"/>
      <c r="M41" s="112"/>
      <c r="N41" s="112"/>
      <c r="O41" s="113"/>
      <c r="P41" s="1"/>
      <c r="Q41" s="1"/>
      <c r="R41" s="1"/>
      <c r="S41" s="39" t="s">
        <v>6</v>
      </c>
      <c r="T41" s="40" t="s">
        <v>7</v>
      </c>
      <c r="U41" s="41" t="s">
        <v>19</v>
      </c>
      <c r="V41" s="41" t="s">
        <v>20</v>
      </c>
      <c r="W41" s="41" t="s">
        <v>21</v>
      </c>
      <c r="X41" s="41" t="s">
        <v>22</v>
      </c>
      <c r="Y41" s="42" t="s">
        <v>25</v>
      </c>
      <c r="Z41" s="1"/>
      <c r="AA41" s="1"/>
      <c r="AB41" s="1"/>
      <c r="AC41" s="1"/>
      <c r="AD41" s="1"/>
      <c r="AE41" s="69" t="s">
        <v>23</v>
      </c>
      <c r="AF41" s="69" t="s">
        <v>24</v>
      </c>
      <c r="AG41" s="1"/>
      <c r="AH41" s="1"/>
    </row>
    <row r="42" spans="1:34" ht="16" x14ac:dyDescent="0.2">
      <c r="A42" s="1"/>
      <c r="B42" s="1"/>
      <c r="C42" s="1"/>
      <c r="D42" s="1"/>
      <c r="E42" s="1"/>
      <c r="F42" s="1"/>
      <c r="G42" s="1"/>
      <c r="H42" s="1"/>
      <c r="I42" s="1"/>
      <c r="J42" s="44"/>
      <c r="K42" s="45">
        <f t="shared" ref="K42:L42" si="34">L42-0.5</f>
        <v>7.8249999999999993</v>
      </c>
      <c r="L42" s="45">
        <f t="shared" si="34"/>
        <v>8.3249999999999993</v>
      </c>
      <c r="M42" s="45">
        <f>X39</f>
        <v>8.8249999999999993</v>
      </c>
      <c r="N42" s="45">
        <f t="shared" ref="N42:O42" si="35">M42+0.5</f>
        <v>9.3249999999999993</v>
      </c>
      <c r="O42" s="46">
        <f t="shared" si="35"/>
        <v>9.8249999999999993</v>
      </c>
      <c r="P42" s="1"/>
      <c r="Q42" s="1"/>
      <c r="R42" s="1"/>
      <c r="S42" s="47" t="str">
        <f t="shared" ref="S42:T42" si="36">S30</f>
        <v>Tri Point Homes</v>
      </c>
      <c r="T42" s="48" t="str">
        <f t="shared" si="36"/>
        <v>TPH</v>
      </c>
      <c r="U42" s="70">
        <f>((J17*U39)-O17)/E17</f>
        <v>35.540227531285545</v>
      </c>
      <c r="V42" s="70">
        <f>((K17*V39)-O17)/E17</f>
        <v>34.641888509670075</v>
      </c>
      <c r="W42" s="70">
        <f>((L17*W39)-O17)/E17</f>
        <v>32.322889647326512</v>
      </c>
      <c r="X42" s="70">
        <f>X39*M17</f>
        <v>29.828499999999998</v>
      </c>
      <c r="Y42" s="71" t="e">
        <f>(Y39/Y30)*F17</f>
        <v>#DIV/0!</v>
      </c>
      <c r="Z42" s="1"/>
      <c r="AA42" s="1" t="s">
        <v>45</v>
      </c>
      <c r="AB42" s="1"/>
      <c r="AC42" s="1"/>
      <c r="AD42" s="1"/>
      <c r="AE42" s="72">
        <f>(AE39/AE30)*F17</f>
        <v>62.698513394171329</v>
      </c>
      <c r="AF42" s="72">
        <f>(AF39/AF30)*F17</f>
        <v>39.183238636363633</v>
      </c>
      <c r="AG42" s="1"/>
      <c r="AH42" s="1"/>
    </row>
    <row r="43" spans="1:34" ht="16" x14ac:dyDescent="0.2">
      <c r="A43" s="1"/>
      <c r="B43" s="1"/>
      <c r="C43" s="1"/>
      <c r="D43" s="1"/>
      <c r="E43" s="1"/>
      <c r="F43" s="1"/>
      <c r="G43" s="1"/>
      <c r="H43" s="1"/>
      <c r="I43" s="1"/>
      <c r="J43" s="52" t="s">
        <v>44</v>
      </c>
      <c r="K43" s="53">
        <f t="shared" ref="K43:O43" si="37">K$42*$M$17</f>
        <v>26.448499999999996</v>
      </c>
      <c r="L43" s="53">
        <f t="shared" si="37"/>
        <v>28.138499999999997</v>
      </c>
      <c r="M43" s="53">
        <f t="shared" si="37"/>
        <v>29.828499999999998</v>
      </c>
      <c r="N43" s="53">
        <f t="shared" si="37"/>
        <v>31.518499999999996</v>
      </c>
      <c r="O43" s="54">
        <f t="shared" si="37"/>
        <v>33.208499999999994</v>
      </c>
      <c r="P43" s="1"/>
      <c r="Q43" s="1"/>
      <c r="R43" s="1"/>
      <c r="S43" s="55" t="s">
        <v>46</v>
      </c>
      <c r="U43" s="73">
        <v>0.25</v>
      </c>
      <c r="V43" s="73">
        <v>0.15</v>
      </c>
      <c r="W43" s="73">
        <v>0.2</v>
      </c>
      <c r="X43" s="73">
        <v>0.2</v>
      </c>
      <c r="Y43" s="74">
        <v>0.2</v>
      </c>
      <c r="Z43" s="1"/>
      <c r="AA43" s="75">
        <f>SUM(U43:Z43)</f>
        <v>1</v>
      </c>
      <c r="AB43" s="1"/>
      <c r="AC43" s="1"/>
      <c r="AD43" s="1"/>
      <c r="AE43" s="73">
        <v>0.1</v>
      </c>
      <c r="AF43" s="1"/>
      <c r="AG43" s="1"/>
      <c r="AH43" s="1"/>
    </row>
    <row r="44" spans="1:34" ht="1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76"/>
      <c r="Y44" s="77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6" x14ac:dyDescent="0.2">
      <c r="A45" s="1"/>
      <c r="B45" s="1"/>
      <c r="C45" s="1"/>
      <c r="D45" s="1"/>
      <c r="E45" s="1"/>
      <c r="F45" s="1"/>
      <c r="G45" s="1"/>
      <c r="H45" s="1"/>
      <c r="I45" s="1"/>
      <c r="J45" s="78">
        <f>Y17</f>
        <v>0</v>
      </c>
      <c r="K45" s="111" t="s">
        <v>25</v>
      </c>
      <c r="L45" s="112"/>
      <c r="M45" s="112"/>
      <c r="N45" s="112"/>
      <c r="O45" s="113"/>
      <c r="P45" s="1"/>
      <c r="Q45" s="1"/>
      <c r="R45" s="1"/>
      <c r="S45" s="55" t="s">
        <v>47</v>
      </c>
      <c r="T45" s="79">
        <v>27.11</v>
      </c>
      <c r="Y45" s="77"/>
      <c r="Z45" s="1"/>
      <c r="AA45" s="1"/>
      <c r="AB45" s="1"/>
      <c r="AC45" s="1"/>
      <c r="AD45" s="1"/>
      <c r="AF45" s="1"/>
      <c r="AG45" s="1"/>
      <c r="AH45" s="1"/>
    </row>
    <row r="46" spans="1:34" ht="16" x14ac:dyDescent="0.2">
      <c r="A46" s="1"/>
      <c r="B46" s="1"/>
      <c r="C46" s="1"/>
      <c r="D46" s="1"/>
      <c r="E46" s="1"/>
      <c r="F46" s="1"/>
      <c r="G46" s="1"/>
      <c r="H46" s="1"/>
      <c r="I46" s="1"/>
      <c r="J46" s="44"/>
      <c r="K46" s="45">
        <f>L46-0.25</f>
        <v>-0.5</v>
      </c>
      <c r="L46" s="45">
        <f t="shared" ref="L46" si="38">M46-0.25</f>
        <v>-0.25</v>
      </c>
      <c r="M46" s="45">
        <f>Y39</f>
        <v>0</v>
      </c>
      <c r="N46" s="45">
        <f t="shared" ref="N46:O46" si="39">M46+0.25</f>
        <v>0.25</v>
      </c>
      <c r="O46" s="46">
        <f t="shared" si="39"/>
        <v>0.5</v>
      </c>
      <c r="P46" s="1"/>
      <c r="Q46" s="1"/>
      <c r="R46" s="1"/>
      <c r="S46" s="80" t="s">
        <v>48</v>
      </c>
      <c r="T46" s="81" t="e">
        <f>SUMPRODUCT(U42:Y42,U43:Y43)</f>
        <v>#DIV/0!</v>
      </c>
      <c r="Y46" s="77"/>
      <c r="Z46" s="1"/>
      <c r="AA46" s="1"/>
      <c r="AB46" s="1"/>
      <c r="AC46" s="1"/>
      <c r="AD46" s="1"/>
      <c r="AF46" s="1"/>
      <c r="AG46" s="1"/>
      <c r="AH46" s="1"/>
    </row>
    <row r="47" spans="1:34" ht="16" x14ac:dyDescent="0.2">
      <c r="A47" s="1"/>
      <c r="B47" s="1"/>
      <c r="C47" s="1"/>
      <c r="D47" s="1"/>
      <c r="E47" s="1"/>
      <c r="F47" s="1"/>
      <c r="G47" s="1"/>
      <c r="H47" s="1"/>
      <c r="I47" s="1"/>
      <c r="J47" s="52" t="s">
        <v>44</v>
      </c>
      <c r="K47" s="53" t="e">
        <f t="shared" ref="K47:O47" si="40">(K$46/$Y$30)*$F$17</f>
        <v>#DIV/0!</v>
      </c>
      <c r="L47" s="53" t="e">
        <f t="shared" si="40"/>
        <v>#DIV/0!</v>
      </c>
      <c r="M47" s="53" t="e">
        <f t="shared" si="40"/>
        <v>#DIV/0!</v>
      </c>
      <c r="N47" s="53" t="e">
        <f t="shared" si="40"/>
        <v>#DIV/0!</v>
      </c>
      <c r="O47" s="54" t="e">
        <f t="shared" si="40"/>
        <v>#DIV/0!</v>
      </c>
      <c r="P47" s="1"/>
      <c r="Q47" s="1"/>
      <c r="R47" s="1"/>
      <c r="S47" s="82" t="str">
        <f t="array" aca="1" ref="S47" ca="1">IFERROR(_xludf.IFS(T46&gt;T45,"Upside",T46&lt;T45,"Downside",T46=T45,"Fair Value",T47="",""),"")</f>
        <v/>
      </c>
      <c r="T47" s="83" t="str">
        <f>IFERROR(IF(T46/T45-1=-100%,"",T46/T45-1),"")</f>
        <v/>
      </c>
      <c r="U47" s="84"/>
      <c r="V47" s="84"/>
      <c r="W47" s="84"/>
      <c r="X47" s="84"/>
      <c r="Y47" s="85"/>
      <c r="Z47" s="1"/>
      <c r="AA47" s="1"/>
      <c r="AB47" s="1"/>
      <c r="AC47" s="1"/>
      <c r="AD47" s="1"/>
      <c r="AF47" s="1"/>
      <c r="AG47" s="1"/>
      <c r="AH47" s="1"/>
    </row>
    <row r="48" spans="1:34" ht="1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84"/>
      <c r="AF48" s="86"/>
      <c r="AG48" s="1"/>
      <c r="AH48" s="1"/>
    </row>
    <row r="49" spans="1:34" ht="1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34">
        <f>L31</f>
        <v>24.869294653014784</v>
      </c>
      <c r="L51" s="34">
        <f>M51-K51</f>
        <v>21.341865756541523</v>
      </c>
      <c r="M51" s="34">
        <f>N31</f>
        <v>46.211160409556307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34"/>
      <c r="L52" s="1"/>
      <c r="M52" s="3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34"/>
      <c r="L53" s="1"/>
      <c r="M53" s="3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34"/>
      <c r="L54" s="1"/>
      <c r="M54" s="34"/>
      <c r="N54" s="1"/>
      <c r="O54" s="1"/>
      <c r="P54" s="1"/>
      <c r="Q54" s="1"/>
      <c r="R54" s="1"/>
      <c r="S54" s="1"/>
      <c r="T54" s="1" t="s">
        <v>47</v>
      </c>
      <c r="U54" s="1" t="s">
        <v>49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34">
        <f>L35</f>
        <v>32.181137656427751</v>
      </c>
      <c r="L55" s="34">
        <f>M55-K55</f>
        <v>4.9215017064846478</v>
      </c>
      <c r="M55" s="34">
        <f>N35</f>
        <v>37.102639362912399</v>
      </c>
      <c r="N55" s="1"/>
      <c r="O55" s="1"/>
      <c r="P55" s="1"/>
      <c r="Q55" s="1"/>
      <c r="R55" s="1"/>
      <c r="S55" s="1"/>
      <c r="T55" s="1" t="s">
        <v>50</v>
      </c>
      <c r="U55" s="1" t="s">
        <v>49</v>
      </c>
      <c r="V55" s="87" t="e">
        <f t="shared" ref="V55:V56" si="41">(U55-$U$54)/$U$54</f>
        <v>#VALUE!</v>
      </c>
      <c r="W55" s="1" t="s">
        <v>51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34"/>
      <c r="L56" s="1"/>
      <c r="M56" s="34"/>
      <c r="N56" s="1"/>
      <c r="O56" s="1"/>
      <c r="P56" s="1"/>
      <c r="Q56" s="1"/>
      <c r="R56" s="1"/>
      <c r="S56" s="1"/>
      <c r="T56" s="1" t="s">
        <v>39</v>
      </c>
      <c r="U56" s="1" t="s">
        <v>49</v>
      </c>
      <c r="V56" s="87" t="e">
        <f t="shared" si="41"/>
        <v>#VALUE!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34"/>
      <c r="L57" s="1"/>
      <c r="M57" s="3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34"/>
      <c r="L58" s="1"/>
      <c r="M58" s="3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34">
        <f>L39</f>
        <v>29.002070534698522</v>
      </c>
      <c r="L59" s="34">
        <f>M59-K59</f>
        <v>6.6416382252559707</v>
      </c>
      <c r="M59" s="34">
        <f>N39</f>
        <v>35.643708759954492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34"/>
      <c r="L60" s="1"/>
      <c r="M60" s="3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34"/>
      <c r="L61" s="1"/>
      <c r="M61" s="3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34"/>
      <c r="L62" s="1"/>
      <c r="M62" s="3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34">
        <f>L43</f>
        <v>28.138499999999997</v>
      </c>
      <c r="L63" s="34">
        <f>M63-K63</f>
        <v>3.379999999999999</v>
      </c>
      <c r="M63" s="34">
        <f>N43</f>
        <v>31.518499999999996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34"/>
      <c r="L64" s="1"/>
      <c r="M64" s="3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34"/>
      <c r="L65" s="1"/>
      <c r="M65" s="34"/>
      <c r="N65" s="1"/>
      <c r="O65" s="1" t="s">
        <v>52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34"/>
      <c r="L66" s="1"/>
      <c r="M66" s="3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34" t="e">
        <f>L47</f>
        <v>#DIV/0!</v>
      </c>
      <c r="L67" s="34" t="e">
        <f>M67-K67</f>
        <v>#DIV/0!</v>
      </c>
      <c r="M67" s="34" t="e">
        <f>N47</f>
        <v>#DIV/0!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4" t="e">
        <f>AVERAGE(L51:L67)</f>
        <v>#DIV/0!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4" t="e">
        <f>L69/2</f>
        <v>#DIV/0!</v>
      </c>
      <c r="M70" s="87" t="e">
        <f>L70/28.13</f>
        <v>#DIV/0!</v>
      </c>
      <c r="N70" s="87" t="e">
        <f>M70/2</f>
        <v>#DIV/0!</v>
      </c>
      <c r="O70" s="1" t="s">
        <v>53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 t="s">
        <v>54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K41:O41"/>
    <mergeCell ref="K45:O45"/>
    <mergeCell ref="E4:H4"/>
    <mergeCell ref="J4:O4"/>
    <mergeCell ref="S4:Y4"/>
    <mergeCell ref="K27:O27"/>
    <mergeCell ref="K29:O29"/>
    <mergeCell ref="K33:O33"/>
    <mergeCell ref="K37:O3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showGridLines="0" workbookViewId="0"/>
  </sheetViews>
  <sheetFormatPr baseColWidth="10" defaultColWidth="14.5" defaultRowHeight="15" customHeight="1" x14ac:dyDescent="0.2"/>
  <cols>
    <col min="1" max="2" width="9.33203125" customWidth="1"/>
    <col min="3" max="3" width="11.5" customWidth="1"/>
    <col min="4" max="5" width="20.5" customWidth="1"/>
    <col min="6" max="8" width="9.33203125" customWidth="1"/>
    <col min="9" max="9" width="14" customWidth="1"/>
    <col min="10" max="10" width="10.6640625" customWidth="1"/>
    <col min="11" max="12" width="9.33203125" customWidth="1"/>
    <col min="13" max="14" width="10.6640625" customWidth="1"/>
    <col min="15" max="23" width="9.33203125" customWidth="1"/>
    <col min="24" max="24" width="23.6640625" customWidth="1"/>
    <col min="25" max="25" width="25.5" customWidth="1"/>
    <col min="26" max="26" width="14.6640625" customWidth="1"/>
    <col min="27" max="27" width="15.33203125" customWidth="1"/>
    <col min="28" max="28" width="16" customWidth="1"/>
    <col min="29" max="29" width="9.33203125" customWidth="1"/>
    <col min="30" max="30" width="13.5" customWidth="1"/>
    <col min="31" max="31" width="13.33203125" customWidth="1"/>
    <col min="32" max="32" width="13.5" customWidth="1"/>
    <col min="33" max="33" width="13" customWidth="1"/>
    <col min="34" max="34" width="11.6640625" customWidth="1"/>
    <col min="35" max="35" width="13" customWidth="1"/>
  </cols>
  <sheetData>
    <row r="1" spans="1:35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 x14ac:dyDescent="0.2">
      <c r="A2" s="1"/>
      <c r="B2" s="123" t="s">
        <v>55</v>
      </c>
      <c r="C2" s="121"/>
      <c r="D2" s="121"/>
      <c r="E2" s="121"/>
      <c r="F2" s="122"/>
      <c r="G2" s="123" t="s">
        <v>56</v>
      </c>
      <c r="H2" s="121"/>
      <c r="I2" s="122"/>
      <c r="J2" s="123" t="s">
        <v>57</v>
      </c>
      <c r="K2" s="122"/>
      <c r="L2" s="123" t="s">
        <v>58</v>
      </c>
      <c r="M2" s="122"/>
      <c r="N2" s="123" t="s">
        <v>13</v>
      </c>
      <c r="O2" s="122"/>
      <c r="P2" s="123" t="s">
        <v>19</v>
      </c>
      <c r="Q2" s="122"/>
      <c r="R2" s="123" t="s">
        <v>20</v>
      </c>
      <c r="S2" s="122"/>
      <c r="T2" s="1"/>
      <c r="U2" s="1"/>
      <c r="V2" s="1"/>
      <c r="W2" s="1"/>
      <c r="X2" s="88" t="s">
        <v>6</v>
      </c>
      <c r="Y2" s="89" t="s">
        <v>8</v>
      </c>
      <c r="Z2" s="89" t="s">
        <v>9</v>
      </c>
      <c r="AA2" s="89" t="s">
        <v>10</v>
      </c>
      <c r="AB2" s="89" t="s">
        <v>11</v>
      </c>
      <c r="AC2" s="90"/>
      <c r="AD2" s="88" t="s">
        <v>58</v>
      </c>
      <c r="AE2" s="89" t="s">
        <v>13</v>
      </c>
      <c r="AF2" s="91" t="s">
        <v>59</v>
      </c>
      <c r="AG2" s="89" t="s">
        <v>16</v>
      </c>
      <c r="AH2" s="89" t="s">
        <v>17</v>
      </c>
      <c r="AI2" s="89" t="s">
        <v>18</v>
      </c>
    </row>
    <row r="3" spans="1:35" ht="15" customHeight="1" x14ac:dyDescent="0.2">
      <c r="A3" s="1"/>
      <c r="B3" s="1" t="s">
        <v>60</v>
      </c>
      <c r="C3" s="1"/>
      <c r="D3" s="1"/>
      <c r="E3" s="1"/>
      <c r="F3" s="1"/>
      <c r="G3" s="127">
        <v>44945</v>
      </c>
      <c r="H3" s="125"/>
      <c r="I3" s="125"/>
      <c r="J3" s="124">
        <v>1147</v>
      </c>
      <c r="K3" s="125"/>
      <c r="L3" s="124">
        <v>25</v>
      </c>
      <c r="M3" s="125"/>
      <c r="N3" s="124" t="s">
        <v>61</v>
      </c>
      <c r="O3" s="125"/>
      <c r="P3" s="126">
        <f t="shared" ref="P3:P7" si="0">J3/L3</f>
        <v>45.88</v>
      </c>
      <c r="Q3" s="125"/>
      <c r="R3" s="126" t="s">
        <v>61</v>
      </c>
      <c r="S3" s="125"/>
      <c r="T3" s="1"/>
      <c r="U3" s="1"/>
      <c r="V3" s="1"/>
      <c r="W3" s="1"/>
      <c r="X3" s="25" t="s">
        <v>62</v>
      </c>
      <c r="Y3" s="92">
        <v>1620</v>
      </c>
      <c r="Z3" s="93">
        <v>118.59</v>
      </c>
      <c r="AA3" s="26">
        <f>Y3*Z3</f>
        <v>192115.80000000002</v>
      </c>
      <c r="AB3" s="26">
        <f>AA3+AH3-AI3</f>
        <v>191475.80000000002</v>
      </c>
      <c r="AC3" s="16"/>
      <c r="AD3" s="26">
        <v>22110</v>
      </c>
      <c r="AE3" s="26">
        <v>4010</v>
      </c>
      <c r="AF3" s="94">
        <v>0.25</v>
      </c>
      <c r="AG3" s="94">
        <v>208</v>
      </c>
      <c r="AH3" s="94">
        <v>2920</v>
      </c>
      <c r="AI3" s="94">
        <v>3560</v>
      </c>
    </row>
    <row r="4" spans="1:35" ht="15" customHeight="1" x14ac:dyDescent="0.2">
      <c r="A4" s="1"/>
      <c r="B4" s="1" t="s">
        <v>63</v>
      </c>
      <c r="C4" s="1"/>
      <c r="D4" s="1"/>
      <c r="E4" s="1"/>
      <c r="F4" s="1"/>
      <c r="G4" s="127">
        <v>44634</v>
      </c>
      <c r="H4" s="125"/>
      <c r="I4" s="125"/>
      <c r="J4" s="124">
        <v>139</v>
      </c>
      <c r="K4" s="125"/>
      <c r="L4" s="124">
        <v>78</v>
      </c>
      <c r="M4" s="125"/>
      <c r="N4" s="124">
        <v>9</v>
      </c>
      <c r="O4" s="125"/>
      <c r="P4" s="126">
        <f t="shared" si="0"/>
        <v>1.7820512820512822</v>
      </c>
      <c r="Q4" s="125"/>
      <c r="R4" s="126">
        <f t="shared" ref="R4:R7" si="1">J4/N4</f>
        <v>15.444444444444445</v>
      </c>
      <c r="S4" s="125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5" customHeight="1" x14ac:dyDescent="0.2">
      <c r="A5" s="1"/>
      <c r="B5" s="1" t="s">
        <v>64</v>
      </c>
      <c r="C5" s="1"/>
      <c r="D5" s="1"/>
      <c r="E5" s="1"/>
      <c r="F5" s="1"/>
      <c r="G5" s="128">
        <v>44604</v>
      </c>
      <c r="H5" s="125"/>
      <c r="I5" s="125"/>
      <c r="J5" s="124">
        <v>5327</v>
      </c>
      <c r="K5" s="125"/>
      <c r="L5" s="124">
        <v>1508</v>
      </c>
      <c r="M5" s="125"/>
      <c r="N5" s="124">
        <v>505</v>
      </c>
      <c r="O5" s="125"/>
      <c r="P5" s="126">
        <f t="shared" si="0"/>
        <v>3.5324933687002651</v>
      </c>
      <c r="Q5" s="125"/>
      <c r="R5" s="126">
        <f t="shared" si="1"/>
        <v>10.548514851485148</v>
      </c>
      <c r="S5" s="125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 customHeight="1" x14ac:dyDescent="0.2">
      <c r="A6" s="1"/>
      <c r="B6" s="1" t="s">
        <v>65</v>
      </c>
      <c r="C6" s="1"/>
      <c r="D6" s="1"/>
      <c r="E6" s="1"/>
      <c r="F6" s="1"/>
      <c r="G6" s="127">
        <v>44614</v>
      </c>
      <c r="H6" s="125"/>
      <c r="I6" s="125"/>
      <c r="J6" s="124">
        <v>572</v>
      </c>
      <c r="K6" s="125"/>
      <c r="L6" s="124">
        <v>173</v>
      </c>
      <c r="M6" s="125"/>
      <c r="N6" s="124">
        <v>38</v>
      </c>
      <c r="O6" s="125"/>
      <c r="P6" s="126">
        <f t="shared" si="0"/>
        <v>3.3063583815028901</v>
      </c>
      <c r="Q6" s="125"/>
      <c r="R6" s="126">
        <f t="shared" si="1"/>
        <v>15.052631578947368</v>
      </c>
      <c r="S6" s="125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 customHeight="1" x14ac:dyDescent="0.2">
      <c r="A7" s="1"/>
      <c r="B7" s="1" t="s">
        <v>66</v>
      </c>
      <c r="C7" s="1"/>
      <c r="D7" s="1"/>
      <c r="E7" s="1"/>
      <c r="F7" s="1"/>
      <c r="G7" s="127">
        <v>44131</v>
      </c>
      <c r="H7" s="125"/>
      <c r="I7" s="125"/>
      <c r="J7" s="124">
        <v>49000</v>
      </c>
      <c r="K7" s="125"/>
      <c r="L7" s="124">
        <v>3000</v>
      </c>
      <c r="M7" s="125"/>
      <c r="N7" s="124">
        <v>936.2</v>
      </c>
      <c r="O7" s="125"/>
      <c r="P7" s="126">
        <f t="shared" si="0"/>
        <v>16.333333333333332</v>
      </c>
      <c r="Q7" s="125"/>
      <c r="R7" s="126">
        <f t="shared" si="1"/>
        <v>52.339243751335182</v>
      </c>
      <c r="S7" s="125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5" customHeight="1" x14ac:dyDescent="0.2">
      <c r="A8" s="1"/>
      <c r="B8" s="1"/>
      <c r="C8" s="1"/>
      <c r="D8" s="1"/>
      <c r="E8" s="1"/>
      <c r="F8" s="1"/>
      <c r="G8" s="132"/>
      <c r="H8" s="125"/>
      <c r="I8" s="125"/>
      <c r="J8" s="124"/>
      <c r="K8" s="125"/>
      <c r="L8" s="124"/>
      <c r="M8" s="125"/>
      <c r="N8" s="124"/>
      <c r="O8" s="125"/>
      <c r="P8" s="126"/>
      <c r="Q8" s="125"/>
      <c r="R8" s="126"/>
      <c r="S8" s="125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33" t="s">
        <v>38</v>
      </c>
      <c r="O9" s="125"/>
      <c r="P9" s="129">
        <f>AVERAGE(P3:Q7)</f>
        <v>14.166847273117554</v>
      </c>
      <c r="Q9" s="125"/>
      <c r="R9" s="129">
        <f>AVERAGE(R3:S7)</f>
        <v>23.346208656553038</v>
      </c>
      <c r="S9" s="125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34" t="s">
        <v>39</v>
      </c>
      <c r="O10" s="125"/>
      <c r="P10" s="129">
        <f>MEDIAN(P3:Q7)</f>
        <v>3.5324933687002651</v>
      </c>
      <c r="Q10" s="125"/>
      <c r="R10" s="129">
        <f>MEDIAN(R3:S7)</f>
        <v>15.248538011695906</v>
      </c>
      <c r="S10" s="125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5" customHeight="1" x14ac:dyDescent="0.2">
      <c r="A12" s="1"/>
      <c r="B12" s="95"/>
      <c r="C12" s="96"/>
      <c r="D12" s="97" t="s">
        <v>19</v>
      </c>
      <c r="E12" s="97" t="s">
        <v>20</v>
      </c>
      <c r="F12" s="1"/>
      <c r="G12" s="1"/>
      <c r="H12" s="1"/>
      <c r="I12" s="98">
        <f>AD3</f>
        <v>22110</v>
      </c>
      <c r="J12" s="130" t="s">
        <v>67</v>
      </c>
      <c r="K12" s="112"/>
      <c r="L12" s="112"/>
      <c r="M12" s="112"/>
      <c r="N12" s="11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" customHeight="1" x14ac:dyDescent="0.2">
      <c r="A13" s="1"/>
      <c r="B13" s="44" t="s">
        <v>68</v>
      </c>
      <c r="C13" s="1"/>
      <c r="D13" s="99">
        <f>P10</f>
        <v>3.5324933687002651</v>
      </c>
      <c r="E13" s="100">
        <f>R10</f>
        <v>15.248538011695906</v>
      </c>
      <c r="F13" s="1"/>
      <c r="G13" s="1"/>
      <c r="H13" s="1"/>
      <c r="I13" s="44"/>
      <c r="J13" s="45">
        <f t="shared" ref="J13:K13" si="2">K13-0.5</f>
        <v>2.5</v>
      </c>
      <c r="K13" s="45">
        <f t="shared" si="2"/>
        <v>3</v>
      </c>
      <c r="L13" s="45">
        <v>3.5</v>
      </c>
      <c r="M13" s="45">
        <f t="shared" ref="M13:N13" si="3">L13+0.5</f>
        <v>4</v>
      </c>
      <c r="N13" s="46">
        <f t="shared" si="3"/>
        <v>4.5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" customHeight="1" x14ac:dyDescent="0.2">
      <c r="A14" s="1"/>
      <c r="B14" s="44" t="s">
        <v>69</v>
      </c>
      <c r="C14" s="1"/>
      <c r="D14" s="101">
        <f t="shared" ref="D14:E14" si="4">D13*AD3</f>
        <v>78103.428381962862</v>
      </c>
      <c r="E14" s="102">
        <f t="shared" si="4"/>
        <v>61146.637426900583</v>
      </c>
      <c r="F14" s="1"/>
      <c r="G14" s="1"/>
      <c r="H14" s="1"/>
      <c r="I14" s="52" t="s">
        <v>44</v>
      </c>
      <c r="J14" s="53">
        <f t="shared" ref="J14:N14" si="5">((J13*$I$12)-$AH$3+$AI$3)/$Y$3</f>
        <v>34.51543209876543</v>
      </c>
      <c r="K14" s="53">
        <f t="shared" si="5"/>
        <v>41.339506172839506</v>
      </c>
      <c r="L14" s="53">
        <f t="shared" si="5"/>
        <v>48.163580246913583</v>
      </c>
      <c r="M14" s="53">
        <f t="shared" si="5"/>
        <v>54.987654320987652</v>
      </c>
      <c r="N14" s="54">
        <f t="shared" si="5"/>
        <v>61.811728395061728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" customHeight="1" x14ac:dyDescent="0.2">
      <c r="A15" s="1"/>
      <c r="B15" s="44" t="s">
        <v>70</v>
      </c>
      <c r="C15" s="1"/>
      <c r="D15" s="103">
        <f>-AH3</f>
        <v>-2920</v>
      </c>
      <c r="E15" s="104">
        <f>-AH3</f>
        <v>-2920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" customHeight="1" x14ac:dyDescent="0.2">
      <c r="A16" s="1"/>
      <c r="B16" s="44" t="s">
        <v>18</v>
      </c>
      <c r="C16" s="1"/>
      <c r="D16" s="103">
        <f>AI3</f>
        <v>3560</v>
      </c>
      <c r="E16" s="104">
        <f>AI3</f>
        <v>3560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2">
      <c r="A17" s="1"/>
      <c r="B17" s="44" t="s">
        <v>71</v>
      </c>
      <c r="C17" s="1"/>
      <c r="D17" s="101">
        <f t="shared" ref="D17:E17" si="6">SUM(D14:D16)</f>
        <v>78743.428381962862</v>
      </c>
      <c r="E17" s="101">
        <f t="shared" si="6"/>
        <v>61786.637426900583</v>
      </c>
      <c r="F17" s="1"/>
      <c r="G17" s="1"/>
      <c r="H17" s="1"/>
      <c r="I17" s="98">
        <f>AE3</f>
        <v>4010</v>
      </c>
      <c r="J17" s="130" t="s">
        <v>67</v>
      </c>
      <c r="K17" s="112"/>
      <c r="L17" s="112"/>
      <c r="M17" s="112"/>
      <c r="N17" s="11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" customHeight="1" x14ac:dyDescent="0.2">
      <c r="A18" s="1"/>
      <c r="B18" s="44" t="s">
        <v>72</v>
      </c>
      <c r="C18" s="1"/>
      <c r="D18" s="105">
        <f>Y3</f>
        <v>1620</v>
      </c>
      <c r="E18" s="106">
        <f>Y3</f>
        <v>1620</v>
      </c>
      <c r="F18" s="1"/>
      <c r="G18" s="1"/>
      <c r="H18" s="1"/>
      <c r="I18" s="44"/>
      <c r="J18" s="45">
        <f t="shared" ref="J18:K18" si="7">K18-0.5</f>
        <v>14.248538011695906</v>
      </c>
      <c r="K18" s="45">
        <f t="shared" si="7"/>
        <v>14.748538011695906</v>
      </c>
      <c r="L18" s="45">
        <f>E13</f>
        <v>15.248538011695906</v>
      </c>
      <c r="M18" s="45">
        <f t="shared" ref="M18:N18" si="8">L18+0.5</f>
        <v>15.748538011695906</v>
      </c>
      <c r="N18" s="46">
        <f t="shared" si="8"/>
        <v>16.248538011695906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" customHeight="1" x14ac:dyDescent="0.2">
      <c r="A19" s="1"/>
      <c r="B19" s="107" t="s">
        <v>73</v>
      </c>
      <c r="C19" s="108"/>
      <c r="D19" s="109">
        <f t="shared" ref="D19:E19" si="9">D17/D18</f>
        <v>48.607054556767196</v>
      </c>
      <c r="E19" s="110">
        <f t="shared" si="9"/>
        <v>38.13989964623493</v>
      </c>
      <c r="F19" s="1"/>
      <c r="G19" s="1"/>
      <c r="H19" s="1"/>
      <c r="I19" s="52" t="s">
        <v>44</v>
      </c>
      <c r="J19" s="53">
        <f t="shared" ref="J19:N19" si="10">((J18*$I$17)-$AH$3+$AI$3)/$Y$3</f>
        <v>35.66459100425962</v>
      </c>
      <c r="K19" s="53">
        <f t="shared" si="10"/>
        <v>36.902245325247272</v>
      </c>
      <c r="L19" s="53">
        <f t="shared" si="10"/>
        <v>38.13989964623493</v>
      </c>
      <c r="M19" s="53">
        <f t="shared" si="10"/>
        <v>39.377553967222582</v>
      </c>
      <c r="N19" s="54">
        <f t="shared" si="10"/>
        <v>40.615208288210241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" customHeight="1" x14ac:dyDescent="0.2">
      <c r="A23" s="1"/>
      <c r="B23" s="131" t="s">
        <v>74</v>
      </c>
      <c r="C23" s="121"/>
      <c r="D23" s="121"/>
      <c r="E23" s="121"/>
      <c r="F23" s="12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52">
    <mergeCell ref="B23:F23"/>
    <mergeCell ref="G8:I8"/>
    <mergeCell ref="J8:K8"/>
    <mergeCell ref="L8:M8"/>
    <mergeCell ref="N8:O8"/>
    <mergeCell ref="N9:O9"/>
    <mergeCell ref="N10:O10"/>
    <mergeCell ref="P10:Q10"/>
    <mergeCell ref="R10:S10"/>
    <mergeCell ref="J12:N12"/>
    <mergeCell ref="J17:N17"/>
    <mergeCell ref="N7:O7"/>
    <mergeCell ref="P7:Q7"/>
    <mergeCell ref="R7:S7"/>
    <mergeCell ref="P9:Q9"/>
    <mergeCell ref="R9:S9"/>
    <mergeCell ref="P8:Q8"/>
    <mergeCell ref="R8:S8"/>
    <mergeCell ref="J6:K6"/>
    <mergeCell ref="L6:M6"/>
    <mergeCell ref="G6:I6"/>
    <mergeCell ref="G7:I7"/>
    <mergeCell ref="J7:K7"/>
    <mergeCell ref="L7:M7"/>
    <mergeCell ref="N6:O6"/>
    <mergeCell ref="P6:Q6"/>
    <mergeCell ref="R6:S6"/>
    <mergeCell ref="G3:I3"/>
    <mergeCell ref="J3:K3"/>
    <mergeCell ref="L3:M3"/>
    <mergeCell ref="N3:O3"/>
    <mergeCell ref="P3:Q3"/>
    <mergeCell ref="R3:S3"/>
    <mergeCell ref="G4:I4"/>
    <mergeCell ref="R4:S4"/>
    <mergeCell ref="J4:K4"/>
    <mergeCell ref="L4:M4"/>
    <mergeCell ref="G5:I5"/>
    <mergeCell ref="J5:K5"/>
    <mergeCell ref="L5:M5"/>
    <mergeCell ref="P2:Q2"/>
    <mergeCell ref="R2:S2"/>
    <mergeCell ref="N4:O4"/>
    <mergeCell ref="P4:Q4"/>
    <mergeCell ref="N5:O5"/>
    <mergeCell ref="P5:Q5"/>
    <mergeCell ref="R5:S5"/>
    <mergeCell ref="B2:F2"/>
    <mergeCell ref="G2:I2"/>
    <mergeCell ref="J2:K2"/>
    <mergeCell ref="L2:M2"/>
    <mergeCell ref="N2:O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TPH Comps Model</vt:lpstr>
      <vt:lpstr>AMD Precedent Transactions 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nickc</dc:creator>
  <cp:lastModifiedBy>Sam Heier</cp:lastModifiedBy>
  <dcterms:created xsi:type="dcterms:W3CDTF">2023-04-06T20:43:36Z</dcterms:created>
  <dcterms:modified xsi:type="dcterms:W3CDTF">2026-08-11T00:44:08Z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53ecec6e-22a9-4b71-8cc0-1db74a27013d</vt:lpwstr>
  </property>
  <property fmtid="{D5CDD505-2E9C-101B-9397-08002B2CF9AE}" pid="3" name="ContentTypeId">
    <vt:lpwstr>0x01010013A40ED7266A9F499B0E3BDF53150E07</vt:lpwstr>
  </property>
</Properties>
</file>
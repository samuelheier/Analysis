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U:\Models\"/>
    </mc:Choice>
  </mc:AlternateContent>
  <xr:revisionPtr revIDLastSave="0" documentId="13_ncr:1_{0604F732-AD98-4529-B0CE-D60E6BDE13D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CF Mode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0" roundtripDataSignature="AMtx7mjIsYWFiU3MaTPkCYGz56RX/pt96A=="/>
    </ext>
  </extLst>
</workbook>
</file>

<file path=xl/calcChain.xml><?xml version="1.0" encoding="utf-8"?>
<calcChain xmlns="http://schemas.openxmlformats.org/spreadsheetml/2006/main">
  <c r="E41" i="1" l="1"/>
  <c r="F41" i="1"/>
  <c r="G41" i="1"/>
  <c r="H41" i="1"/>
  <c r="I41" i="1"/>
  <c r="E42" i="1"/>
  <c r="F42" i="1"/>
  <c r="G42" i="1"/>
  <c r="H42" i="1"/>
  <c r="I42" i="1"/>
  <c r="D41" i="1"/>
  <c r="D42" i="1"/>
  <c r="D45" i="1"/>
  <c r="E45" i="1"/>
  <c r="F45" i="1"/>
  <c r="G45" i="1"/>
  <c r="H45" i="1"/>
  <c r="I45" i="1"/>
  <c r="E44" i="1"/>
  <c r="F44" i="1"/>
  <c r="G44" i="1"/>
  <c r="H44" i="1"/>
  <c r="I44" i="1"/>
  <c r="E43" i="1"/>
  <c r="F43" i="1"/>
  <c r="G43" i="1"/>
  <c r="H43" i="1"/>
  <c r="D46" i="1"/>
  <c r="E46" i="1"/>
  <c r="F46" i="1"/>
  <c r="G46" i="1"/>
  <c r="H46" i="1"/>
  <c r="I46" i="1"/>
  <c r="K104" i="1" l="1"/>
  <c r="K105" i="1" s="1"/>
  <c r="K102" i="1"/>
  <c r="K101" i="1" s="1"/>
  <c r="O100" i="1"/>
  <c r="P100" i="1" s="1"/>
  <c r="M100" i="1"/>
  <c r="L100" i="1"/>
  <c r="K100" i="1"/>
  <c r="I12" i="1"/>
  <c r="I13" i="1" s="1"/>
  <c r="H96" i="1"/>
  <c r="D36" i="1"/>
  <c r="M82" i="1"/>
  <c r="Q53" i="1"/>
  <c r="P53" i="1"/>
  <c r="H5" i="1" a="1"/>
  <c r="H5" i="1" s="1"/>
  <c r="H76" i="1" s="1"/>
  <c r="H4" i="1"/>
  <c r="J49" i="1"/>
  <c r="K49" i="1" s="1"/>
  <c r="L49" i="1" s="1"/>
  <c r="M49" i="1" s="1"/>
  <c r="N49" i="1" s="1"/>
  <c r="H49" i="1"/>
  <c r="G49" i="1" s="1"/>
  <c r="F49" i="1" s="1"/>
  <c r="E49" i="1" s="1"/>
  <c r="D49" i="1" s="1"/>
  <c r="C49" i="1" s="1"/>
  <c r="J23" i="1"/>
  <c r="K23" i="1" s="1"/>
  <c r="L23" i="1" s="1"/>
  <c r="M23" i="1" s="1"/>
  <c r="N23" i="1" s="1"/>
  <c r="H23" i="1"/>
  <c r="G23" i="1" s="1"/>
  <c r="F23" i="1" s="1"/>
  <c r="E23" i="1" s="1"/>
  <c r="D23" i="1" s="1"/>
  <c r="C23" i="1" s="1"/>
  <c r="J10" i="1"/>
  <c r="K10" i="1" s="1"/>
  <c r="L10" i="1" s="1"/>
  <c r="M10" i="1" s="1"/>
  <c r="N10" i="1" s="1"/>
  <c r="H10" i="1"/>
  <c r="G10" i="1" s="1"/>
  <c r="F10" i="1" s="1"/>
  <c r="E10" i="1" s="1"/>
  <c r="D10" i="1" s="1"/>
  <c r="C10" i="1" s="1"/>
  <c r="H94" i="1"/>
  <c r="H85" i="1"/>
  <c r="H88" i="1" s="1"/>
  <c r="H77" i="1"/>
  <c r="I61" i="1"/>
  <c r="H61" i="1"/>
  <c r="G61" i="1"/>
  <c r="F61" i="1"/>
  <c r="E61" i="1"/>
  <c r="D61" i="1"/>
  <c r="I60" i="1"/>
  <c r="H60" i="1"/>
  <c r="G60" i="1"/>
  <c r="F60" i="1"/>
  <c r="E60" i="1"/>
  <c r="D60" i="1"/>
  <c r="I59" i="1"/>
  <c r="H59" i="1"/>
  <c r="G59" i="1"/>
  <c r="F59" i="1"/>
  <c r="E59" i="1"/>
  <c r="D59" i="1"/>
  <c r="I58" i="1"/>
  <c r="H58" i="1"/>
  <c r="G58" i="1"/>
  <c r="F58" i="1"/>
  <c r="E58" i="1"/>
  <c r="D58" i="1"/>
  <c r="I57" i="1"/>
  <c r="H57" i="1"/>
  <c r="G57" i="1"/>
  <c r="F57" i="1"/>
  <c r="E57" i="1"/>
  <c r="D57" i="1"/>
  <c r="I56" i="1"/>
  <c r="H56" i="1"/>
  <c r="G56" i="1"/>
  <c r="F56" i="1"/>
  <c r="E56" i="1"/>
  <c r="D56" i="1"/>
  <c r="I55" i="1"/>
  <c r="H55" i="1"/>
  <c r="G55" i="1"/>
  <c r="F55" i="1"/>
  <c r="E55" i="1"/>
  <c r="D55" i="1"/>
  <c r="C55" i="1"/>
  <c r="I52" i="1"/>
  <c r="I54" i="1" s="1"/>
  <c r="H52" i="1"/>
  <c r="H54" i="1" s="1"/>
  <c r="G52" i="1"/>
  <c r="G54" i="1" s="1"/>
  <c r="F52" i="1"/>
  <c r="F54" i="1" s="1"/>
  <c r="E52" i="1"/>
  <c r="E54" i="1" s="1"/>
  <c r="D52" i="1"/>
  <c r="D54" i="1" s="1"/>
  <c r="C52" i="1"/>
  <c r="C54" i="1" s="1"/>
  <c r="I51" i="1"/>
  <c r="H51" i="1"/>
  <c r="G51" i="1"/>
  <c r="F51" i="1"/>
  <c r="E51" i="1"/>
  <c r="D51" i="1"/>
  <c r="C51" i="1"/>
  <c r="K50" i="1"/>
  <c r="L50" i="1" s="1"/>
  <c r="M50" i="1" s="1"/>
  <c r="N50" i="1" s="1"/>
  <c r="D44" i="1"/>
  <c r="D43" i="1"/>
  <c r="I40" i="1"/>
  <c r="H40" i="1"/>
  <c r="G40" i="1"/>
  <c r="F40" i="1"/>
  <c r="E40" i="1"/>
  <c r="D40" i="1"/>
  <c r="C40" i="1"/>
  <c r="I39" i="1"/>
  <c r="H39" i="1"/>
  <c r="G39" i="1"/>
  <c r="F39" i="1"/>
  <c r="E39" i="1"/>
  <c r="D39" i="1"/>
  <c r="C39" i="1"/>
  <c r="I38" i="1"/>
  <c r="H38" i="1"/>
  <c r="G38" i="1"/>
  <c r="F38" i="1"/>
  <c r="E38" i="1"/>
  <c r="D38" i="1"/>
  <c r="C38" i="1"/>
  <c r="I37" i="1"/>
  <c r="H37" i="1"/>
  <c r="J37" i="1" s="1"/>
  <c r="G37" i="1"/>
  <c r="F37" i="1"/>
  <c r="E37" i="1"/>
  <c r="D37" i="1"/>
  <c r="C37" i="1"/>
  <c r="I36" i="1"/>
  <c r="H36" i="1"/>
  <c r="G36" i="1"/>
  <c r="F36" i="1"/>
  <c r="E36" i="1"/>
  <c r="C36" i="1"/>
  <c r="Q36" i="1" s="1"/>
  <c r="I35" i="1"/>
  <c r="J35" i="1" s="1"/>
  <c r="H35" i="1"/>
  <c r="G35" i="1"/>
  <c r="F35" i="1"/>
  <c r="E35" i="1"/>
  <c r="D35" i="1"/>
  <c r="C35" i="1"/>
  <c r="I19" i="1"/>
  <c r="H19" i="1"/>
  <c r="G19" i="1"/>
  <c r="F19" i="1"/>
  <c r="E19" i="1"/>
  <c r="D19" i="1"/>
  <c r="C19" i="1"/>
  <c r="I16" i="1"/>
  <c r="H16" i="1"/>
  <c r="G16" i="1"/>
  <c r="F16" i="1"/>
  <c r="E16" i="1"/>
  <c r="D16" i="1"/>
  <c r="C16" i="1"/>
  <c r="Q16" i="1" s="1"/>
  <c r="H12" i="1"/>
  <c r="H13" i="1" s="1"/>
  <c r="G12" i="1"/>
  <c r="G13" i="1" s="1"/>
  <c r="F12" i="1"/>
  <c r="F13" i="1" s="1"/>
  <c r="E12" i="1"/>
  <c r="E13" i="1" s="1"/>
  <c r="D12" i="1"/>
  <c r="D13" i="1" s="1"/>
  <c r="H79" i="1" l="1"/>
  <c r="H80" i="1" s="1"/>
  <c r="N53" i="1"/>
  <c r="R12" i="1"/>
  <c r="Q12" i="1"/>
  <c r="R36" i="1"/>
  <c r="M53" i="1"/>
  <c r="L53" i="1"/>
  <c r="K53" i="1"/>
  <c r="Q19" i="1"/>
  <c r="J19" i="1" s="1"/>
  <c r="K19" i="1" s="1"/>
  <c r="L19" i="1" s="1"/>
  <c r="M19" i="1" s="1"/>
  <c r="N19" i="1" s="1"/>
  <c r="J53" i="1"/>
  <c r="I70" i="1"/>
  <c r="J70" i="1"/>
  <c r="K70" i="1"/>
  <c r="L70" i="1"/>
  <c r="P36" i="1"/>
  <c r="P16" i="1"/>
  <c r="Q40" i="1"/>
  <c r="Q38" i="1"/>
  <c r="Q37" i="1"/>
  <c r="I62" i="1"/>
  <c r="P39" i="1"/>
  <c r="N39" i="1" s="1"/>
  <c r="Q35" i="1"/>
  <c r="H62" i="1"/>
  <c r="G62" i="1"/>
  <c r="F62" i="1"/>
  <c r="E62" i="1"/>
  <c r="P19" i="1"/>
  <c r="D62" i="1"/>
  <c r="P38" i="1"/>
  <c r="L38" i="1" s="1"/>
  <c r="P35" i="1"/>
  <c r="P12" i="1"/>
  <c r="J12" i="1" s="1"/>
  <c r="Q39" i="1"/>
  <c r="P37" i="1"/>
  <c r="P40" i="1"/>
  <c r="L40" i="1" s="1"/>
  <c r="K37" i="1"/>
  <c r="K35" i="1"/>
  <c r="H87" i="1"/>
  <c r="H90" i="1" s="1"/>
  <c r="K38" i="1" l="1"/>
  <c r="J38" i="1"/>
  <c r="N38" i="1"/>
  <c r="N36" i="1"/>
  <c r="J36" i="1"/>
  <c r="K36" i="1"/>
  <c r="M36" i="1"/>
  <c r="L36" i="1"/>
  <c r="M38" i="1"/>
  <c r="K39" i="1"/>
  <c r="L39" i="1"/>
  <c r="J39" i="1"/>
  <c r="M39" i="1"/>
  <c r="N40" i="1"/>
  <c r="M40" i="1"/>
  <c r="J16" i="1"/>
  <c r="K16" i="1" s="1"/>
  <c r="L16" i="1" s="1"/>
  <c r="M16" i="1" s="1"/>
  <c r="N16" i="1" s="1"/>
  <c r="J40" i="1"/>
  <c r="K40" i="1"/>
  <c r="K63" i="1"/>
  <c r="J63" i="1"/>
  <c r="E70" i="1"/>
  <c r="N63" i="1"/>
  <c r="M63" i="1"/>
  <c r="L63" i="1"/>
  <c r="L37" i="1"/>
  <c r="L35" i="1"/>
  <c r="J11" i="1" l="1"/>
  <c r="K12" i="1"/>
  <c r="L12" i="1" s="1"/>
  <c r="M12" i="1" s="1"/>
  <c r="N12" i="1" s="1"/>
  <c r="M35" i="1"/>
  <c r="M37" i="1"/>
  <c r="K11" i="1" l="1"/>
  <c r="K33" i="1" s="1"/>
  <c r="K61" i="1" s="1"/>
  <c r="J25" i="1"/>
  <c r="J57" i="1" s="1"/>
  <c r="J24" i="1"/>
  <c r="J56" i="1" s="1"/>
  <c r="J18" i="1"/>
  <c r="J55" i="1" s="1"/>
  <c r="J28" i="1"/>
  <c r="J59" i="1" s="1"/>
  <c r="J15" i="1"/>
  <c r="J52" i="1" s="1"/>
  <c r="J54" i="1" s="1"/>
  <c r="J33" i="1"/>
  <c r="J61" i="1" s="1"/>
  <c r="J51" i="1"/>
  <c r="J26" i="1"/>
  <c r="J58" i="1" s="1"/>
  <c r="J29" i="1"/>
  <c r="J60" i="1" s="1"/>
  <c r="N35" i="1"/>
  <c r="N37" i="1"/>
  <c r="K25" i="1" l="1"/>
  <c r="K57" i="1" s="1"/>
  <c r="K51" i="1"/>
  <c r="L11" i="1"/>
  <c r="L33" i="1" s="1"/>
  <c r="L61" i="1" s="1"/>
  <c r="J62" i="1"/>
  <c r="K29" i="1"/>
  <c r="K60" i="1" s="1"/>
  <c r="K15" i="1"/>
  <c r="K52" i="1" s="1"/>
  <c r="K54" i="1" s="1"/>
  <c r="K18" i="1"/>
  <c r="K55" i="1" s="1"/>
  <c r="K24" i="1"/>
  <c r="K56" i="1" s="1"/>
  <c r="K26" i="1"/>
  <c r="K58" i="1" s="1"/>
  <c r="K28" i="1"/>
  <c r="K59" i="1" s="1"/>
  <c r="J65" i="1" l="1"/>
  <c r="J64" i="1"/>
  <c r="L28" i="1"/>
  <c r="L59" i="1" s="1"/>
  <c r="L24" i="1"/>
  <c r="L56" i="1" s="1"/>
  <c r="L26" i="1"/>
  <c r="L58" i="1" s="1"/>
  <c r="L15" i="1"/>
  <c r="L52" i="1" s="1"/>
  <c r="L54" i="1" s="1"/>
  <c r="L29" i="1"/>
  <c r="L60" i="1" s="1"/>
  <c r="L18" i="1"/>
  <c r="L55" i="1" s="1"/>
  <c r="L25" i="1"/>
  <c r="L57" i="1" s="1"/>
  <c r="L51" i="1"/>
  <c r="M11" i="1"/>
  <c r="M25" i="1" s="1"/>
  <c r="M57" i="1" s="1"/>
  <c r="K62" i="1"/>
  <c r="K64" i="1" s="1"/>
  <c r="L62" i="1" l="1"/>
  <c r="M28" i="1"/>
  <c r="M59" i="1" s="1"/>
  <c r="M29" i="1"/>
  <c r="M60" i="1" s="1"/>
  <c r="M33" i="1"/>
  <c r="M61" i="1" s="1"/>
  <c r="M24" i="1"/>
  <c r="M56" i="1" s="1"/>
  <c r="M26" i="1"/>
  <c r="M58" i="1" s="1"/>
  <c r="M51" i="1"/>
  <c r="I71" i="1"/>
  <c r="K65" i="1"/>
  <c r="M18" i="1"/>
  <c r="M55" i="1" s="1"/>
  <c r="N11" i="1"/>
  <c r="N25" i="1" s="1"/>
  <c r="N57" i="1" s="1"/>
  <c r="M15" i="1"/>
  <c r="M52" i="1" s="1"/>
  <c r="M54" i="1" s="1"/>
  <c r="L65" i="1" l="1"/>
  <c r="L64" i="1"/>
  <c r="N29" i="1"/>
  <c r="N60" i="1" s="1"/>
  <c r="J71" i="1"/>
  <c r="N33" i="1"/>
  <c r="N61" i="1" s="1"/>
  <c r="N28" i="1"/>
  <c r="N59" i="1" s="1"/>
  <c r="N51" i="1"/>
  <c r="M62" i="1"/>
  <c r="M64" i="1" s="1"/>
  <c r="N15" i="1"/>
  <c r="N52" i="1" s="1"/>
  <c r="N54" i="1" s="1"/>
  <c r="N18" i="1"/>
  <c r="N55" i="1" s="1"/>
  <c r="N26" i="1"/>
  <c r="N58" i="1" s="1"/>
  <c r="N24" i="1"/>
  <c r="N56" i="1" s="1"/>
  <c r="M65" i="1" l="1"/>
  <c r="K71" i="1"/>
  <c r="N62" i="1"/>
  <c r="N64" i="1" s="1"/>
  <c r="E65" i="1"/>
  <c r="N65" i="1"/>
  <c r="L71" i="1" l="1"/>
  <c r="E71" i="1"/>
  <c r="E72" i="1" s="1"/>
  <c r="E73" i="1" s="1"/>
  <c r="H93" i="1" s="1"/>
  <c r="H95" i="1" s="1"/>
  <c r="H97" i="1" s="1"/>
  <c r="H9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<sst xmlns="http://schemas.openxmlformats.org/spreadsheetml/2006/main" count="119" uniqueCount="105">
  <si>
    <t>Valuation Date:</t>
  </si>
  <si>
    <t>absolute numbers are in millions of $</t>
  </si>
  <si>
    <t>Share Price on Valuation Date:</t>
  </si>
  <si>
    <t>Diluted Shares Outstanding</t>
  </si>
  <si>
    <t>Select Operating Data</t>
  </si>
  <si>
    <t>Projected Annual Forecast</t>
  </si>
  <si>
    <t>Revenue</t>
  </si>
  <si>
    <t>Arithmetic Avg</t>
  </si>
  <si>
    <t>Geometric Avg</t>
  </si>
  <si>
    <t>Revenue Growth Rate (%)</t>
  </si>
  <si>
    <t>EBIT</t>
  </si>
  <si>
    <t>EBIT Margin (%)</t>
  </si>
  <si>
    <t xml:space="preserve">Depreciation &amp; Amortization </t>
  </si>
  <si>
    <t>D&amp;A as a % of revenue</t>
  </si>
  <si>
    <t>Select Balance Sheet And Other Data</t>
  </si>
  <si>
    <t>Accounts Receivable</t>
  </si>
  <si>
    <t>Inventories</t>
  </si>
  <si>
    <t>Prepaid Expenses</t>
  </si>
  <si>
    <t>Accounts Payable and Accruals</t>
  </si>
  <si>
    <t>Accrued Expenses</t>
  </si>
  <si>
    <t>Debt</t>
  </si>
  <si>
    <t>Capital Expenditures</t>
  </si>
  <si>
    <t>Trend</t>
  </si>
  <si>
    <t>Arithmetic Mean</t>
  </si>
  <si>
    <t>Geometric Mean</t>
  </si>
  <si>
    <t>Accounts Receivable as a % of revenue</t>
  </si>
  <si>
    <t>Inventories as a % of revenue</t>
  </si>
  <si>
    <t>Prepaid Expenses as a % of revenue</t>
  </si>
  <si>
    <t>Accounts Payable/Accruals as a % of revenue</t>
  </si>
  <si>
    <t>Accrued Expenses as a % of revenue</t>
  </si>
  <si>
    <t>Capital Expenditures as a % of revenue</t>
  </si>
  <si>
    <t>Accounts Receivable Growth (%)</t>
  </si>
  <si>
    <t>Inventories Growth (%)</t>
  </si>
  <si>
    <t>-</t>
  </si>
  <si>
    <t>Prepaid Expenses Growth (%)</t>
  </si>
  <si>
    <t>Accounts Payable/Accruals Growth (%)</t>
  </si>
  <si>
    <t>Accrued Expenses Growth (%)</t>
  </si>
  <si>
    <t>Capital Expenditures Growth (%)</t>
  </si>
  <si>
    <t>Free Cash Flow Buildup</t>
  </si>
  <si>
    <t>$mm</t>
  </si>
  <si>
    <t>Period</t>
  </si>
  <si>
    <t>Total Revenues</t>
  </si>
  <si>
    <t>EBIAT = EBIT(1-T) = NOPAT</t>
  </si>
  <si>
    <t>Depreciation &amp; Amortization</t>
  </si>
  <si>
    <t>Chg in Accounts receivable</t>
  </si>
  <si>
    <t>Chg in Inventories</t>
  </si>
  <si>
    <t>Chg in Prepaid expenses</t>
  </si>
  <si>
    <t>Chg in Accounts payable</t>
  </si>
  <si>
    <t>Chg in Accrued expenses</t>
  </si>
  <si>
    <t>Capital expenditures</t>
  </si>
  <si>
    <t>Unlevered free cash flows</t>
  </si>
  <si>
    <r>
      <rPr>
        <sz val="11"/>
        <color theme="1"/>
        <rFont val="Calibri"/>
        <family val="2"/>
      </rPr>
      <t xml:space="preserve">Discount Rate </t>
    </r>
    <r>
      <rPr>
        <i/>
        <sz val="11"/>
        <color theme="1"/>
        <rFont val="Calibri"/>
        <family val="2"/>
      </rPr>
      <t>(WACC)</t>
    </r>
  </si>
  <si>
    <t>Present value of free cash flows</t>
  </si>
  <si>
    <t>Sum of present values of FCFs</t>
  </si>
  <si>
    <t>Terminal Value</t>
  </si>
  <si>
    <t>Growth in perpetuity method:</t>
  </si>
  <si>
    <t>Long term growth rate</t>
  </si>
  <si>
    <t>Years to Long-term rate</t>
  </si>
  <si>
    <t>Unlevered Free Cash Flow Growth Rates</t>
  </si>
  <si>
    <t>WACC</t>
  </si>
  <si>
    <t>Free cash flow (t+1)</t>
  </si>
  <si>
    <t>Present Value of Terminal Value</t>
  </si>
  <si>
    <t>Share Price</t>
  </si>
  <si>
    <t>Average of past 7 years</t>
  </si>
  <si>
    <t>Cost of Debt</t>
  </si>
  <si>
    <t>MRP</t>
  </si>
  <si>
    <t>Tax Rate</t>
  </si>
  <si>
    <t>RFR</t>
  </si>
  <si>
    <t>After-tax Cost of Debt</t>
  </si>
  <si>
    <t>Beta</t>
  </si>
  <si>
    <t>5 year weekly adjusted Bloomberg</t>
  </si>
  <si>
    <t>Cost of Equity</t>
  </si>
  <si>
    <t xml:space="preserve">capm </t>
  </si>
  <si>
    <t>Total Debt ($)</t>
  </si>
  <si>
    <t>capm = risk-free + beta * market risk premium</t>
  </si>
  <si>
    <t>Total Equity ($)</t>
  </si>
  <si>
    <t>Total Capital</t>
  </si>
  <si>
    <t>Debt Weighting</t>
  </si>
  <si>
    <t>Equity Weighting</t>
  </si>
  <si>
    <t>WACC =</t>
  </si>
  <si>
    <t>Enterprise Value to Equity Value</t>
  </si>
  <si>
    <t>Enterprise Value</t>
  </si>
  <si>
    <t>Less: Net debt</t>
  </si>
  <si>
    <t>ST and LT debt minus cash</t>
  </si>
  <si>
    <t>ST Debt</t>
  </si>
  <si>
    <t>Equity Value</t>
  </si>
  <si>
    <t>LT Debt</t>
  </si>
  <si>
    <t>income statement</t>
  </si>
  <si>
    <t>Cash</t>
  </si>
  <si>
    <t>Equity Value Per Share</t>
  </si>
  <si>
    <t>Upside</t>
  </si>
  <si>
    <t>Sensitivity Analysis</t>
  </si>
  <si>
    <t>.</t>
  </si>
  <si>
    <t>Heier's Notes:</t>
  </si>
  <si>
    <t>Ticker</t>
  </si>
  <si>
    <t>*Geopmetic Average doesn't work if YoY growth is negative</t>
  </si>
  <si>
    <t>**Capex on bloomberg is aquasition of fixed prod assets + aquasition of intangible assets on statement of CF</t>
  </si>
  <si>
    <t>Effective Tax rate</t>
  </si>
  <si>
    <t>*** Effective tax rate is on bloomberg</t>
  </si>
  <si>
    <t>**** COE and COD are on bloomberg under WACC function</t>
  </si>
  <si>
    <t>Revenue Growth Rate (%) +1</t>
  </si>
  <si>
    <t>Harmean</t>
  </si>
  <si>
    <t>ST Rev Growth</t>
  </si>
  <si>
    <t xml:space="preserve">Company Name </t>
  </si>
  <si>
    <t>10 year treasury yield as of 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</si>
</sst>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_);\(&quot;$&quot;#,##0.00\);@_)"/>
    <numFmt numFmtId="165" formatCode="#,##0.0_);\(#,##0.0\);@_)"/>
    <numFmt numFmtId="166" formatCode="yyyy\A"/>
    <numFmt numFmtId="167" formatCode="yyyy\P"/>
    <numFmt numFmtId="168" formatCode="&quot;$&quot;#,##0.0"/>
    <numFmt numFmtId="169" formatCode="&quot;$&quot;#,##0.0_);\(&quot;$&quot;#,##0.0\)"/>
    <numFmt numFmtId="170" formatCode="&quot;$&quot;#,##0.0_);\(&quot;$&quot;#,##0.0\);@_)"/>
    <numFmt numFmtId="171" formatCode="0.0%_);\(0.0%\);@_)"/>
    <numFmt numFmtId="172" formatCode="0.0%"/>
    <numFmt numFmtId="173" formatCode="0.0"/>
    <numFmt numFmtId="174" formatCode="#,##0.0_);\(#,##0.0\);\-_);@_)"/>
    <numFmt numFmtId="175" formatCode="0.00%_);\(0.00%\);@_)"/>
    <numFmt numFmtId="176" formatCode="#,##0.0_);\(#,##0.0\)"/>
    <numFmt numFmtId="177" formatCode="0.000%"/>
    <numFmt numFmtId="178" formatCode="_(&quot;$&quot;* #,##0.0_);_(&quot;$&quot;* \(#,##0.0\);_(&quot;$&quot;* &quot;-&quot;??_);_(@_)"/>
    <numFmt numFmtId="179" formatCode="_(* #,##0.0_);_(* \(#,##0.0\);_(* &quot;-&quot;?_);_(@_)"/>
    <numFmt numFmtId="180" formatCode="&quot;$&quot;#,##0.00"/>
    <numFmt numFmtId="181" formatCode="#,##0.00_);\(#,##0.00\);@_)"/>
    <numFmt numFmtId="183" formatCode="_(\$* #,##0_);_(\$* \(#,##0\);_(\$* \-??_);_(@_)"/>
  </numFmts>
  <fonts count="30" x14ac:knownFonts="1">
    <font>
      <sz val="10"/>
      <color rgb="FF000000"/>
      <name val="Calibri"/>
      <scheme val="minor"/>
    </font>
    <font>
      <b/>
      <sz val="15"/>
      <color theme="1"/>
      <name val="Calibri"/>
      <family val="2"/>
    </font>
    <font>
      <sz val="18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sz val="11"/>
      <color rgb="FF008000"/>
      <name val="Calibri"/>
      <family val="2"/>
    </font>
    <font>
      <b/>
      <sz val="11"/>
      <color theme="1"/>
      <name val="Calibri"/>
      <family val="2"/>
    </font>
    <font>
      <sz val="10"/>
      <name val="Calibri"/>
      <family val="2"/>
    </font>
    <font>
      <i/>
      <sz val="11"/>
      <color rgb="FF000000"/>
      <name val="Calibri"/>
      <family val="2"/>
    </font>
    <font>
      <i/>
      <sz val="11"/>
      <color rgb="FF0000FF"/>
      <name val="Calibri"/>
      <family val="2"/>
    </font>
    <font>
      <sz val="10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rgb="FF0000FF"/>
      <name val="Calibri"/>
      <family val="2"/>
    </font>
    <font>
      <b/>
      <i/>
      <sz val="11"/>
      <color theme="1"/>
      <name val="Calibri"/>
      <family val="2"/>
    </font>
    <font>
      <sz val="11"/>
      <color theme="1"/>
      <name val="Arial"/>
      <family val="2"/>
    </font>
    <font>
      <b/>
      <sz val="10"/>
      <color theme="1"/>
      <name val="Calibri"/>
      <family val="2"/>
    </font>
    <font>
      <sz val="11"/>
      <color theme="0"/>
      <name val="Calibri"/>
      <family val="2"/>
    </font>
    <font>
      <sz val="11"/>
      <color rgb="FFFFFFFF"/>
      <name val="Calibri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i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8"/>
      <color theme="1"/>
      <name val="Aptos Narrow"/>
      <family val="2"/>
      <charset val="1"/>
    </font>
    <font>
      <sz val="10"/>
      <color rgb="FF0000FF"/>
      <name val="Calibri"/>
      <family val="2"/>
    </font>
    <font>
      <sz val="14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FFFFFF"/>
        <bgColor rgb="FFFFFFFF"/>
      </patternFill>
    </fill>
    <fill>
      <patternFill patternType="solid">
        <fgColor theme="8"/>
        <bgColor theme="8"/>
      </patternFill>
    </fill>
    <fill>
      <patternFill patternType="solid">
        <fgColor rgb="FFFFFF99"/>
        <bgColor indexed="64"/>
      </patternFill>
    </fill>
    <fill>
      <patternFill patternType="solid">
        <fgColor theme="4" tint="0.79979857783745845"/>
        <bgColor rgb="FFCCFFFF"/>
      </patternFill>
    </fill>
    <fill>
      <patternFill patternType="solid">
        <fgColor theme="4" tint="0.79998168889431442"/>
        <bgColor rgb="FFFFCC9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34998626667073579"/>
        <bgColor rgb="FFC0C0C0"/>
      </patternFill>
    </fill>
  </fills>
  <borders count="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21" fillId="0" borderId="0" applyFont="0" applyFill="0" applyBorder="0" applyAlignment="0" applyProtection="0"/>
    <xf numFmtId="9" fontId="21" fillId="0" borderId="0" applyFont="0" applyFill="0" applyBorder="0" applyAlignment="0" applyProtection="0"/>
  </cellStyleXfs>
  <cellXfs count="16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4" fillId="0" borderId="0" xfId="0" applyFont="1" applyAlignment="1">
      <alignment horizontal="left" readingOrder="1"/>
    </xf>
    <xf numFmtId="0" fontId="5" fillId="0" borderId="0" xfId="0" applyFont="1" applyAlignment="1">
      <alignment horizontal="left" vertical="top" readingOrder="1"/>
    </xf>
    <xf numFmtId="15" fontId="5" fillId="0" borderId="0" xfId="0" applyNumberFormat="1" applyFont="1" applyAlignment="1">
      <alignment horizontal="right" vertical="top" readingOrder="1"/>
    </xf>
    <xf numFmtId="14" fontId="7" fillId="0" borderId="0" xfId="0" applyNumberFormat="1" applyFont="1" applyAlignment="1">
      <alignment horizontal="right" vertical="top" readingOrder="1"/>
    </xf>
    <xf numFmtId="0" fontId="8" fillId="0" borderId="0" xfId="0" applyFont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166" fontId="8" fillId="0" borderId="11" xfId="0" applyNumberFormat="1" applyFont="1" applyBorder="1"/>
    <xf numFmtId="167" fontId="8" fillId="0" borderId="11" xfId="0" applyNumberFormat="1" applyFont="1" applyBorder="1"/>
    <xf numFmtId="10" fontId="4" fillId="0" borderId="0" xfId="0" applyNumberFormat="1" applyFont="1" applyAlignment="1">
      <alignment horizontal="left" readingOrder="1"/>
    </xf>
    <xf numFmtId="169" fontId="6" fillId="2" borderId="0" xfId="0" applyNumberFormat="1" applyFont="1" applyFill="1"/>
    <xf numFmtId="169" fontId="6" fillId="2" borderId="3" xfId="0" applyNumberFormat="1" applyFont="1" applyFill="1" applyBorder="1"/>
    <xf numFmtId="170" fontId="6" fillId="2" borderId="3" xfId="0" applyNumberFormat="1" applyFont="1" applyFill="1" applyBorder="1"/>
    <xf numFmtId="170" fontId="4" fillId="0" borderId="0" xfId="0" applyNumberFormat="1" applyFont="1" applyAlignment="1">
      <alignment horizontal="left" readingOrder="1"/>
    </xf>
    <xf numFmtId="0" fontId="10" fillId="0" borderId="0" xfId="0" applyFont="1" applyAlignment="1">
      <alignment horizontal="left" vertical="top" readingOrder="1"/>
    </xf>
    <xf numFmtId="10" fontId="5" fillId="0" borderId="0" xfId="0" applyNumberFormat="1" applyFont="1" applyAlignment="1">
      <alignment horizontal="right" vertical="top" readingOrder="1"/>
    </xf>
    <xf numFmtId="171" fontId="11" fillId="2" borderId="3" xfId="0" applyNumberFormat="1" applyFont="1" applyFill="1" applyBorder="1" applyAlignment="1">
      <alignment horizontal="left" readingOrder="1"/>
    </xf>
    <xf numFmtId="10" fontId="8" fillId="0" borderId="0" xfId="0" applyNumberFormat="1" applyFont="1" applyAlignment="1">
      <alignment horizontal="left" readingOrder="1"/>
    </xf>
    <xf numFmtId="170" fontId="6" fillId="2" borderId="0" xfId="0" applyNumberFormat="1" applyFont="1" applyFill="1"/>
    <xf numFmtId="7" fontId="4" fillId="0" borderId="0" xfId="0" applyNumberFormat="1" applyFont="1" applyAlignment="1">
      <alignment horizontal="left" readingOrder="1"/>
    </xf>
    <xf numFmtId="0" fontId="4" fillId="0" borderId="0" xfId="0" applyFont="1" applyAlignment="1">
      <alignment horizontal="left"/>
    </xf>
    <xf numFmtId="173" fontId="6" fillId="2" borderId="0" xfId="0" applyNumberFormat="1" applyFont="1" applyFill="1" applyAlignment="1">
      <alignment horizontal="right" vertical="center"/>
    </xf>
    <xf numFmtId="174" fontId="4" fillId="0" borderId="0" xfId="0" applyNumberFormat="1" applyFont="1" applyAlignment="1">
      <alignment horizontal="right" readingOrder="1"/>
    </xf>
    <xf numFmtId="174" fontId="5" fillId="0" borderId="0" xfId="0" applyNumberFormat="1" applyFont="1" applyAlignment="1">
      <alignment horizontal="right"/>
    </xf>
    <xf numFmtId="173" fontId="5" fillId="0" borderId="0" xfId="0" applyNumberFormat="1" applyFont="1" applyAlignment="1">
      <alignment horizontal="right" vertical="center"/>
    </xf>
    <xf numFmtId="174" fontId="4" fillId="0" borderId="0" xfId="0" applyNumberFormat="1" applyFont="1" applyAlignment="1">
      <alignment horizontal="left" readingOrder="1"/>
    </xf>
    <xf numFmtId="168" fontId="6" fillId="2" borderId="0" xfId="0" applyNumberFormat="1" applyFont="1" applyFill="1" applyAlignment="1">
      <alignment horizontal="right" vertical="center"/>
    </xf>
    <xf numFmtId="168" fontId="4" fillId="0" borderId="0" xfId="0" applyNumberFormat="1" applyFont="1" applyAlignment="1">
      <alignment horizontal="right" readingOrder="1"/>
    </xf>
    <xf numFmtId="174" fontId="12" fillId="0" borderId="0" xfId="0" applyNumberFormat="1" applyFont="1"/>
    <xf numFmtId="174" fontId="5" fillId="0" borderId="0" xfId="0" applyNumberFormat="1" applyFont="1"/>
    <xf numFmtId="0" fontId="4" fillId="0" borderId="0" xfId="0" applyFont="1"/>
    <xf numFmtId="0" fontId="13" fillId="0" borderId="0" xfId="0" applyFont="1" applyAlignment="1">
      <alignment horizontal="left"/>
    </xf>
    <xf numFmtId="10" fontId="13" fillId="0" borderId="0" xfId="0" applyNumberFormat="1" applyFont="1" applyAlignment="1">
      <alignment horizontal="right"/>
    </xf>
    <xf numFmtId="171" fontId="11" fillId="2" borderId="3" xfId="0" applyNumberFormat="1" applyFont="1" applyFill="1" applyBorder="1" applyAlignment="1">
      <alignment horizontal="right" readingOrder="1"/>
    </xf>
    <xf numFmtId="175" fontId="11" fillId="2" borderId="3" xfId="0" applyNumberFormat="1" applyFont="1" applyFill="1" applyBorder="1" applyAlignment="1">
      <alignment horizontal="right" readingOrder="1"/>
    </xf>
    <xf numFmtId="10" fontId="10" fillId="0" borderId="0" xfId="0" applyNumberFormat="1" applyFont="1" applyAlignment="1">
      <alignment horizontal="right" vertical="top" readingOrder="1"/>
    </xf>
    <xf numFmtId="172" fontId="11" fillId="2" borderId="3" xfId="0" applyNumberFormat="1" applyFont="1" applyFill="1" applyBorder="1" applyAlignment="1">
      <alignment horizontal="right" readingOrder="1"/>
    </xf>
    <xf numFmtId="172" fontId="8" fillId="0" borderId="0" xfId="0" applyNumberFormat="1" applyFont="1" applyAlignment="1">
      <alignment horizontal="left" readingOrder="1"/>
    </xf>
    <xf numFmtId="0" fontId="10" fillId="0" borderId="0" xfId="0" applyFont="1" applyAlignment="1">
      <alignment horizontal="right" vertical="top" readingOrder="1"/>
    </xf>
    <xf numFmtId="0" fontId="13" fillId="0" borderId="0" xfId="0" applyFont="1" applyAlignment="1">
      <alignment horizontal="right" readingOrder="1"/>
    </xf>
    <xf numFmtId="4" fontId="10" fillId="0" borderId="0" xfId="0" applyNumberFormat="1" applyFont="1" applyAlignment="1">
      <alignment horizontal="right" vertical="top" readingOrder="1"/>
    </xf>
    <xf numFmtId="0" fontId="13" fillId="0" borderId="0" xfId="0" applyFont="1"/>
    <xf numFmtId="0" fontId="8" fillId="0" borderId="12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0" xfId="0" applyFont="1"/>
    <xf numFmtId="0" fontId="8" fillId="0" borderId="1" xfId="0" applyFont="1" applyBorder="1"/>
    <xf numFmtId="0" fontId="4" fillId="0" borderId="1" xfId="0" applyFont="1" applyBorder="1"/>
    <xf numFmtId="0" fontId="4" fillId="0" borderId="11" xfId="0" applyFont="1" applyBorder="1"/>
    <xf numFmtId="168" fontId="4" fillId="0" borderId="0" xfId="0" applyNumberFormat="1" applyFont="1"/>
    <xf numFmtId="169" fontId="4" fillId="0" borderId="0" xfId="0" applyNumberFormat="1" applyFont="1"/>
    <xf numFmtId="170" fontId="4" fillId="0" borderId="0" xfId="0" applyNumberFormat="1" applyFont="1"/>
    <xf numFmtId="172" fontId="14" fillId="2" borderId="0" xfId="0" applyNumberFormat="1" applyFont="1" applyFill="1"/>
    <xf numFmtId="171" fontId="14" fillId="2" borderId="3" xfId="0" applyNumberFormat="1" applyFont="1" applyFill="1" applyBorder="1"/>
    <xf numFmtId="168" fontId="8" fillId="0" borderId="0" xfId="0" applyNumberFormat="1" applyFont="1"/>
    <xf numFmtId="170" fontId="8" fillId="0" borderId="2" xfId="0" applyNumberFormat="1" applyFont="1" applyBorder="1"/>
    <xf numFmtId="176" fontId="4" fillId="0" borderId="0" xfId="0" applyNumberFormat="1" applyFont="1" applyAlignment="1">
      <alignment horizontal="left"/>
    </xf>
    <xf numFmtId="176" fontId="4" fillId="0" borderId="0" xfId="0" applyNumberFormat="1" applyFont="1" applyAlignment="1">
      <alignment horizontal="right"/>
    </xf>
    <xf numFmtId="165" fontId="5" fillId="0" borderId="0" xfId="0" applyNumberFormat="1" applyFont="1"/>
    <xf numFmtId="176" fontId="4" fillId="0" borderId="1" xfId="0" applyNumberFormat="1" applyFont="1" applyBorder="1" applyAlignment="1">
      <alignment horizontal="left"/>
    </xf>
    <xf numFmtId="165" fontId="5" fillId="0" borderId="1" xfId="0" applyNumberFormat="1" applyFont="1" applyBorder="1"/>
    <xf numFmtId="170" fontId="8" fillId="0" borderId="0" xfId="0" applyNumberFormat="1" applyFont="1"/>
    <xf numFmtId="177" fontId="4" fillId="0" borderId="0" xfId="0" applyNumberFormat="1" applyFont="1"/>
    <xf numFmtId="10" fontId="5" fillId="0" borderId="0" xfId="0" applyNumberFormat="1" applyFont="1"/>
    <xf numFmtId="172" fontId="5" fillId="0" borderId="0" xfId="0" applyNumberFormat="1" applyFont="1"/>
    <xf numFmtId="172" fontId="13" fillId="0" borderId="0" xfId="0" applyNumberFormat="1" applyFont="1"/>
    <xf numFmtId="10" fontId="4" fillId="0" borderId="0" xfId="0" applyNumberFormat="1" applyFont="1"/>
    <xf numFmtId="178" fontId="13" fillId="0" borderId="0" xfId="0" applyNumberFormat="1" applyFont="1"/>
    <xf numFmtId="0" fontId="15" fillId="0" borderId="0" xfId="0" applyFont="1"/>
    <xf numFmtId="176" fontId="16" fillId="0" borderId="0" xfId="0" applyNumberFormat="1" applyFont="1" applyAlignment="1">
      <alignment horizontal="right"/>
    </xf>
    <xf numFmtId="176" fontId="12" fillId="0" borderId="0" xfId="0" applyNumberFormat="1" applyFont="1"/>
    <xf numFmtId="0" fontId="12" fillId="0" borderId="0" xfId="0" applyFont="1"/>
    <xf numFmtId="10" fontId="6" fillId="2" borderId="3" xfId="0" applyNumberFormat="1" applyFont="1" applyFill="1" applyBorder="1" applyAlignment="1">
      <alignment horizontal="right"/>
    </xf>
    <xf numFmtId="3" fontId="12" fillId="0" borderId="0" xfId="0" applyNumberFormat="1" applyFont="1"/>
    <xf numFmtId="10" fontId="5" fillId="0" borderId="0" xfId="0" applyNumberFormat="1" applyFont="1" applyAlignment="1">
      <alignment horizontal="right"/>
    </xf>
    <xf numFmtId="172" fontId="12" fillId="0" borderId="0" xfId="0" applyNumberFormat="1" applyFont="1"/>
    <xf numFmtId="0" fontId="17" fillId="0" borderId="0" xfId="0" applyFont="1"/>
    <xf numFmtId="2" fontId="12" fillId="0" borderId="0" xfId="0" applyNumberFormat="1" applyFont="1"/>
    <xf numFmtId="39" fontId="12" fillId="0" borderId="0" xfId="0" applyNumberFormat="1" applyFont="1"/>
    <xf numFmtId="170" fontId="8" fillId="0" borderId="0" xfId="0" applyNumberFormat="1" applyFont="1" applyAlignment="1">
      <alignment horizontal="right"/>
    </xf>
    <xf numFmtId="170" fontId="8" fillId="0" borderId="2" xfId="0" applyNumberFormat="1" applyFont="1" applyBorder="1" applyAlignment="1">
      <alignment horizontal="right"/>
    </xf>
    <xf numFmtId="170" fontId="12" fillId="0" borderId="0" xfId="0" applyNumberFormat="1" applyFont="1"/>
    <xf numFmtId="0" fontId="16" fillId="0" borderId="0" xfId="0" applyFont="1"/>
    <xf numFmtId="164" fontId="5" fillId="0" borderId="0" xfId="0" applyNumberFormat="1" applyFont="1"/>
    <xf numFmtId="172" fontId="6" fillId="2" borderId="3" xfId="0" applyNumberFormat="1" applyFont="1" applyFill="1" applyBorder="1" applyAlignment="1">
      <alignment horizontal="right"/>
    </xf>
    <xf numFmtId="171" fontId="5" fillId="0" borderId="0" xfId="0" applyNumberFormat="1" applyFont="1"/>
    <xf numFmtId="0" fontId="5" fillId="3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179" fontId="4" fillId="0" borderId="0" xfId="0" applyNumberFormat="1" applyFont="1"/>
    <xf numFmtId="171" fontId="4" fillId="0" borderId="0" xfId="0" applyNumberFormat="1" applyFont="1"/>
    <xf numFmtId="10" fontId="8" fillId="0" borderId="0" xfId="0" applyNumberFormat="1" applyFont="1"/>
    <xf numFmtId="170" fontId="4" fillId="0" borderId="0" xfId="0" applyNumberFormat="1" applyFont="1" applyAlignment="1">
      <alignment horizontal="right"/>
    </xf>
    <xf numFmtId="176" fontId="7" fillId="0" borderId="0" xfId="0" applyNumberFormat="1" applyFont="1" applyAlignment="1">
      <alignment horizontal="right"/>
    </xf>
    <xf numFmtId="165" fontId="4" fillId="0" borderId="0" xfId="0" applyNumberFormat="1" applyFont="1"/>
    <xf numFmtId="44" fontId="4" fillId="0" borderId="0" xfId="0" applyNumberFormat="1" applyFont="1"/>
    <xf numFmtId="165" fontId="4" fillId="0" borderId="0" xfId="0" applyNumberFormat="1" applyFont="1" applyAlignment="1">
      <alignment horizontal="right"/>
    </xf>
    <xf numFmtId="0" fontId="4" fillId="0" borderId="9" xfId="0" applyFont="1" applyBorder="1"/>
    <xf numFmtId="8" fontId="8" fillId="0" borderId="10" xfId="0" applyNumberFormat="1" applyFont="1" applyBorder="1" applyAlignment="1">
      <alignment horizontal="right"/>
    </xf>
    <xf numFmtId="0" fontId="4" fillId="0" borderId="4" xfId="0" applyFont="1" applyBorder="1" applyAlignment="1">
      <alignment horizontal="left"/>
    </xf>
    <xf numFmtId="173" fontId="4" fillId="0" borderId="0" xfId="0" applyNumberFormat="1" applyFont="1" applyAlignment="1">
      <alignment horizontal="right"/>
    </xf>
    <xf numFmtId="10" fontId="4" fillId="0" borderId="2" xfId="0" applyNumberFormat="1" applyFont="1" applyBorder="1"/>
    <xf numFmtId="8" fontId="8" fillId="0" borderId="0" xfId="0" applyNumberFormat="1" applyFont="1" applyAlignment="1">
      <alignment horizontal="right"/>
    </xf>
    <xf numFmtId="44" fontId="3" fillId="0" borderId="0" xfId="0" applyNumberFormat="1" applyFont="1"/>
    <xf numFmtId="172" fontId="18" fillId="4" borderId="3" xfId="0" applyNumberFormat="1" applyFont="1" applyFill="1" applyBorder="1"/>
    <xf numFmtId="172" fontId="19" fillId="4" borderId="3" xfId="0" applyNumberFormat="1" applyFont="1" applyFill="1" applyBorder="1"/>
    <xf numFmtId="0" fontId="20" fillId="0" borderId="0" xfId="0" applyFont="1"/>
    <xf numFmtId="180" fontId="20" fillId="0" borderId="0" xfId="0" applyNumberFormat="1" applyFont="1"/>
    <xf numFmtId="0" fontId="3" fillId="0" borderId="0" xfId="0" applyFont="1"/>
    <xf numFmtId="173" fontId="20" fillId="0" borderId="0" xfId="0" applyNumberFormat="1" applyFont="1"/>
    <xf numFmtId="10" fontId="20" fillId="0" borderId="0" xfId="0" applyNumberFormat="1" applyFont="1"/>
    <xf numFmtId="168" fontId="20" fillId="0" borderId="0" xfId="0" applyNumberFormat="1" applyFont="1"/>
    <xf numFmtId="170" fontId="20" fillId="0" borderId="0" xfId="0" applyNumberFormat="1" applyFont="1"/>
    <xf numFmtId="7" fontId="20" fillId="0" borderId="0" xfId="0" applyNumberFormat="1" applyFont="1"/>
    <xf numFmtId="166" fontId="8" fillId="0" borderId="14" xfId="0" applyNumberFormat="1" applyFont="1" applyBorder="1"/>
    <xf numFmtId="166" fontId="8" fillId="0" borderId="15" xfId="0" applyNumberFormat="1" applyFont="1" applyBorder="1"/>
    <xf numFmtId="167" fontId="8" fillId="0" borderId="14" xfId="0" applyNumberFormat="1" applyFont="1" applyBorder="1"/>
    <xf numFmtId="0" fontId="22" fillId="0" borderId="0" xfId="0" applyFont="1"/>
    <xf numFmtId="0" fontId="3" fillId="0" borderId="3" xfId="0" applyFont="1" applyBorder="1"/>
    <xf numFmtId="0" fontId="0" fillId="0" borderId="3" xfId="0" applyBorder="1"/>
    <xf numFmtId="0" fontId="0" fillId="0" borderId="16" xfId="0" applyBorder="1"/>
    <xf numFmtId="0" fontId="2" fillId="0" borderId="16" xfId="0" applyFont="1" applyBorder="1"/>
    <xf numFmtId="168" fontId="6" fillId="2" borderId="0" xfId="0" applyNumberFormat="1" applyFont="1" applyFill="1" applyAlignment="1">
      <alignment horizontal="right" vertical="top" readingOrder="1"/>
    </xf>
    <xf numFmtId="0" fontId="5" fillId="0" borderId="0" xfId="0" applyFont="1" applyAlignment="1">
      <alignment horizontal="right" vertical="top" readingOrder="1"/>
    </xf>
    <xf numFmtId="0" fontId="23" fillId="0" borderId="0" xfId="0" applyFont="1" applyAlignment="1">
      <alignment horizontal="left" readingOrder="1"/>
    </xf>
    <xf numFmtId="0" fontId="23" fillId="0" borderId="0" xfId="0" applyFont="1"/>
    <xf numFmtId="181" fontId="5" fillId="0" borderId="0" xfId="0" applyNumberFormat="1" applyFont="1"/>
    <xf numFmtId="164" fontId="4" fillId="5" borderId="0" xfId="0" applyNumberFormat="1" applyFont="1" applyFill="1"/>
    <xf numFmtId="44" fontId="4" fillId="5" borderId="0" xfId="0" applyNumberFormat="1" applyFont="1" applyFill="1"/>
    <xf numFmtId="10" fontId="19" fillId="4" borderId="3" xfId="0" applyNumberFormat="1" applyFont="1" applyFill="1" applyBorder="1"/>
    <xf numFmtId="10" fontId="18" fillId="4" borderId="3" xfId="0" applyNumberFormat="1" applyFont="1" applyFill="1" applyBorder="1"/>
    <xf numFmtId="167" fontId="17" fillId="0" borderId="0" xfId="0" applyNumberFormat="1" applyFont="1"/>
    <xf numFmtId="172" fontId="6" fillId="0" borderId="0" xfId="0" applyNumberFormat="1" applyFont="1" applyAlignment="1">
      <alignment horizontal="right"/>
    </xf>
    <xf numFmtId="10" fontId="4" fillId="5" borderId="0" xfId="0" applyNumberFormat="1" applyFont="1" applyFill="1"/>
    <xf numFmtId="0" fontId="4" fillId="5" borderId="0" xfId="0" applyFont="1" applyFill="1"/>
    <xf numFmtId="8" fontId="4" fillId="0" borderId="0" xfId="0" applyNumberFormat="1" applyFont="1" applyAlignment="1">
      <alignment horizontal="center"/>
    </xf>
    <xf numFmtId="8" fontId="24" fillId="0" borderId="17" xfId="0" applyNumberFormat="1" applyFont="1" applyBorder="1"/>
    <xf numFmtId="10" fontId="4" fillId="0" borderId="0" xfId="2" applyNumberFormat="1" applyFont="1" applyAlignment="1">
      <alignment horizontal="left" readingOrder="1"/>
    </xf>
    <xf numFmtId="0" fontId="25" fillId="0" borderId="0" xfId="0" applyFont="1" applyAlignment="1">
      <alignment horizontal="left" vertical="top" readingOrder="1"/>
    </xf>
    <xf numFmtId="10" fontId="23" fillId="0" borderId="0" xfId="0" applyNumberFormat="1" applyFont="1" applyAlignment="1">
      <alignment horizontal="left" readingOrder="1"/>
    </xf>
    <xf numFmtId="10" fontId="24" fillId="0" borderId="0" xfId="0" applyNumberFormat="1" applyFont="1" applyAlignment="1">
      <alignment horizontal="left" readingOrder="1"/>
    </xf>
    <xf numFmtId="0" fontId="26" fillId="0" borderId="0" xfId="0" applyFont="1"/>
    <xf numFmtId="0" fontId="0" fillId="0" borderId="0" xfId="0"/>
    <xf numFmtId="0" fontId="0" fillId="0" borderId="3" xfId="0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/>
    <xf numFmtId="0" fontId="17" fillId="0" borderId="0" xfId="0" applyFont="1" applyAlignment="1">
      <alignment horizontal="center"/>
    </xf>
    <xf numFmtId="0" fontId="27" fillId="0" borderId="16" xfId="0" applyFont="1" applyBorder="1"/>
    <xf numFmtId="165" fontId="28" fillId="2" borderId="3" xfId="0" applyNumberFormat="1" applyFont="1" applyFill="1" applyBorder="1" applyAlignment="1">
      <alignment horizontal="center" vertical="top" readingOrder="1"/>
    </xf>
    <xf numFmtId="14" fontId="28" fillId="2" borderId="3" xfId="0" applyNumberFormat="1" applyFont="1" applyFill="1" applyBorder="1" applyAlignment="1">
      <alignment horizontal="right" vertical="top" readingOrder="1"/>
    </xf>
    <xf numFmtId="44" fontId="28" fillId="2" borderId="3" xfId="1" applyFont="1" applyFill="1" applyBorder="1" applyAlignment="1">
      <alignment horizontal="right" vertical="top" readingOrder="1"/>
    </xf>
    <xf numFmtId="181" fontId="28" fillId="2" borderId="3" xfId="0" applyNumberFormat="1" applyFont="1" applyFill="1" applyBorder="1" applyAlignment="1">
      <alignment horizontal="right" vertical="top" readingOrder="1"/>
    </xf>
    <xf numFmtId="0" fontId="0" fillId="6" borderId="0" xfId="0" applyFill="1"/>
    <xf numFmtId="0" fontId="29" fillId="6" borderId="0" xfId="0" applyFont="1" applyFill="1"/>
    <xf numFmtId="0" fontId="8" fillId="7" borderId="6" xfId="0" applyFont="1" applyFill="1" applyBorder="1" applyAlignment="1">
      <alignment horizontal="center"/>
    </xf>
    <xf numFmtId="0" fontId="9" fillId="8" borderId="7" xfId="0" applyFont="1" applyFill="1" applyBorder="1"/>
    <xf numFmtId="0" fontId="9" fillId="8" borderId="8" xfId="0" applyFont="1" applyFill="1" applyBorder="1"/>
    <xf numFmtId="183" fontId="0" fillId="9" borderId="0" xfId="0" applyNumberFormat="1" applyFill="1"/>
    <xf numFmtId="0" fontId="10" fillId="0" borderId="0" xfId="0" applyFont="1" applyFill="1" applyAlignment="1">
      <alignment vertical="top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5" Type="http://schemas.microsoft.com/office/2017/06/relationships/rdRichValue" Target="richData/rdrichvalue.xml"/><Relationship Id="rId10" Type="http://customschemas.google.com/relationships/workbookmetadata" Target="metadata"/><Relationship Id="rId14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12</v>
    <v>Price</v>
    <v>0</v>
  </rv>
  <rv s="1">
    <v>12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field" t="s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7"/>
  <sheetViews>
    <sheetView tabSelected="1" workbookViewId="0">
      <selection activeCell="J13" sqref="J13"/>
    </sheetView>
  </sheetViews>
  <sheetFormatPr defaultColWidth="14.42578125" defaultRowHeight="15" customHeight="1" x14ac:dyDescent="0.2"/>
  <cols>
    <col min="1" max="1" width="1.85546875" customWidth="1"/>
    <col min="2" max="2" width="42" customWidth="1"/>
    <col min="3" max="9" width="14.5703125" customWidth="1"/>
    <col min="10" max="12" width="12.140625" customWidth="1"/>
    <col min="13" max="13" width="14.140625" customWidth="1"/>
    <col min="14" max="14" width="12.140625" customWidth="1"/>
    <col min="15" max="15" width="9.140625" customWidth="1"/>
    <col min="16" max="16" width="16.85546875" customWidth="1"/>
    <col min="17" max="17" width="15.5703125" customWidth="1"/>
    <col min="18" max="18" width="17.140625" customWidth="1"/>
    <col min="19" max="19" width="10" customWidth="1"/>
    <col min="20" max="28" width="8" customWidth="1"/>
  </cols>
  <sheetData>
    <row r="1" spans="1:28" ht="23.25" customHeight="1" x14ac:dyDescent="0.4">
      <c r="A1" s="1"/>
      <c r="B1" s="149" t="s">
        <v>103</v>
      </c>
      <c r="C1" s="122"/>
      <c r="D1" s="122"/>
      <c r="E1" s="122"/>
      <c r="F1" s="122"/>
      <c r="G1" s="122"/>
      <c r="H1" s="123"/>
      <c r="I1" s="3"/>
      <c r="J1" s="3"/>
      <c r="K1" s="3"/>
      <c r="L1" s="3"/>
      <c r="M1" s="3"/>
      <c r="N1" s="3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2.75" customHeight="1" x14ac:dyDescent="0.2">
      <c r="B2" s="121"/>
      <c r="C2" s="121"/>
      <c r="D2" s="121"/>
      <c r="E2" s="121"/>
      <c r="F2" s="121"/>
      <c r="G2" s="121"/>
      <c r="R2" s="119" t="s">
        <v>93</v>
      </c>
    </row>
    <row r="3" spans="1:28" ht="12.75" customHeight="1" x14ac:dyDescent="0.2">
      <c r="B3" s="144" t="s">
        <v>94</v>
      </c>
      <c r="C3" s="120"/>
      <c r="D3" s="120"/>
      <c r="E3" s="120"/>
      <c r="F3" s="120"/>
      <c r="G3" s="120"/>
      <c r="H3" s="150"/>
      <c r="R3" s="119"/>
    </row>
    <row r="4" spans="1:28" ht="14.25" customHeight="1" x14ac:dyDescent="0.25">
      <c r="A4" s="4"/>
      <c r="B4" s="144" t="s">
        <v>0</v>
      </c>
      <c r="C4" s="5"/>
      <c r="D4" s="6"/>
      <c r="E4" s="6"/>
      <c r="F4" s="6"/>
      <c r="G4" s="6"/>
      <c r="H4" s="151">
        <f ca="1">TODAY()</f>
        <v>46245</v>
      </c>
      <c r="I4" s="4"/>
      <c r="J4" s="4"/>
      <c r="K4" s="4"/>
      <c r="L4" s="144" t="s">
        <v>1</v>
      </c>
      <c r="M4" s="4"/>
      <c r="N4" s="4"/>
      <c r="O4" s="4"/>
      <c r="P4" s="4"/>
      <c r="Q4" s="4"/>
      <c r="R4" s="126" t="s">
        <v>95</v>
      </c>
      <c r="X4" s="4"/>
      <c r="Y4" s="4"/>
      <c r="Z4" s="4"/>
      <c r="AA4" s="4"/>
      <c r="AB4" s="4"/>
    </row>
    <row r="5" spans="1:28" ht="14.25" customHeight="1" x14ac:dyDescent="0.25">
      <c r="A5" s="4"/>
      <c r="B5" s="144" t="s">
        <v>2</v>
      </c>
      <c r="C5" s="5"/>
      <c r="D5" s="6"/>
      <c r="E5" s="6"/>
      <c r="F5" s="6"/>
      <c r="G5" s="6"/>
      <c r="H5" s="152" t="e" cm="1" vm="1">
        <f t="array" ref="H5">_FV(H3,"Price")</f>
        <v>#VALUE!</v>
      </c>
      <c r="I5" s="4"/>
      <c r="J5" s="4"/>
      <c r="K5" s="4"/>
      <c r="L5" s="4"/>
      <c r="M5" s="4"/>
      <c r="N5" s="4"/>
      <c r="O5" s="4"/>
      <c r="P5" s="4"/>
      <c r="Q5" s="4"/>
      <c r="R5" s="126" t="s">
        <v>96</v>
      </c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4.25" customHeight="1" x14ac:dyDescent="0.25">
      <c r="A6" s="4"/>
      <c r="B6" s="144" t="s">
        <v>3</v>
      </c>
      <c r="C6" s="5"/>
      <c r="D6" s="6"/>
      <c r="E6" s="6"/>
      <c r="F6" s="6"/>
      <c r="G6" s="6"/>
      <c r="H6" s="153"/>
      <c r="I6" s="4"/>
      <c r="J6" s="4"/>
      <c r="K6" s="4"/>
      <c r="L6" s="4"/>
      <c r="M6" s="4"/>
      <c r="N6" s="4"/>
      <c r="O6" s="4"/>
      <c r="P6" s="4"/>
      <c r="Q6" s="4"/>
      <c r="R6" s="126" t="s">
        <v>98</v>
      </c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4.25" customHeight="1" x14ac:dyDescent="0.25">
      <c r="A7" s="4"/>
      <c r="B7" s="5"/>
      <c r="C7" s="5"/>
      <c r="D7" s="6"/>
      <c r="E7" s="6"/>
      <c r="F7" s="6"/>
      <c r="G7" s="6"/>
      <c r="H7" s="7"/>
      <c r="I7" s="4"/>
      <c r="J7" s="4"/>
      <c r="K7" s="4"/>
      <c r="L7" s="4"/>
      <c r="M7" s="4"/>
      <c r="N7" s="4"/>
      <c r="O7" s="4"/>
      <c r="P7" s="4"/>
      <c r="Q7" s="4"/>
      <c r="R7" s="4" t="s">
        <v>99</v>
      </c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8" customHeight="1" x14ac:dyDescent="0.3">
      <c r="A8" s="4"/>
      <c r="B8" s="155" t="s">
        <v>4</v>
      </c>
      <c r="C8" s="154"/>
      <c r="D8" s="154"/>
      <c r="E8" s="154"/>
      <c r="F8" s="154"/>
      <c r="G8" s="154"/>
      <c r="H8" s="154"/>
      <c r="I8" s="154"/>
      <c r="J8" s="154"/>
      <c r="K8" s="154"/>
      <c r="L8" s="154"/>
      <c r="M8" s="154"/>
      <c r="N8" s="15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4.25" customHeight="1" x14ac:dyDescent="0.25">
      <c r="A9" s="4"/>
      <c r="B9" s="5"/>
      <c r="C9" s="5"/>
      <c r="D9" s="8"/>
      <c r="E9" s="9"/>
      <c r="F9" s="8"/>
      <c r="G9" s="8"/>
      <c r="H9" s="8"/>
      <c r="I9" s="10"/>
      <c r="J9" s="156" t="s">
        <v>5</v>
      </c>
      <c r="K9" s="157"/>
      <c r="L9" s="157"/>
      <c r="M9" s="157"/>
      <c r="N9" s="158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4.25" customHeight="1" x14ac:dyDescent="0.25">
      <c r="A10" s="4"/>
      <c r="B10" s="5"/>
      <c r="C10" s="117">
        <f t="shared" ref="C10:G10" si="0">D10-365</f>
        <v>43772</v>
      </c>
      <c r="D10" s="116">
        <f t="shared" si="0"/>
        <v>44137</v>
      </c>
      <c r="E10" s="11">
        <f t="shared" si="0"/>
        <v>44502</v>
      </c>
      <c r="F10" s="11">
        <f t="shared" si="0"/>
        <v>44867</v>
      </c>
      <c r="G10" s="11">
        <f t="shared" si="0"/>
        <v>45232</v>
      </c>
      <c r="H10" s="11">
        <f>I10-365</f>
        <v>45597</v>
      </c>
      <c r="I10" s="11">
        <v>45962</v>
      </c>
      <c r="J10" s="12">
        <f>I10+365</f>
        <v>46327</v>
      </c>
      <c r="K10" s="12">
        <f t="shared" ref="K10:N10" si="1">J10+365</f>
        <v>46692</v>
      </c>
      <c r="L10" s="12">
        <f t="shared" si="1"/>
        <v>47057</v>
      </c>
      <c r="M10" s="12">
        <f t="shared" si="1"/>
        <v>47422</v>
      </c>
      <c r="N10" s="118">
        <f t="shared" si="1"/>
        <v>47787</v>
      </c>
      <c r="O10" s="4"/>
      <c r="P10" s="13"/>
      <c r="Q10" s="13"/>
      <c r="R10" s="13"/>
      <c r="S10" s="13"/>
      <c r="T10" s="4"/>
      <c r="U10" s="4"/>
      <c r="V10" s="4"/>
      <c r="W10" s="4"/>
      <c r="X10" s="4"/>
      <c r="Y10" s="4"/>
      <c r="Z10" s="4"/>
      <c r="AA10" s="4"/>
      <c r="AB10" s="4"/>
    </row>
    <row r="11" spans="1:28" ht="14.25" customHeight="1" x14ac:dyDescent="0.25">
      <c r="A11" s="4"/>
      <c r="B11" s="5" t="s">
        <v>6</v>
      </c>
      <c r="C11" s="124"/>
      <c r="D11" s="14"/>
      <c r="E11" s="15"/>
      <c r="F11" s="15"/>
      <c r="G11" s="15"/>
      <c r="H11" s="15"/>
      <c r="I11" s="16"/>
      <c r="J11" s="17" t="e">
        <f t="shared" ref="J11:N11" si="2">I11*(1+J12)</f>
        <v>#DIV/0!</v>
      </c>
      <c r="K11" s="17" t="e">
        <f t="shared" si="2"/>
        <v>#DIV/0!</v>
      </c>
      <c r="L11" s="17" t="e">
        <f t="shared" si="2"/>
        <v>#DIV/0!</v>
      </c>
      <c r="M11" s="17" t="e">
        <f t="shared" si="2"/>
        <v>#DIV/0!</v>
      </c>
      <c r="N11" s="17" t="e">
        <f t="shared" si="2"/>
        <v>#DIV/0!</v>
      </c>
      <c r="O11" s="4"/>
      <c r="P11" s="4" t="s">
        <v>7</v>
      </c>
      <c r="Q11" s="4" t="s">
        <v>8</v>
      </c>
      <c r="R11" s="126" t="s">
        <v>101</v>
      </c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4.25" customHeight="1" x14ac:dyDescent="0.25">
      <c r="A12" s="4"/>
      <c r="B12" s="18" t="s">
        <v>9</v>
      </c>
      <c r="C12" s="18"/>
      <c r="D12" s="19" t="e">
        <f t="shared" ref="D12:I12" si="3">(D11/C11)-1</f>
        <v>#DIV/0!</v>
      </c>
      <c r="E12" s="19" t="e">
        <f t="shared" si="3"/>
        <v>#DIV/0!</v>
      </c>
      <c r="F12" s="19" t="e">
        <f t="shared" si="3"/>
        <v>#DIV/0!</v>
      </c>
      <c r="G12" s="19" t="e">
        <f t="shared" si="3"/>
        <v>#DIV/0!</v>
      </c>
      <c r="H12" s="19" t="e">
        <f t="shared" si="3"/>
        <v>#DIV/0!</v>
      </c>
      <c r="I12" s="19" t="e">
        <f t="shared" si="3"/>
        <v>#DIV/0!</v>
      </c>
      <c r="J12" s="20" t="e">
        <f>$P$12</f>
        <v>#DIV/0!</v>
      </c>
      <c r="K12" s="20" t="e">
        <f>+J12</f>
        <v>#DIV/0!</v>
      </c>
      <c r="L12" s="20" t="e">
        <f t="shared" ref="L12:N12" si="4">+K12</f>
        <v>#DIV/0!</v>
      </c>
      <c r="M12" s="20" t="e">
        <f t="shared" si="4"/>
        <v>#DIV/0!</v>
      </c>
      <c r="N12" s="20" t="e">
        <f t="shared" si="4"/>
        <v>#DIV/0!</v>
      </c>
      <c r="O12" s="4"/>
      <c r="P12" s="142" t="e">
        <f>AVERAGE(D12:I12)</f>
        <v>#DIV/0!</v>
      </c>
      <c r="Q12" s="141" t="e">
        <f>GEOMEAN(D13:I13)-1</f>
        <v>#DIV/0!</v>
      </c>
      <c r="R12" s="139" t="e">
        <f>HARMEAN(D13:I13)-1</f>
        <v>#DIV/0!</v>
      </c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4.25" customHeight="1" x14ac:dyDescent="0.25">
      <c r="A13" s="4"/>
      <c r="B13" s="140" t="s">
        <v>100</v>
      </c>
      <c r="C13" s="18"/>
      <c r="D13" s="19" t="e">
        <f>D12+1</f>
        <v>#DIV/0!</v>
      </c>
      <c r="E13" s="19" t="e">
        <f t="shared" ref="E13:I13" si="5">E12+1</f>
        <v>#DIV/0!</v>
      </c>
      <c r="F13" s="19" t="e">
        <f t="shared" si="5"/>
        <v>#DIV/0!</v>
      </c>
      <c r="G13" s="19" t="e">
        <f t="shared" si="5"/>
        <v>#DIV/0!</v>
      </c>
      <c r="H13" s="19" t="e">
        <f t="shared" si="5"/>
        <v>#DIV/0!</v>
      </c>
      <c r="I13" s="19" t="e">
        <f t="shared" si="5"/>
        <v>#DIV/0!</v>
      </c>
      <c r="J13" s="20"/>
      <c r="K13" s="20"/>
      <c r="L13" s="20"/>
      <c r="M13" s="20"/>
      <c r="N13" s="20"/>
      <c r="O13" s="4"/>
      <c r="P13" s="13"/>
      <c r="Q13" s="2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4.25" customHeight="1" x14ac:dyDescent="0.25">
      <c r="A14" s="4"/>
      <c r="B14" s="5"/>
      <c r="C14" s="125"/>
      <c r="D14" s="6"/>
      <c r="E14" s="6"/>
      <c r="F14" s="6"/>
      <c r="G14" s="6"/>
      <c r="H14" s="7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4.25" customHeight="1" x14ac:dyDescent="0.25">
      <c r="A15" s="4"/>
      <c r="B15" s="5" t="s">
        <v>10</v>
      </c>
      <c r="C15" s="124"/>
      <c r="D15" s="22"/>
      <c r="E15" s="16"/>
      <c r="F15" s="16"/>
      <c r="G15" s="16"/>
      <c r="H15" s="16"/>
      <c r="I15" s="16"/>
      <c r="J15" s="23" t="e">
        <f t="shared" ref="J15:N15" si="6">J16*J11</f>
        <v>#DIV/0!</v>
      </c>
      <c r="K15" s="23" t="e">
        <f t="shared" si="6"/>
        <v>#DIV/0!</v>
      </c>
      <c r="L15" s="23" t="e">
        <f t="shared" si="6"/>
        <v>#DIV/0!</v>
      </c>
      <c r="M15" s="23" t="e">
        <f t="shared" si="6"/>
        <v>#DIV/0!</v>
      </c>
      <c r="N15" s="23" t="e">
        <f t="shared" si="6"/>
        <v>#DIV/0!</v>
      </c>
      <c r="O15" s="4"/>
      <c r="P15" s="4" t="s">
        <v>7</v>
      </c>
      <c r="Q15" s="4" t="s">
        <v>8</v>
      </c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4.25" customHeight="1" x14ac:dyDescent="0.25">
      <c r="A16" s="4"/>
      <c r="B16" s="18" t="s">
        <v>11</v>
      </c>
      <c r="C16" s="19" t="e">
        <f t="shared" ref="C16:I16" si="7">C15/C11</f>
        <v>#DIV/0!</v>
      </c>
      <c r="D16" s="19" t="e">
        <f t="shared" si="7"/>
        <v>#DIV/0!</v>
      </c>
      <c r="E16" s="19" t="e">
        <f t="shared" si="7"/>
        <v>#DIV/0!</v>
      </c>
      <c r="F16" s="19" t="e">
        <f t="shared" si="7"/>
        <v>#DIV/0!</v>
      </c>
      <c r="G16" s="19" t="e">
        <f t="shared" si="7"/>
        <v>#DIV/0!</v>
      </c>
      <c r="H16" s="19" t="e">
        <f t="shared" si="7"/>
        <v>#DIV/0!</v>
      </c>
      <c r="I16" s="19" t="e">
        <f t="shared" si="7"/>
        <v>#DIV/0!</v>
      </c>
      <c r="J16" s="20" t="e">
        <f>$Q$16</f>
        <v>#DIV/0!</v>
      </c>
      <c r="K16" s="20" t="e">
        <f>+J16</f>
        <v>#DIV/0!</v>
      </c>
      <c r="L16" s="20" t="e">
        <f>+K16</f>
        <v>#DIV/0!</v>
      </c>
      <c r="M16" s="20" t="e">
        <f t="shared" ref="M16:N16" si="8">+L16</f>
        <v>#DIV/0!</v>
      </c>
      <c r="N16" s="20" t="e">
        <f t="shared" si="8"/>
        <v>#DIV/0!</v>
      </c>
      <c r="O16" s="4"/>
      <c r="P16" s="13" t="e">
        <f>AVERAGE(C16:I16)</f>
        <v>#DIV/0!</v>
      </c>
      <c r="Q16" s="21" t="e">
        <f>GEOMEAN(C16:I16)</f>
        <v>#DIV/0!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4.25" customHeight="1" x14ac:dyDescent="0.25">
      <c r="A17" s="4"/>
      <c r="B17" s="5"/>
      <c r="C17" s="125"/>
      <c r="D17" s="6"/>
      <c r="E17" s="6"/>
      <c r="F17" s="6"/>
      <c r="G17" s="6"/>
      <c r="H17" s="7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4.25" customHeight="1" x14ac:dyDescent="0.25">
      <c r="A18" s="4"/>
      <c r="B18" s="5" t="s">
        <v>12</v>
      </c>
      <c r="C18" s="124"/>
      <c r="D18" s="22"/>
      <c r="E18" s="16"/>
      <c r="F18" s="16"/>
      <c r="G18" s="16"/>
      <c r="H18" s="16"/>
      <c r="I18" s="16"/>
      <c r="J18" s="23" t="e">
        <f t="shared" ref="J18:N18" si="9">J19*J11</f>
        <v>#DIV/0!</v>
      </c>
      <c r="K18" s="23" t="e">
        <f t="shared" si="9"/>
        <v>#DIV/0!</v>
      </c>
      <c r="L18" s="23" t="e">
        <f t="shared" si="9"/>
        <v>#DIV/0!</v>
      </c>
      <c r="M18" s="23" t="e">
        <f t="shared" si="9"/>
        <v>#DIV/0!</v>
      </c>
      <c r="N18" s="23" t="e">
        <f t="shared" si="9"/>
        <v>#DIV/0!</v>
      </c>
      <c r="O18" s="4"/>
      <c r="P18" s="4" t="s">
        <v>7</v>
      </c>
      <c r="Q18" s="4" t="s">
        <v>8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4.25" customHeight="1" x14ac:dyDescent="0.25">
      <c r="A19" s="4"/>
      <c r="B19" s="18" t="s">
        <v>13</v>
      </c>
      <c r="C19" s="19" t="e">
        <f t="shared" ref="C19:I19" si="10">C18/C11</f>
        <v>#DIV/0!</v>
      </c>
      <c r="D19" s="19" t="e">
        <f t="shared" si="10"/>
        <v>#DIV/0!</v>
      </c>
      <c r="E19" s="19" t="e">
        <f t="shared" si="10"/>
        <v>#DIV/0!</v>
      </c>
      <c r="F19" s="19" t="e">
        <f t="shared" si="10"/>
        <v>#DIV/0!</v>
      </c>
      <c r="G19" s="19" t="e">
        <f t="shared" si="10"/>
        <v>#DIV/0!</v>
      </c>
      <c r="H19" s="19" t="e">
        <f t="shared" si="10"/>
        <v>#DIV/0!</v>
      </c>
      <c r="I19" s="19" t="e">
        <f t="shared" si="10"/>
        <v>#DIV/0!</v>
      </c>
      <c r="J19" s="20" t="e">
        <f>$Q$19</f>
        <v>#DIV/0!</v>
      </c>
      <c r="K19" s="20" t="e">
        <f>+J19</f>
        <v>#DIV/0!</v>
      </c>
      <c r="L19" s="20" t="e">
        <f t="shared" ref="L19:N19" si="11">+K19</f>
        <v>#DIV/0!</v>
      </c>
      <c r="M19" s="20" t="e">
        <f t="shared" si="11"/>
        <v>#DIV/0!</v>
      </c>
      <c r="N19" s="20" t="e">
        <f t="shared" si="11"/>
        <v>#DIV/0!</v>
      </c>
      <c r="O19" s="4"/>
      <c r="P19" s="13" t="e">
        <f>AVERAGE(C19:I19)</f>
        <v>#DIV/0!</v>
      </c>
      <c r="Q19" s="21" t="e">
        <f>GEOMEAN(C19:I19)</f>
        <v>#DIV/0!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4.25" customHeight="1" x14ac:dyDescent="0.25">
      <c r="A20" s="4"/>
      <c r="B20" s="5"/>
      <c r="C20" s="5"/>
      <c r="D20" s="6"/>
      <c r="E20" s="6"/>
      <c r="F20" s="6"/>
      <c r="G20" s="6"/>
      <c r="H20" s="7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8" customHeight="1" x14ac:dyDescent="0.3">
      <c r="A21" s="4"/>
      <c r="B21" s="155" t="s">
        <v>14</v>
      </c>
      <c r="C21" s="155"/>
      <c r="D21" s="155"/>
      <c r="E21" s="155"/>
      <c r="F21" s="155"/>
      <c r="G21" s="155"/>
      <c r="H21" s="155"/>
      <c r="I21" s="155"/>
      <c r="J21" s="155"/>
      <c r="K21" s="155"/>
      <c r="L21" s="155"/>
      <c r="M21" s="155"/>
      <c r="N21" s="155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4.25" customHeight="1" x14ac:dyDescent="0.25">
      <c r="A22" s="4"/>
      <c r="B22" s="5"/>
      <c r="C22" s="5"/>
      <c r="D22" s="8"/>
      <c r="E22" s="9"/>
      <c r="F22" s="8"/>
      <c r="G22" s="8"/>
      <c r="H22" s="8"/>
      <c r="I22" s="10"/>
      <c r="J22" s="156" t="s">
        <v>5</v>
      </c>
      <c r="K22" s="157"/>
      <c r="L22" s="157"/>
      <c r="M22" s="157"/>
      <c r="N22" s="158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4.25" customHeight="1" x14ac:dyDescent="0.25">
      <c r="A23" s="4"/>
      <c r="B23" s="5"/>
      <c r="C23" s="117">
        <f t="shared" ref="C23:G23" si="12">D23-365</f>
        <v>43772</v>
      </c>
      <c r="D23" s="116">
        <f t="shared" si="12"/>
        <v>44137</v>
      </c>
      <c r="E23" s="11">
        <f t="shared" si="12"/>
        <v>44502</v>
      </c>
      <c r="F23" s="11">
        <f t="shared" si="12"/>
        <v>44867</v>
      </c>
      <c r="G23" s="11">
        <f t="shared" si="12"/>
        <v>45232</v>
      </c>
      <c r="H23" s="11">
        <f>I23-365</f>
        <v>45597</v>
      </c>
      <c r="I23" s="11">
        <v>45962</v>
      </c>
      <c r="J23" s="12">
        <f>I23+365</f>
        <v>46327</v>
      </c>
      <c r="K23" s="12">
        <f t="shared" ref="K23:N23" si="13">J23+365</f>
        <v>46692</v>
      </c>
      <c r="L23" s="12">
        <f t="shared" si="13"/>
        <v>47057</v>
      </c>
      <c r="M23" s="12">
        <f t="shared" si="13"/>
        <v>47422</v>
      </c>
      <c r="N23" s="118">
        <f t="shared" si="13"/>
        <v>47787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4.25" customHeight="1" x14ac:dyDescent="0.25">
      <c r="A24" s="4"/>
      <c r="B24" s="24" t="s">
        <v>15</v>
      </c>
      <c r="C24" s="25"/>
      <c r="D24" s="25"/>
      <c r="E24" s="25"/>
      <c r="F24" s="25"/>
      <c r="G24" s="25"/>
      <c r="H24" s="25"/>
      <c r="I24" s="25"/>
      <c r="J24" s="26" t="e">
        <f t="shared" ref="J24:N24" si="14">J35*J11</f>
        <v>#DIV/0!</v>
      </c>
      <c r="K24" s="26" t="e">
        <f t="shared" si="14"/>
        <v>#DIV/0!</v>
      </c>
      <c r="L24" s="26" t="e">
        <f t="shared" si="14"/>
        <v>#DIV/0!</v>
      </c>
      <c r="M24" s="26" t="e">
        <f t="shared" si="14"/>
        <v>#DIV/0!</v>
      </c>
      <c r="N24" s="26" t="e">
        <f t="shared" si="14"/>
        <v>#DIV/0!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4.25" customHeight="1" x14ac:dyDescent="0.25">
      <c r="A25" s="4"/>
      <c r="B25" s="24" t="s">
        <v>16</v>
      </c>
      <c r="C25" s="25"/>
      <c r="D25" s="25"/>
      <c r="E25" s="25"/>
      <c r="F25" s="25"/>
      <c r="G25" s="25"/>
      <c r="H25" s="25"/>
      <c r="I25" s="25"/>
      <c r="J25" s="27" t="e">
        <f t="shared" ref="J25:N25" si="15">J36*J11</f>
        <v>#DIV/0!</v>
      </c>
      <c r="K25" s="27" t="e">
        <f t="shared" si="15"/>
        <v>#DIV/0!</v>
      </c>
      <c r="L25" s="27" t="e">
        <f t="shared" si="15"/>
        <v>#DIV/0!</v>
      </c>
      <c r="M25" s="27" t="e">
        <f t="shared" si="15"/>
        <v>#DIV/0!</v>
      </c>
      <c r="N25" s="27" t="e">
        <f t="shared" si="15"/>
        <v>#DIV/0!</v>
      </c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4.25" customHeight="1" x14ac:dyDescent="0.25">
      <c r="A26" s="4"/>
      <c r="B26" s="24" t="s">
        <v>17</v>
      </c>
      <c r="C26" s="25"/>
      <c r="D26" s="25"/>
      <c r="E26" s="25"/>
      <c r="F26" s="25"/>
      <c r="G26" s="25"/>
      <c r="H26" s="25"/>
      <c r="I26" s="25"/>
      <c r="J26" s="26" t="e">
        <f t="shared" ref="J26:N26" si="16">J37*J11</f>
        <v>#DIV/0!</v>
      </c>
      <c r="K26" s="26" t="e">
        <f t="shared" si="16"/>
        <v>#DIV/0!</v>
      </c>
      <c r="L26" s="26" t="e">
        <f t="shared" si="16"/>
        <v>#DIV/0!</v>
      </c>
      <c r="M26" s="26" t="e">
        <f t="shared" si="16"/>
        <v>#DIV/0!</v>
      </c>
      <c r="N26" s="26" t="e">
        <f t="shared" si="16"/>
        <v>#DIV/0!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4.25" customHeight="1" x14ac:dyDescent="0.25">
      <c r="A27" s="4"/>
      <c r="B27" s="5"/>
      <c r="C27" s="28"/>
      <c r="D27" s="28"/>
      <c r="E27" s="28"/>
      <c r="F27" s="28"/>
      <c r="G27" s="28"/>
      <c r="H27" s="28"/>
      <c r="I27" s="28"/>
      <c r="J27" s="29"/>
      <c r="K27" s="29"/>
      <c r="L27" s="29"/>
      <c r="M27" s="29"/>
      <c r="N27" s="29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4.25" customHeight="1" x14ac:dyDescent="0.25">
      <c r="A28" s="4"/>
      <c r="B28" s="24" t="s">
        <v>18</v>
      </c>
      <c r="C28" s="30"/>
      <c r="D28" s="30"/>
      <c r="E28" s="30"/>
      <c r="F28" s="30"/>
      <c r="G28" s="30"/>
      <c r="H28" s="30"/>
      <c r="I28" s="30"/>
      <c r="J28" s="31" t="e">
        <f t="shared" ref="J28:N28" si="17">J38*J11</f>
        <v>#DIV/0!</v>
      </c>
      <c r="K28" s="31" t="e">
        <f t="shared" si="17"/>
        <v>#DIV/0!</v>
      </c>
      <c r="L28" s="31" t="e">
        <f t="shared" si="17"/>
        <v>#DIV/0!</v>
      </c>
      <c r="M28" s="31" t="e">
        <f t="shared" si="17"/>
        <v>#DIV/0!</v>
      </c>
      <c r="N28" s="31" t="e">
        <f t="shared" si="17"/>
        <v>#DIV/0!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4.25" customHeight="1" x14ac:dyDescent="0.25">
      <c r="A29" s="4"/>
      <c r="B29" s="24" t="s">
        <v>19</v>
      </c>
      <c r="C29" s="25"/>
      <c r="D29" s="25"/>
      <c r="E29" s="25"/>
      <c r="F29" s="25"/>
      <c r="G29" s="25"/>
      <c r="H29" s="25"/>
      <c r="I29" s="25"/>
      <c r="J29" s="26" t="e">
        <f t="shared" ref="J29:N29" si="18">J39*J11</f>
        <v>#DIV/0!</v>
      </c>
      <c r="K29" s="26" t="e">
        <f t="shared" si="18"/>
        <v>#DIV/0!</v>
      </c>
      <c r="L29" s="26" t="e">
        <f t="shared" si="18"/>
        <v>#DIV/0!</v>
      </c>
      <c r="M29" s="26" t="e">
        <f t="shared" si="18"/>
        <v>#DIV/0!</v>
      </c>
      <c r="N29" s="26" t="e">
        <f t="shared" si="18"/>
        <v>#DIV/0!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4.25" customHeight="1" x14ac:dyDescent="0.25">
      <c r="A30" s="4"/>
      <c r="B30" s="5"/>
      <c r="C30" s="28"/>
      <c r="D30" s="28"/>
      <c r="E30" s="28"/>
      <c r="F30" s="28"/>
      <c r="G30" s="28"/>
      <c r="H30" s="28"/>
      <c r="I30" s="28"/>
      <c r="J30" s="32"/>
      <c r="K30" s="32"/>
      <c r="L30" s="32"/>
      <c r="M30" s="32"/>
      <c r="N30" s="32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4.25" customHeight="1" x14ac:dyDescent="0.25">
      <c r="A31" s="4"/>
      <c r="B31" s="5" t="s">
        <v>20</v>
      </c>
      <c r="C31" s="25"/>
      <c r="D31" s="25"/>
      <c r="E31" s="25"/>
      <c r="F31" s="25"/>
      <c r="G31" s="25"/>
      <c r="H31" s="25"/>
      <c r="I31" s="25"/>
      <c r="J31" s="33"/>
      <c r="K31" s="33"/>
      <c r="L31" s="33"/>
      <c r="M31" s="33"/>
      <c r="N31" s="33"/>
      <c r="O31" s="4"/>
      <c r="P31" s="4"/>
      <c r="Q31" s="4"/>
      <c r="R31" s="4"/>
      <c r="S31" s="4"/>
      <c r="T31" s="4"/>
      <c r="U31" s="4"/>
      <c r="V31" s="4"/>
      <c r="W31" s="4"/>
      <c r="X31" s="126"/>
      <c r="Y31" s="4"/>
      <c r="Z31" s="4"/>
      <c r="AA31" s="4"/>
      <c r="AB31" s="4"/>
    </row>
    <row r="32" spans="1:28" ht="14.25" customHeight="1" x14ac:dyDescent="0.25">
      <c r="A32" s="4"/>
      <c r="B32" s="5"/>
      <c r="C32" s="28"/>
      <c r="D32" s="28"/>
      <c r="E32" s="28"/>
      <c r="F32" s="28"/>
      <c r="G32" s="28"/>
      <c r="H32" s="28"/>
      <c r="I32" s="28"/>
      <c r="J32" s="32"/>
      <c r="K32" s="32"/>
      <c r="L32" s="32"/>
      <c r="M32" s="32"/>
      <c r="N32" s="32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4.25" customHeight="1" x14ac:dyDescent="0.25">
      <c r="A33" s="4"/>
      <c r="B33" s="5" t="s">
        <v>21</v>
      </c>
      <c r="C33" s="25"/>
      <c r="D33" s="25"/>
      <c r="E33" s="25"/>
      <c r="F33" s="25"/>
      <c r="G33" s="25"/>
      <c r="H33" s="25"/>
      <c r="I33" s="25"/>
      <c r="J33" s="26" t="e">
        <f t="shared" ref="J33:N33" si="19">J40*J11</f>
        <v>#DIV/0!</v>
      </c>
      <c r="K33" s="26" t="e">
        <f t="shared" si="19"/>
        <v>#DIV/0!</v>
      </c>
      <c r="L33" s="26" t="e">
        <f t="shared" si="19"/>
        <v>#DIV/0!</v>
      </c>
      <c r="M33" s="26" t="e">
        <f t="shared" si="19"/>
        <v>#DIV/0!</v>
      </c>
      <c r="N33" s="26" t="e">
        <f t="shared" si="19"/>
        <v>#DIV/0!</v>
      </c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4.25" customHeight="1" x14ac:dyDescent="0.25">
      <c r="A34" s="4"/>
      <c r="B34" s="5"/>
      <c r="C34" s="5"/>
      <c r="D34" s="6"/>
      <c r="E34" s="6"/>
      <c r="F34" s="6"/>
      <c r="G34" s="6"/>
      <c r="H34" s="7"/>
      <c r="I34" s="4"/>
      <c r="J34" s="4"/>
      <c r="K34" s="4"/>
      <c r="L34" s="4"/>
      <c r="M34" s="4"/>
      <c r="N34" s="4"/>
      <c r="O34" s="34" t="s">
        <v>22</v>
      </c>
      <c r="P34" s="34" t="s">
        <v>23</v>
      </c>
      <c r="Q34" s="34" t="s">
        <v>24</v>
      </c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4.25" customHeight="1" x14ac:dyDescent="0.25">
      <c r="A35" s="4"/>
      <c r="B35" s="35" t="s">
        <v>25</v>
      </c>
      <c r="C35" s="36" t="e">
        <f t="shared" ref="C35:I35" si="20">C24/C11</f>
        <v>#DIV/0!</v>
      </c>
      <c r="D35" s="36" t="e">
        <f t="shared" si="20"/>
        <v>#DIV/0!</v>
      </c>
      <c r="E35" s="36" t="e">
        <f t="shared" si="20"/>
        <v>#DIV/0!</v>
      </c>
      <c r="F35" s="36" t="e">
        <f t="shared" si="20"/>
        <v>#DIV/0!</v>
      </c>
      <c r="G35" s="36" t="e">
        <f t="shared" si="20"/>
        <v>#DIV/0!</v>
      </c>
      <c r="H35" s="36" t="e">
        <f t="shared" si="20"/>
        <v>#DIV/0!</v>
      </c>
      <c r="I35" s="36" t="e">
        <f t="shared" si="20"/>
        <v>#DIV/0!</v>
      </c>
      <c r="J35" s="37" t="e">
        <f t="shared" ref="J35:N35" si="21">I35*(1+$O$35)</f>
        <v>#DIV/0!</v>
      </c>
      <c r="K35" s="37" t="e">
        <f t="shared" si="21"/>
        <v>#DIV/0!</v>
      </c>
      <c r="L35" s="37" t="e">
        <f t="shared" si="21"/>
        <v>#DIV/0!</v>
      </c>
      <c r="M35" s="37" t="e">
        <f t="shared" si="21"/>
        <v>#DIV/0!</v>
      </c>
      <c r="N35" s="37" t="e">
        <f t="shared" si="21"/>
        <v>#DIV/0!</v>
      </c>
      <c r="O35" s="21"/>
      <c r="P35" s="13" t="e">
        <f t="shared" ref="P35:P36" si="22">AVERAGE(C35:I35)</f>
        <v>#DIV/0!</v>
      </c>
      <c r="Q35" s="13" t="e">
        <f>GEOMEAN(C35:I35)</f>
        <v>#DIV/0!</v>
      </c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4.25" customHeight="1" x14ac:dyDescent="0.25">
      <c r="A36" s="4"/>
      <c r="B36" s="35" t="s">
        <v>26</v>
      </c>
      <c r="C36" s="36" t="e">
        <f t="shared" ref="C36:I36" si="23">C25/C11</f>
        <v>#DIV/0!</v>
      </c>
      <c r="D36" s="36" t="e">
        <f>D25/D11</f>
        <v>#DIV/0!</v>
      </c>
      <c r="E36" s="36" t="e">
        <f t="shared" si="23"/>
        <v>#DIV/0!</v>
      </c>
      <c r="F36" s="36" t="e">
        <f t="shared" si="23"/>
        <v>#DIV/0!</v>
      </c>
      <c r="G36" s="36" t="e">
        <f t="shared" si="23"/>
        <v>#DIV/0!</v>
      </c>
      <c r="H36" s="36" t="e">
        <f t="shared" si="23"/>
        <v>#DIV/0!</v>
      </c>
      <c r="I36" s="36" t="e">
        <f t="shared" si="23"/>
        <v>#DIV/0!</v>
      </c>
      <c r="J36" s="37" t="e">
        <f t="shared" ref="J36:N36" si="24">$P$36</f>
        <v>#DIV/0!</v>
      </c>
      <c r="K36" s="37" t="e">
        <f t="shared" si="24"/>
        <v>#DIV/0!</v>
      </c>
      <c r="L36" s="37" t="e">
        <f t="shared" si="24"/>
        <v>#DIV/0!</v>
      </c>
      <c r="M36" s="37" t="e">
        <f t="shared" si="24"/>
        <v>#DIV/0!</v>
      </c>
      <c r="N36" s="37" t="e">
        <f t="shared" si="24"/>
        <v>#DIV/0!</v>
      </c>
      <c r="O36" s="13"/>
      <c r="P36" s="21" t="e">
        <f t="shared" si="22"/>
        <v>#DIV/0!</v>
      </c>
      <c r="Q36" s="13" t="e">
        <f>GEOMEAN(C36:I36)</f>
        <v>#DIV/0!</v>
      </c>
      <c r="R36" s="139" t="e">
        <f>HARMEAN(C36:I36)</f>
        <v>#DIV/0!</v>
      </c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4.25" customHeight="1" x14ac:dyDescent="0.25">
      <c r="A37" s="4"/>
      <c r="B37" s="35" t="s">
        <v>27</v>
      </c>
      <c r="C37" s="36" t="e">
        <f t="shared" ref="C37:I37" si="25">C26/C11</f>
        <v>#DIV/0!</v>
      </c>
      <c r="D37" s="36" t="e">
        <f t="shared" si="25"/>
        <v>#DIV/0!</v>
      </c>
      <c r="E37" s="36" t="e">
        <f t="shared" si="25"/>
        <v>#DIV/0!</v>
      </c>
      <c r="F37" s="36" t="e">
        <f t="shared" si="25"/>
        <v>#DIV/0!</v>
      </c>
      <c r="G37" s="36" t="e">
        <f t="shared" si="25"/>
        <v>#DIV/0!</v>
      </c>
      <c r="H37" s="36" t="e">
        <f t="shared" si="25"/>
        <v>#DIV/0!</v>
      </c>
      <c r="I37" s="36" t="e">
        <f t="shared" si="25"/>
        <v>#DIV/0!</v>
      </c>
      <c r="J37" s="38" t="e">
        <f>H37*(1+$O$37)</f>
        <v>#DIV/0!</v>
      </c>
      <c r="K37" s="38" t="e">
        <f t="shared" ref="K37:N37" si="26">J37*(1+$O$37)</f>
        <v>#DIV/0!</v>
      </c>
      <c r="L37" s="38" t="e">
        <f t="shared" si="26"/>
        <v>#DIV/0!</v>
      </c>
      <c r="M37" s="38" t="e">
        <f t="shared" si="26"/>
        <v>#DIV/0!</v>
      </c>
      <c r="N37" s="38" t="e">
        <f t="shared" si="26"/>
        <v>#DIV/0!</v>
      </c>
      <c r="O37" s="21"/>
      <c r="P37" s="13" t="e">
        <f>AVERAGE(C37:H37)</f>
        <v>#DIV/0!</v>
      </c>
      <c r="Q37" s="13" t="e">
        <f>GEOMEAN(C37:H37)</f>
        <v>#DIV/0!</v>
      </c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4.25" customHeight="1" x14ac:dyDescent="0.25">
      <c r="A38" s="4"/>
      <c r="B38" s="35" t="s">
        <v>28</v>
      </c>
      <c r="C38" s="36" t="e">
        <f t="shared" ref="C38:I38" si="27">C28/C11</f>
        <v>#DIV/0!</v>
      </c>
      <c r="D38" s="36" t="e">
        <f t="shared" si="27"/>
        <v>#DIV/0!</v>
      </c>
      <c r="E38" s="36" t="e">
        <f t="shared" si="27"/>
        <v>#DIV/0!</v>
      </c>
      <c r="F38" s="36" t="e">
        <f t="shared" si="27"/>
        <v>#DIV/0!</v>
      </c>
      <c r="G38" s="36" t="e">
        <f t="shared" si="27"/>
        <v>#DIV/0!</v>
      </c>
      <c r="H38" s="36" t="e">
        <f t="shared" si="27"/>
        <v>#DIV/0!</v>
      </c>
      <c r="I38" s="36" t="e">
        <f t="shared" si="27"/>
        <v>#DIV/0!</v>
      </c>
      <c r="J38" s="37" t="e">
        <f t="shared" ref="J38:N38" si="28">$P$38</f>
        <v>#DIV/0!</v>
      </c>
      <c r="K38" s="37" t="e">
        <f t="shared" si="28"/>
        <v>#DIV/0!</v>
      </c>
      <c r="L38" s="37" t="e">
        <f t="shared" si="28"/>
        <v>#DIV/0!</v>
      </c>
      <c r="M38" s="37" t="e">
        <f t="shared" si="28"/>
        <v>#DIV/0!</v>
      </c>
      <c r="N38" s="37" t="e">
        <f t="shared" si="28"/>
        <v>#DIV/0!</v>
      </c>
      <c r="O38" s="13"/>
      <c r="P38" s="21" t="e">
        <f t="shared" ref="P38:P40" si="29">AVERAGE(C38:I38)</f>
        <v>#DIV/0!</v>
      </c>
      <c r="Q38" s="13" t="e">
        <f t="shared" ref="Q38:Q40" si="30">GEOMEAN(C38:I38)</f>
        <v>#DIV/0!</v>
      </c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4.25" customHeight="1" x14ac:dyDescent="0.25">
      <c r="A39" s="4"/>
      <c r="B39" s="35" t="s">
        <v>29</v>
      </c>
      <c r="C39" s="36" t="e">
        <f t="shared" ref="C39:I39" si="31">C29/C11</f>
        <v>#DIV/0!</v>
      </c>
      <c r="D39" s="36" t="e">
        <f t="shared" si="31"/>
        <v>#DIV/0!</v>
      </c>
      <c r="E39" s="36" t="e">
        <f t="shared" si="31"/>
        <v>#DIV/0!</v>
      </c>
      <c r="F39" s="36" t="e">
        <f t="shared" si="31"/>
        <v>#DIV/0!</v>
      </c>
      <c r="G39" s="36" t="e">
        <f t="shared" si="31"/>
        <v>#DIV/0!</v>
      </c>
      <c r="H39" s="36" t="e">
        <f t="shared" si="31"/>
        <v>#DIV/0!</v>
      </c>
      <c r="I39" s="36" t="e">
        <f t="shared" si="31"/>
        <v>#DIV/0!</v>
      </c>
      <c r="J39" s="37" t="e">
        <f t="shared" ref="J39:N39" si="32">$P$39</f>
        <v>#DIV/0!</v>
      </c>
      <c r="K39" s="37" t="e">
        <f t="shared" si="32"/>
        <v>#DIV/0!</v>
      </c>
      <c r="L39" s="37" t="e">
        <f t="shared" si="32"/>
        <v>#DIV/0!</v>
      </c>
      <c r="M39" s="37" t="e">
        <f t="shared" si="32"/>
        <v>#DIV/0!</v>
      </c>
      <c r="N39" s="37" t="e">
        <f t="shared" si="32"/>
        <v>#DIV/0!</v>
      </c>
      <c r="O39" s="13"/>
      <c r="P39" s="21" t="e">
        <f t="shared" si="29"/>
        <v>#DIV/0!</v>
      </c>
      <c r="Q39" s="13" t="e">
        <f t="shared" si="30"/>
        <v>#DIV/0!</v>
      </c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4.25" customHeight="1" x14ac:dyDescent="0.25">
      <c r="A40" s="4"/>
      <c r="B40" s="18" t="s">
        <v>30</v>
      </c>
      <c r="C40" s="39" t="e">
        <f t="shared" ref="C40:I40" si="33">C33/C11</f>
        <v>#DIV/0!</v>
      </c>
      <c r="D40" s="39" t="e">
        <f t="shared" si="33"/>
        <v>#DIV/0!</v>
      </c>
      <c r="E40" s="39" t="e">
        <f t="shared" si="33"/>
        <v>#DIV/0!</v>
      </c>
      <c r="F40" s="39" t="e">
        <f t="shared" si="33"/>
        <v>#DIV/0!</v>
      </c>
      <c r="G40" s="39" t="e">
        <f t="shared" si="33"/>
        <v>#DIV/0!</v>
      </c>
      <c r="H40" s="39" t="e">
        <f t="shared" si="33"/>
        <v>#DIV/0!</v>
      </c>
      <c r="I40" s="39" t="e">
        <f t="shared" si="33"/>
        <v>#DIV/0!</v>
      </c>
      <c r="J40" s="40" t="e">
        <f t="shared" ref="J40:N40" si="34">$P$40</f>
        <v>#DIV/0!</v>
      </c>
      <c r="K40" s="40" t="e">
        <f t="shared" si="34"/>
        <v>#DIV/0!</v>
      </c>
      <c r="L40" s="40" t="e">
        <f t="shared" si="34"/>
        <v>#DIV/0!</v>
      </c>
      <c r="M40" s="40" t="e">
        <f t="shared" si="34"/>
        <v>#DIV/0!</v>
      </c>
      <c r="N40" s="40" t="e">
        <f t="shared" si="34"/>
        <v>#DIV/0!</v>
      </c>
      <c r="O40" s="13"/>
      <c r="P40" s="41" t="e">
        <f t="shared" si="29"/>
        <v>#DIV/0!</v>
      </c>
      <c r="Q40" s="13" t="e">
        <f t="shared" si="30"/>
        <v>#DIV/0!</v>
      </c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4.25" customHeight="1" x14ac:dyDescent="0.25">
      <c r="A41" s="4"/>
      <c r="B41" s="160" t="s">
        <v>31</v>
      </c>
      <c r="C41" s="159"/>
      <c r="D41" s="39" t="e">
        <f t="shared" ref="D41:H43" si="35">((D24/C24)-1)</f>
        <v>#DIV/0!</v>
      </c>
      <c r="E41" s="39" t="e">
        <f t="shared" ref="E41:E42" si="36">((E24/D24)-1)</f>
        <v>#DIV/0!</v>
      </c>
      <c r="F41" s="39" t="e">
        <f t="shared" ref="F41:F42" si="37">((F24/E24)-1)</f>
        <v>#DIV/0!</v>
      </c>
      <c r="G41" s="39" t="e">
        <f t="shared" ref="G41:G42" si="38">((G24/F24)-1)</f>
        <v>#DIV/0!</v>
      </c>
      <c r="H41" s="39" t="e">
        <f t="shared" ref="H41:H42" si="39">((H24/G24)-1)</f>
        <v>#DIV/0!</v>
      </c>
      <c r="I41" s="39" t="e">
        <f t="shared" ref="I41:I42" si="40">((I24/H24)-1)</f>
        <v>#DIV/0!</v>
      </c>
      <c r="J41" s="43"/>
      <c r="K41" s="43"/>
      <c r="L41" s="43"/>
      <c r="M41" s="43"/>
      <c r="N41" s="43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4.25" customHeight="1" x14ac:dyDescent="0.25">
      <c r="A42" s="4"/>
      <c r="B42" s="160" t="s">
        <v>32</v>
      </c>
      <c r="C42" s="159"/>
      <c r="D42" s="39" t="e">
        <f t="shared" si="35"/>
        <v>#DIV/0!</v>
      </c>
      <c r="E42" s="39" t="e">
        <f t="shared" si="36"/>
        <v>#DIV/0!</v>
      </c>
      <c r="F42" s="39" t="e">
        <f t="shared" si="37"/>
        <v>#DIV/0!</v>
      </c>
      <c r="G42" s="39" t="e">
        <f t="shared" si="38"/>
        <v>#DIV/0!</v>
      </c>
      <c r="H42" s="39" t="e">
        <f t="shared" si="39"/>
        <v>#DIV/0!</v>
      </c>
      <c r="I42" s="39" t="e">
        <f t="shared" si="40"/>
        <v>#DIV/0!</v>
      </c>
      <c r="J42" s="42"/>
      <c r="K42" s="43"/>
      <c r="L42" s="43"/>
      <c r="M42" s="43"/>
      <c r="N42" s="43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4.25" customHeight="1" x14ac:dyDescent="0.25">
      <c r="A43" s="4"/>
      <c r="B43" s="160" t="s">
        <v>34</v>
      </c>
      <c r="C43" s="159"/>
      <c r="D43" s="39" t="e">
        <f t="shared" si="35"/>
        <v>#DIV/0!</v>
      </c>
      <c r="E43" s="39" t="e">
        <f t="shared" si="35"/>
        <v>#DIV/0!</v>
      </c>
      <c r="F43" s="39" t="e">
        <f t="shared" si="35"/>
        <v>#DIV/0!</v>
      </c>
      <c r="G43" s="39" t="e">
        <f t="shared" si="35"/>
        <v>#DIV/0!</v>
      </c>
      <c r="H43" s="39" t="e">
        <f t="shared" si="35"/>
        <v>#DIV/0!</v>
      </c>
      <c r="I43" s="44" t="s">
        <v>33</v>
      </c>
      <c r="J43" s="43"/>
      <c r="K43" s="43"/>
      <c r="L43" s="43"/>
      <c r="M43" s="43"/>
      <c r="N43" s="43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4.25" customHeight="1" x14ac:dyDescent="0.25">
      <c r="A44" s="4"/>
      <c r="B44" s="160" t="s">
        <v>35</v>
      </c>
      <c r="C44" s="159"/>
      <c r="D44" s="39" t="e">
        <f t="shared" ref="D44" si="41">((D28/C28)-1)</f>
        <v>#DIV/0!</v>
      </c>
      <c r="E44" s="39" t="e">
        <f t="shared" ref="E44" si="42">((E28/D28)-1)</f>
        <v>#DIV/0!</v>
      </c>
      <c r="F44" s="39" t="e">
        <f t="shared" ref="F44" si="43">((F28/E28)-1)</f>
        <v>#DIV/0!</v>
      </c>
      <c r="G44" s="39" t="e">
        <f t="shared" ref="G44" si="44">((G28/F28)-1)</f>
        <v>#DIV/0!</v>
      </c>
      <c r="H44" s="39" t="e">
        <f t="shared" ref="H44" si="45">((H28/G28)-1)</f>
        <v>#DIV/0!</v>
      </c>
      <c r="I44" s="39" t="e">
        <f t="shared" ref="I44" si="46">((I28/H28)-1)</f>
        <v>#DIV/0!</v>
      </c>
      <c r="J44" s="43"/>
      <c r="K44" s="43"/>
      <c r="L44" s="43"/>
      <c r="M44" s="43"/>
      <c r="N44" s="43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4.25" customHeight="1" x14ac:dyDescent="0.25">
      <c r="A45" s="4"/>
      <c r="B45" s="160" t="s">
        <v>36</v>
      </c>
      <c r="C45" s="159"/>
      <c r="D45" s="39" t="e">
        <f t="shared" ref="D45" si="47">((D29/C29)-1)</f>
        <v>#DIV/0!</v>
      </c>
      <c r="E45" s="39" t="e">
        <f t="shared" ref="E45" si="48">((E29/D29)-1)</f>
        <v>#DIV/0!</v>
      </c>
      <c r="F45" s="39" t="e">
        <f t="shared" ref="F45" si="49">((F29/E29)-1)</f>
        <v>#DIV/0!</v>
      </c>
      <c r="G45" s="39" t="e">
        <f t="shared" ref="G45" si="50">((G29/F29)-1)</f>
        <v>#DIV/0!</v>
      </c>
      <c r="H45" s="39" t="e">
        <f t="shared" ref="H45" si="51">((H29/G29)-1)</f>
        <v>#DIV/0!</v>
      </c>
      <c r="I45" s="39" t="e">
        <f t="shared" ref="I45" si="52">((I29/H29)-1)</f>
        <v>#DIV/0!</v>
      </c>
      <c r="J45" s="43"/>
      <c r="K45" s="43"/>
      <c r="L45" s="43"/>
      <c r="M45" s="43"/>
      <c r="N45" s="43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4.25" customHeight="1" x14ac:dyDescent="0.25">
      <c r="A46" s="4"/>
      <c r="B46" s="160" t="s">
        <v>37</v>
      </c>
      <c r="C46" s="159"/>
      <c r="D46" s="39" t="e">
        <f t="shared" ref="D46:I46" si="53">((D33/C33)-1)</f>
        <v>#DIV/0!</v>
      </c>
      <c r="E46" s="39" t="e">
        <f t="shared" si="53"/>
        <v>#DIV/0!</v>
      </c>
      <c r="F46" s="39" t="e">
        <f t="shared" si="53"/>
        <v>#DIV/0!</v>
      </c>
      <c r="G46" s="39" t="e">
        <f t="shared" si="53"/>
        <v>#DIV/0!</v>
      </c>
      <c r="H46" s="39" t="e">
        <f t="shared" si="53"/>
        <v>#DIV/0!</v>
      </c>
      <c r="I46" s="39" t="e">
        <f t="shared" si="53"/>
        <v>#DIV/0!</v>
      </c>
      <c r="J46" s="43"/>
      <c r="K46" s="43"/>
      <c r="L46" s="43"/>
      <c r="M46" s="43"/>
      <c r="N46" s="43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8" customHeight="1" x14ac:dyDescent="0.3">
      <c r="A47" s="34"/>
      <c r="B47" s="155" t="s">
        <v>38</v>
      </c>
      <c r="C47" s="155"/>
      <c r="D47" s="155"/>
      <c r="E47" s="155"/>
      <c r="F47" s="155"/>
      <c r="G47" s="155"/>
      <c r="H47" s="155"/>
      <c r="I47" s="155"/>
      <c r="J47" s="155"/>
      <c r="K47" s="155"/>
      <c r="L47" s="155"/>
      <c r="M47" s="155"/>
      <c r="N47" s="155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</row>
    <row r="48" spans="1:28" ht="14.25" customHeight="1" x14ac:dyDescent="0.25">
      <c r="A48" s="34"/>
      <c r="B48" s="45" t="s">
        <v>39</v>
      </c>
      <c r="C48" s="45"/>
      <c r="D48" s="8"/>
      <c r="E48" s="46"/>
      <c r="F48" s="8"/>
      <c r="G48" s="8"/>
      <c r="H48" s="8"/>
      <c r="I48" s="47"/>
      <c r="J48" s="156" t="s">
        <v>5</v>
      </c>
      <c r="K48" s="157"/>
      <c r="L48" s="157"/>
      <c r="M48" s="157"/>
      <c r="N48" s="158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</row>
    <row r="49" spans="1:28" ht="14.25" customHeight="1" x14ac:dyDescent="0.25">
      <c r="A49" s="34"/>
      <c r="B49" s="48"/>
      <c r="C49" s="117">
        <f t="shared" ref="C49:G49" si="54">D49-365</f>
        <v>43772</v>
      </c>
      <c r="D49" s="116">
        <f t="shared" si="54"/>
        <v>44137</v>
      </c>
      <c r="E49" s="11">
        <f t="shared" si="54"/>
        <v>44502</v>
      </c>
      <c r="F49" s="11">
        <f t="shared" si="54"/>
        <v>44867</v>
      </c>
      <c r="G49" s="11">
        <f t="shared" si="54"/>
        <v>45232</v>
      </c>
      <c r="H49" s="11">
        <f>I49-365</f>
        <v>45597</v>
      </c>
      <c r="I49" s="11">
        <v>45962</v>
      </c>
      <c r="J49" s="12">
        <f>I49+365</f>
        <v>46327</v>
      </c>
      <c r="K49" s="12">
        <f t="shared" ref="K49:N49" si="55">J49+365</f>
        <v>46692</v>
      </c>
      <c r="L49" s="12">
        <f t="shared" si="55"/>
        <v>47057</v>
      </c>
      <c r="M49" s="12">
        <f t="shared" si="55"/>
        <v>47422</v>
      </c>
      <c r="N49" s="118">
        <f t="shared" si="55"/>
        <v>47787</v>
      </c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</row>
    <row r="50" spans="1:28" ht="14.25" customHeight="1" x14ac:dyDescent="0.25">
      <c r="A50" s="34"/>
      <c r="B50" s="49" t="s">
        <v>40</v>
      </c>
      <c r="C50" s="49"/>
      <c r="D50" s="50"/>
      <c r="E50" s="51"/>
      <c r="F50" s="51"/>
      <c r="G50" s="51"/>
      <c r="H50" s="51"/>
      <c r="I50" s="51"/>
      <c r="J50" s="50">
        <v>1</v>
      </c>
      <c r="K50" s="50">
        <f t="shared" ref="K50:N50" si="56">J50+1</f>
        <v>2</v>
      </c>
      <c r="L50" s="50">
        <f t="shared" si="56"/>
        <v>3</v>
      </c>
      <c r="M50" s="50">
        <f t="shared" si="56"/>
        <v>4</v>
      </c>
      <c r="N50" s="50">
        <f t="shared" si="56"/>
        <v>5</v>
      </c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</row>
    <row r="51" spans="1:28" ht="14.25" customHeight="1" x14ac:dyDescent="0.25">
      <c r="A51" s="34"/>
      <c r="B51" s="34" t="s">
        <v>41</v>
      </c>
      <c r="C51" s="52">
        <f t="shared" ref="C51:N51" si="57">C11</f>
        <v>0</v>
      </c>
      <c r="D51" s="53">
        <f t="shared" si="57"/>
        <v>0</v>
      </c>
      <c r="E51" s="53">
        <f t="shared" si="57"/>
        <v>0</v>
      </c>
      <c r="F51" s="53">
        <f t="shared" si="57"/>
        <v>0</v>
      </c>
      <c r="G51" s="53">
        <f t="shared" si="57"/>
        <v>0</v>
      </c>
      <c r="H51" s="53">
        <f t="shared" si="57"/>
        <v>0</v>
      </c>
      <c r="I51" s="54">
        <f t="shared" si="57"/>
        <v>0</v>
      </c>
      <c r="J51" s="54" t="e">
        <f t="shared" si="57"/>
        <v>#DIV/0!</v>
      </c>
      <c r="K51" s="54" t="e">
        <f t="shared" si="57"/>
        <v>#DIV/0!</v>
      </c>
      <c r="L51" s="54" t="e">
        <f t="shared" si="57"/>
        <v>#DIV/0!</v>
      </c>
      <c r="M51" s="54" t="e">
        <f t="shared" si="57"/>
        <v>#DIV/0!</v>
      </c>
      <c r="N51" s="54" t="e">
        <f t="shared" si="57"/>
        <v>#DIV/0!</v>
      </c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</row>
    <row r="52" spans="1:28" ht="14.25" customHeight="1" x14ac:dyDescent="0.25">
      <c r="A52" s="34"/>
      <c r="B52" s="34" t="s">
        <v>10</v>
      </c>
      <c r="C52" s="52">
        <f t="shared" ref="C52:N52" si="58">C15</f>
        <v>0</v>
      </c>
      <c r="D52" s="54">
        <f t="shared" si="58"/>
        <v>0</v>
      </c>
      <c r="E52" s="54">
        <f t="shared" si="58"/>
        <v>0</v>
      </c>
      <c r="F52" s="54">
        <f t="shared" si="58"/>
        <v>0</v>
      </c>
      <c r="G52" s="54">
        <f t="shared" si="58"/>
        <v>0</v>
      </c>
      <c r="H52" s="54">
        <f t="shared" si="58"/>
        <v>0</v>
      </c>
      <c r="I52" s="54">
        <f t="shared" si="58"/>
        <v>0</v>
      </c>
      <c r="J52" s="54" t="e">
        <f t="shared" si="58"/>
        <v>#DIV/0!</v>
      </c>
      <c r="K52" s="54" t="e">
        <f t="shared" si="58"/>
        <v>#DIV/0!</v>
      </c>
      <c r="L52" s="54" t="e">
        <f t="shared" si="58"/>
        <v>#DIV/0!</v>
      </c>
      <c r="M52" s="54" t="e">
        <f t="shared" si="58"/>
        <v>#DIV/0!</v>
      </c>
      <c r="N52" s="54" t="e">
        <f t="shared" si="58"/>
        <v>#DIV/0!</v>
      </c>
      <c r="O52" s="34"/>
      <c r="P52" s="34" t="s">
        <v>23</v>
      </c>
      <c r="Q52" s="34" t="s">
        <v>24</v>
      </c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</row>
    <row r="53" spans="1:28" ht="14.25" customHeight="1" x14ac:dyDescent="0.25">
      <c r="A53" s="34"/>
      <c r="B53" s="127" t="s">
        <v>97</v>
      </c>
      <c r="C53" s="55"/>
      <c r="D53" s="55"/>
      <c r="E53" s="55"/>
      <c r="F53" s="55"/>
      <c r="G53" s="55"/>
      <c r="H53" s="55"/>
      <c r="I53" s="55"/>
      <c r="J53" s="56" t="e">
        <f>$Q$53</f>
        <v>#NUM!</v>
      </c>
      <c r="K53" s="56" t="e">
        <f t="shared" ref="K53:N53" si="59">$Q$53</f>
        <v>#NUM!</v>
      </c>
      <c r="L53" s="56" t="e">
        <f t="shared" si="59"/>
        <v>#NUM!</v>
      </c>
      <c r="M53" s="56" t="e">
        <f t="shared" si="59"/>
        <v>#NUM!</v>
      </c>
      <c r="N53" s="56" t="e">
        <f t="shared" si="59"/>
        <v>#NUM!</v>
      </c>
      <c r="O53" s="34"/>
      <c r="P53" s="13" t="e">
        <f t="shared" ref="P53" si="60">AVERAGE(C53:I53)</f>
        <v>#DIV/0!</v>
      </c>
      <c r="Q53" s="13" t="e">
        <f>GEOMEAN(C53:I53)</f>
        <v>#NUM!</v>
      </c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</row>
    <row r="54" spans="1:28" ht="14.25" customHeight="1" x14ac:dyDescent="0.25">
      <c r="A54" s="34"/>
      <c r="B54" s="48" t="s">
        <v>42</v>
      </c>
      <c r="C54" s="57">
        <f t="shared" ref="C54:N54" si="61">C52*(1-C53)</f>
        <v>0</v>
      </c>
      <c r="D54" s="57">
        <f t="shared" si="61"/>
        <v>0</v>
      </c>
      <c r="E54" s="57">
        <f t="shared" si="61"/>
        <v>0</v>
      </c>
      <c r="F54" s="57">
        <f t="shared" si="61"/>
        <v>0</v>
      </c>
      <c r="G54" s="57">
        <f t="shared" si="61"/>
        <v>0</v>
      </c>
      <c r="H54" s="57">
        <f t="shared" si="61"/>
        <v>0</v>
      </c>
      <c r="I54" s="57">
        <f t="shared" si="61"/>
        <v>0</v>
      </c>
      <c r="J54" s="58" t="e">
        <f t="shared" si="61"/>
        <v>#DIV/0!</v>
      </c>
      <c r="K54" s="58" t="e">
        <f t="shared" si="61"/>
        <v>#DIV/0!</v>
      </c>
      <c r="L54" s="58" t="e">
        <f t="shared" si="61"/>
        <v>#DIV/0!</v>
      </c>
      <c r="M54" s="58" t="e">
        <f t="shared" si="61"/>
        <v>#DIV/0!</v>
      </c>
      <c r="N54" s="58" t="e">
        <f t="shared" si="61"/>
        <v>#DIV/0!</v>
      </c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</row>
    <row r="55" spans="1:28" ht="14.25" customHeight="1" x14ac:dyDescent="0.25">
      <c r="A55" s="34"/>
      <c r="B55" s="59" t="s">
        <v>43</v>
      </c>
      <c r="C55" s="60">
        <f t="shared" ref="C55:N55" si="62">C18</f>
        <v>0</v>
      </c>
      <c r="D55" s="60">
        <f t="shared" si="62"/>
        <v>0</v>
      </c>
      <c r="E55" s="60">
        <f t="shared" si="62"/>
        <v>0</v>
      </c>
      <c r="F55" s="60">
        <f t="shared" si="62"/>
        <v>0</v>
      </c>
      <c r="G55" s="60">
        <f t="shared" si="62"/>
        <v>0</v>
      </c>
      <c r="H55" s="60">
        <f t="shared" si="62"/>
        <v>0</v>
      </c>
      <c r="I55" s="60">
        <f t="shared" si="62"/>
        <v>0</v>
      </c>
      <c r="J55" s="60" t="e">
        <f t="shared" si="62"/>
        <v>#DIV/0!</v>
      </c>
      <c r="K55" s="60" t="e">
        <f t="shared" si="62"/>
        <v>#DIV/0!</v>
      </c>
      <c r="L55" s="60" t="e">
        <f t="shared" si="62"/>
        <v>#DIV/0!</v>
      </c>
      <c r="M55" s="60" t="e">
        <f t="shared" si="62"/>
        <v>#DIV/0!</v>
      </c>
      <c r="N55" s="60" t="e">
        <f t="shared" si="62"/>
        <v>#DIV/0!</v>
      </c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</row>
    <row r="56" spans="1:28" ht="14.25" customHeight="1" x14ac:dyDescent="0.25">
      <c r="A56" s="34"/>
      <c r="B56" s="24" t="s">
        <v>44</v>
      </c>
      <c r="C56" s="24"/>
      <c r="D56" s="61">
        <f t="shared" ref="D56:N56" si="63">(D24-C24)*-1</f>
        <v>0</v>
      </c>
      <c r="E56" s="61">
        <f t="shared" si="63"/>
        <v>0</v>
      </c>
      <c r="F56" s="61">
        <f t="shared" si="63"/>
        <v>0</v>
      </c>
      <c r="G56" s="61">
        <f t="shared" si="63"/>
        <v>0</v>
      </c>
      <c r="H56" s="61">
        <f t="shared" si="63"/>
        <v>0</v>
      </c>
      <c r="I56" s="61">
        <f t="shared" si="63"/>
        <v>0</v>
      </c>
      <c r="J56" s="61" t="e">
        <f t="shared" si="63"/>
        <v>#DIV/0!</v>
      </c>
      <c r="K56" s="61" t="e">
        <f t="shared" si="63"/>
        <v>#DIV/0!</v>
      </c>
      <c r="L56" s="61" t="e">
        <f t="shared" si="63"/>
        <v>#DIV/0!</v>
      </c>
      <c r="M56" s="61" t="e">
        <f t="shared" si="63"/>
        <v>#DIV/0!</v>
      </c>
      <c r="N56" s="61" t="e">
        <f t="shared" si="63"/>
        <v>#DIV/0!</v>
      </c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</row>
    <row r="57" spans="1:28" ht="14.25" customHeight="1" x14ac:dyDescent="0.25">
      <c r="A57" s="34"/>
      <c r="B57" s="24" t="s">
        <v>45</v>
      </c>
      <c r="C57" s="24"/>
      <c r="D57" s="61">
        <f t="shared" ref="D57:N57" si="64">(D25-C25)*-1</f>
        <v>0</v>
      </c>
      <c r="E57" s="61">
        <f t="shared" si="64"/>
        <v>0</v>
      </c>
      <c r="F57" s="61">
        <f t="shared" si="64"/>
        <v>0</v>
      </c>
      <c r="G57" s="61">
        <f t="shared" si="64"/>
        <v>0</v>
      </c>
      <c r="H57" s="61">
        <f t="shared" si="64"/>
        <v>0</v>
      </c>
      <c r="I57" s="61">
        <f t="shared" si="64"/>
        <v>0</v>
      </c>
      <c r="J57" s="61" t="e">
        <f t="shared" si="64"/>
        <v>#DIV/0!</v>
      </c>
      <c r="K57" s="61" t="e">
        <f t="shared" si="64"/>
        <v>#DIV/0!</v>
      </c>
      <c r="L57" s="61" t="e">
        <f t="shared" si="64"/>
        <v>#DIV/0!</v>
      </c>
      <c r="M57" s="61" t="e">
        <f t="shared" si="64"/>
        <v>#DIV/0!</v>
      </c>
      <c r="N57" s="61" t="e">
        <f t="shared" si="64"/>
        <v>#DIV/0!</v>
      </c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</row>
    <row r="58" spans="1:28" ht="14.25" customHeight="1" x14ac:dyDescent="0.25">
      <c r="A58" s="34"/>
      <c r="B58" s="24" t="s">
        <v>46</v>
      </c>
      <c r="C58" s="24"/>
      <c r="D58" s="61">
        <f t="shared" ref="D58:N58" si="65">(D26-C26)*-1</f>
        <v>0</v>
      </c>
      <c r="E58" s="61">
        <f t="shared" si="65"/>
        <v>0</v>
      </c>
      <c r="F58" s="61">
        <f t="shared" si="65"/>
        <v>0</v>
      </c>
      <c r="G58" s="61">
        <f t="shared" si="65"/>
        <v>0</v>
      </c>
      <c r="H58" s="61">
        <f t="shared" si="65"/>
        <v>0</v>
      </c>
      <c r="I58" s="61">
        <f t="shared" si="65"/>
        <v>0</v>
      </c>
      <c r="J58" s="61" t="e">
        <f t="shared" si="65"/>
        <v>#DIV/0!</v>
      </c>
      <c r="K58" s="61" t="e">
        <f t="shared" si="65"/>
        <v>#DIV/0!</v>
      </c>
      <c r="L58" s="61" t="e">
        <f t="shared" si="65"/>
        <v>#DIV/0!</v>
      </c>
      <c r="M58" s="61" t="e">
        <f t="shared" si="65"/>
        <v>#DIV/0!</v>
      </c>
      <c r="N58" s="61" t="e">
        <f t="shared" si="65"/>
        <v>#DIV/0!</v>
      </c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</row>
    <row r="59" spans="1:28" ht="14.25" customHeight="1" x14ac:dyDescent="0.25">
      <c r="A59" s="34"/>
      <c r="B59" s="24" t="s">
        <v>47</v>
      </c>
      <c r="C59" s="24"/>
      <c r="D59" s="61">
        <f t="shared" ref="D59:N59" si="66">(D28-C28)</f>
        <v>0</v>
      </c>
      <c r="E59" s="61">
        <f t="shared" si="66"/>
        <v>0</v>
      </c>
      <c r="F59" s="61">
        <f t="shared" si="66"/>
        <v>0</v>
      </c>
      <c r="G59" s="61">
        <f t="shared" si="66"/>
        <v>0</v>
      </c>
      <c r="H59" s="61">
        <f t="shared" si="66"/>
        <v>0</v>
      </c>
      <c r="I59" s="61">
        <f t="shared" si="66"/>
        <v>0</v>
      </c>
      <c r="J59" s="61" t="e">
        <f t="shared" si="66"/>
        <v>#DIV/0!</v>
      </c>
      <c r="K59" s="61" t="e">
        <f t="shared" si="66"/>
        <v>#DIV/0!</v>
      </c>
      <c r="L59" s="61" t="e">
        <f t="shared" si="66"/>
        <v>#DIV/0!</v>
      </c>
      <c r="M59" s="61" t="e">
        <f t="shared" si="66"/>
        <v>#DIV/0!</v>
      </c>
      <c r="N59" s="61" t="e">
        <f t="shared" si="66"/>
        <v>#DIV/0!</v>
      </c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</row>
    <row r="60" spans="1:28" ht="14.25" customHeight="1" x14ac:dyDescent="0.25">
      <c r="A60" s="34"/>
      <c r="B60" s="24" t="s">
        <v>48</v>
      </c>
      <c r="C60" s="24"/>
      <c r="D60" s="61">
        <f t="shared" ref="D60:N60" si="67">(D29-C29)</f>
        <v>0</v>
      </c>
      <c r="E60" s="61">
        <f t="shared" si="67"/>
        <v>0</v>
      </c>
      <c r="F60" s="61">
        <f t="shared" si="67"/>
        <v>0</v>
      </c>
      <c r="G60" s="61">
        <f t="shared" si="67"/>
        <v>0</v>
      </c>
      <c r="H60" s="61">
        <f t="shared" si="67"/>
        <v>0</v>
      </c>
      <c r="I60" s="61">
        <f t="shared" si="67"/>
        <v>0</v>
      </c>
      <c r="J60" s="61" t="e">
        <f t="shared" si="67"/>
        <v>#DIV/0!</v>
      </c>
      <c r="K60" s="61" t="e">
        <f t="shared" si="67"/>
        <v>#DIV/0!</v>
      </c>
      <c r="L60" s="61" t="e">
        <f t="shared" si="67"/>
        <v>#DIV/0!</v>
      </c>
      <c r="M60" s="61" t="e">
        <f t="shared" si="67"/>
        <v>#DIV/0!</v>
      </c>
      <c r="N60" s="61" t="e">
        <f t="shared" si="67"/>
        <v>#DIV/0!</v>
      </c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</row>
    <row r="61" spans="1:28" ht="14.25" customHeight="1" x14ac:dyDescent="0.25">
      <c r="A61" s="34"/>
      <c r="B61" s="59" t="s">
        <v>49</v>
      </c>
      <c r="C61" s="62"/>
      <c r="D61" s="63">
        <f t="shared" ref="D61:N61" si="68">D33*-1</f>
        <v>0</v>
      </c>
      <c r="E61" s="63">
        <f t="shared" si="68"/>
        <v>0</v>
      </c>
      <c r="F61" s="63">
        <f t="shared" si="68"/>
        <v>0</v>
      </c>
      <c r="G61" s="63">
        <f t="shared" si="68"/>
        <v>0</v>
      </c>
      <c r="H61" s="63">
        <f t="shared" si="68"/>
        <v>0</v>
      </c>
      <c r="I61" s="63">
        <f t="shared" si="68"/>
        <v>0</v>
      </c>
      <c r="J61" s="63" t="e">
        <f t="shared" si="68"/>
        <v>#DIV/0!</v>
      </c>
      <c r="K61" s="63" t="e">
        <f t="shared" si="68"/>
        <v>#DIV/0!</v>
      </c>
      <c r="L61" s="63" t="e">
        <f t="shared" si="68"/>
        <v>#DIV/0!</v>
      </c>
      <c r="M61" s="63" t="e">
        <f t="shared" si="68"/>
        <v>#DIV/0!</v>
      </c>
      <c r="N61" s="63" t="e">
        <f t="shared" si="68"/>
        <v>#DIV/0!</v>
      </c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</row>
    <row r="62" spans="1:28" ht="14.25" customHeight="1" x14ac:dyDescent="0.25">
      <c r="A62" s="34"/>
      <c r="B62" s="48" t="s">
        <v>50</v>
      </c>
      <c r="C62" s="48"/>
      <c r="D62" s="64">
        <f t="shared" ref="D62:N62" si="69">SUM(D54:D61)</f>
        <v>0</v>
      </c>
      <c r="E62" s="64">
        <f t="shared" si="69"/>
        <v>0</v>
      </c>
      <c r="F62" s="64">
        <f t="shared" si="69"/>
        <v>0</v>
      </c>
      <c r="G62" s="64">
        <f t="shared" si="69"/>
        <v>0</v>
      </c>
      <c r="H62" s="64">
        <f t="shared" si="69"/>
        <v>0</v>
      </c>
      <c r="I62" s="64">
        <f t="shared" si="69"/>
        <v>0</v>
      </c>
      <c r="J62" s="64" t="e">
        <f t="shared" si="69"/>
        <v>#DIV/0!</v>
      </c>
      <c r="K62" s="64" t="e">
        <f t="shared" si="69"/>
        <v>#DIV/0!</v>
      </c>
      <c r="L62" s="64" t="e">
        <f t="shared" si="69"/>
        <v>#DIV/0!</v>
      </c>
      <c r="M62" s="64" t="e">
        <f t="shared" si="69"/>
        <v>#DIV/0!</v>
      </c>
      <c r="N62" s="64" t="e">
        <f t="shared" si="69"/>
        <v>#DIV/0!</v>
      </c>
      <c r="O62" s="34"/>
      <c r="P62" s="65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</row>
    <row r="63" spans="1:28" ht="14.25" customHeight="1" x14ac:dyDescent="0.25">
      <c r="A63" s="34"/>
      <c r="B63" s="24" t="s">
        <v>51</v>
      </c>
      <c r="C63" s="24"/>
      <c r="D63" s="66"/>
      <c r="E63" s="66"/>
      <c r="F63" s="67"/>
      <c r="G63" s="67"/>
      <c r="H63" s="68"/>
      <c r="I63" s="68"/>
      <c r="J63" s="69" t="e">
        <f t="shared" ref="J63:N63" si="70">$H$90</f>
        <v>#DIV/0!</v>
      </c>
      <c r="K63" s="69" t="e">
        <f t="shared" si="70"/>
        <v>#DIV/0!</v>
      </c>
      <c r="L63" s="69" t="e">
        <f t="shared" si="70"/>
        <v>#DIV/0!</v>
      </c>
      <c r="M63" s="69" t="e">
        <f t="shared" si="70"/>
        <v>#DIV/0!</v>
      </c>
      <c r="N63" s="69" t="e">
        <f t="shared" si="70"/>
        <v>#DIV/0!</v>
      </c>
      <c r="O63" s="34"/>
      <c r="P63" s="65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</row>
    <row r="64" spans="1:28" ht="14.25" customHeight="1" x14ac:dyDescent="0.25">
      <c r="A64" s="34"/>
      <c r="B64" s="24" t="s">
        <v>52</v>
      </c>
      <c r="C64" s="24"/>
      <c r="D64" s="54"/>
      <c r="E64" s="54"/>
      <c r="F64" s="54"/>
      <c r="G64" s="54"/>
      <c r="H64" s="54"/>
      <c r="I64" s="54"/>
      <c r="J64" s="70" t="e">
        <f>J62/(1+J63)^J50</f>
        <v>#DIV/0!</v>
      </c>
      <c r="K64" s="70" t="e">
        <f t="shared" ref="K64:M64" si="71">K62/(1+K63)^K50</f>
        <v>#DIV/0!</v>
      </c>
      <c r="L64" s="70" t="e">
        <f t="shared" si="71"/>
        <v>#DIV/0!</v>
      </c>
      <c r="M64" s="70" t="e">
        <f t="shared" si="71"/>
        <v>#DIV/0!</v>
      </c>
      <c r="N64" s="70" t="e">
        <f>N62/(1+N63)^N50</f>
        <v>#DIV/0!</v>
      </c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</row>
    <row r="65" spans="1:28" ht="14.25" customHeight="1" x14ac:dyDescent="0.25">
      <c r="A65" s="34"/>
      <c r="B65" s="48" t="s">
        <v>53</v>
      </c>
      <c r="C65" s="48"/>
      <c r="D65" s="64"/>
      <c r="E65" s="58" t="e">
        <f>SUM(J64:N64)</f>
        <v>#DIV/0!</v>
      </c>
      <c r="F65" s="64"/>
      <c r="G65" s="64"/>
      <c r="H65" s="34"/>
      <c r="I65" s="34"/>
      <c r="J65" s="69" t="e">
        <f t="shared" ref="J65:N65" si="72">J62/I62-1</f>
        <v>#DIV/0!</v>
      </c>
      <c r="K65" s="69" t="e">
        <f t="shared" si="72"/>
        <v>#DIV/0!</v>
      </c>
      <c r="L65" s="69" t="e">
        <f t="shared" si="72"/>
        <v>#DIV/0!</v>
      </c>
      <c r="M65" s="69" t="e">
        <f t="shared" si="72"/>
        <v>#DIV/0!</v>
      </c>
      <c r="N65" s="69" t="e">
        <f t="shared" si="72"/>
        <v>#DIV/0!</v>
      </c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</row>
    <row r="66" spans="1:28" ht="14.25" customHeight="1" x14ac:dyDescent="0.25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</row>
    <row r="67" spans="1:28" ht="18" customHeight="1" x14ac:dyDescent="0.3">
      <c r="A67" s="34"/>
      <c r="B67" s="155" t="s">
        <v>54</v>
      </c>
      <c r="C67" s="154"/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</row>
    <row r="68" spans="1:28" ht="14.25" customHeight="1" x14ac:dyDescent="0.25">
      <c r="A68" s="34"/>
      <c r="B68" s="71" t="s">
        <v>55</v>
      </c>
      <c r="C68" s="71"/>
      <c r="D68" s="72"/>
      <c r="E68" s="72"/>
      <c r="F68" s="73"/>
      <c r="G68" s="73"/>
      <c r="H68" s="74"/>
      <c r="I68" s="74"/>
      <c r="J68" s="74"/>
      <c r="K68" s="73"/>
      <c r="L68" s="7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</row>
    <row r="69" spans="1:28" ht="14.25" customHeight="1" x14ac:dyDescent="0.25">
      <c r="A69" s="34"/>
      <c r="B69" s="34" t="s">
        <v>56</v>
      </c>
      <c r="C69" s="34"/>
      <c r="D69" s="134"/>
      <c r="E69" s="75">
        <v>0.01</v>
      </c>
      <c r="F69" s="74" t="s">
        <v>57</v>
      </c>
      <c r="G69" s="76">
        <v>8</v>
      </c>
      <c r="H69" s="148" t="s">
        <v>58</v>
      </c>
      <c r="I69" s="147"/>
      <c r="J69" s="147"/>
      <c r="K69" s="147"/>
      <c r="L69" s="147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</row>
    <row r="70" spans="1:28" ht="14.25" customHeight="1" x14ac:dyDescent="0.25">
      <c r="A70" s="34"/>
      <c r="B70" s="34" t="s">
        <v>59</v>
      </c>
      <c r="C70" s="34"/>
      <c r="D70" s="77"/>
      <c r="E70" s="77" t="e">
        <f>H90</f>
        <v>#DIV/0!</v>
      </c>
      <c r="F70" s="78"/>
      <c r="G70" s="78"/>
      <c r="H70" s="79">
        <v>2021</v>
      </c>
      <c r="I70" s="133">
        <f>J49</f>
        <v>46327</v>
      </c>
      <c r="J70" s="133">
        <f>K49</f>
        <v>46692</v>
      </c>
      <c r="K70" s="133">
        <f>L49</f>
        <v>47057</v>
      </c>
      <c r="L70" s="133">
        <f>M49</f>
        <v>47422</v>
      </c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</row>
    <row r="71" spans="1:28" ht="14.25" customHeight="1" x14ac:dyDescent="0.25">
      <c r="A71" s="34"/>
      <c r="B71" s="34" t="s">
        <v>60</v>
      </c>
      <c r="C71" s="34"/>
      <c r="D71" s="60"/>
      <c r="E71" s="60" t="e">
        <f>N62*(1+E69)</f>
        <v>#DIV/0!</v>
      </c>
      <c r="F71" s="60"/>
      <c r="G71" s="73"/>
      <c r="H71" s="74"/>
      <c r="I71" s="80" t="e">
        <f t="shared" ref="I71:L71" si="73">K62/J62-1</f>
        <v>#DIV/0!</v>
      </c>
      <c r="J71" s="80" t="e">
        <f t="shared" si="73"/>
        <v>#DIV/0!</v>
      </c>
      <c r="K71" s="81" t="e">
        <f t="shared" si="73"/>
        <v>#DIV/0!</v>
      </c>
      <c r="L71" s="80" t="e">
        <f t="shared" si="73"/>
        <v>#DIV/0!</v>
      </c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</row>
    <row r="72" spans="1:28" ht="14.25" customHeight="1" x14ac:dyDescent="0.25">
      <c r="A72" s="34"/>
      <c r="B72" s="34" t="s">
        <v>54</v>
      </c>
      <c r="C72" s="34"/>
      <c r="D72" s="60"/>
      <c r="E72" s="60" t="e">
        <f>E71/(E70-E69)</f>
        <v>#DIV/0!</v>
      </c>
      <c r="F72" s="59"/>
      <c r="G72" s="73"/>
      <c r="H72" s="74"/>
      <c r="I72" s="74"/>
      <c r="J72" s="74"/>
      <c r="K72" s="73"/>
      <c r="L72" s="7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</row>
    <row r="73" spans="1:28" ht="14.25" customHeight="1" x14ac:dyDescent="0.25">
      <c r="A73" s="34"/>
      <c r="B73" s="48" t="s">
        <v>61</v>
      </c>
      <c r="C73" s="48"/>
      <c r="D73" s="82"/>
      <c r="E73" s="83" t="e">
        <f>E72/(1+E70)^N50</f>
        <v>#DIV/0!</v>
      </c>
      <c r="F73" s="82"/>
      <c r="G73" s="84"/>
      <c r="H73" s="74"/>
      <c r="I73" s="74"/>
      <c r="J73" s="74"/>
      <c r="K73" s="84"/>
      <c r="L73" s="7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</row>
    <row r="74" spans="1:28" ht="14.25" customHeight="1" x14ac:dyDescent="0.25">
      <c r="A74" s="34"/>
      <c r="B74" s="34"/>
      <c r="C74" s="34"/>
      <c r="D74" s="85"/>
      <c r="E74" s="85"/>
      <c r="F74" s="85"/>
      <c r="G74" s="74"/>
      <c r="H74" s="74"/>
      <c r="I74" s="74"/>
      <c r="J74" s="74"/>
      <c r="K74" s="74"/>
      <c r="L74" s="7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</row>
    <row r="75" spans="1:28" ht="18" customHeight="1" x14ac:dyDescent="0.3">
      <c r="A75" s="34"/>
      <c r="B75" s="155" t="s">
        <v>59</v>
      </c>
      <c r="C75" s="154"/>
      <c r="D75" s="154"/>
      <c r="E75" s="154"/>
      <c r="F75" s="154"/>
      <c r="G75" s="154"/>
      <c r="H75" s="154"/>
      <c r="I75" s="154"/>
      <c r="J75" s="154"/>
      <c r="K75" s="154"/>
      <c r="L75" s="154"/>
      <c r="M75" s="154"/>
      <c r="N75" s="15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</row>
    <row r="76" spans="1:28" ht="14.25" customHeight="1" x14ac:dyDescent="0.25">
      <c r="A76" s="34"/>
      <c r="B76" s="34" t="s">
        <v>62</v>
      </c>
      <c r="C76" s="34"/>
      <c r="D76" s="34"/>
      <c r="E76" s="34"/>
      <c r="F76" s="34"/>
      <c r="G76" s="34"/>
      <c r="H76" s="86" t="e" vm="2">
        <f>H5</f>
        <v>#VALUE!</v>
      </c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</row>
    <row r="77" spans="1:28" ht="14.25" customHeight="1" x14ac:dyDescent="0.25">
      <c r="A77" s="34"/>
      <c r="B77" s="34" t="s">
        <v>3</v>
      </c>
      <c r="C77" s="34"/>
      <c r="D77" s="34"/>
      <c r="E77" s="34"/>
      <c r="F77" s="34"/>
      <c r="G77" s="34"/>
      <c r="H77" s="128">
        <f>H6</f>
        <v>0</v>
      </c>
      <c r="I77" s="34"/>
      <c r="J77" s="34"/>
      <c r="K77" s="34"/>
      <c r="L77" s="34"/>
      <c r="M77" s="69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</row>
    <row r="78" spans="1:28" ht="14.25" customHeight="1" x14ac:dyDescent="0.25">
      <c r="A78" s="34"/>
      <c r="B78" s="34" t="s">
        <v>64</v>
      </c>
      <c r="C78" s="34"/>
      <c r="D78" s="34"/>
      <c r="E78" s="34"/>
      <c r="F78" s="34"/>
      <c r="G78" s="34"/>
      <c r="H78" s="75"/>
      <c r="I78" s="34" t="s">
        <v>63</v>
      </c>
      <c r="J78" s="34"/>
      <c r="K78" s="34"/>
      <c r="L78" s="34" t="s">
        <v>65</v>
      </c>
      <c r="M78" s="135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</row>
    <row r="79" spans="1:28" ht="14.25" customHeight="1" x14ac:dyDescent="0.25">
      <c r="A79" s="34"/>
      <c r="B79" s="34" t="s">
        <v>66</v>
      </c>
      <c r="C79" s="34"/>
      <c r="D79" s="34"/>
      <c r="E79" s="34"/>
      <c r="F79" s="34"/>
      <c r="G79" s="34"/>
      <c r="H79" s="87" t="e">
        <f>Q53</f>
        <v>#NUM!</v>
      </c>
      <c r="I79" s="34"/>
      <c r="J79" s="34"/>
      <c r="K79" s="34"/>
      <c r="L79" s="34" t="s">
        <v>67</v>
      </c>
      <c r="M79" s="135"/>
      <c r="N79" s="34" t="s">
        <v>104</v>
      </c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</row>
    <row r="80" spans="1:28" ht="14.25" customHeight="1" x14ac:dyDescent="0.25">
      <c r="A80" s="34"/>
      <c r="B80" s="34" t="s">
        <v>68</v>
      </c>
      <c r="C80" s="34"/>
      <c r="D80" s="34"/>
      <c r="E80" s="34"/>
      <c r="F80" s="34"/>
      <c r="G80" s="34"/>
      <c r="H80" s="88" t="e">
        <f>H78*(1-H79)</f>
        <v>#NUM!</v>
      </c>
      <c r="I80" s="34"/>
      <c r="J80" s="34"/>
      <c r="K80" s="34"/>
      <c r="L80" s="34" t="s">
        <v>69</v>
      </c>
      <c r="M80" s="136"/>
      <c r="N80" s="34" t="s">
        <v>70</v>
      </c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</row>
    <row r="81" spans="1:28" ht="14.25" customHeight="1" x14ac:dyDescent="0.25">
      <c r="A81" s="34"/>
      <c r="B81" s="34" t="s">
        <v>71</v>
      </c>
      <c r="C81" s="34"/>
      <c r="D81" s="34"/>
      <c r="E81" s="34"/>
      <c r="F81" s="34"/>
      <c r="G81" s="34"/>
      <c r="H81" s="75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</row>
    <row r="82" spans="1:28" ht="14.25" customHeight="1" x14ac:dyDescent="0.25">
      <c r="A82" s="34"/>
      <c r="B82" s="34"/>
      <c r="C82" s="34"/>
      <c r="D82" s="85"/>
      <c r="E82" s="85"/>
      <c r="F82" s="34"/>
      <c r="G82" s="85"/>
      <c r="H82" s="34"/>
      <c r="I82" s="34"/>
      <c r="J82" s="34"/>
      <c r="K82" s="34"/>
      <c r="L82" s="34" t="s">
        <v>72</v>
      </c>
      <c r="M82" s="69">
        <f>M79+M80*(M78)</f>
        <v>0</v>
      </c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</row>
    <row r="83" spans="1:28" ht="14.25" customHeight="1" x14ac:dyDescent="0.25">
      <c r="A83" s="34"/>
      <c r="B83" s="34" t="s">
        <v>73</v>
      </c>
      <c r="C83" s="34"/>
      <c r="D83" s="34"/>
      <c r="E83" s="34"/>
      <c r="F83" s="34"/>
      <c r="G83" s="34"/>
      <c r="H83" s="129"/>
      <c r="I83" s="34"/>
      <c r="J83" s="34"/>
      <c r="K83" s="34"/>
      <c r="L83" s="89" t="s">
        <v>74</v>
      </c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</row>
    <row r="84" spans="1:28" ht="14.25" customHeight="1" x14ac:dyDescent="0.25">
      <c r="A84" s="34"/>
      <c r="B84" s="34" t="s">
        <v>75</v>
      </c>
      <c r="C84" s="34"/>
      <c r="D84" s="34"/>
      <c r="E84" s="34"/>
      <c r="F84" s="34"/>
      <c r="G84" s="34"/>
      <c r="H84" s="129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</row>
    <row r="85" spans="1:28" ht="14.25" customHeight="1" x14ac:dyDescent="0.25">
      <c r="A85" s="34"/>
      <c r="B85" s="90" t="s">
        <v>76</v>
      </c>
      <c r="C85" s="90"/>
      <c r="D85" s="34"/>
      <c r="E85" s="34"/>
      <c r="F85" s="34"/>
      <c r="G85" s="34"/>
      <c r="H85" s="58">
        <f>SUM(H83:H84)</f>
        <v>0</v>
      </c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</row>
    <row r="86" spans="1:28" ht="14.25" customHeight="1" x14ac:dyDescent="0.25">
      <c r="A86" s="34"/>
      <c r="B86" s="90"/>
      <c r="C86" s="90"/>
      <c r="D86" s="34"/>
      <c r="E86" s="34"/>
      <c r="F86" s="34"/>
      <c r="G86" s="34"/>
      <c r="H86" s="91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</row>
    <row r="87" spans="1:28" ht="14.25" customHeight="1" x14ac:dyDescent="0.25">
      <c r="A87" s="34"/>
      <c r="B87" s="34" t="s">
        <v>77</v>
      </c>
      <c r="C87" s="34"/>
      <c r="D87" s="34"/>
      <c r="E87" s="34"/>
      <c r="F87" s="34"/>
      <c r="G87" s="34"/>
      <c r="H87" s="92" t="e">
        <f>H83/H85</f>
        <v>#DIV/0!</v>
      </c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</row>
    <row r="88" spans="1:28" ht="14.25" customHeight="1" x14ac:dyDescent="0.25">
      <c r="A88" s="34"/>
      <c r="B88" s="34" t="s">
        <v>78</v>
      </c>
      <c r="C88" s="34"/>
      <c r="D88" s="34"/>
      <c r="E88" s="34"/>
      <c r="F88" s="34"/>
      <c r="G88" s="34"/>
      <c r="H88" s="92" t="e">
        <f>H84/H85</f>
        <v>#DIV/0!</v>
      </c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</row>
    <row r="89" spans="1:28" ht="14.25" customHeight="1" x14ac:dyDescent="0.25">
      <c r="A89" s="34"/>
      <c r="B89" s="90"/>
      <c r="C89" s="90"/>
      <c r="D89" s="34"/>
      <c r="E89" s="34"/>
      <c r="F89" s="34"/>
      <c r="G89" s="34"/>
      <c r="H89" s="91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</row>
    <row r="90" spans="1:28" ht="14.25" customHeight="1" x14ac:dyDescent="0.25">
      <c r="A90" s="34"/>
      <c r="B90" s="48" t="s">
        <v>79</v>
      </c>
      <c r="C90" s="48"/>
      <c r="D90" s="48"/>
      <c r="E90" s="48"/>
      <c r="F90" s="48"/>
      <c r="G90" s="48"/>
      <c r="H90" s="93" t="e">
        <f>H87*H80+H88*H81</f>
        <v>#DIV/0!</v>
      </c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</row>
    <row r="91" spans="1:28" ht="14.25" customHeight="1" x14ac:dyDescent="0.25">
      <c r="A91" s="34"/>
      <c r="B91" s="34"/>
      <c r="C91" s="34"/>
      <c r="D91" s="85"/>
      <c r="E91" s="85"/>
      <c r="F91" s="85"/>
      <c r="G91" s="85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</row>
    <row r="92" spans="1:28" ht="18" customHeight="1" x14ac:dyDescent="0.3">
      <c r="A92" s="34"/>
      <c r="B92" s="155" t="s">
        <v>80</v>
      </c>
      <c r="C92" s="155"/>
      <c r="D92" s="155"/>
      <c r="E92" s="155"/>
      <c r="F92" s="155"/>
      <c r="G92" s="155"/>
      <c r="H92" s="155"/>
      <c r="I92" s="155"/>
      <c r="J92" s="155"/>
      <c r="K92" s="155"/>
      <c r="L92" s="155"/>
      <c r="M92" s="155"/>
      <c r="N92" s="155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</row>
    <row r="93" spans="1:28" ht="14.25" customHeight="1" x14ac:dyDescent="0.25">
      <c r="A93" s="34"/>
      <c r="B93" s="34" t="s">
        <v>81</v>
      </c>
      <c r="C93" s="34"/>
      <c r="D93" s="94"/>
      <c r="E93" s="94"/>
      <c r="F93" s="94"/>
      <c r="G93" s="94"/>
      <c r="H93" s="54" t="e">
        <f>E73+E65</f>
        <v>#DIV/0!</v>
      </c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</row>
    <row r="94" spans="1:28" ht="14.25" customHeight="1" x14ac:dyDescent="0.25">
      <c r="A94" s="34"/>
      <c r="B94" s="34" t="s">
        <v>82</v>
      </c>
      <c r="C94" s="34"/>
      <c r="D94" s="95"/>
      <c r="E94" s="95"/>
      <c r="F94" s="95"/>
      <c r="G94" s="95"/>
      <c r="H94" s="96">
        <f>(M94+M95)-M96</f>
        <v>0</v>
      </c>
      <c r="I94" s="24" t="s">
        <v>83</v>
      </c>
      <c r="J94" s="94"/>
      <c r="K94" s="34"/>
      <c r="L94" s="34" t="s">
        <v>84</v>
      </c>
      <c r="M94" s="130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</row>
    <row r="95" spans="1:28" ht="14.25" customHeight="1" x14ac:dyDescent="0.25">
      <c r="A95" s="34"/>
      <c r="B95" s="48" t="s">
        <v>85</v>
      </c>
      <c r="C95" s="48"/>
      <c r="D95" s="34"/>
      <c r="E95" s="34"/>
      <c r="F95" s="34"/>
      <c r="G95" s="34"/>
      <c r="H95" s="58" t="e">
        <f>H93-H94</f>
        <v>#DIV/0!</v>
      </c>
      <c r="I95" s="24"/>
      <c r="J95" s="95"/>
      <c r="K95" s="34"/>
      <c r="L95" s="34" t="s">
        <v>86</v>
      </c>
      <c r="M95" s="130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</row>
    <row r="96" spans="1:28" ht="14.25" customHeight="1" x14ac:dyDescent="0.25">
      <c r="A96" s="34"/>
      <c r="B96" s="34" t="s">
        <v>3</v>
      </c>
      <c r="C96" s="34"/>
      <c r="D96" s="34"/>
      <c r="E96" s="34"/>
      <c r="F96" s="34"/>
      <c r="G96" s="34"/>
      <c r="H96" s="98">
        <f>H6</f>
        <v>0</v>
      </c>
      <c r="I96" s="90" t="s">
        <v>87</v>
      </c>
      <c r="J96" s="82"/>
      <c r="K96" s="34"/>
      <c r="L96" s="34" t="s">
        <v>88</v>
      </c>
      <c r="M96" s="130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</row>
    <row r="97" spans="1:28" ht="14.25" customHeight="1" x14ac:dyDescent="0.25">
      <c r="A97" s="34"/>
      <c r="B97" s="99" t="s">
        <v>89</v>
      </c>
      <c r="C97" s="51"/>
      <c r="D97" s="51"/>
      <c r="E97" s="51"/>
      <c r="F97" s="51"/>
      <c r="G97" s="51"/>
      <c r="H97" s="100" t="e">
        <f>H95/H96</f>
        <v>#DIV/0!</v>
      </c>
      <c r="I97" s="101"/>
      <c r="J97" s="102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</row>
    <row r="98" spans="1:28" ht="14.25" customHeight="1" x14ac:dyDescent="0.25">
      <c r="A98" s="34"/>
      <c r="B98" s="34"/>
      <c r="C98" s="34"/>
      <c r="D98" s="34"/>
      <c r="E98" s="34"/>
      <c r="F98" s="34"/>
      <c r="G98" s="34" t="s">
        <v>90</v>
      </c>
      <c r="H98" s="103" t="e">
        <f>H97/H5-1</f>
        <v>#DIV/0!</v>
      </c>
      <c r="I98" s="90"/>
      <c r="J98" s="104"/>
      <c r="K98" s="146" t="s">
        <v>91</v>
      </c>
      <c r="L98" s="147"/>
      <c r="M98" s="147"/>
      <c r="N98" s="147"/>
      <c r="O98" s="147"/>
      <c r="P98" s="147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</row>
    <row r="99" spans="1:28" ht="14.25" customHeight="1" x14ac:dyDescent="0.25">
      <c r="A99" s="85"/>
      <c r="B99" s="34"/>
      <c r="C99" s="34"/>
      <c r="D99" s="85"/>
      <c r="E99" s="85"/>
      <c r="F99" s="85"/>
      <c r="G99" s="85"/>
      <c r="H99" s="85"/>
      <c r="I99" s="85"/>
      <c r="N99" s="143" t="s">
        <v>102</v>
      </c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4.25" customHeight="1" x14ac:dyDescent="0.25">
      <c r="B100" s="34"/>
      <c r="C100" s="34"/>
      <c r="D100" s="105"/>
      <c r="E100" s="105"/>
      <c r="K100" s="137">
        <f>+H106</f>
        <v>0</v>
      </c>
      <c r="L100" s="106">
        <f>M100-0.005</f>
        <v>2.9381787991493945E-2</v>
      </c>
      <c r="M100" s="106">
        <f>+N100-0.005</f>
        <v>3.4381787991493946E-2</v>
      </c>
      <c r="N100" s="107">
        <v>3.9381787991493944E-2</v>
      </c>
      <c r="O100" s="106">
        <f>N100+0.005</f>
        <v>4.4381787991493941E-2</v>
      </c>
      <c r="P100" s="106">
        <f>O100+0.005</f>
        <v>4.9381787991493939E-2</v>
      </c>
    </row>
    <row r="101" spans="1:28" ht="14.25" customHeight="1" x14ac:dyDescent="0.25">
      <c r="B101" s="34"/>
      <c r="C101" s="34"/>
      <c r="D101" s="105"/>
      <c r="E101" s="105"/>
      <c r="G101" s="105"/>
      <c r="J101" s="145" t="s">
        <v>59</v>
      </c>
      <c r="K101" s="132">
        <f>K102-0.005</f>
        <v>6.9572637372920895E-2</v>
      </c>
      <c r="L101" s="97">
        <v>56.643249001930386</v>
      </c>
      <c r="M101" s="97">
        <v>54.949116865059182</v>
      </c>
      <c r="N101" s="97">
        <v>53.176855024220643</v>
      </c>
      <c r="O101" s="97">
        <v>51.324676923240347</v>
      </c>
      <c r="P101" s="97">
        <v>49.390772518693161</v>
      </c>
    </row>
    <row r="102" spans="1:28" ht="14.25" customHeight="1" thickBot="1" x14ac:dyDescent="0.3">
      <c r="B102" s="108"/>
      <c r="C102" s="108"/>
      <c r="D102" s="105"/>
      <c r="E102" s="105"/>
      <c r="J102" s="145"/>
      <c r="K102" s="132">
        <f>K103-0.005</f>
        <v>7.45726373729209E-2</v>
      </c>
      <c r="L102" s="97">
        <v>52.242182968071361</v>
      </c>
      <c r="M102" s="97">
        <v>50.665433022385216</v>
      </c>
      <c r="N102" s="97">
        <v>49.017222516967315</v>
      </c>
      <c r="O102" s="97">
        <v>47.295925553029477</v>
      </c>
      <c r="P102" s="97">
        <v>45.49989490840796</v>
      </c>
    </row>
    <row r="103" spans="1:28" ht="14.25" customHeight="1" thickBot="1" x14ac:dyDescent="0.3">
      <c r="B103" s="108"/>
      <c r="C103" s="108"/>
      <c r="D103" s="34"/>
      <c r="E103" s="34"/>
      <c r="J103" s="145"/>
      <c r="K103" s="131">
        <v>7.9572637372920904E-2</v>
      </c>
      <c r="L103" s="97">
        <v>48.497933549323271</v>
      </c>
      <c r="M103" s="97">
        <v>47.021047636063528</v>
      </c>
      <c r="N103" s="138">
        <v>45.478375001918224</v>
      </c>
      <c r="O103" s="97">
        <v>43.86842642892163</v>
      </c>
      <c r="P103" s="97">
        <v>42.189693216670065</v>
      </c>
    </row>
    <row r="104" spans="1:28" ht="14.25" customHeight="1" x14ac:dyDescent="0.25">
      <c r="B104" s="108"/>
      <c r="C104" s="108"/>
      <c r="J104" s="145"/>
      <c r="K104" s="132">
        <f>K103+0.005</f>
        <v>8.4572637372920909E-2</v>
      </c>
      <c r="L104" s="97">
        <v>45.27766178883676</v>
      </c>
      <c r="M104" s="97">
        <v>43.886664738081947</v>
      </c>
      <c r="N104" s="97">
        <v>42.434760797074262</v>
      </c>
      <c r="O104" s="97">
        <v>40.92057830128617</v>
      </c>
      <c r="P104" s="97">
        <v>39.342727687065377</v>
      </c>
    </row>
    <row r="105" spans="1:28" ht="14.25" customHeight="1" x14ac:dyDescent="0.25">
      <c r="B105" s="108"/>
      <c r="C105" s="109"/>
      <c r="J105" s="145"/>
      <c r="K105" s="132">
        <f>K104+0.005</f>
        <v>8.9572637372920913E-2</v>
      </c>
      <c r="L105" s="97">
        <v>42.481941469872744</v>
      </c>
      <c r="M105" s="97">
        <v>41.165509939029654</v>
      </c>
      <c r="N105" s="97">
        <v>39.79240800561783</v>
      </c>
      <c r="O105" s="97">
        <v>38.361366060638048</v>
      </c>
      <c r="P105" s="97">
        <v>36.871097970539985</v>
      </c>
    </row>
    <row r="106" spans="1:28" ht="12.75" customHeight="1" x14ac:dyDescent="0.2">
      <c r="B106" s="108"/>
      <c r="C106" s="108"/>
      <c r="Q106" s="110" t="s">
        <v>92</v>
      </c>
    </row>
    <row r="107" spans="1:28" ht="12.75" customHeight="1" x14ac:dyDescent="0.2">
      <c r="B107" s="108"/>
      <c r="C107" s="109"/>
    </row>
    <row r="108" spans="1:28" ht="12.75" customHeight="1" x14ac:dyDescent="0.2">
      <c r="B108" s="108"/>
      <c r="C108" s="111"/>
    </row>
    <row r="109" spans="1:28" ht="12.75" customHeight="1" x14ac:dyDescent="0.2">
      <c r="B109" s="108"/>
      <c r="C109" s="109"/>
    </row>
    <row r="110" spans="1:28" ht="12.75" customHeight="1" x14ac:dyDescent="0.2"/>
    <row r="111" spans="1:28" ht="12.75" customHeight="1" x14ac:dyDescent="0.2"/>
    <row r="112" spans="1:28" ht="12.75" customHeight="1" x14ac:dyDescent="0.2"/>
    <row r="113" spans="2:9" ht="12.75" customHeight="1" x14ac:dyDescent="0.2"/>
    <row r="114" spans="2:9" ht="12.75" customHeight="1" x14ac:dyDescent="0.2"/>
    <row r="115" spans="2:9" ht="12.75" customHeight="1" x14ac:dyDescent="0.2"/>
    <row r="116" spans="2:9" ht="12.75" customHeight="1" x14ac:dyDescent="0.2"/>
    <row r="117" spans="2:9" ht="12.75" customHeight="1" x14ac:dyDescent="0.2"/>
    <row r="118" spans="2:9" ht="12.75" customHeight="1" x14ac:dyDescent="0.2">
      <c r="C118" s="108"/>
      <c r="D118" s="108"/>
      <c r="E118" s="108"/>
      <c r="F118" s="108"/>
      <c r="G118" s="108"/>
      <c r="H118" s="108"/>
      <c r="I118" s="108"/>
    </row>
    <row r="119" spans="2:9" ht="12.75" customHeight="1" x14ac:dyDescent="0.2">
      <c r="B119" s="108"/>
      <c r="C119" s="108"/>
      <c r="D119" s="108"/>
      <c r="E119" s="108"/>
      <c r="F119" s="108"/>
      <c r="G119" s="108"/>
      <c r="H119" s="108"/>
      <c r="I119" s="108"/>
    </row>
    <row r="120" spans="2:9" ht="12.75" customHeight="1" x14ac:dyDescent="0.2">
      <c r="D120" s="112"/>
      <c r="E120" s="112"/>
      <c r="F120" s="112"/>
      <c r="G120" s="112"/>
      <c r="H120" s="112"/>
      <c r="I120" s="112"/>
    </row>
    <row r="121" spans="2:9" ht="12.75" customHeight="1" x14ac:dyDescent="0.2"/>
    <row r="122" spans="2:9" ht="12.75" customHeight="1" x14ac:dyDescent="0.2">
      <c r="D122" s="108"/>
    </row>
    <row r="123" spans="2:9" ht="12.75" customHeight="1" x14ac:dyDescent="0.2">
      <c r="D123" s="112"/>
    </row>
    <row r="124" spans="2:9" ht="12.75" customHeight="1" x14ac:dyDescent="0.2"/>
    <row r="125" spans="2:9" ht="12.75" customHeight="1" x14ac:dyDescent="0.2"/>
    <row r="126" spans="2:9" ht="12.75" customHeight="1" x14ac:dyDescent="0.2"/>
    <row r="127" spans="2:9" ht="12.75" customHeight="1" x14ac:dyDescent="0.2"/>
    <row r="128" spans="2:9" ht="12.75" customHeight="1" x14ac:dyDescent="0.2"/>
    <row r="129" spans="2:14" ht="12.75" customHeight="1" x14ac:dyDescent="0.2"/>
    <row r="130" spans="2:14" ht="12.75" customHeight="1" x14ac:dyDescent="0.2"/>
    <row r="131" spans="2:14" ht="12.75" customHeight="1" x14ac:dyDescent="0.2"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</row>
    <row r="132" spans="2:14" ht="12.75" customHeight="1" x14ac:dyDescent="0.2">
      <c r="B132" s="108"/>
      <c r="C132" s="113"/>
      <c r="D132" s="114"/>
      <c r="E132" s="114"/>
      <c r="F132" s="114"/>
      <c r="G132" s="114"/>
      <c r="H132" s="114"/>
      <c r="I132" s="114"/>
      <c r="J132" s="115"/>
      <c r="K132" s="115"/>
      <c r="L132" s="115"/>
      <c r="M132" s="115"/>
      <c r="N132" s="115"/>
    </row>
    <row r="133" spans="2:14" ht="12.75" customHeight="1" x14ac:dyDescent="0.2"/>
    <row r="134" spans="2:14" ht="12.75" customHeight="1" x14ac:dyDescent="0.2"/>
    <row r="135" spans="2:14" ht="12.75" customHeight="1" x14ac:dyDescent="0.2"/>
    <row r="136" spans="2:14" ht="12.75" customHeight="1" x14ac:dyDescent="0.2"/>
    <row r="137" spans="2:14" ht="12.75" customHeight="1" x14ac:dyDescent="0.2"/>
    <row r="138" spans="2:14" ht="12.75" customHeight="1" x14ac:dyDescent="0.2"/>
    <row r="139" spans="2:14" ht="12.75" customHeight="1" x14ac:dyDescent="0.2"/>
    <row r="140" spans="2:14" ht="12.75" customHeight="1" x14ac:dyDescent="0.2"/>
    <row r="141" spans="2:14" ht="12.75" customHeight="1" x14ac:dyDescent="0.2"/>
    <row r="142" spans="2:14" ht="12.75" customHeight="1" x14ac:dyDescent="0.2"/>
    <row r="143" spans="2:14" ht="12.75" customHeight="1" x14ac:dyDescent="0.2"/>
    <row r="144" spans="2:1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  <row r="1003" ht="12.75" customHeight="1" x14ac:dyDescent="0.2"/>
    <row r="1004" ht="12.75" customHeight="1" x14ac:dyDescent="0.2"/>
    <row r="1005" ht="12.75" customHeight="1" x14ac:dyDescent="0.2"/>
    <row r="1006" ht="12.75" customHeight="1" x14ac:dyDescent="0.2"/>
    <row r="1007" ht="12.75" customHeight="1" x14ac:dyDescent="0.2"/>
  </sheetData>
  <mergeCells count="6">
    <mergeCell ref="J101:J105"/>
    <mergeCell ref="J9:N9"/>
    <mergeCell ref="J22:N22"/>
    <mergeCell ref="J48:N48"/>
    <mergeCell ref="H69:L69"/>
    <mergeCell ref="K98:P98"/>
  </mergeCells>
  <conditionalFormatting sqref="L101:P1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DCF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 Street Prep, LLC</dc:creator>
  <cp:lastModifiedBy>Sam Heier</cp:lastModifiedBy>
  <dcterms:created xsi:type="dcterms:W3CDTF">2006-10-30T23:26:47Z</dcterms:created>
  <dcterms:modified xsi:type="dcterms:W3CDTF">2026-08-11T19:11:40Z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1b0b552e-fe71-4692-9a0a-515971af59e0</vt:lpwstr>
  </property>
</Properties>
</file>
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samheier/Downloads/"/>
    </mc:Choice>
  </mc:AlternateContent>
  <xr:revisionPtr revIDLastSave="0" documentId="13_ncr:1_{16A3B0B8-E3D4-4B48-96E7-6826798F266B}" xr6:coauthVersionLast="47" xr6:coauthVersionMax="47" xr10:uidLastSave="{00000000-0000-0000-0000-000000000000}"/>
  <bookViews>
    <workbookView xWindow="0" yWindow="500" windowWidth="37420" windowHeight="19120" tabRatio="500" xr2:uid="{00000000-000D-0000-FFFF-FFFF00000000}"/>
  </bookViews>
  <sheets>
    <sheet name="DCF Model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52" i="1" l="1"/>
  <c r="S37" i="1"/>
  <c r="I93" i="1" l="1"/>
  <c r="I84" i="1"/>
  <c r="I87" i="1" s="1"/>
  <c r="N77" i="1"/>
  <c r="N81" i="1" s="1"/>
  <c r="J60" i="1"/>
  <c r="I60" i="1"/>
  <c r="H60" i="1"/>
  <c r="G60" i="1"/>
  <c r="F60" i="1"/>
  <c r="E60" i="1"/>
  <c r="J59" i="1"/>
  <c r="I59" i="1"/>
  <c r="H59" i="1"/>
  <c r="G59" i="1"/>
  <c r="F59" i="1"/>
  <c r="E59" i="1"/>
  <c r="J58" i="1"/>
  <c r="I58" i="1"/>
  <c r="H58" i="1"/>
  <c r="G58" i="1"/>
  <c r="F58" i="1"/>
  <c r="E58" i="1"/>
  <c r="J57" i="1"/>
  <c r="I57" i="1"/>
  <c r="H57" i="1"/>
  <c r="G57" i="1"/>
  <c r="F57" i="1"/>
  <c r="E57" i="1"/>
  <c r="J56" i="1"/>
  <c r="I56" i="1"/>
  <c r="H56" i="1"/>
  <c r="G56" i="1"/>
  <c r="F56" i="1"/>
  <c r="E56" i="1"/>
  <c r="J55" i="1"/>
  <c r="I55" i="1"/>
  <c r="H55" i="1"/>
  <c r="G55" i="1"/>
  <c r="F55" i="1"/>
  <c r="E55" i="1"/>
  <c r="J54" i="1"/>
  <c r="I54" i="1"/>
  <c r="H54" i="1"/>
  <c r="G54" i="1"/>
  <c r="F54" i="1"/>
  <c r="E54" i="1"/>
  <c r="D54" i="1"/>
  <c r="D53" i="1"/>
  <c r="R52" i="1"/>
  <c r="L52" i="1" s="1"/>
  <c r="Q52" i="1"/>
  <c r="J51" i="1"/>
  <c r="J53" i="1" s="1"/>
  <c r="I51" i="1"/>
  <c r="I53" i="1" s="1"/>
  <c r="H51" i="1"/>
  <c r="H53" i="1" s="1"/>
  <c r="H61" i="1" s="1"/>
  <c r="G51" i="1"/>
  <c r="G53" i="1" s="1"/>
  <c r="F51" i="1"/>
  <c r="F53" i="1" s="1"/>
  <c r="E51" i="1"/>
  <c r="E53" i="1" s="1"/>
  <c r="D51" i="1"/>
  <c r="J50" i="1"/>
  <c r="I50" i="1"/>
  <c r="H50" i="1"/>
  <c r="G50" i="1"/>
  <c r="F50" i="1"/>
  <c r="E50" i="1"/>
  <c r="D50" i="1"/>
  <c r="L49" i="1"/>
  <c r="M49" i="1" s="1"/>
  <c r="N49" i="1" s="1"/>
  <c r="O49" i="1" s="1"/>
  <c r="K48" i="1"/>
  <c r="L48" i="1" s="1"/>
  <c r="I48" i="1"/>
  <c r="H48" i="1" s="1"/>
  <c r="G48" i="1" s="1"/>
  <c r="F48" i="1" s="1"/>
  <c r="E48" i="1" s="1"/>
  <c r="D48" i="1" s="1"/>
  <c r="J45" i="1"/>
  <c r="I45" i="1"/>
  <c r="H45" i="1"/>
  <c r="G45" i="1"/>
  <c r="F45" i="1"/>
  <c r="E45" i="1"/>
  <c r="J43" i="1"/>
  <c r="I43" i="1"/>
  <c r="H43" i="1"/>
  <c r="G43" i="1"/>
  <c r="F43" i="1"/>
  <c r="E43" i="1"/>
  <c r="I42" i="1"/>
  <c r="H42" i="1"/>
  <c r="G42" i="1"/>
  <c r="F42" i="1"/>
  <c r="E42" i="1"/>
  <c r="J39" i="1"/>
  <c r="I39" i="1"/>
  <c r="H39" i="1"/>
  <c r="G39" i="1"/>
  <c r="F39" i="1"/>
  <c r="E39" i="1"/>
  <c r="D39" i="1"/>
  <c r="S39" i="1" s="1"/>
  <c r="J38" i="1"/>
  <c r="I38" i="1"/>
  <c r="H38" i="1"/>
  <c r="G38" i="1"/>
  <c r="F38" i="1"/>
  <c r="E38" i="1"/>
  <c r="D38" i="1"/>
  <c r="J37" i="1"/>
  <c r="I37" i="1"/>
  <c r="R37" i="1" s="1"/>
  <c r="H37" i="1"/>
  <c r="G37" i="1"/>
  <c r="F37" i="1"/>
  <c r="E37" i="1"/>
  <c r="D37" i="1"/>
  <c r="J36" i="1"/>
  <c r="I36" i="1"/>
  <c r="K36" i="1" s="1"/>
  <c r="L36" i="1" s="1"/>
  <c r="H36" i="1"/>
  <c r="G36" i="1"/>
  <c r="F36" i="1"/>
  <c r="E36" i="1"/>
  <c r="D36" i="1"/>
  <c r="S35" i="1"/>
  <c r="J35" i="1"/>
  <c r="I35" i="1"/>
  <c r="H35" i="1"/>
  <c r="G35" i="1"/>
  <c r="F35" i="1"/>
  <c r="E35" i="1"/>
  <c r="D35" i="1"/>
  <c r="Q35" i="1" s="1"/>
  <c r="J34" i="1"/>
  <c r="K34" i="1" s="1"/>
  <c r="L34" i="1" s="1"/>
  <c r="I34" i="1"/>
  <c r="H34" i="1"/>
  <c r="G34" i="1"/>
  <c r="F34" i="1"/>
  <c r="E34" i="1"/>
  <c r="D34" i="1"/>
  <c r="K22" i="1"/>
  <c r="L22" i="1" s="1"/>
  <c r="M22" i="1" s="1"/>
  <c r="N22" i="1" s="1"/>
  <c r="O22" i="1" s="1"/>
  <c r="I22" i="1"/>
  <c r="H22" i="1" s="1"/>
  <c r="G22" i="1" s="1"/>
  <c r="F22" i="1" s="1"/>
  <c r="E22" i="1" s="1"/>
  <c r="D22" i="1" s="1"/>
  <c r="J18" i="1"/>
  <c r="I18" i="1"/>
  <c r="H18" i="1"/>
  <c r="G18" i="1"/>
  <c r="F18" i="1"/>
  <c r="E18" i="1"/>
  <c r="S18" i="1" s="1"/>
  <c r="D18" i="1"/>
  <c r="R18" i="1" s="1"/>
  <c r="K18" i="1" s="1"/>
  <c r="J15" i="1"/>
  <c r="I15" i="1"/>
  <c r="H15" i="1"/>
  <c r="G15" i="1"/>
  <c r="F15" i="1"/>
  <c r="E15" i="1"/>
  <c r="S15" i="1" s="1"/>
  <c r="D15" i="1"/>
  <c r="J11" i="1"/>
  <c r="J12" i="1" s="1"/>
  <c r="I11" i="1"/>
  <c r="I12" i="1" s="1"/>
  <c r="H11" i="1"/>
  <c r="H12" i="1" s="1"/>
  <c r="G11" i="1"/>
  <c r="G12" i="1" s="1"/>
  <c r="F11" i="1"/>
  <c r="F12" i="1" s="1"/>
  <c r="E11" i="1"/>
  <c r="E12" i="1" s="1"/>
  <c r="L9" i="1"/>
  <c r="M9" i="1" s="1"/>
  <c r="N9" i="1" s="1"/>
  <c r="O9" i="1" s="1"/>
  <c r="K9" i="1"/>
  <c r="I9" i="1"/>
  <c r="H9" i="1" s="1"/>
  <c r="G9" i="1" s="1"/>
  <c r="F9" i="1" s="1"/>
  <c r="E9" i="1" s="1"/>
  <c r="D9" i="1" s="1"/>
  <c r="I76" i="1"/>
  <c r="I75" i="1"/>
  <c r="E61" i="1" l="1"/>
  <c r="F61" i="1"/>
  <c r="S36" i="1"/>
  <c r="Q36" i="1"/>
  <c r="R36" i="1"/>
  <c r="G61" i="1"/>
  <c r="I86" i="1"/>
  <c r="Q15" i="1"/>
  <c r="R15" i="1"/>
  <c r="K15" i="1" s="1"/>
  <c r="L15" i="1" s="1"/>
  <c r="N35" i="1"/>
  <c r="R39" i="1"/>
  <c r="Q37" i="1"/>
  <c r="L37" i="1" s="1"/>
  <c r="J61" i="1"/>
  <c r="R35" i="1"/>
  <c r="I61" i="1"/>
  <c r="O38" i="1"/>
  <c r="K52" i="1"/>
  <c r="Q18" i="1"/>
  <c r="N52" i="1"/>
  <c r="S11" i="1"/>
  <c r="R11" i="1"/>
  <c r="L18" i="1"/>
  <c r="M36" i="1"/>
  <c r="L35" i="1"/>
  <c r="K35" i="1"/>
  <c r="M48" i="1"/>
  <c r="K69" i="1"/>
  <c r="M37" i="1"/>
  <c r="N38" i="1"/>
  <c r="M38" i="1"/>
  <c r="L38" i="1"/>
  <c r="K38" i="1"/>
  <c r="Q11" i="1"/>
  <c r="K11" i="1" s="1"/>
  <c r="M52" i="1"/>
  <c r="I78" i="1"/>
  <c r="I79" i="1" s="1"/>
  <c r="M34" i="1"/>
  <c r="O52" i="1"/>
  <c r="J69" i="1"/>
  <c r="I95" i="1"/>
  <c r="Q39" i="1"/>
  <c r="I89" i="1" l="1"/>
  <c r="M35" i="1"/>
  <c r="N37" i="1"/>
  <c r="O37" i="1"/>
  <c r="K37" i="1"/>
  <c r="O35" i="1"/>
  <c r="O62" i="1"/>
  <c r="N62" i="1"/>
  <c r="M62" i="1"/>
  <c r="L62" i="1"/>
  <c r="F69" i="1"/>
  <c r="K62" i="1"/>
  <c r="N36" i="1"/>
  <c r="M18" i="1"/>
  <c r="N34" i="1"/>
  <c r="K10" i="1"/>
  <c r="K28" i="1" s="1"/>
  <c r="K59" i="1" s="1"/>
  <c r="L11" i="1"/>
  <c r="M11" i="1" s="1"/>
  <c r="N11" i="1" s="1"/>
  <c r="O11" i="1" s="1"/>
  <c r="K39" i="1"/>
  <c r="M39" i="1"/>
  <c r="O39" i="1"/>
  <c r="N39" i="1"/>
  <c r="L39" i="1"/>
  <c r="M15" i="1"/>
  <c r="L69" i="1"/>
  <c r="N48" i="1"/>
  <c r="K27" i="1" l="1"/>
  <c r="K58" i="1" s="1"/>
  <c r="K32" i="1"/>
  <c r="K60" i="1" s="1"/>
  <c r="N18" i="1"/>
  <c r="N15" i="1"/>
  <c r="K50" i="1"/>
  <c r="K25" i="1"/>
  <c r="K57" i="1" s="1"/>
  <c r="L10" i="1"/>
  <c r="K17" i="1"/>
  <c r="K54" i="1" s="1"/>
  <c r="K23" i="1"/>
  <c r="K55" i="1" s="1"/>
  <c r="K14" i="1"/>
  <c r="K51" i="1" s="1"/>
  <c r="K53" i="1" s="1"/>
  <c r="O34" i="1"/>
  <c r="M69" i="1"/>
  <c r="O48" i="1"/>
  <c r="K24" i="1"/>
  <c r="K56" i="1" s="1"/>
  <c r="O36" i="1"/>
  <c r="O15" i="1" l="1"/>
  <c r="L50" i="1"/>
  <c r="M10" i="1"/>
  <c r="L23" i="1"/>
  <c r="L55" i="1" s="1"/>
  <c r="L25" i="1"/>
  <c r="L57" i="1" s="1"/>
  <c r="L14" i="1"/>
  <c r="L51" i="1" s="1"/>
  <c r="L53" i="1" s="1"/>
  <c r="L24" i="1"/>
  <c r="L56" i="1" s="1"/>
  <c r="L28" i="1"/>
  <c r="L59" i="1" s="1"/>
  <c r="L17" i="1"/>
  <c r="L54" i="1" s="1"/>
  <c r="L27" i="1"/>
  <c r="L58" i="1" s="1"/>
  <c r="K61" i="1"/>
  <c r="L32" i="1"/>
  <c r="L60" i="1" s="1"/>
  <c r="O18" i="1"/>
  <c r="L61" i="1" l="1"/>
  <c r="L64" i="1" s="1"/>
  <c r="K63" i="1"/>
  <c r="K64" i="1"/>
  <c r="M50" i="1"/>
  <c r="N10" i="1"/>
  <c r="M28" i="1"/>
  <c r="M59" i="1" s="1"/>
  <c r="M23" i="1"/>
  <c r="M55" i="1" s="1"/>
  <c r="M24" i="1"/>
  <c r="M56" i="1" s="1"/>
  <c r="M27" i="1"/>
  <c r="M58" i="1" s="1"/>
  <c r="M25" i="1"/>
  <c r="M57" i="1" s="1"/>
  <c r="M17" i="1"/>
  <c r="M54" i="1" s="1"/>
  <c r="M32" i="1"/>
  <c r="M60" i="1" s="1"/>
  <c r="M14" i="1"/>
  <c r="M51" i="1" s="1"/>
  <c r="M53" i="1" s="1"/>
  <c r="L63" i="1" l="1"/>
  <c r="J70" i="1"/>
  <c r="M61" i="1"/>
  <c r="M64" i="1" s="1"/>
  <c r="N50" i="1"/>
  <c r="O10" i="1"/>
  <c r="N24" i="1"/>
  <c r="N56" i="1" s="1"/>
  <c r="N28" i="1"/>
  <c r="N59" i="1" s="1"/>
  <c r="N27" i="1"/>
  <c r="N58" i="1" s="1"/>
  <c r="N23" i="1"/>
  <c r="N55" i="1" s="1"/>
  <c r="N25" i="1"/>
  <c r="N57" i="1" s="1"/>
  <c r="N32" i="1"/>
  <c r="N60" i="1" s="1"/>
  <c r="N17" i="1"/>
  <c r="N54" i="1" s="1"/>
  <c r="N14" i="1"/>
  <c r="N51" i="1" s="1"/>
  <c r="N53" i="1" s="1"/>
  <c r="K70" i="1" l="1"/>
  <c r="M63" i="1"/>
  <c r="N61" i="1"/>
  <c r="O50" i="1"/>
  <c r="O28" i="1"/>
  <c r="O59" i="1" s="1"/>
  <c r="O24" i="1"/>
  <c r="O56" i="1" s="1"/>
  <c r="O27" i="1"/>
  <c r="O58" i="1" s="1"/>
  <c r="O32" i="1"/>
  <c r="O60" i="1" s="1"/>
  <c r="O25" i="1"/>
  <c r="O57" i="1" s="1"/>
  <c r="O23" i="1"/>
  <c r="O55" i="1" s="1"/>
  <c r="O14" i="1"/>
  <c r="O51" i="1" s="1"/>
  <c r="O53" i="1" s="1"/>
  <c r="O17" i="1"/>
  <c r="O54" i="1" s="1"/>
  <c r="O61" i="1" l="1"/>
  <c r="L70" i="1"/>
  <c r="N63" i="1"/>
  <c r="N64" i="1"/>
  <c r="F70" i="1" l="1"/>
  <c r="F71" i="1" s="1"/>
  <c r="F72" i="1" s="1"/>
  <c r="M70" i="1"/>
  <c r="O63" i="1"/>
  <c r="F64" i="1" s="1"/>
  <c r="O64" i="1"/>
  <c r="I92" i="1" l="1"/>
  <c r="I94" i="1" s="1"/>
  <c r="I96" i="1" s="1"/>
  <c r="I97" i="1" l="1"/>
</calcChain>
</file>

<file path=xl/sharedStrings.xml><?xml version="1.0" encoding="utf-8"?>
<sst xmlns="http://schemas.openxmlformats.org/spreadsheetml/2006/main" count="109" uniqueCount="90">
  <si>
    <t>Valuation Date:</t>
  </si>
  <si>
    <t>Share Price on Valuation Date:</t>
  </si>
  <si>
    <t>Diluted Shares Outstanding</t>
  </si>
  <si>
    <t>Select Operating Data</t>
  </si>
  <si>
    <t>Projected Annual Forecast</t>
  </si>
  <si>
    <t>Revenue</t>
  </si>
  <si>
    <t>Arithmetic Avg</t>
  </si>
  <si>
    <t>Geometric Avg</t>
  </si>
  <si>
    <t>Harmean</t>
  </si>
  <si>
    <t>Revenue Growth Rate (%)</t>
  </si>
  <si>
    <t>Revenue Growth Rate (%) +1</t>
  </si>
  <si>
    <t>EBIT</t>
  </si>
  <si>
    <t>EBIT Margin (%)</t>
  </si>
  <si>
    <t xml:space="preserve">Depreciation &amp; Amortization </t>
  </si>
  <si>
    <t>D&amp;A as a % of revenue</t>
  </si>
  <si>
    <t>Select Balance Sheet And Other Data</t>
  </si>
  <si>
    <t>Accounts Receivable</t>
  </si>
  <si>
    <t>Inventories</t>
  </si>
  <si>
    <t>Prepaid Expenses</t>
  </si>
  <si>
    <t>Accounts Payable and Accruals</t>
  </si>
  <si>
    <t>Accrued Expenses</t>
  </si>
  <si>
    <t>Debt</t>
  </si>
  <si>
    <t>Capital Expenditures</t>
  </si>
  <si>
    <t>Accounts Receivable as a % of revenue</t>
  </si>
  <si>
    <t>Inventories as a % of revenue</t>
  </si>
  <si>
    <t>Prepaid Expenses as a % of revenue</t>
  </si>
  <si>
    <t>Accounts Payable/Accruals as a % of revenue</t>
  </si>
  <si>
    <t>Accrued Expenses as a % of revenue</t>
  </si>
  <si>
    <t>Capital Expenditures as a % of revenue</t>
  </si>
  <si>
    <t>Accounts Receivable Growth (%)</t>
  </si>
  <si>
    <t>Inventories Growth (%)</t>
  </si>
  <si>
    <t>Prepaid Expenses Growth (%)</t>
  </si>
  <si>
    <t>-</t>
  </si>
  <si>
    <t>Accounts Payable/Accruals Growth (%)</t>
  </si>
  <si>
    <t>Accrued Expenses Growth (%)</t>
  </si>
  <si>
    <t>Capital Expenditures Growth (%)</t>
  </si>
  <si>
    <t>Free Cash Flow Buildup</t>
  </si>
  <si>
    <t>$mm</t>
  </si>
  <si>
    <t>Period</t>
  </si>
  <si>
    <t>Total Revenues</t>
  </si>
  <si>
    <t>Effective Tax rate</t>
  </si>
  <si>
    <t>EBIAT = EBIT(1-T) = NOPAT</t>
  </si>
  <si>
    <t>Depreciation &amp; Amortization</t>
  </si>
  <si>
    <t>Chg in Accounts receivable</t>
  </si>
  <si>
    <t>Chg in Inventories</t>
  </si>
  <si>
    <t>Chg in Prepaid expenses</t>
  </si>
  <si>
    <t>Chg in Accounts payable</t>
  </si>
  <si>
    <t>Chg in Accrued expenses</t>
  </si>
  <si>
    <t>Capital expenditures</t>
  </si>
  <si>
    <t>Unlevered free cash flows</t>
  </si>
  <si>
    <t>Discount Rate (WACC)</t>
  </si>
  <si>
    <t>Present value of free cash flows</t>
  </si>
  <si>
    <t>Sum of present values of FCFs</t>
  </si>
  <si>
    <t>Terminal Value</t>
  </si>
  <si>
    <t>Growth in perpetuity method:</t>
  </si>
  <si>
    <t>Long term growth rate</t>
  </si>
  <si>
    <t>Unlevered Free Cash Flow Growth Rates</t>
  </si>
  <si>
    <t>WACC</t>
  </si>
  <si>
    <t>Free cash flow (t+1)</t>
  </si>
  <si>
    <t>Present Value of Terminal Value</t>
  </si>
  <si>
    <t>Share Price</t>
  </si>
  <si>
    <t>Cost of Debt</t>
  </si>
  <si>
    <t>MRP</t>
  </si>
  <si>
    <t>Tax Rate</t>
  </si>
  <si>
    <t>RFR</t>
  </si>
  <si>
    <t>After-tax Cost of Debt</t>
  </si>
  <si>
    <t>Beta</t>
  </si>
  <si>
    <t>Cost of Equity</t>
  </si>
  <si>
    <t xml:space="preserve">capm </t>
  </si>
  <si>
    <t>Total Debt ($)</t>
  </si>
  <si>
    <t>capm = risk-free + beta * market risk premium</t>
  </si>
  <si>
    <t>Total Equity ($)</t>
  </si>
  <si>
    <t>Total Capital</t>
  </si>
  <si>
    <t>Debt Weighting</t>
  </si>
  <si>
    <t>Equity Weighting</t>
  </si>
  <si>
    <t>WACC =</t>
  </si>
  <si>
    <t>Enterprise Value to Equity Value</t>
  </si>
  <si>
    <t>Enterprise Value</t>
  </si>
  <si>
    <t>Less: Net debt</t>
  </si>
  <si>
    <t>ST and LT debt minus cash</t>
  </si>
  <si>
    <t>ST Debt</t>
  </si>
  <si>
    <t>Equity Value</t>
  </si>
  <si>
    <t>LT Debt</t>
  </si>
  <si>
    <t>income statement</t>
  </si>
  <si>
    <t>Cash</t>
  </si>
  <si>
    <t>Equity Value Per Share</t>
  </si>
  <si>
    <t>Upside</t>
  </si>
  <si>
    <t>.</t>
  </si>
  <si>
    <t>Company Name (Ticker)</t>
  </si>
  <si>
    <t xml:space="preserve">10 year treasury yield as of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</si>
</sst>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#,##0.0_);\(#,##0.0\);@_)"/>
    <numFmt numFmtId="165" formatCode="m/d/yyyy"/>
    <numFmt numFmtId="166" formatCode="_(\$* #,##0.00_);_(\$* \(#,##0.00\);_(\$* \-??_);_(@_)"/>
    <numFmt numFmtId="167" formatCode="#,##0.00_);\(#,##0.00\);@_)"/>
    <numFmt numFmtId="168" formatCode="yyyy\A"/>
    <numFmt numFmtId="169" formatCode="yyyy\P"/>
    <numFmt numFmtId="170" formatCode="\$#,##0.0"/>
    <numFmt numFmtId="171" formatCode="\$#,##0.0_);&quot;($&quot;#,##0.0\)"/>
    <numFmt numFmtId="172" formatCode="\$#,##0.0_);&quot;($&quot;#,##0.0\);@_)"/>
    <numFmt numFmtId="173" formatCode="0.0%_);\(0.0%\);@_)"/>
    <numFmt numFmtId="174" formatCode="\$#,##0.00_);&quot;($&quot;#,##0.00\)"/>
    <numFmt numFmtId="175" formatCode="0.0"/>
    <numFmt numFmtId="176" formatCode="#,##0.0_);\(#,##0.0\);\-_);@_)"/>
    <numFmt numFmtId="177" formatCode="0.00%_);\(0.00%\);@_)"/>
    <numFmt numFmtId="178" formatCode="0.0%"/>
    <numFmt numFmtId="179" formatCode="#,##0.0_);\(#,##0.0\)"/>
    <numFmt numFmtId="180" formatCode="0.000%"/>
    <numFmt numFmtId="181" formatCode="_(\$* #,##0.0_);_(\$* \(#,##0.0\);_(\$* \-??_);_(@_)"/>
    <numFmt numFmtId="182" formatCode="\$#,##0.00_);&quot;($&quot;#,##0.00\);@_)"/>
    <numFmt numFmtId="183" formatCode="_(* #,##0.0_);_(* \(#,##0.0\);_(* \-?_);_(@_)"/>
    <numFmt numFmtId="184" formatCode="\$#,##0.00_);[Red]&quot;($&quot;#,##0.00\)"/>
    <numFmt numFmtId="185" formatCode="\$#,##0.00"/>
  </numFmts>
  <fonts count="24" x14ac:knownFonts="1">
    <font>
      <sz val="10"/>
      <color rgb="FF000000"/>
      <name val="Calibri"/>
      <charset val="1"/>
    </font>
    <font>
      <b/>
      <sz val="15"/>
      <color theme="1"/>
      <name val="Calibri"/>
      <family val="2"/>
      <charset val="1"/>
    </font>
    <font>
      <b/>
      <sz val="18"/>
      <color rgb="FF000000"/>
      <name val="Aptos Narrow"/>
    </font>
    <font>
      <sz val="18"/>
      <color theme="1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1"/>
      <color rgb="FF000000"/>
      <name val="Calibri"/>
      <family val="2"/>
    </font>
    <font>
      <sz val="10"/>
      <color theme="1"/>
      <name val="Arial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8000"/>
      <name val="Calibri"/>
      <family val="2"/>
      <charset val="1"/>
    </font>
    <font>
      <sz val="14"/>
      <color rgb="FF000000"/>
      <name val="Aptos Narrow"/>
    </font>
    <font>
      <b/>
      <sz val="11"/>
      <color theme="1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FF"/>
      <name val="Calibri"/>
      <family val="2"/>
    </font>
    <font>
      <i/>
      <sz val="11"/>
      <color rgb="FF000000"/>
      <name val="Calibri"/>
      <family val="2"/>
    </font>
    <font>
      <i/>
      <sz val="11"/>
      <color rgb="FF000000"/>
      <name val="Calibri"/>
      <family val="2"/>
      <charset val="1"/>
    </font>
    <font>
      <sz val="10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b/>
      <i/>
      <sz val="11"/>
      <color rgb="FF000000"/>
      <name val="Calibri"/>
      <family val="2"/>
    </font>
    <font>
      <b/>
      <i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rgb="FF0000FF"/>
      <name val="Calibri"/>
      <family val="2"/>
      <charset val="1"/>
    </font>
    <font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  <fill>
      <patternFill patternType="solid">
        <fgColor rgb="FFC0E6F5"/>
        <bgColor rgb="FFCCFFFF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6" fontId="9" fillId="0" borderId="0"/>
    <xf numFmtId="9" fontId="9" fillId="0" borderId="0"/>
  </cellStyleXfs>
  <cellXfs count="145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 readingOrder="1"/>
    </xf>
    <xf numFmtId="0" fontId="5" fillId="0" borderId="0" xfId="0" applyFont="1" applyAlignment="1">
      <alignment horizontal="left" vertical="top" readingOrder="1"/>
    </xf>
    <xf numFmtId="0" fontId="8" fillId="0" borderId="0" xfId="0" applyFont="1" applyAlignment="1">
      <alignment horizontal="left" vertical="top" readingOrder="1"/>
    </xf>
    <xf numFmtId="15" fontId="8" fillId="0" borderId="0" xfId="0" applyNumberFormat="1" applyFont="1" applyAlignment="1">
      <alignment horizontal="right" vertical="top" readingOrder="1"/>
    </xf>
    <xf numFmtId="165" fontId="5" fillId="0" borderId="0" xfId="0" applyNumberFormat="1" applyFont="1" applyAlignment="1">
      <alignment horizontal="right" vertical="top" readingOrder="1"/>
    </xf>
    <xf numFmtId="166" fontId="5" fillId="0" borderId="0" xfId="1" applyFont="1" applyAlignment="1">
      <alignment horizontal="right" vertical="top" readingOrder="1"/>
    </xf>
    <xf numFmtId="167" fontId="5" fillId="0" borderId="0" xfId="0" applyNumberFormat="1" applyFont="1" applyAlignment="1">
      <alignment horizontal="right" vertical="top" readingOrder="1"/>
    </xf>
    <xf numFmtId="165" fontId="10" fillId="0" borderId="0" xfId="0" applyNumberFormat="1" applyFont="1" applyAlignment="1">
      <alignment horizontal="right" vertical="top" readingOrder="1"/>
    </xf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68" fontId="13" fillId="0" borderId="6" xfId="0" applyNumberFormat="1" applyFont="1" applyBorder="1"/>
    <xf numFmtId="169" fontId="13" fillId="0" borderId="6" xfId="0" applyNumberFormat="1" applyFont="1" applyBorder="1"/>
    <xf numFmtId="10" fontId="7" fillId="0" borderId="0" xfId="0" applyNumberFormat="1" applyFont="1" applyAlignment="1">
      <alignment horizontal="left" readingOrder="1"/>
    </xf>
    <xf numFmtId="170" fontId="14" fillId="2" borderId="0" xfId="0" applyNumberFormat="1" applyFont="1" applyFill="1" applyAlignment="1">
      <alignment horizontal="right" vertical="top" readingOrder="1"/>
    </xf>
    <xf numFmtId="171" fontId="14" fillId="2" borderId="0" xfId="0" applyNumberFormat="1" applyFont="1" applyFill="1"/>
    <xf numFmtId="172" fontId="14" fillId="2" borderId="0" xfId="0" applyNumberFormat="1" applyFont="1" applyFill="1"/>
    <xf numFmtId="172" fontId="5" fillId="0" borderId="0" xfId="0" applyNumberFormat="1" applyFont="1" applyAlignment="1">
      <alignment horizontal="left" readingOrder="1"/>
    </xf>
    <xf numFmtId="0" fontId="15" fillId="0" borderId="0" xfId="0" applyFont="1" applyAlignment="1">
      <alignment horizontal="left" vertical="top" readingOrder="1"/>
    </xf>
    <xf numFmtId="0" fontId="16" fillId="0" borderId="0" xfId="0" applyFont="1" applyAlignment="1">
      <alignment horizontal="left" vertical="top" readingOrder="1"/>
    </xf>
    <xf numFmtId="10" fontId="5" fillId="0" borderId="0" xfId="0" applyNumberFormat="1" applyFont="1" applyAlignment="1">
      <alignment horizontal="right" vertical="top" readingOrder="1"/>
    </xf>
    <xf numFmtId="173" fontId="14" fillId="2" borderId="0" xfId="0" applyNumberFormat="1" applyFont="1" applyFill="1" applyAlignment="1">
      <alignment horizontal="left" readingOrder="1"/>
    </xf>
    <xf numFmtId="10" fontId="5" fillId="0" borderId="0" xfId="0" applyNumberFormat="1" applyFont="1" applyAlignment="1">
      <alignment horizontal="left" readingOrder="1"/>
    </xf>
    <xf numFmtId="10" fontId="12" fillId="0" borderId="0" xfId="0" applyNumberFormat="1" applyFont="1" applyAlignment="1">
      <alignment horizontal="left" readingOrder="1"/>
    </xf>
    <xf numFmtId="0" fontId="8" fillId="0" borderId="0" xfId="0" applyFont="1" applyAlignment="1">
      <alignment horizontal="right" vertical="top" readingOrder="1"/>
    </xf>
    <xf numFmtId="174" fontId="5" fillId="0" borderId="0" xfId="0" applyNumberFormat="1" applyFont="1" applyAlignment="1">
      <alignment horizontal="left" readingOrder="1"/>
    </xf>
    <xf numFmtId="0" fontId="5" fillId="0" borderId="0" xfId="0" applyFont="1" applyAlignment="1">
      <alignment horizontal="left"/>
    </xf>
    <xf numFmtId="175" fontId="14" fillId="2" borderId="0" xfId="0" applyNumberFormat="1" applyFont="1" applyFill="1" applyAlignment="1">
      <alignment horizontal="right" vertical="center"/>
    </xf>
    <xf numFmtId="176" fontId="5" fillId="0" borderId="0" xfId="0" applyNumberFormat="1" applyFont="1" applyAlignment="1">
      <alignment horizontal="right" readingOrder="1"/>
    </xf>
    <xf numFmtId="176" fontId="5" fillId="0" borderId="0" xfId="0" applyNumberFormat="1" applyFont="1" applyAlignment="1">
      <alignment horizontal="right"/>
    </xf>
    <xf numFmtId="175" fontId="8" fillId="0" borderId="0" xfId="0" applyNumberFormat="1" applyFont="1" applyAlignment="1">
      <alignment horizontal="right" vertical="center"/>
    </xf>
    <xf numFmtId="176" fontId="7" fillId="0" borderId="0" xfId="0" applyNumberFormat="1" applyFont="1" applyAlignment="1">
      <alignment horizontal="left" readingOrder="1"/>
    </xf>
    <xf numFmtId="170" fontId="14" fillId="2" borderId="0" xfId="0" applyNumberFormat="1" applyFont="1" applyFill="1" applyAlignment="1">
      <alignment horizontal="right" vertical="center"/>
    </xf>
    <xf numFmtId="170" fontId="5" fillId="0" borderId="0" xfId="0" applyNumberFormat="1" applyFont="1" applyAlignment="1">
      <alignment horizontal="right" readingOrder="1"/>
    </xf>
    <xf numFmtId="176" fontId="17" fillId="0" borderId="0" xfId="0" applyNumberFormat="1" applyFont="1"/>
    <xf numFmtId="176" fontId="8" fillId="0" borderId="0" xfId="0" applyNumberFormat="1" applyFont="1"/>
    <xf numFmtId="0" fontId="13" fillId="0" borderId="0" xfId="0" applyFont="1"/>
    <xf numFmtId="0" fontId="15" fillId="0" borderId="0" xfId="0" applyFont="1" applyAlignment="1">
      <alignment horizontal="left"/>
    </xf>
    <xf numFmtId="10" fontId="5" fillId="0" borderId="0" xfId="0" applyNumberFormat="1" applyFont="1" applyAlignment="1">
      <alignment horizontal="right"/>
    </xf>
    <xf numFmtId="173" fontId="14" fillId="2" borderId="0" xfId="0" applyNumberFormat="1" applyFont="1" applyFill="1" applyAlignment="1">
      <alignment horizontal="right" readingOrder="1"/>
    </xf>
    <xf numFmtId="177" fontId="14" fillId="2" borderId="0" xfId="0" applyNumberFormat="1" applyFont="1" applyFill="1" applyAlignment="1">
      <alignment horizontal="right" readingOrder="1"/>
    </xf>
    <xf numFmtId="178" fontId="14" fillId="2" borderId="0" xfId="0" applyNumberFormat="1" applyFont="1" applyFill="1" applyAlignment="1">
      <alignment horizontal="right" readingOrder="1"/>
    </xf>
    <xf numFmtId="0" fontId="16" fillId="0" borderId="0" xfId="0" applyFont="1" applyAlignment="1">
      <alignment horizontal="right" vertical="top" readingOrder="1"/>
    </xf>
    <xf numFmtId="0" fontId="18" fillId="0" borderId="0" xfId="0" applyFont="1" applyAlignment="1">
      <alignment horizontal="right" readingOrder="1"/>
    </xf>
    <xf numFmtId="0" fontId="5" fillId="0" borderId="0" xfId="0" applyFont="1" applyAlignment="1">
      <alignment horizontal="right" vertical="top" readingOrder="1"/>
    </xf>
    <xf numFmtId="4" fontId="5" fillId="0" borderId="0" xfId="0" applyNumberFormat="1" applyFont="1" applyAlignment="1">
      <alignment horizontal="right" vertical="top" readingOrder="1"/>
    </xf>
    <xf numFmtId="0" fontId="7" fillId="0" borderId="0" xfId="0" applyFont="1"/>
    <xf numFmtId="0" fontId="15" fillId="0" borderId="0" xfId="0" applyFont="1"/>
    <xf numFmtId="0" fontId="18" fillId="0" borderId="0" xfId="0" applyFont="1"/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0" xfId="0" applyFont="1"/>
    <xf numFmtId="0" fontId="13" fillId="0" borderId="1" xfId="0" applyFont="1" applyBorder="1"/>
    <xf numFmtId="0" fontId="12" fillId="0" borderId="1" xfId="0" applyFont="1" applyBorder="1"/>
    <xf numFmtId="0" fontId="7" fillId="0" borderId="1" xfId="0" applyFont="1" applyBorder="1"/>
    <xf numFmtId="0" fontId="7" fillId="0" borderId="6" xfId="0" applyFont="1" applyBorder="1"/>
    <xf numFmtId="0" fontId="5" fillId="0" borderId="1" xfId="0" applyFont="1" applyBorder="1"/>
    <xf numFmtId="170" fontId="5" fillId="0" borderId="0" xfId="0" applyNumberFormat="1" applyFont="1"/>
    <xf numFmtId="171" fontId="5" fillId="0" borderId="0" xfId="0" applyNumberFormat="1" applyFont="1"/>
    <xf numFmtId="172" fontId="5" fillId="0" borderId="0" xfId="0" applyNumberFormat="1" applyFont="1"/>
    <xf numFmtId="178" fontId="14" fillId="2" borderId="0" xfId="0" applyNumberFormat="1" applyFont="1" applyFill="1"/>
    <xf numFmtId="173" fontId="14" fillId="2" borderId="0" xfId="0" applyNumberFormat="1" applyFont="1" applyFill="1"/>
    <xf numFmtId="172" fontId="5" fillId="0" borderId="9" xfId="0" applyNumberFormat="1" applyFont="1" applyBorder="1"/>
    <xf numFmtId="179" fontId="7" fillId="0" borderId="0" xfId="0" applyNumberFormat="1" applyFont="1" applyAlignment="1">
      <alignment horizontal="left"/>
    </xf>
    <xf numFmtId="179" fontId="5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164" fontId="5" fillId="0" borderId="0" xfId="0" applyNumberFormat="1" applyFont="1"/>
    <xf numFmtId="179" fontId="5" fillId="0" borderId="1" xfId="0" applyNumberFormat="1" applyFont="1" applyBorder="1" applyAlignment="1">
      <alignment horizontal="left"/>
    </xf>
    <xf numFmtId="164" fontId="5" fillId="0" borderId="1" xfId="0" applyNumberFormat="1" applyFont="1" applyBorder="1"/>
    <xf numFmtId="172" fontId="13" fillId="0" borderId="0" xfId="0" applyNumberFormat="1" applyFont="1"/>
    <xf numFmtId="180" fontId="7" fillId="0" borderId="0" xfId="0" applyNumberFormat="1" applyFont="1"/>
    <xf numFmtId="10" fontId="8" fillId="0" borderId="0" xfId="0" applyNumberFormat="1" applyFont="1"/>
    <xf numFmtId="178" fontId="8" fillId="0" borderId="0" xfId="0" applyNumberFormat="1" applyFont="1"/>
    <xf numFmtId="178" fontId="18" fillId="0" borderId="0" xfId="0" applyNumberFormat="1" applyFont="1"/>
    <xf numFmtId="10" fontId="13" fillId="0" borderId="0" xfId="0" applyNumberFormat="1" applyFont="1"/>
    <xf numFmtId="172" fontId="7" fillId="0" borderId="0" xfId="0" applyNumberFormat="1" applyFont="1"/>
    <xf numFmtId="181" fontId="5" fillId="0" borderId="0" xfId="0" applyNumberFormat="1" applyFont="1"/>
    <xf numFmtId="172" fontId="12" fillId="0" borderId="0" xfId="0" applyNumberFormat="1" applyFont="1"/>
    <xf numFmtId="172" fontId="13" fillId="0" borderId="9" xfId="0" applyNumberFormat="1" applyFont="1" applyBorder="1"/>
    <xf numFmtId="10" fontId="5" fillId="0" borderId="0" xfId="0" applyNumberFormat="1" applyFont="1"/>
    <xf numFmtId="0" fontId="19" fillId="0" borderId="0" xfId="0" applyFont="1"/>
    <xf numFmtId="0" fontId="20" fillId="0" borderId="0" xfId="0" applyFont="1"/>
    <xf numFmtId="179" fontId="21" fillId="0" borderId="0" xfId="0" applyNumberFormat="1" applyFont="1" applyAlignment="1">
      <alignment horizontal="right"/>
    </xf>
    <xf numFmtId="179" fontId="17" fillId="0" borderId="0" xfId="0" applyNumberFormat="1" applyFont="1"/>
    <xf numFmtId="0" fontId="17" fillId="0" borderId="0" xfId="0" applyFont="1"/>
    <xf numFmtId="178" fontId="22" fillId="0" borderId="0" xfId="0" applyNumberFormat="1" applyFont="1" applyAlignment="1">
      <alignment horizontal="right"/>
    </xf>
    <xf numFmtId="10" fontId="14" fillId="2" borderId="0" xfId="0" applyNumberFormat="1" applyFont="1" applyFill="1" applyAlignment="1">
      <alignment horizontal="right"/>
    </xf>
    <xf numFmtId="10" fontId="8" fillId="0" borderId="0" xfId="0" applyNumberFormat="1" applyFont="1" applyAlignment="1">
      <alignment horizontal="right"/>
    </xf>
    <xf numFmtId="178" fontId="17" fillId="0" borderId="0" xfId="0" applyNumberFormat="1" applyFont="1"/>
    <xf numFmtId="169" fontId="13" fillId="0" borderId="0" xfId="0" applyNumberFormat="1" applyFont="1"/>
    <xf numFmtId="179" fontId="7" fillId="0" borderId="0" xfId="0" applyNumberFormat="1" applyFont="1" applyAlignment="1">
      <alignment horizontal="right"/>
    </xf>
    <xf numFmtId="2" fontId="5" fillId="0" borderId="0" xfId="0" applyNumberFormat="1" applyFont="1"/>
    <xf numFmtId="39" fontId="5" fillId="0" borderId="0" xfId="0" applyNumberFormat="1" applyFont="1"/>
    <xf numFmtId="172" fontId="12" fillId="0" borderId="0" xfId="0" applyNumberFormat="1" applyFont="1" applyAlignment="1">
      <alignment horizontal="right"/>
    </xf>
    <xf numFmtId="172" fontId="13" fillId="0" borderId="9" xfId="0" applyNumberFormat="1" applyFont="1" applyBorder="1" applyAlignment="1">
      <alignment horizontal="right"/>
    </xf>
    <xf numFmtId="172" fontId="17" fillId="0" borderId="0" xfId="0" applyNumberFormat="1" applyFont="1"/>
    <xf numFmtId="0" fontId="21" fillId="0" borderId="0" xfId="0" applyFont="1"/>
    <xf numFmtId="182" fontId="5" fillId="0" borderId="0" xfId="0" applyNumberFormat="1" applyFont="1"/>
    <xf numFmtId="167" fontId="5" fillId="0" borderId="0" xfId="0" applyNumberFormat="1" applyFont="1"/>
    <xf numFmtId="10" fontId="7" fillId="0" borderId="0" xfId="0" applyNumberFormat="1" applyFont="1"/>
    <xf numFmtId="178" fontId="5" fillId="0" borderId="0" xfId="0" applyNumberFormat="1" applyFont="1" applyAlignment="1">
      <alignment horizontal="right"/>
    </xf>
    <xf numFmtId="10" fontId="14" fillId="2" borderId="0" xfId="0" applyNumberFormat="1" applyFont="1" applyFill="1"/>
    <xf numFmtId="173" fontId="5" fillId="0" borderId="0" xfId="0" applyNumberFormat="1" applyFont="1"/>
    <xf numFmtId="0" fontId="14" fillId="2" borderId="0" xfId="0" applyFont="1" applyFill="1"/>
    <xf numFmtId="182" fontId="14" fillId="2" borderId="0" xfId="0" applyNumberFormat="1" applyFont="1" applyFill="1"/>
    <xf numFmtId="0" fontId="5" fillId="3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183" fontId="7" fillId="0" borderId="0" xfId="0" applyNumberFormat="1" applyFont="1"/>
    <xf numFmtId="172" fontId="7" fillId="0" borderId="0" xfId="0" applyNumberFormat="1" applyFont="1" applyAlignment="1">
      <alignment horizontal="right"/>
    </xf>
    <xf numFmtId="179" fontId="10" fillId="0" borderId="0" xfId="0" applyNumberFormat="1" applyFont="1" applyAlignment="1">
      <alignment horizontal="right"/>
    </xf>
    <xf numFmtId="166" fontId="14" fillId="2" borderId="0" xfId="0" applyNumberFormat="1" applyFont="1" applyFill="1"/>
    <xf numFmtId="164" fontId="5" fillId="0" borderId="0" xfId="0" applyNumberFormat="1" applyFont="1" applyAlignment="1">
      <alignment horizontal="right"/>
    </xf>
    <xf numFmtId="0" fontId="5" fillId="0" borderId="10" xfId="0" applyFont="1" applyBorder="1"/>
    <xf numFmtId="184" fontId="13" fillId="0" borderId="11" xfId="0" applyNumberFormat="1" applyFont="1" applyBorder="1" applyAlignment="1">
      <alignment horizontal="right"/>
    </xf>
    <xf numFmtId="0" fontId="7" fillId="0" borderId="3" xfId="0" applyFont="1" applyBorder="1" applyAlignment="1">
      <alignment horizontal="left"/>
    </xf>
    <xf numFmtId="175" fontId="7" fillId="0" borderId="0" xfId="0" applyNumberFormat="1" applyFont="1" applyAlignment="1">
      <alignment horizontal="right"/>
    </xf>
    <xf numFmtId="10" fontId="5" fillId="0" borderId="9" xfId="0" applyNumberFormat="1" applyFont="1" applyBorder="1"/>
    <xf numFmtId="166" fontId="6" fillId="0" borderId="0" xfId="0" applyNumberFormat="1" applyFont="1"/>
    <xf numFmtId="185" fontId="17" fillId="0" borderId="0" xfId="0" applyNumberFormat="1" applyFont="1"/>
    <xf numFmtId="175" fontId="17" fillId="0" borderId="0" xfId="0" applyNumberFormat="1" applyFont="1"/>
    <xf numFmtId="10" fontId="17" fillId="0" borderId="0" xfId="0" applyNumberFormat="1" applyFont="1"/>
    <xf numFmtId="170" fontId="17" fillId="0" borderId="0" xfId="0" applyNumberFormat="1" applyFont="1"/>
    <xf numFmtId="174" fontId="17" fillId="0" borderId="0" xfId="0" applyNumberFormat="1" applyFont="1"/>
    <xf numFmtId="0" fontId="23" fillId="4" borderId="0" xfId="0" applyFont="1" applyFill="1"/>
    <xf numFmtId="0" fontId="11" fillId="4" borderId="2" xfId="0" applyFont="1" applyFill="1" applyBorder="1"/>
    <xf numFmtId="0" fontId="13" fillId="0" borderId="0" xfId="0" applyFont="1" applyAlignment="1">
      <alignment horizontal="center" readingOrder="1"/>
    </xf>
    <xf numFmtId="10" fontId="5" fillId="0" borderId="0" xfId="0" applyNumberFormat="1" applyFont="1" applyAlignment="1">
      <alignment horizontal="center" readingOrder="1"/>
    </xf>
    <xf numFmtId="10" fontId="5" fillId="0" borderId="0" xfId="2" applyNumberFormat="1" applyFont="1" applyAlignment="1">
      <alignment horizontal="center" readingOrder="1"/>
    </xf>
    <xf numFmtId="10" fontId="7" fillId="0" borderId="0" xfId="0" applyNumberFormat="1" applyFont="1" applyAlignment="1">
      <alignment horizontal="center" readingOrder="1"/>
    </xf>
    <xf numFmtId="10" fontId="12" fillId="0" borderId="0" xfId="0" applyNumberFormat="1" applyFont="1" applyAlignment="1">
      <alignment horizontal="center" readingOrder="1"/>
    </xf>
    <xf numFmtId="0" fontId="7" fillId="0" borderId="0" xfId="0" applyFont="1" applyAlignment="1">
      <alignment horizontal="center" readingOrder="1"/>
    </xf>
    <xf numFmtId="0" fontId="5" fillId="0" borderId="0" xfId="0" applyFont="1" applyAlignment="1">
      <alignment horizontal="center" readingOrder="1"/>
    </xf>
    <xf numFmtId="178" fontId="5" fillId="0" borderId="0" xfId="0" applyNumberFormat="1" applyFont="1" applyAlignment="1">
      <alignment horizontal="center" readingOrder="1"/>
    </xf>
    <xf numFmtId="0" fontId="13" fillId="0" borderId="0" xfId="0" applyFont="1" applyAlignment="1">
      <alignment horizontal="center"/>
    </xf>
    <xf numFmtId="0" fontId="13" fillId="4" borderId="5" xfId="0" applyFont="1" applyFill="1" applyBorder="1" applyAlignment="1">
      <alignment horizontal="center" vertical="center"/>
    </xf>
    <xf numFmtId="0" fontId="15" fillId="0" borderId="0" xfId="0" applyFont="1" applyFill="1" applyAlignment="1">
      <alignment vertical="top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F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6"/>
  <sheetViews>
    <sheetView tabSelected="1" zoomScaleNormal="100" workbookViewId="0">
      <selection activeCell="R21" sqref="R21"/>
    </sheetView>
  </sheetViews>
  <sheetFormatPr baseColWidth="10" defaultColWidth="14.3984375" defaultRowHeight="14" x14ac:dyDescent="0.2"/>
  <cols>
    <col min="1" max="2" width="1.796875" customWidth="1"/>
    <col min="3" max="3" width="42" customWidth="1"/>
    <col min="4" max="10" width="14.59765625" customWidth="1"/>
    <col min="11" max="13" width="12.19921875" customWidth="1"/>
    <col min="14" max="14" width="14.19921875" customWidth="1"/>
    <col min="15" max="15" width="12.19921875" customWidth="1"/>
    <col min="16" max="16" width="9.19921875" customWidth="1"/>
    <col min="17" max="17" width="16.796875" customWidth="1"/>
    <col min="18" max="18" width="15.59765625" customWidth="1"/>
    <col min="19" max="19" width="17.19921875" customWidth="1"/>
    <col min="20" max="20" width="10" customWidth="1"/>
    <col min="21" max="29" width="8" customWidth="1"/>
  </cols>
  <sheetData>
    <row r="1" spans="1:29" ht="23.25" customHeight="1" x14ac:dyDescent="0.3">
      <c r="A1" s="1"/>
      <c r="C1" s="2" t="s">
        <v>88</v>
      </c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12.75" customHeight="1" x14ac:dyDescent="0.2">
      <c r="S2" s="6"/>
    </row>
    <row r="3" spans="1:29" ht="14.25" customHeight="1" x14ac:dyDescent="0.2">
      <c r="A3" s="9"/>
      <c r="B3" s="9"/>
      <c r="C3" s="10" t="s">
        <v>0</v>
      </c>
      <c r="D3" s="11"/>
      <c r="E3" s="12"/>
      <c r="F3" s="12"/>
      <c r="G3" s="12"/>
      <c r="H3" s="12"/>
      <c r="I3" s="13"/>
      <c r="J3" s="9"/>
      <c r="K3" s="9"/>
      <c r="L3" s="9"/>
      <c r="M3" s="9"/>
      <c r="N3" s="9"/>
      <c r="O3" s="9"/>
      <c r="P3" s="9"/>
      <c r="Q3" s="9"/>
      <c r="R3" s="9"/>
      <c r="S3" s="9"/>
      <c r="Y3" s="9"/>
      <c r="Z3" s="9"/>
      <c r="AA3" s="9"/>
      <c r="AB3" s="9"/>
      <c r="AC3" s="9"/>
    </row>
    <row r="4" spans="1:29" ht="14.25" customHeight="1" x14ac:dyDescent="0.2">
      <c r="A4" s="9"/>
      <c r="B4" s="9"/>
      <c r="C4" s="10" t="s">
        <v>1</v>
      </c>
      <c r="D4" s="11"/>
      <c r="E4" s="12"/>
      <c r="F4" s="12"/>
      <c r="G4" s="12"/>
      <c r="H4" s="12"/>
      <c r="I4" s="14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29" ht="14.25" customHeight="1" x14ac:dyDescent="0.2">
      <c r="A5" s="9"/>
      <c r="B5" s="9"/>
      <c r="C5" s="10" t="s">
        <v>2</v>
      </c>
      <c r="D5" s="11"/>
      <c r="E5" s="12"/>
      <c r="F5" s="12"/>
      <c r="G5" s="12"/>
      <c r="H5" s="12"/>
      <c r="I5" s="15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 ht="14.25" customHeight="1" x14ac:dyDescent="0.2">
      <c r="A6" s="9"/>
      <c r="B6" s="9"/>
      <c r="C6" s="11"/>
      <c r="D6" s="11"/>
      <c r="E6" s="12"/>
      <c r="F6" s="12"/>
      <c r="G6" s="12"/>
      <c r="H6" s="12"/>
      <c r="I6" s="16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1:29" ht="18" customHeight="1" x14ac:dyDescent="0.25">
      <c r="A7" s="9"/>
      <c r="B7" s="9"/>
      <c r="C7" s="132" t="s">
        <v>3</v>
      </c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spans="1:29" ht="14.25" customHeight="1" x14ac:dyDescent="0.2">
      <c r="A8" s="9"/>
      <c r="B8" s="9"/>
      <c r="C8" s="11"/>
      <c r="D8" s="11"/>
      <c r="E8" s="17"/>
      <c r="F8" s="18"/>
      <c r="G8" s="17"/>
      <c r="H8" s="17"/>
      <c r="I8" s="17"/>
      <c r="J8" s="19"/>
      <c r="K8" s="143" t="s">
        <v>4</v>
      </c>
      <c r="L8" s="143"/>
      <c r="M8" s="143"/>
      <c r="N8" s="143"/>
      <c r="O8" s="143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pans="1:29" ht="14.25" customHeight="1" x14ac:dyDescent="0.2">
      <c r="A9" s="9"/>
      <c r="B9" s="9"/>
      <c r="C9" s="11"/>
      <c r="D9" s="20">
        <f t="shared" ref="D9:I9" si="0">E9-365</f>
        <v>43772</v>
      </c>
      <c r="E9" s="20">
        <f t="shared" si="0"/>
        <v>44137</v>
      </c>
      <c r="F9" s="20">
        <f t="shared" si="0"/>
        <v>44502</v>
      </c>
      <c r="G9" s="20">
        <f t="shared" si="0"/>
        <v>44867</v>
      </c>
      <c r="H9" s="20">
        <f t="shared" si="0"/>
        <v>45232</v>
      </c>
      <c r="I9" s="20">
        <f t="shared" si="0"/>
        <v>45597</v>
      </c>
      <c r="J9" s="20">
        <v>45962</v>
      </c>
      <c r="K9" s="21">
        <f>J9+365</f>
        <v>46327</v>
      </c>
      <c r="L9" s="21">
        <f>K9+365</f>
        <v>46692</v>
      </c>
      <c r="M9" s="21">
        <f>L9+365</f>
        <v>47057</v>
      </c>
      <c r="N9" s="21">
        <f>M9+365</f>
        <v>47422</v>
      </c>
      <c r="O9" s="21">
        <f>N9+365</f>
        <v>47787</v>
      </c>
      <c r="P9" s="9"/>
      <c r="Q9" s="22"/>
      <c r="R9" s="22"/>
      <c r="S9" s="22"/>
      <c r="T9" s="22"/>
      <c r="U9" s="9"/>
      <c r="V9" s="9"/>
      <c r="W9" s="9"/>
      <c r="X9" s="9"/>
      <c r="Y9" s="9"/>
      <c r="Z9" s="9"/>
      <c r="AA9" s="9"/>
      <c r="AB9" s="9"/>
      <c r="AC9" s="9"/>
    </row>
    <row r="10" spans="1:29" ht="14.25" customHeight="1" x14ac:dyDescent="0.2">
      <c r="A10" s="9"/>
      <c r="B10" s="9"/>
      <c r="C10" s="10" t="s">
        <v>5</v>
      </c>
      <c r="D10" s="23"/>
      <c r="E10" s="24"/>
      <c r="F10" s="24"/>
      <c r="G10" s="24"/>
      <c r="H10" s="24"/>
      <c r="I10" s="24"/>
      <c r="J10" s="25"/>
      <c r="K10" s="26" t="e">
        <f>J10*(1+K11)</f>
        <v>#DIV/0!</v>
      </c>
      <c r="L10" s="26" t="e">
        <f>K10*(1+L11)</f>
        <v>#DIV/0!</v>
      </c>
      <c r="M10" s="26" t="e">
        <f>L10*(1+M11)</f>
        <v>#DIV/0!</v>
      </c>
      <c r="N10" s="26" t="e">
        <f>M10*(1+N11)</f>
        <v>#DIV/0!</v>
      </c>
      <c r="O10" s="26" t="e">
        <f>N10*(1+O11)</f>
        <v>#DIV/0!</v>
      </c>
      <c r="P10" s="9"/>
      <c r="Q10" s="134" t="s">
        <v>6</v>
      </c>
      <c r="R10" s="134" t="s">
        <v>7</v>
      </c>
      <c r="S10" s="134" t="s">
        <v>8</v>
      </c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spans="1:29" ht="14.25" customHeight="1" x14ac:dyDescent="0.2">
      <c r="A11" s="9"/>
      <c r="B11" s="9"/>
      <c r="C11" s="27" t="s">
        <v>9</v>
      </c>
      <c r="D11" s="28"/>
      <c r="E11" s="29" t="e">
        <f t="shared" ref="E11:J11" si="1">(E10/D10)-1</f>
        <v>#DIV/0!</v>
      </c>
      <c r="F11" s="29" t="e">
        <f t="shared" si="1"/>
        <v>#DIV/0!</v>
      </c>
      <c r="G11" s="29" t="e">
        <f t="shared" si="1"/>
        <v>#DIV/0!</v>
      </c>
      <c r="H11" s="29" t="e">
        <f t="shared" si="1"/>
        <v>#DIV/0!</v>
      </c>
      <c r="I11" s="29" t="e">
        <f t="shared" si="1"/>
        <v>#DIV/0!</v>
      </c>
      <c r="J11" s="29" t="e">
        <f t="shared" si="1"/>
        <v>#DIV/0!</v>
      </c>
      <c r="K11" s="30" t="e">
        <f>$Q$11</f>
        <v>#DIV/0!</v>
      </c>
      <c r="L11" s="30" t="e">
        <f>+K11</f>
        <v>#DIV/0!</v>
      </c>
      <c r="M11" s="30" t="e">
        <f>+L11</f>
        <v>#DIV/0!</v>
      </c>
      <c r="N11" s="30" t="e">
        <f>+M11</f>
        <v>#DIV/0!</v>
      </c>
      <c r="O11" s="30" t="e">
        <f>+N11</f>
        <v>#DIV/0!</v>
      </c>
      <c r="P11" s="9"/>
      <c r="Q11" s="135" t="e">
        <f>AVERAGE(E11:J11)</f>
        <v>#DIV/0!</v>
      </c>
      <c r="R11" s="135" t="e">
        <f>GEOMEAN(E12:J12)-1</f>
        <v>#DIV/0!</v>
      </c>
      <c r="S11" s="136" t="e">
        <f>HARMEAN(E12:J12)-1</f>
        <v>#DIV/0!</v>
      </c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pans="1:29" ht="14.25" customHeight="1" x14ac:dyDescent="0.2">
      <c r="A12" s="9"/>
      <c r="B12" s="9"/>
      <c r="C12" s="27" t="s">
        <v>10</v>
      </c>
      <c r="D12" s="28"/>
      <c r="E12" s="29" t="e">
        <f t="shared" ref="E12:J12" si="2">E11+1</f>
        <v>#DIV/0!</v>
      </c>
      <c r="F12" s="29" t="e">
        <f t="shared" si="2"/>
        <v>#DIV/0!</v>
      </c>
      <c r="G12" s="29" t="e">
        <f t="shared" si="2"/>
        <v>#DIV/0!</v>
      </c>
      <c r="H12" s="29" t="e">
        <f t="shared" si="2"/>
        <v>#DIV/0!</v>
      </c>
      <c r="I12" s="29" t="e">
        <f t="shared" si="2"/>
        <v>#DIV/0!</v>
      </c>
      <c r="J12" s="29" t="e">
        <f t="shared" si="2"/>
        <v>#DIV/0!</v>
      </c>
      <c r="P12" s="9"/>
      <c r="Q12" s="137"/>
      <c r="R12" s="138"/>
      <c r="S12" s="13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spans="1:29" ht="14.25" customHeight="1" x14ac:dyDescent="0.2">
      <c r="A13" s="9"/>
      <c r="B13" s="9"/>
      <c r="C13" s="11"/>
      <c r="D13" s="33"/>
      <c r="E13" s="12"/>
      <c r="F13" s="12"/>
      <c r="G13" s="12"/>
      <c r="H13" s="12"/>
      <c r="I13" s="16"/>
      <c r="J13" s="9"/>
      <c r="K13" s="9"/>
      <c r="L13" s="9"/>
      <c r="M13" s="9"/>
      <c r="N13" s="9"/>
      <c r="O13" s="9"/>
      <c r="P13" s="9"/>
      <c r="Q13" s="139"/>
      <c r="R13" s="139"/>
      <c r="S13" s="13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spans="1:29" ht="14.25" customHeight="1" x14ac:dyDescent="0.2">
      <c r="A14" s="9"/>
      <c r="B14" s="9"/>
      <c r="C14" s="10" t="s">
        <v>11</v>
      </c>
      <c r="D14" s="23"/>
      <c r="E14" s="25"/>
      <c r="F14" s="25"/>
      <c r="G14" s="25"/>
      <c r="H14" s="25"/>
      <c r="I14" s="25"/>
      <c r="J14" s="25"/>
      <c r="K14" s="34" t="e">
        <f>K15*K10</f>
        <v>#DIV/0!</v>
      </c>
      <c r="L14" s="34" t="e">
        <f>L15*L10</f>
        <v>#DIV/0!</v>
      </c>
      <c r="M14" s="34" t="e">
        <f>M15*M10</f>
        <v>#DIV/0!</v>
      </c>
      <c r="N14" s="34" t="e">
        <f>N15*N10</f>
        <v>#DIV/0!</v>
      </c>
      <c r="O14" s="34" t="e">
        <f>O15*O10</f>
        <v>#DIV/0!</v>
      </c>
      <c r="P14" s="9"/>
      <c r="Q14" s="134" t="s">
        <v>6</v>
      </c>
      <c r="R14" s="134" t="s">
        <v>7</v>
      </c>
      <c r="S14" s="134" t="s">
        <v>8</v>
      </c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spans="1:29" ht="14.25" customHeight="1" x14ac:dyDescent="0.2">
      <c r="A15" s="9"/>
      <c r="B15" s="9"/>
      <c r="C15" s="27" t="s">
        <v>12</v>
      </c>
      <c r="D15" s="29" t="e">
        <f t="shared" ref="D15:J15" si="3">D14/D10</f>
        <v>#DIV/0!</v>
      </c>
      <c r="E15" s="29" t="e">
        <f t="shared" si="3"/>
        <v>#DIV/0!</v>
      </c>
      <c r="F15" s="29" t="e">
        <f t="shared" si="3"/>
        <v>#DIV/0!</v>
      </c>
      <c r="G15" s="29" t="e">
        <f t="shared" si="3"/>
        <v>#DIV/0!</v>
      </c>
      <c r="H15" s="29" t="e">
        <f t="shared" si="3"/>
        <v>#DIV/0!</v>
      </c>
      <c r="I15" s="29" t="e">
        <f t="shared" si="3"/>
        <v>#DIV/0!</v>
      </c>
      <c r="J15" s="29" t="e">
        <f t="shared" si="3"/>
        <v>#DIV/0!</v>
      </c>
      <c r="K15" s="30" t="e">
        <f>$R$15</f>
        <v>#DIV/0!</v>
      </c>
      <c r="L15" s="30" t="e">
        <f>+K15</f>
        <v>#DIV/0!</v>
      </c>
      <c r="M15" s="30" t="e">
        <f>+L15</f>
        <v>#DIV/0!</v>
      </c>
      <c r="N15" s="30" t="e">
        <f>+M15</f>
        <v>#DIV/0!</v>
      </c>
      <c r="O15" s="30" t="e">
        <f>+N15</f>
        <v>#DIV/0!</v>
      </c>
      <c r="P15" s="9"/>
      <c r="Q15" s="135" t="e">
        <f>AVERAGE(D15:J15)</f>
        <v>#DIV/0!</v>
      </c>
      <c r="R15" s="135" t="e">
        <f>GEOMEAN(D15:J15)</f>
        <v>#DIV/0!</v>
      </c>
      <c r="S15" s="136" t="e">
        <f>HARMEAN(E15:J15)</f>
        <v>#DIV/0!</v>
      </c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spans="1:29" ht="14.25" customHeight="1" x14ac:dyDescent="0.2">
      <c r="A16" s="9"/>
      <c r="B16" s="9"/>
      <c r="C16" s="11"/>
      <c r="D16" s="33"/>
      <c r="E16" s="12"/>
      <c r="F16" s="12"/>
      <c r="G16" s="12"/>
      <c r="H16" s="12"/>
      <c r="I16" s="16"/>
      <c r="J16" s="9"/>
      <c r="K16" s="9"/>
      <c r="L16" s="9"/>
      <c r="M16" s="9"/>
      <c r="N16" s="9"/>
      <c r="O16" s="9"/>
      <c r="P16" s="9"/>
      <c r="Q16" s="139"/>
      <c r="R16" s="139"/>
      <c r="S16" s="13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spans="1:29" ht="14.25" customHeight="1" x14ac:dyDescent="0.2">
      <c r="A17" s="9"/>
      <c r="B17" s="9"/>
      <c r="C17" s="10" t="s">
        <v>13</v>
      </c>
      <c r="D17" s="23"/>
      <c r="E17" s="25"/>
      <c r="F17" s="25"/>
      <c r="G17" s="25"/>
      <c r="H17" s="25"/>
      <c r="I17" s="25"/>
      <c r="J17" s="25"/>
      <c r="K17" s="34" t="e">
        <f>K18*K10</f>
        <v>#DIV/0!</v>
      </c>
      <c r="L17" s="34" t="e">
        <f>L18*L10</f>
        <v>#DIV/0!</v>
      </c>
      <c r="M17" s="34" t="e">
        <f>M18*M10</f>
        <v>#DIV/0!</v>
      </c>
      <c r="N17" s="34" t="e">
        <f>N18*N10</f>
        <v>#DIV/0!</v>
      </c>
      <c r="O17" s="34" t="e">
        <f>O18*O10</f>
        <v>#DIV/0!</v>
      </c>
      <c r="P17" s="9"/>
      <c r="Q17" s="134" t="s">
        <v>6</v>
      </c>
      <c r="R17" s="134" t="s">
        <v>7</v>
      </c>
      <c r="S17" s="134" t="s">
        <v>8</v>
      </c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spans="1:29" ht="14.25" customHeight="1" x14ac:dyDescent="0.2">
      <c r="A18" s="9"/>
      <c r="B18" s="9"/>
      <c r="C18" s="27" t="s">
        <v>14</v>
      </c>
      <c r="D18" s="29" t="e">
        <f t="shared" ref="D18:J18" si="4">D17/D10</f>
        <v>#DIV/0!</v>
      </c>
      <c r="E18" s="29" t="e">
        <f t="shared" si="4"/>
        <v>#DIV/0!</v>
      </c>
      <c r="F18" s="29" t="e">
        <f t="shared" si="4"/>
        <v>#DIV/0!</v>
      </c>
      <c r="G18" s="29" t="e">
        <f t="shared" si="4"/>
        <v>#DIV/0!</v>
      </c>
      <c r="H18" s="29" t="e">
        <f t="shared" si="4"/>
        <v>#DIV/0!</v>
      </c>
      <c r="I18" s="29" t="e">
        <f t="shared" si="4"/>
        <v>#DIV/0!</v>
      </c>
      <c r="J18" s="29" t="e">
        <f t="shared" si="4"/>
        <v>#DIV/0!</v>
      </c>
      <c r="K18" s="30" t="e">
        <f>$R$18</f>
        <v>#DIV/0!</v>
      </c>
      <c r="L18" s="30" t="e">
        <f>+K18</f>
        <v>#DIV/0!</v>
      </c>
      <c r="M18" s="30" t="e">
        <f>+L18</f>
        <v>#DIV/0!</v>
      </c>
      <c r="N18" s="30" t="e">
        <f>+M18</f>
        <v>#DIV/0!</v>
      </c>
      <c r="O18" s="30" t="e">
        <f>+N18</f>
        <v>#DIV/0!</v>
      </c>
      <c r="P18" s="9"/>
      <c r="Q18" s="135" t="e">
        <f>AVERAGE(D18:J18)</f>
        <v>#DIV/0!</v>
      </c>
      <c r="R18" s="135" t="e">
        <f>GEOMEAN(D18:J18)</f>
        <v>#DIV/0!</v>
      </c>
      <c r="S18" s="136" t="e">
        <f>HARMEAN(E18:J18)</f>
        <v>#DIV/0!</v>
      </c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spans="1:29" ht="14.25" customHeight="1" x14ac:dyDescent="0.2">
      <c r="A19" s="9"/>
      <c r="B19" s="9"/>
      <c r="C19" s="11"/>
      <c r="D19" s="11"/>
      <c r="E19" s="12"/>
      <c r="F19" s="12"/>
      <c r="G19" s="12"/>
      <c r="H19" s="12"/>
      <c r="I19" s="16"/>
      <c r="J19" s="9"/>
      <c r="K19" s="9"/>
      <c r="L19" s="9"/>
      <c r="M19" s="9"/>
      <c r="N19" s="9"/>
      <c r="O19" s="9"/>
      <c r="P19" s="9"/>
      <c r="Q19" s="139"/>
      <c r="R19" s="139"/>
      <c r="S19" s="13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spans="1:29" ht="18" customHeight="1" thickBot="1" x14ac:dyDescent="0.3">
      <c r="A20" s="9"/>
      <c r="B20" s="9"/>
      <c r="C20" s="133" t="s">
        <v>15</v>
      </c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9"/>
      <c r="Q20" s="139"/>
      <c r="R20" s="139"/>
      <c r="S20" s="13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spans="1:29" ht="14.25" customHeight="1" x14ac:dyDescent="0.2">
      <c r="A21" s="9"/>
      <c r="B21" s="9"/>
      <c r="C21" s="11"/>
      <c r="D21" s="11"/>
      <c r="E21" s="17"/>
      <c r="F21" s="18"/>
      <c r="G21" s="17"/>
      <c r="H21" s="17"/>
      <c r="I21" s="17"/>
      <c r="J21" s="19"/>
      <c r="K21" s="143" t="s">
        <v>4</v>
      </c>
      <c r="L21" s="143"/>
      <c r="M21" s="143"/>
      <c r="N21" s="143"/>
      <c r="O21" s="143"/>
      <c r="P21" s="9"/>
      <c r="Q21" s="139"/>
      <c r="R21" s="139"/>
      <c r="S21" s="13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spans="1:29" ht="14.25" customHeight="1" x14ac:dyDescent="0.2">
      <c r="A22" s="9"/>
      <c r="B22" s="9"/>
      <c r="C22" s="11"/>
      <c r="D22" s="20">
        <f t="shared" ref="D22:I22" si="5">E22-365</f>
        <v>43772</v>
      </c>
      <c r="E22" s="20">
        <f t="shared" si="5"/>
        <v>44137</v>
      </c>
      <c r="F22" s="20">
        <f t="shared" si="5"/>
        <v>44502</v>
      </c>
      <c r="G22" s="20">
        <f t="shared" si="5"/>
        <v>44867</v>
      </c>
      <c r="H22" s="20">
        <f t="shared" si="5"/>
        <v>45232</v>
      </c>
      <c r="I22" s="20">
        <f t="shared" si="5"/>
        <v>45597</v>
      </c>
      <c r="J22" s="20">
        <v>45962</v>
      </c>
      <c r="K22" s="21">
        <f>J22+365</f>
        <v>46327</v>
      </c>
      <c r="L22" s="21">
        <f>K22+365</f>
        <v>46692</v>
      </c>
      <c r="M22" s="21">
        <f>L22+365</f>
        <v>47057</v>
      </c>
      <c r="N22" s="21">
        <f>M22+365</f>
        <v>47422</v>
      </c>
      <c r="O22" s="21">
        <f>N22+365</f>
        <v>47787</v>
      </c>
      <c r="P22" s="9"/>
      <c r="Q22" s="139"/>
      <c r="R22" s="139"/>
      <c r="S22" s="13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spans="1:29" ht="14.25" customHeight="1" x14ac:dyDescent="0.2">
      <c r="A23" s="9"/>
      <c r="B23" s="9"/>
      <c r="C23" s="35" t="s">
        <v>16</v>
      </c>
      <c r="D23" s="36"/>
      <c r="E23" s="36"/>
      <c r="F23" s="36"/>
      <c r="G23" s="36"/>
      <c r="H23" s="36"/>
      <c r="I23" s="36"/>
      <c r="J23" s="36"/>
      <c r="K23" s="37" t="e">
        <f>K34*K10</f>
        <v>#DIV/0!</v>
      </c>
      <c r="L23" s="37" t="e">
        <f>L34*L10</f>
        <v>#DIV/0!</v>
      </c>
      <c r="M23" s="37" t="e">
        <f>M34*M10</f>
        <v>#DIV/0!</v>
      </c>
      <c r="N23" s="37" t="e">
        <f>N34*N10</f>
        <v>#DIV/0!</v>
      </c>
      <c r="O23" s="37" t="e">
        <f>O34*O10</f>
        <v>#DIV/0!</v>
      </c>
      <c r="P23" s="9"/>
      <c r="Q23" s="139"/>
      <c r="R23" s="139"/>
      <c r="S23" s="13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spans="1:29" ht="14.25" customHeight="1" x14ac:dyDescent="0.2">
      <c r="A24" s="9"/>
      <c r="B24" s="9"/>
      <c r="C24" s="35" t="s">
        <v>17</v>
      </c>
      <c r="D24" s="36"/>
      <c r="E24" s="36"/>
      <c r="F24" s="36"/>
      <c r="G24" s="36"/>
      <c r="H24" s="36"/>
      <c r="I24" s="36"/>
      <c r="J24" s="36"/>
      <c r="K24" s="38" t="e">
        <f>K35*K10</f>
        <v>#DIV/0!</v>
      </c>
      <c r="L24" s="38" t="e">
        <f>L35*L10</f>
        <v>#DIV/0!</v>
      </c>
      <c r="M24" s="38" t="e">
        <f>M35*M10</f>
        <v>#DIV/0!</v>
      </c>
      <c r="N24" s="38" t="e">
        <f>N35*N10</f>
        <v>#DIV/0!</v>
      </c>
      <c r="O24" s="38" t="e">
        <f>O35*O10</f>
        <v>#DIV/0!</v>
      </c>
      <c r="P24" s="9"/>
      <c r="Q24" s="139"/>
      <c r="R24" s="139"/>
      <c r="S24" s="13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spans="1:29" ht="14.25" customHeight="1" x14ac:dyDescent="0.2">
      <c r="A25" s="9"/>
      <c r="B25" s="9"/>
      <c r="C25" s="35" t="s">
        <v>18</v>
      </c>
      <c r="D25" s="36"/>
      <c r="E25" s="36"/>
      <c r="F25" s="36"/>
      <c r="G25" s="36"/>
      <c r="H25" s="36"/>
      <c r="I25" s="36"/>
      <c r="J25" s="36"/>
      <c r="K25" s="37" t="e">
        <f>K36*K10</f>
        <v>#DIV/0!</v>
      </c>
      <c r="L25" s="37" t="e">
        <f>L36*L10</f>
        <v>#DIV/0!</v>
      </c>
      <c r="M25" s="37" t="e">
        <f>M36*M10</f>
        <v>#DIV/0!</v>
      </c>
      <c r="N25" s="37" t="e">
        <f>N36*N10</f>
        <v>#DIV/0!</v>
      </c>
      <c r="O25" s="37" t="e">
        <f>O36*O10</f>
        <v>#DIV/0!</v>
      </c>
      <c r="P25" s="9"/>
      <c r="Q25" s="139"/>
      <c r="R25" s="139"/>
      <c r="S25" s="13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spans="1:29" ht="14.25" customHeight="1" x14ac:dyDescent="0.2">
      <c r="A26" s="9"/>
      <c r="B26" s="9"/>
      <c r="C26" s="11"/>
      <c r="D26" s="39"/>
      <c r="E26" s="39"/>
      <c r="F26" s="39"/>
      <c r="G26" s="39"/>
      <c r="H26" s="39"/>
      <c r="I26" s="39"/>
      <c r="J26" s="39"/>
      <c r="K26" s="40"/>
      <c r="L26" s="40"/>
      <c r="M26" s="40"/>
      <c r="N26" s="40"/>
      <c r="O26" s="40"/>
      <c r="P26" s="9"/>
      <c r="Q26" s="139"/>
      <c r="R26" s="139"/>
      <c r="S26" s="13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spans="1:29" ht="14.25" customHeight="1" x14ac:dyDescent="0.2">
      <c r="A27" s="9"/>
      <c r="B27" s="9"/>
      <c r="C27" s="35" t="s">
        <v>19</v>
      </c>
      <c r="D27" s="41"/>
      <c r="E27" s="41"/>
      <c r="F27" s="41"/>
      <c r="G27" s="41"/>
      <c r="H27" s="41"/>
      <c r="I27" s="41"/>
      <c r="J27" s="41"/>
      <c r="K27" s="42" t="e">
        <f>K37*K10</f>
        <v>#DIV/0!</v>
      </c>
      <c r="L27" s="42" t="e">
        <f>L37*L10</f>
        <v>#DIV/0!</v>
      </c>
      <c r="M27" s="42" t="e">
        <f>M37*M10</f>
        <v>#DIV/0!</v>
      </c>
      <c r="N27" s="42" t="e">
        <f>N37*N10</f>
        <v>#DIV/0!</v>
      </c>
      <c r="O27" s="42" t="e">
        <f>O37*O10</f>
        <v>#DIV/0!</v>
      </c>
      <c r="P27" s="9"/>
      <c r="Q27" s="139"/>
      <c r="R27" s="139"/>
      <c r="S27" s="13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spans="1:29" ht="14.25" customHeight="1" x14ac:dyDescent="0.2">
      <c r="A28" s="9"/>
      <c r="B28" s="9"/>
      <c r="C28" s="35" t="s">
        <v>20</v>
      </c>
      <c r="D28" s="36"/>
      <c r="E28" s="36"/>
      <c r="F28" s="36"/>
      <c r="G28" s="36"/>
      <c r="H28" s="36"/>
      <c r="I28" s="36"/>
      <c r="J28" s="36"/>
      <c r="K28" s="37" t="e">
        <f>K38*K10</f>
        <v>#DIV/0!</v>
      </c>
      <c r="L28" s="37" t="e">
        <f>L38*L10</f>
        <v>#DIV/0!</v>
      </c>
      <c r="M28" s="37" t="e">
        <f>M38*M10</f>
        <v>#DIV/0!</v>
      </c>
      <c r="N28" s="37" t="e">
        <f>N38*N10</f>
        <v>#DIV/0!</v>
      </c>
      <c r="O28" s="37" t="e">
        <f>O38*O10</f>
        <v>#DIV/0!</v>
      </c>
      <c r="P28" s="9"/>
      <c r="Q28" s="139"/>
      <c r="R28" s="139"/>
      <c r="S28" s="13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spans="1:29" ht="14.25" customHeight="1" x14ac:dyDescent="0.2">
      <c r="A29" s="9"/>
      <c r="B29" s="9"/>
      <c r="C29" s="11"/>
      <c r="D29" s="39"/>
      <c r="E29" s="39"/>
      <c r="F29" s="39"/>
      <c r="G29" s="39"/>
      <c r="H29" s="39"/>
      <c r="I29" s="39"/>
      <c r="J29" s="39"/>
      <c r="K29" s="43"/>
      <c r="L29" s="43"/>
      <c r="M29" s="43"/>
      <c r="N29" s="43"/>
      <c r="O29" s="43"/>
      <c r="P29" s="9"/>
      <c r="Q29" s="139"/>
      <c r="R29" s="139"/>
      <c r="S29" s="13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spans="1:29" ht="14.25" customHeight="1" x14ac:dyDescent="0.2">
      <c r="A30" s="9"/>
      <c r="B30" s="9"/>
      <c r="C30" s="10" t="s">
        <v>21</v>
      </c>
      <c r="D30" s="36"/>
      <c r="E30" s="36"/>
      <c r="F30" s="36"/>
      <c r="G30" s="36"/>
      <c r="H30" s="36"/>
      <c r="I30" s="36"/>
      <c r="J30" s="36"/>
      <c r="K30" s="44"/>
      <c r="L30" s="44"/>
      <c r="M30" s="44"/>
      <c r="N30" s="44"/>
      <c r="O30" s="44"/>
      <c r="P30" s="9"/>
      <c r="Q30" s="139"/>
      <c r="R30" s="139"/>
      <c r="S30" s="13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spans="1:29" ht="14.25" customHeight="1" x14ac:dyDescent="0.2">
      <c r="A31" s="9"/>
      <c r="B31" s="9"/>
      <c r="C31" s="11"/>
      <c r="D31" s="39"/>
      <c r="E31" s="39"/>
      <c r="F31" s="39"/>
      <c r="G31" s="39"/>
      <c r="H31" s="39"/>
      <c r="I31" s="39"/>
      <c r="J31" s="39"/>
      <c r="K31" s="43"/>
      <c r="L31" s="43"/>
      <c r="M31" s="43"/>
      <c r="N31" s="43"/>
      <c r="O31" s="43"/>
      <c r="P31" s="9"/>
      <c r="Q31" s="139"/>
      <c r="R31" s="139"/>
      <c r="S31" s="13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spans="1:29" ht="14.25" customHeight="1" x14ac:dyDescent="0.2">
      <c r="A32" s="9"/>
      <c r="B32" s="9"/>
      <c r="C32" s="10" t="s">
        <v>22</v>
      </c>
      <c r="D32" s="36"/>
      <c r="E32" s="36"/>
      <c r="F32" s="36"/>
      <c r="G32" s="36"/>
      <c r="H32" s="36"/>
      <c r="I32" s="36"/>
      <c r="J32" s="36"/>
      <c r="K32" s="37" t="e">
        <f>K39*K10</f>
        <v>#DIV/0!</v>
      </c>
      <c r="L32" s="37" t="e">
        <f>L39*L10</f>
        <v>#DIV/0!</v>
      </c>
      <c r="M32" s="37" t="e">
        <f>M39*M10</f>
        <v>#DIV/0!</v>
      </c>
      <c r="N32" s="37" t="e">
        <f>N39*N10</f>
        <v>#DIV/0!</v>
      </c>
      <c r="O32" s="37" t="e">
        <f>O39*O10</f>
        <v>#DIV/0!</v>
      </c>
      <c r="P32" s="9"/>
      <c r="Q32" s="139"/>
      <c r="R32" s="139"/>
      <c r="S32" s="13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spans="1:29" ht="14.25" customHeight="1" x14ac:dyDescent="0.2">
      <c r="A33" s="9"/>
      <c r="B33" s="9"/>
      <c r="C33" s="11"/>
      <c r="D33" s="11"/>
      <c r="E33" s="12"/>
      <c r="F33" s="12"/>
      <c r="G33" s="12"/>
      <c r="H33" s="12"/>
      <c r="I33" s="16"/>
      <c r="J33" s="9"/>
      <c r="K33" s="9"/>
      <c r="L33" s="9"/>
      <c r="M33" s="9"/>
      <c r="N33" s="9"/>
      <c r="O33" s="9"/>
      <c r="P33" s="45"/>
      <c r="Q33" s="134" t="s">
        <v>6</v>
      </c>
      <c r="R33" s="134" t="s">
        <v>7</v>
      </c>
      <c r="S33" s="134" t="s">
        <v>8</v>
      </c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spans="1:29" ht="14.25" customHeight="1" x14ac:dyDescent="0.2">
      <c r="A34" s="9"/>
      <c r="B34" s="9"/>
      <c r="C34" s="46" t="s">
        <v>23</v>
      </c>
      <c r="D34" s="47" t="e">
        <f t="shared" ref="D34:J34" si="6">D23/D10</f>
        <v>#DIV/0!</v>
      </c>
      <c r="E34" s="47" t="e">
        <f t="shared" si="6"/>
        <v>#DIV/0!</v>
      </c>
      <c r="F34" s="47" t="e">
        <f t="shared" si="6"/>
        <v>#DIV/0!</v>
      </c>
      <c r="G34" s="47" t="e">
        <f t="shared" si="6"/>
        <v>#DIV/0!</v>
      </c>
      <c r="H34" s="47" t="e">
        <f t="shared" si="6"/>
        <v>#DIV/0!</v>
      </c>
      <c r="I34" s="47" t="e">
        <f t="shared" si="6"/>
        <v>#DIV/0!</v>
      </c>
      <c r="J34" s="47" t="e">
        <f t="shared" si="6"/>
        <v>#DIV/0!</v>
      </c>
      <c r="K34" s="48" t="e">
        <f>J34*(1+$P$34)</f>
        <v>#DIV/0!</v>
      </c>
      <c r="L34" s="48" t="e">
        <f>K34*(1+$P$34)</f>
        <v>#DIV/0!</v>
      </c>
      <c r="M34" s="48" t="e">
        <f>L34*(1+$P$34)</f>
        <v>#DIV/0!</v>
      </c>
      <c r="N34" s="48" t="e">
        <f>M34*(1+$P$34)</f>
        <v>#DIV/0!</v>
      </c>
      <c r="O34" s="48" t="e">
        <f>N34*(1+$P$34)</f>
        <v>#DIV/0!</v>
      </c>
      <c r="P34" s="32"/>
      <c r="Q34" s="135"/>
      <c r="R34" s="135"/>
      <c r="S34" s="140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spans="1:29" ht="14.25" customHeight="1" x14ac:dyDescent="0.2">
      <c r="A35" s="9"/>
      <c r="B35" s="9"/>
      <c r="C35" s="46" t="s">
        <v>24</v>
      </c>
      <c r="D35" s="47" t="e">
        <f t="shared" ref="D35:J35" si="7">D24/D10</f>
        <v>#DIV/0!</v>
      </c>
      <c r="E35" s="47" t="e">
        <f t="shared" si="7"/>
        <v>#DIV/0!</v>
      </c>
      <c r="F35" s="47" t="e">
        <f t="shared" si="7"/>
        <v>#DIV/0!</v>
      </c>
      <c r="G35" s="47" t="e">
        <f t="shared" si="7"/>
        <v>#DIV/0!</v>
      </c>
      <c r="H35" s="47" t="e">
        <f t="shared" si="7"/>
        <v>#DIV/0!</v>
      </c>
      <c r="I35" s="47" t="e">
        <f t="shared" si="7"/>
        <v>#DIV/0!</v>
      </c>
      <c r="J35" s="47" t="e">
        <f t="shared" si="7"/>
        <v>#DIV/0!</v>
      </c>
      <c r="K35" s="48" t="e">
        <f>$Q$35</f>
        <v>#DIV/0!</v>
      </c>
      <c r="L35" s="48" t="e">
        <f>$Q$35</f>
        <v>#DIV/0!</v>
      </c>
      <c r="M35" s="48" t="e">
        <f>$Q$35</f>
        <v>#DIV/0!</v>
      </c>
      <c r="N35" s="48" t="e">
        <f>$Q$35</f>
        <v>#DIV/0!</v>
      </c>
      <c r="O35" s="48" t="e">
        <f>$Q$35</f>
        <v>#DIV/0!</v>
      </c>
      <c r="P35" s="22"/>
      <c r="Q35" s="135" t="e">
        <f>AVERAGE(D35:J35)</f>
        <v>#DIV/0!</v>
      </c>
      <c r="R35" s="135" t="e">
        <f>GEOMEAN(D35:J35)</f>
        <v>#DIV/0!</v>
      </c>
      <c r="S35" s="136" t="e">
        <f>HARMEAN(D35:J35)</f>
        <v>#DIV/0!</v>
      </c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spans="1:29" ht="14.25" customHeight="1" x14ac:dyDescent="0.2">
      <c r="A36" s="9"/>
      <c r="B36" s="9"/>
      <c r="C36" s="46" t="s">
        <v>25</v>
      </c>
      <c r="D36" s="47" t="e">
        <f t="shared" ref="D36:J36" si="8">D25/D10</f>
        <v>#DIV/0!</v>
      </c>
      <c r="E36" s="47" t="e">
        <f t="shared" si="8"/>
        <v>#DIV/0!</v>
      </c>
      <c r="F36" s="47" t="e">
        <f t="shared" si="8"/>
        <v>#DIV/0!</v>
      </c>
      <c r="G36" s="47" t="e">
        <f t="shared" si="8"/>
        <v>#DIV/0!</v>
      </c>
      <c r="H36" s="47" t="e">
        <f t="shared" si="8"/>
        <v>#DIV/0!</v>
      </c>
      <c r="I36" s="47" t="e">
        <f t="shared" si="8"/>
        <v>#DIV/0!</v>
      </c>
      <c r="J36" s="47" t="e">
        <f t="shared" si="8"/>
        <v>#DIV/0!</v>
      </c>
      <c r="K36" s="49" t="e">
        <f>I36*(1+$P$36)</f>
        <v>#DIV/0!</v>
      </c>
      <c r="L36" s="49" t="e">
        <f>K36*(1+$P$36)</f>
        <v>#DIV/0!</v>
      </c>
      <c r="M36" s="49" t="e">
        <f>L36*(1+$P$36)</f>
        <v>#DIV/0!</v>
      </c>
      <c r="N36" s="49" t="e">
        <f>M36*(1+$P$36)</f>
        <v>#DIV/0!</v>
      </c>
      <c r="O36" s="49" t="e">
        <f>N36*(1+$P$36)</f>
        <v>#DIV/0!</v>
      </c>
      <c r="P36" s="32"/>
      <c r="Q36" s="135" t="e">
        <f>AVERAGE(D36:J36)</f>
        <v>#DIV/0!</v>
      </c>
      <c r="R36" s="135" t="e">
        <f>GEOMEAN(D36:J36)</f>
        <v>#DIV/0!</v>
      </c>
      <c r="S36" s="136" t="e">
        <f t="shared" ref="S36:S39" si="9">HARMEAN(D36:J36)</f>
        <v>#DIV/0!</v>
      </c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spans="1:29" ht="14.25" customHeight="1" x14ac:dyDescent="0.2">
      <c r="A37" s="9"/>
      <c r="B37" s="9"/>
      <c r="C37" s="46" t="s">
        <v>26</v>
      </c>
      <c r="D37" s="47" t="e">
        <f t="shared" ref="D37:J37" si="10">D27/D10</f>
        <v>#DIV/0!</v>
      </c>
      <c r="E37" s="47" t="e">
        <f t="shared" si="10"/>
        <v>#DIV/0!</v>
      </c>
      <c r="F37" s="47" t="e">
        <f t="shared" si="10"/>
        <v>#DIV/0!</v>
      </c>
      <c r="G37" s="47" t="e">
        <f t="shared" si="10"/>
        <v>#DIV/0!</v>
      </c>
      <c r="H37" s="47" t="e">
        <f t="shared" si="10"/>
        <v>#DIV/0!</v>
      </c>
      <c r="I37" s="47" t="e">
        <f t="shared" si="10"/>
        <v>#DIV/0!</v>
      </c>
      <c r="J37" s="47" t="e">
        <f t="shared" si="10"/>
        <v>#DIV/0!</v>
      </c>
      <c r="K37" s="48" t="e">
        <f>$Q$37</f>
        <v>#DIV/0!</v>
      </c>
      <c r="L37" s="48" t="e">
        <f>$Q$37</f>
        <v>#DIV/0!</v>
      </c>
      <c r="M37" s="48" t="e">
        <f>$Q$37</f>
        <v>#DIV/0!</v>
      </c>
      <c r="N37" s="48" t="e">
        <f>$Q$37</f>
        <v>#DIV/0!</v>
      </c>
      <c r="O37" s="48" t="e">
        <f>$Q$37</f>
        <v>#DIV/0!</v>
      </c>
      <c r="P37" s="22"/>
      <c r="Q37" s="135" t="e">
        <f>AVERAGE(D37:J37)</f>
        <v>#DIV/0!</v>
      </c>
      <c r="R37" s="135" t="e">
        <f>GEOMEAN(D37:J37)</f>
        <v>#DIV/0!</v>
      </c>
      <c r="S37" s="136" t="e">
        <f>HARMEAN(D37:J37)</f>
        <v>#DIV/0!</v>
      </c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spans="1:29" ht="14.25" customHeight="1" x14ac:dyDescent="0.2">
      <c r="A38" s="9"/>
      <c r="B38" s="9"/>
      <c r="C38" s="46" t="s">
        <v>27</v>
      </c>
      <c r="D38" s="47" t="e">
        <f t="shared" ref="D38:J38" si="11">D28/D10</f>
        <v>#DIV/0!</v>
      </c>
      <c r="E38" s="47" t="e">
        <f t="shared" si="11"/>
        <v>#DIV/0!</v>
      </c>
      <c r="F38" s="47" t="e">
        <f t="shared" si="11"/>
        <v>#DIV/0!</v>
      </c>
      <c r="G38" s="47" t="e">
        <f t="shared" si="11"/>
        <v>#DIV/0!</v>
      </c>
      <c r="H38" s="47" t="e">
        <f t="shared" si="11"/>
        <v>#DIV/0!</v>
      </c>
      <c r="I38" s="47" t="e">
        <f t="shared" si="11"/>
        <v>#DIV/0!</v>
      </c>
      <c r="J38" s="47" t="e">
        <f t="shared" si="11"/>
        <v>#DIV/0!</v>
      </c>
      <c r="K38" s="48">
        <f>$Q$38</f>
        <v>0</v>
      </c>
      <c r="L38" s="48">
        <f>$Q$38</f>
        <v>0</v>
      </c>
      <c r="M38" s="48">
        <f>$Q$38</f>
        <v>0</v>
      </c>
      <c r="N38" s="48">
        <f>$Q$38</f>
        <v>0</v>
      </c>
      <c r="O38" s="48">
        <f>$Q$38</f>
        <v>0</v>
      </c>
      <c r="P38" s="22"/>
      <c r="Q38" s="135"/>
      <c r="R38" s="135"/>
      <c r="S38" s="136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spans="1:29" ht="14.25" customHeight="1" x14ac:dyDescent="0.2">
      <c r="A39" s="9"/>
      <c r="B39" s="9"/>
      <c r="C39" s="27" t="s">
        <v>28</v>
      </c>
      <c r="D39" s="29" t="e">
        <f t="shared" ref="D39:J39" si="12">D32/D10</f>
        <v>#DIV/0!</v>
      </c>
      <c r="E39" s="29" t="e">
        <f t="shared" si="12"/>
        <v>#DIV/0!</v>
      </c>
      <c r="F39" s="29" t="e">
        <f t="shared" si="12"/>
        <v>#DIV/0!</v>
      </c>
      <c r="G39" s="29" t="e">
        <f t="shared" si="12"/>
        <v>#DIV/0!</v>
      </c>
      <c r="H39" s="29" t="e">
        <f t="shared" si="12"/>
        <v>#DIV/0!</v>
      </c>
      <c r="I39" s="29" t="e">
        <f t="shared" si="12"/>
        <v>#DIV/0!</v>
      </c>
      <c r="J39" s="29" t="e">
        <f t="shared" si="12"/>
        <v>#DIV/0!</v>
      </c>
      <c r="K39" s="50" t="e">
        <f>$Q$39</f>
        <v>#DIV/0!</v>
      </c>
      <c r="L39" s="50" t="e">
        <f>$Q$39</f>
        <v>#DIV/0!</v>
      </c>
      <c r="M39" s="50" t="e">
        <f>$Q$39</f>
        <v>#DIV/0!</v>
      </c>
      <c r="N39" s="50" t="e">
        <f>$Q$39</f>
        <v>#DIV/0!</v>
      </c>
      <c r="O39" s="50" t="e">
        <f>$Q$39</f>
        <v>#DIV/0!</v>
      </c>
      <c r="P39" s="22"/>
      <c r="Q39" s="141" t="e">
        <f>AVERAGE(D39:J39)</f>
        <v>#DIV/0!</v>
      </c>
      <c r="R39" s="135" t="e">
        <f>GEOMEAN(D39:J39)</f>
        <v>#DIV/0!</v>
      </c>
      <c r="S39" s="136" t="e">
        <f t="shared" si="9"/>
        <v>#DIV/0!</v>
      </c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spans="1:29" ht="14.25" customHeight="1" x14ac:dyDescent="0.2">
      <c r="A40" s="9"/>
      <c r="B40" s="9"/>
      <c r="C40" s="144" t="s">
        <v>29</v>
      </c>
      <c r="D40" s="51"/>
      <c r="E40" s="29"/>
      <c r="F40" s="29"/>
      <c r="G40" s="29"/>
      <c r="H40" s="29"/>
      <c r="I40" s="29"/>
      <c r="J40" s="29"/>
      <c r="K40" s="52"/>
      <c r="L40" s="52"/>
      <c r="M40" s="52"/>
      <c r="N40" s="52"/>
      <c r="O40" s="52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spans="1:29" ht="14.25" customHeight="1" x14ac:dyDescent="0.2">
      <c r="A41" s="9"/>
      <c r="B41" s="9"/>
      <c r="C41" s="144" t="s">
        <v>30</v>
      </c>
      <c r="D41" s="51"/>
      <c r="E41" s="53"/>
      <c r="F41" s="53"/>
      <c r="G41" s="53"/>
      <c r="H41" s="53"/>
      <c r="I41" s="53"/>
      <c r="J41" s="53"/>
      <c r="K41" s="51"/>
      <c r="L41" s="52"/>
      <c r="M41" s="52"/>
      <c r="N41" s="52"/>
      <c r="O41" s="52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spans="1:29" ht="14.25" customHeight="1" x14ac:dyDescent="0.2">
      <c r="A42" s="9"/>
      <c r="B42" s="9"/>
      <c r="C42" s="144" t="s">
        <v>31</v>
      </c>
      <c r="D42" s="51"/>
      <c r="E42" s="29" t="e">
        <f>((E25/D25)-1)</f>
        <v>#DIV/0!</v>
      </c>
      <c r="F42" s="29" t="e">
        <f>((F25/E25)-1)</f>
        <v>#DIV/0!</v>
      </c>
      <c r="G42" s="29" t="e">
        <f>((G25/F25)-1)</f>
        <v>#DIV/0!</v>
      </c>
      <c r="H42" s="29" t="e">
        <f>((H25/G25)-1)</f>
        <v>#DIV/0!</v>
      </c>
      <c r="I42" s="29" t="e">
        <f>((I25/H25)-1)</f>
        <v>#DIV/0!</v>
      </c>
      <c r="J42" s="54" t="s">
        <v>32</v>
      </c>
      <c r="K42" s="52"/>
      <c r="L42" s="52"/>
      <c r="M42" s="52"/>
      <c r="N42" s="52"/>
      <c r="O42" s="52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spans="1:29" ht="14.25" customHeight="1" x14ac:dyDescent="0.2">
      <c r="A43" s="9"/>
      <c r="B43" s="9"/>
      <c r="C43" s="144" t="s">
        <v>33</v>
      </c>
      <c r="D43" s="51"/>
      <c r="E43" s="29" t="e">
        <f t="shared" ref="E43:J43" si="13">((E27/D27)-1)</f>
        <v>#DIV/0!</v>
      </c>
      <c r="F43" s="29" t="e">
        <f t="shared" si="13"/>
        <v>#DIV/0!</v>
      </c>
      <c r="G43" s="29" t="e">
        <f t="shared" si="13"/>
        <v>#DIV/0!</v>
      </c>
      <c r="H43" s="29" t="e">
        <f t="shared" si="13"/>
        <v>#DIV/0!</v>
      </c>
      <c r="I43" s="29" t="e">
        <f t="shared" si="13"/>
        <v>#DIV/0!</v>
      </c>
      <c r="J43" s="29" t="e">
        <f t="shared" si="13"/>
        <v>#DIV/0!</v>
      </c>
      <c r="K43" s="52"/>
      <c r="L43" s="52"/>
      <c r="M43" s="52"/>
      <c r="N43" s="52"/>
      <c r="O43" s="52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spans="1:29" ht="14.25" customHeight="1" x14ac:dyDescent="0.2">
      <c r="A44" s="9"/>
      <c r="B44" s="9"/>
      <c r="C44" s="144" t="s">
        <v>34</v>
      </c>
      <c r="D44" s="51"/>
      <c r="E44" s="29"/>
      <c r="F44" s="29"/>
      <c r="G44" s="29"/>
      <c r="H44" s="29"/>
      <c r="I44" s="29"/>
      <c r="J44" s="29"/>
      <c r="K44" s="52"/>
      <c r="L44" s="52"/>
      <c r="M44" s="52"/>
      <c r="N44" s="52"/>
      <c r="O44" s="52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spans="1:29" ht="14.25" customHeight="1" x14ac:dyDescent="0.2">
      <c r="A45" s="9"/>
      <c r="B45" s="9"/>
      <c r="C45" s="144" t="s">
        <v>35</v>
      </c>
      <c r="D45" s="51"/>
      <c r="E45" s="29" t="e">
        <f t="shared" ref="E45:J45" si="14">((E32/D32)-1)</f>
        <v>#DIV/0!</v>
      </c>
      <c r="F45" s="29" t="e">
        <f t="shared" si="14"/>
        <v>#DIV/0!</v>
      </c>
      <c r="G45" s="29" t="e">
        <f t="shared" si="14"/>
        <v>#DIV/0!</v>
      </c>
      <c r="H45" s="29" t="e">
        <f t="shared" si="14"/>
        <v>#DIV/0!</v>
      </c>
      <c r="I45" s="29" t="e">
        <f t="shared" si="14"/>
        <v>#DIV/0!</v>
      </c>
      <c r="J45" s="29" t="e">
        <f t="shared" si="14"/>
        <v>#DIV/0!</v>
      </c>
      <c r="K45" s="52"/>
      <c r="L45" s="52"/>
      <c r="M45" s="52"/>
      <c r="N45" s="52"/>
      <c r="O45" s="52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spans="1:29" ht="18" customHeight="1" x14ac:dyDescent="0.25">
      <c r="A46" s="55"/>
      <c r="B46" s="55"/>
      <c r="C46" s="133" t="s">
        <v>36</v>
      </c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</row>
    <row r="47" spans="1:29" ht="14.25" customHeight="1" x14ac:dyDescent="0.2">
      <c r="A47" s="55"/>
      <c r="B47" s="55"/>
      <c r="C47" s="56" t="s">
        <v>37</v>
      </c>
      <c r="D47" s="57"/>
      <c r="E47" s="17"/>
      <c r="F47" s="58"/>
      <c r="G47" s="17"/>
      <c r="H47" s="17"/>
      <c r="I47" s="17"/>
      <c r="J47" s="59"/>
      <c r="K47" s="143" t="s">
        <v>4</v>
      </c>
      <c r="L47" s="143"/>
      <c r="M47" s="143"/>
      <c r="N47" s="143"/>
      <c r="O47" s="143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</row>
    <row r="48" spans="1:29" ht="14.25" customHeight="1" x14ac:dyDescent="0.2">
      <c r="A48" s="55"/>
      <c r="B48" s="55"/>
      <c r="C48" s="60"/>
      <c r="D48" s="20">
        <f t="shared" ref="D48:I48" si="15">E48-365</f>
        <v>43772</v>
      </c>
      <c r="E48" s="20">
        <f t="shared" si="15"/>
        <v>44137</v>
      </c>
      <c r="F48" s="20">
        <f t="shared" si="15"/>
        <v>44502</v>
      </c>
      <c r="G48" s="20">
        <f t="shared" si="15"/>
        <v>44867</v>
      </c>
      <c r="H48" s="20">
        <f t="shared" si="15"/>
        <v>45232</v>
      </c>
      <c r="I48" s="20">
        <f t="shared" si="15"/>
        <v>45597</v>
      </c>
      <c r="J48" s="20">
        <v>45962</v>
      </c>
      <c r="K48" s="21">
        <f>J48+365</f>
        <v>46327</v>
      </c>
      <c r="L48" s="21">
        <f>K48+365</f>
        <v>46692</v>
      </c>
      <c r="M48" s="21">
        <f>L48+365</f>
        <v>47057</v>
      </c>
      <c r="N48" s="21">
        <f>M48+365</f>
        <v>47422</v>
      </c>
      <c r="O48" s="21">
        <f>N48+365</f>
        <v>47787</v>
      </c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</row>
    <row r="49" spans="1:29" ht="14.25" customHeight="1" x14ac:dyDescent="0.2">
      <c r="A49" s="55"/>
      <c r="B49" s="55"/>
      <c r="C49" s="61" t="s">
        <v>38</v>
      </c>
      <c r="D49" s="62"/>
      <c r="E49" s="63"/>
      <c r="F49" s="64"/>
      <c r="G49" s="64"/>
      <c r="H49" s="64"/>
      <c r="I49" s="64"/>
      <c r="J49" s="64"/>
      <c r="K49" s="65">
        <v>1</v>
      </c>
      <c r="L49" s="65">
        <f>K49+1</f>
        <v>2</v>
      </c>
      <c r="M49" s="65">
        <f>L49+1</f>
        <v>3</v>
      </c>
      <c r="N49" s="65">
        <f>M49+1</f>
        <v>4</v>
      </c>
      <c r="O49" s="65">
        <f>N49+1</f>
        <v>5</v>
      </c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</row>
    <row r="50" spans="1:29" ht="14.25" customHeight="1" x14ac:dyDescent="0.2">
      <c r="A50" s="55"/>
      <c r="B50" s="55"/>
      <c r="C50" s="55" t="s">
        <v>39</v>
      </c>
      <c r="D50" s="66">
        <f t="shared" ref="D50:O50" si="16">D10</f>
        <v>0</v>
      </c>
      <c r="E50" s="67">
        <f t="shared" si="16"/>
        <v>0</v>
      </c>
      <c r="F50" s="67">
        <f t="shared" si="16"/>
        <v>0</v>
      </c>
      <c r="G50" s="67">
        <f t="shared" si="16"/>
        <v>0</v>
      </c>
      <c r="H50" s="67">
        <f t="shared" si="16"/>
        <v>0</v>
      </c>
      <c r="I50" s="67">
        <f t="shared" si="16"/>
        <v>0</v>
      </c>
      <c r="J50" s="68">
        <f t="shared" si="16"/>
        <v>0</v>
      </c>
      <c r="K50" s="68" t="e">
        <f t="shared" si="16"/>
        <v>#DIV/0!</v>
      </c>
      <c r="L50" s="68" t="e">
        <f t="shared" si="16"/>
        <v>#DIV/0!</v>
      </c>
      <c r="M50" s="68" t="e">
        <f t="shared" si="16"/>
        <v>#DIV/0!</v>
      </c>
      <c r="N50" s="68" t="e">
        <f t="shared" si="16"/>
        <v>#DIV/0!</v>
      </c>
      <c r="O50" s="68" t="e">
        <f t="shared" si="16"/>
        <v>#DIV/0!</v>
      </c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</row>
    <row r="51" spans="1:29" ht="14.25" customHeight="1" x14ac:dyDescent="0.2">
      <c r="A51" s="55"/>
      <c r="B51" s="55"/>
      <c r="C51" s="55" t="s">
        <v>11</v>
      </c>
      <c r="D51" s="66">
        <f t="shared" ref="D51:O51" si="17">D14</f>
        <v>0</v>
      </c>
      <c r="E51" s="68">
        <f t="shared" si="17"/>
        <v>0</v>
      </c>
      <c r="F51" s="68">
        <f t="shared" si="17"/>
        <v>0</v>
      </c>
      <c r="G51" s="68">
        <f t="shared" si="17"/>
        <v>0</v>
      </c>
      <c r="H51" s="68">
        <f t="shared" si="17"/>
        <v>0</v>
      </c>
      <c r="I51" s="68">
        <f t="shared" si="17"/>
        <v>0</v>
      </c>
      <c r="J51" s="68">
        <f t="shared" si="17"/>
        <v>0</v>
      </c>
      <c r="K51" s="68" t="e">
        <f t="shared" si="17"/>
        <v>#DIV/0!</v>
      </c>
      <c r="L51" s="68" t="e">
        <f t="shared" si="17"/>
        <v>#DIV/0!</v>
      </c>
      <c r="M51" s="68" t="e">
        <f t="shared" si="17"/>
        <v>#DIV/0!</v>
      </c>
      <c r="N51" s="68" t="e">
        <f t="shared" si="17"/>
        <v>#DIV/0!</v>
      </c>
      <c r="O51" s="68" t="e">
        <f t="shared" si="17"/>
        <v>#DIV/0!</v>
      </c>
      <c r="P51" s="55"/>
      <c r="Q51" s="134" t="s">
        <v>6</v>
      </c>
      <c r="R51" s="134" t="s">
        <v>7</v>
      </c>
      <c r="S51" s="134" t="s">
        <v>8</v>
      </c>
      <c r="T51" s="55"/>
      <c r="U51" s="55"/>
      <c r="V51" s="55"/>
      <c r="W51" s="55"/>
      <c r="X51" s="55"/>
      <c r="Y51" s="55"/>
      <c r="Z51" s="55"/>
      <c r="AA51" s="55"/>
      <c r="AB51" s="55"/>
      <c r="AC51" s="55"/>
    </row>
    <row r="52" spans="1:29" ht="14.25" customHeight="1" x14ac:dyDescent="0.2">
      <c r="A52" s="55"/>
      <c r="B52" s="55"/>
      <c r="C52" s="7" t="s">
        <v>40</v>
      </c>
      <c r="D52" s="69"/>
      <c r="E52" s="69"/>
      <c r="F52" s="69"/>
      <c r="G52" s="69"/>
      <c r="H52" s="69"/>
      <c r="I52" s="69"/>
      <c r="J52" s="69"/>
      <c r="K52" s="70" t="e">
        <f>$R$52</f>
        <v>#NUM!</v>
      </c>
      <c r="L52" s="70" t="e">
        <f>$R$52</f>
        <v>#NUM!</v>
      </c>
      <c r="M52" s="70" t="e">
        <f>$R$52</f>
        <v>#NUM!</v>
      </c>
      <c r="N52" s="70" t="e">
        <f>$R$52</f>
        <v>#NUM!</v>
      </c>
      <c r="O52" s="70" t="e">
        <f>$R$52</f>
        <v>#NUM!</v>
      </c>
      <c r="P52" s="55"/>
      <c r="Q52" s="31" t="e">
        <f>AVERAGE(D52:J52)</f>
        <v>#DIV/0!</v>
      </c>
      <c r="R52" s="31" t="e">
        <f>GEOMEAN(D52:J52)</f>
        <v>#NUM!</v>
      </c>
      <c r="S52" s="136" t="e">
        <f>HARMEAN(D52:J52)</f>
        <v>#N/A</v>
      </c>
      <c r="T52" s="55"/>
      <c r="U52" s="55"/>
      <c r="V52" s="55"/>
      <c r="W52" s="55"/>
      <c r="X52" s="55"/>
      <c r="Y52" s="55"/>
      <c r="Z52" s="55"/>
      <c r="AA52" s="55"/>
      <c r="AB52" s="55"/>
      <c r="AC52" s="55"/>
    </row>
    <row r="53" spans="1:29" ht="14.25" customHeight="1" x14ac:dyDescent="0.2">
      <c r="A53" s="55"/>
      <c r="B53" s="55"/>
      <c r="C53" s="60" t="s">
        <v>41</v>
      </c>
      <c r="D53" s="66">
        <f t="shared" ref="D53:O53" si="18">D51*(1-D52)</f>
        <v>0</v>
      </c>
      <c r="E53" s="66">
        <f t="shared" si="18"/>
        <v>0</v>
      </c>
      <c r="F53" s="66">
        <f t="shared" si="18"/>
        <v>0</v>
      </c>
      <c r="G53" s="66">
        <f t="shared" si="18"/>
        <v>0</v>
      </c>
      <c r="H53" s="66">
        <f t="shared" si="18"/>
        <v>0</v>
      </c>
      <c r="I53" s="66">
        <f t="shared" si="18"/>
        <v>0</v>
      </c>
      <c r="J53" s="66">
        <f t="shared" si="18"/>
        <v>0</v>
      </c>
      <c r="K53" s="71" t="e">
        <f t="shared" si="18"/>
        <v>#DIV/0!</v>
      </c>
      <c r="L53" s="71" t="e">
        <f t="shared" si="18"/>
        <v>#DIV/0!</v>
      </c>
      <c r="M53" s="71" t="e">
        <f t="shared" si="18"/>
        <v>#DIV/0!</v>
      </c>
      <c r="N53" s="71" t="e">
        <f t="shared" si="18"/>
        <v>#DIV/0!</v>
      </c>
      <c r="O53" s="71" t="e">
        <f t="shared" si="18"/>
        <v>#DIV/0!</v>
      </c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</row>
    <row r="54" spans="1:29" ht="14.25" customHeight="1" x14ac:dyDescent="0.2">
      <c r="A54" s="55"/>
      <c r="B54" s="55"/>
      <c r="C54" s="72" t="s">
        <v>42</v>
      </c>
      <c r="D54" s="73">
        <f t="shared" ref="D54:O54" si="19">D17</f>
        <v>0</v>
      </c>
      <c r="E54" s="73">
        <f t="shared" si="19"/>
        <v>0</v>
      </c>
      <c r="F54" s="73">
        <f t="shared" si="19"/>
        <v>0</v>
      </c>
      <c r="G54" s="73">
        <f t="shared" si="19"/>
        <v>0</v>
      </c>
      <c r="H54" s="73">
        <f t="shared" si="19"/>
        <v>0</v>
      </c>
      <c r="I54" s="73">
        <f t="shared" si="19"/>
        <v>0</v>
      </c>
      <c r="J54" s="73">
        <f t="shared" si="19"/>
        <v>0</v>
      </c>
      <c r="K54" s="73" t="e">
        <f t="shared" si="19"/>
        <v>#DIV/0!</v>
      </c>
      <c r="L54" s="73" t="e">
        <f t="shared" si="19"/>
        <v>#DIV/0!</v>
      </c>
      <c r="M54" s="73" t="e">
        <f t="shared" si="19"/>
        <v>#DIV/0!</v>
      </c>
      <c r="N54" s="73" t="e">
        <f t="shared" si="19"/>
        <v>#DIV/0!</v>
      </c>
      <c r="O54" s="73" t="e">
        <f t="shared" si="19"/>
        <v>#DIV/0!</v>
      </c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</row>
    <row r="55" spans="1:29" ht="14.25" customHeight="1" x14ac:dyDescent="0.2">
      <c r="A55" s="55"/>
      <c r="B55" s="55"/>
      <c r="C55" s="74" t="s">
        <v>43</v>
      </c>
      <c r="D55" s="35"/>
      <c r="E55" s="75">
        <f t="shared" ref="E55:O55" si="20">(E23-D23)*-1</f>
        <v>0</v>
      </c>
      <c r="F55" s="75">
        <f t="shared" si="20"/>
        <v>0</v>
      </c>
      <c r="G55" s="75">
        <f t="shared" si="20"/>
        <v>0</v>
      </c>
      <c r="H55" s="75">
        <f t="shared" si="20"/>
        <v>0</v>
      </c>
      <c r="I55" s="75">
        <f t="shared" si="20"/>
        <v>0</v>
      </c>
      <c r="J55" s="75">
        <f t="shared" si="20"/>
        <v>0</v>
      </c>
      <c r="K55" s="75" t="e">
        <f t="shared" si="20"/>
        <v>#DIV/0!</v>
      </c>
      <c r="L55" s="75" t="e">
        <f t="shared" si="20"/>
        <v>#DIV/0!</v>
      </c>
      <c r="M55" s="75" t="e">
        <f t="shared" si="20"/>
        <v>#DIV/0!</v>
      </c>
      <c r="N55" s="75" t="e">
        <f t="shared" si="20"/>
        <v>#DIV/0!</v>
      </c>
      <c r="O55" s="75" t="e">
        <f t="shared" si="20"/>
        <v>#DIV/0!</v>
      </c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</row>
    <row r="56" spans="1:29" ht="14.25" customHeight="1" x14ac:dyDescent="0.2">
      <c r="A56" s="55"/>
      <c r="B56" s="55"/>
      <c r="C56" s="74" t="s">
        <v>44</v>
      </c>
      <c r="D56" s="35"/>
      <c r="E56" s="75">
        <f t="shared" ref="E56:O56" si="21">(E24-D24)*-1</f>
        <v>0</v>
      </c>
      <c r="F56" s="75">
        <f t="shared" si="21"/>
        <v>0</v>
      </c>
      <c r="G56" s="75">
        <f t="shared" si="21"/>
        <v>0</v>
      </c>
      <c r="H56" s="75">
        <f t="shared" si="21"/>
        <v>0</v>
      </c>
      <c r="I56" s="75">
        <f t="shared" si="21"/>
        <v>0</v>
      </c>
      <c r="J56" s="75">
        <f t="shared" si="21"/>
        <v>0</v>
      </c>
      <c r="K56" s="75" t="e">
        <f t="shared" si="21"/>
        <v>#DIV/0!</v>
      </c>
      <c r="L56" s="75" t="e">
        <f t="shared" si="21"/>
        <v>#DIV/0!</v>
      </c>
      <c r="M56" s="75" t="e">
        <f t="shared" si="21"/>
        <v>#DIV/0!</v>
      </c>
      <c r="N56" s="75" t="e">
        <f t="shared" si="21"/>
        <v>#DIV/0!</v>
      </c>
      <c r="O56" s="75" t="e">
        <f t="shared" si="21"/>
        <v>#DIV/0!</v>
      </c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</row>
    <row r="57" spans="1:29" ht="14.25" customHeight="1" x14ac:dyDescent="0.2">
      <c r="A57" s="55"/>
      <c r="B57" s="55"/>
      <c r="C57" s="74" t="s">
        <v>45</v>
      </c>
      <c r="D57" s="35"/>
      <c r="E57" s="75">
        <f t="shared" ref="E57:O57" si="22">(E25-D25)*-1</f>
        <v>0</v>
      </c>
      <c r="F57" s="75">
        <f t="shared" si="22"/>
        <v>0</v>
      </c>
      <c r="G57" s="75">
        <f t="shared" si="22"/>
        <v>0</v>
      </c>
      <c r="H57" s="75">
        <f t="shared" si="22"/>
        <v>0</v>
      </c>
      <c r="I57" s="75">
        <f t="shared" si="22"/>
        <v>0</v>
      </c>
      <c r="J57" s="75">
        <f t="shared" si="22"/>
        <v>0</v>
      </c>
      <c r="K57" s="75" t="e">
        <f t="shared" si="22"/>
        <v>#DIV/0!</v>
      </c>
      <c r="L57" s="75" t="e">
        <f t="shared" si="22"/>
        <v>#DIV/0!</v>
      </c>
      <c r="M57" s="75" t="e">
        <f t="shared" si="22"/>
        <v>#DIV/0!</v>
      </c>
      <c r="N57" s="75" t="e">
        <f t="shared" si="22"/>
        <v>#DIV/0!</v>
      </c>
      <c r="O57" s="75" t="e">
        <f t="shared" si="22"/>
        <v>#DIV/0!</v>
      </c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</row>
    <row r="58" spans="1:29" ht="14.25" customHeight="1" x14ac:dyDescent="0.2">
      <c r="A58" s="55"/>
      <c r="B58" s="55"/>
      <c r="C58" s="74" t="s">
        <v>46</v>
      </c>
      <c r="D58" s="35"/>
      <c r="E58" s="75">
        <f t="shared" ref="E58:O58" si="23">(E27-D27)</f>
        <v>0</v>
      </c>
      <c r="F58" s="75">
        <f t="shared" si="23"/>
        <v>0</v>
      </c>
      <c r="G58" s="75">
        <f t="shared" si="23"/>
        <v>0</v>
      </c>
      <c r="H58" s="75">
        <f t="shared" si="23"/>
        <v>0</v>
      </c>
      <c r="I58" s="75">
        <f t="shared" si="23"/>
        <v>0</v>
      </c>
      <c r="J58" s="75">
        <f t="shared" si="23"/>
        <v>0</v>
      </c>
      <c r="K58" s="75" t="e">
        <f t="shared" si="23"/>
        <v>#DIV/0!</v>
      </c>
      <c r="L58" s="75" t="e">
        <f t="shared" si="23"/>
        <v>#DIV/0!</v>
      </c>
      <c r="M58" s="75" t="e">
        <f t="shared" si="23"/>
        <v>#DIV/0!</v>
      </c>
      <c r="N58" s="75" t="e">
        <f t="shared" si="23"/>
        <v>#DIV/0!</v>
      </c>
      <c r="O58" s="75" t="e">
        <f t="shared" si="23"/>
        <v>#DIV/0!</v>
      </c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</row>
    <row r="59" spans="1:29" ht="14.25" customHeight="1" x14ac:dyDescent="0.2">
      <c r="A59" s="55"/>
      <c r="B59" s="55"/>
      <c r="C59" s="74" t="s">
        <v>47</v>
      </c>
      <c r="D59" s="35"/>
      <c r="E59" s="75">
        <f t="shared" ref="E59:O59" si="24">(E28-D28)</f>
        <v>0</v>
      </c>
      <c r="F59" s="75">
        <f t="shared" si="24"/>
        <v>0</v>
      </c>
      <c r="G59" s="75">
        <f t="shared" si="24"/>
        <v>0</v>
      </c>
      <c r="H59" s="75">
        <f t="shared" si="24"/>
        <v>0</v>
      </c>
      <c r="I59" s="75">
        <f t="shared" si="24"/>
        <v>0</v>
      </c>
      <c r="J59" s="75">
        <f t="shared" si="24"/>
        <v>0</v>
      </c>
      <c r="K59" s="75" t="e">
        <f t="shared" si="24"/>
        <v>#DIV/0!</v>
      </c>
      <c r="L59" s="75" t="e">
        <f t="shared" si="24"/>
        <v>#DIV/0!</v>
      </c>
      <c r="M59" s="75" t="e">
        <f t="shared" si="24"/>
        <v>#DIV/0!</v>
      </c>
      <c r="N59" s="75" t="e">
        <f t="shared" si="24"/>
        <v>#DIV/0!</v>
      </c>
      <c r="O59" s="75" t="e">
        <f t="shared" si="24"/>
        <v>#DIV/0!</v>
      </c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</row>
    <row r="60" spans="1:29" ht="14.25" customHeight="1" x14ac:dyDescent="0.2">
      <c r="A60" s="55"/>
      <c r="B60" s="55"/>
      <c r="C60" s="72" t="s">
        <v>48</v>
      </c>
      <c r="D60" s="76"/>
      <c r="E60" s="77">
        <f t="shared" ref="E60:O60" si="25">E32*-1</f>
        <v>0</v>
      </c>
      <c r="F60" s="77">
        <f t="shared" si="25"/>
        <v>0</v>
      </c>
      <c r="G60" s="77">
        <f t="shared" si="25"/>
        <v>0</v>
      </c>
      <c r="H60" s="77">
        <f t="shared" si="25"/>
        <v>0</v>
      </c>
      <c r="I60" s="77">
        <f t="shared" si="25"/>
        <v>0</v>
      </c>
      <c r="J60" s="77">
        <f t="shared" si="25"/>
        <v>0</v>
      </c>
      <c r="K60" s="77" t="e">
        <f t="shared" si="25"/>
        <v>#DIV/0!</v>
      </c>
      <c r="L60" s="77" t="e">
        <f t="shared" si="25"/>
        <v>#DIV/0!</v>
      </c>
      <c r="M60" s="77" t="e">
        <f t="shared" si="25"/>
        <v>#DIV/0!</v>
      </c>
      <c r="N60" s="77" t="e">
        <f t="shared" si="25"/>
        <v>#DIV/0!</v>
      </c>
      <c r="O60" s="77" t="e">
        <f t="shared" si="25"/>
        <v>#DIV/0!</v>
      </c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</row>
    <row r="61" spans="1:29" ht="14.25" customHeight="1" x14ac:dyDescent="0.2">
      <c r="A61" s="55"/>
      <c r="B61" s="55"/>
      <c r="C61" s="45" t="s">
        <v>49</v>
      </c>
      <c r="D61" s="45"/>
      <c r="E61" s="78">
        <f t="shared" ref="E61:O61" si="26">SUM(E53:E60)</f>
        <v>0</v>
      </c>
      <c r="F61" s="78">
        <f t="shared" si="26"/>
        <v>0</v>
      </c>
      <c r="G61" s="78">
        <f t="shared" si="26"/>
        <v>0</v>
      </c>
      <c r="H61" s="78">
        <f t="shared" si="26"/>
        <v>0</v>
      </c>
      <c r="I61" s="78">
        <f t="shared" si="26"/>
        <v>0</v>
      </c>
      <c r="J61" s="78">
        <f t="shared" si="26"/>
        <v>0</v>
      </c>
      <c r="K61" s="78" t="e">
        <f t="shared" si="26"/>
        <v>#DIV/0!</v>
      </c>
      <c r="L61" s="78" t="e">
        <f t="shared" si="26"/>
        <v>#DIV/0!</v>
      </c>
      <c r="M61" s="78" t="e">
        <f t="shared" si="26"/>
        <v>#DIV/0!</v>
      </c>
      <c r="N61" s="78" t="e">
        <f t="shared" si="26"/>
        <v>#DIV/0!</v>
      </c>
      <c r="O61" s="78" t="e">
        <f t="shared" si="26"/>
        <v>#DIV/0!</v>
      </c>
      <c r="P61" s="55"/>
      <c r="Q61" s="79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</row>
    <row r="62" spans="1:29" ht="14.25" customHeight="1" x14ac:dyDescent="0.2">
      <c r="A62" s="55"/>
      <c r="B62" s="55"/>
      <c r="C62" s="35" t="s">
        <v>50</v>
      </c>
      <c r="D62" s="74"/>
      <c r="E62" s="80"/>
      <c r="F62" s="80"/>
      <c r="G62" s="81"/>
      <c r="H62" s="81"/>
      <c r="I62" s="82"/>
      <c r="J62" s="82"/>
      <c r="K62" s="83" t="e">
        <f>$I$89</f>
        <v>#DIV/0!</v>
      </c>
      <c r="L62" s="83" t="e">
        <f>$I$89</f>
        <v>#DIV/0!</v>
      </c>
      <c r="M62" s="83" t="e">
        <f>$I$89</f>
        <v>#DIV/0!</v>
      </c>
      <c r="N62" s="83" t="e">
        <f>$I$89</f>
        <v>#DIV/0!</v>
      </c>
      <c r="O62" s="83" t="e">
        <f>$I$89</f>
        <v>#DIV/0!</v>
      </c>
      <c r="P62" s="55"/>
      <c r="Q62" s="79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</row>
    <row r="63" spans="1:29" ht="14.25" customHeight="1" x14ac:dyDescent="0.2">
      <c r="A63" s="55"/>
      <c r="B63" s="55"/>
      <c r="C63" s="35" t="s">
        <v>51</v>
      </c>
      <c r="D63" s="74"/>
      <c r="E63" s="84"/>
      <c r="F63" s="84"/>
      <c r="G63" s="84"/>
      <c r="H63" s="84"/>
      <c r="I63" s="84"/>
      <c r="J63" s="84"/>
      <c r="K63" s="85" t="e">
        <f>K61/(1+K62)^K49</f>
        <v>#DIV/0!</v>
      </c>
      <c r="L63" s="85" t="e">
        <f>L61/(1+L62)^L49</f>
        <v>#DIV/0!</v>
      </c>
      <c r="M63" s="85" t="e">
        <f>M61/(1+M62)^M49</f>
        <v>#DIV/0!</v>
      </c>
      <c r="N63" s="85" t="e">
        <f>N61/(1+N62)^N49</f>
        <v>#DIV/0!</v>
      </c>
      <c r="O63" s="85" t="e">
        <f>O61/(1+O62)^O49</f>
        <v>#DIV/0!</v>
      </c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</row>
    <row r="64" spans="1:29" ht="14.25" customHeight="1" x14ac:dyDescent="0.2">
      <c r="A64" s="55"/>
      <c r="B64" s="55"/>
      <c r="C64" s="45" t="s">
        <v>52</v>
      </c>
      <c r="D64" s="60"/>
      <c r="E64" s="86"/>
      <c r="F64" s="87" t="e">
        <f>SUM(K63:O63)</f>
        <v>#DIV/0!</v>
      </c>
      <c r="G64" s="86"/>
      <c r="H64" s="86"/>
      <c r="I64" s="55"/>
      <c r="J64" s="55"/>
      <c r="K64" s="88" t="e">
        <f>K61/J61-1</f>
        <v>#DIV/0!</v>
      </c>
      <c r="L64" s="88" t="e">
        <f>L61/K61-1</f>
        <v>#DIV/0!</v>
      </c>
      <c r="M64" s="88" t="e">
        <f>M61/L61-1</f>
        <v>#DIV/0!</v>
      </c>
      <c r="N64" s="88" t="e">
        <f>N61/M61-1</f>
        <v>#DIV/0!</v>
      </c>
      <c r="O64" s="88" t="e">
        <f>O61/N61-1</f>
        <v>#DIV/0!</v>
      </c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</row>
    <row r="65" spans="1:29" ht="14.25" customHeight="1" x14ac:dyDescent="0.2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</row>
    <row r="66" spans="1:29" ht="18" customHeight="1" x14ac:dyDescent="0.25">
      <c r="A66" s="55"/>
      <c r="B66" s="55"/>
      <c r="C66" s="133" t="s">
        <v>53</v>
      </c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</row>
    <row r="67" spans="1:29" ht="14.25" customHeight="1" x14ac:dyDescent="0.2">
      <c r="A67" s="55"/>
      <c r="B67" s="55"/>
      <c r="C67" s="89" t="s">
        <v>54</v>
      </c>
      <c r="D67" s="90"/>
      <c r="E67" s="91"/>
      <c r="F67" s="91"/>
      <c r="G67" s="92"/>
      <c r="H67" s="92"/>
      <c r="I67" s="93"/>
      <c r="J67" s="93"/>
      <c r="K67" s="93"/>
      <c r="L67" s="92"/>
      <c r="M67" s="93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</row>
    <row r="68" spans="1:29" ht="14.25" customHeight="1" x14ac:dyDescent="0.2">
      <c r="A68" s="55"/>
      <c r="B68" s="55"/>
      <c r="C68" s="7" t="s">
        <v>55</v>
      </c>
      <c r="D68" s="55"/>
      <c r="E68" s="94"/>
      <c r="F68" s="95"/>
      <c r="I68" s="142" t="s">
        <v>56</v>
      </c>
      <c r="J68" s="142"/>
      <c r="K68" s="142"/>
      <c r="L68" s="142"/>
      <c r="M68" s="142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</row>
    <row r="69" spans="1:29" ht="14.25" customHeight="1" x14ac:dyDescent="0.2">
      <c r="A69" s="55"/>
      <c r="B69" s="55"/>
      <c r="C69" s="7" t="s">
        <v>57</v>
      </c>
      <c r="D69" s="55"/>
      <c r="E69" s="96"/>
      <c r="F69" s="47" t="e">
        <f>I89</f>
        <v>#DIV/0!</v>
      </c>
      <c r="G69" s="97"/>
      <c r="H69" s="97"/>
      <c r="I69" s="45">
        <v>2021</v>
      </c>
      <c r="J69" s="98">
        <f>K48</f>
        <v>46327</v>
      </c>
      <c r="K69" s="98">
        <f>L48</f>
        <v>46692</v>
      </c>
      <c r="L69" s="98">
        <f>M48</f>
        <v>47057</v>
      </c>
      <c r="M69" s="98">
        <f>N48</f>
        <v>47422</v>
      </c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</row>
    <row r="70" spans="1:29" ht="14.25" customHeight="1" x14ac:dyDescent="0.2">
      <c r="A70" s="55"/>
      <c r="B70" s="55"/>
      <c r="C70" s="7" t="s">
        <v>58</v>
      </c>
      <c r="D70" s="55"/>
      <c r="E70" s="99"/>
      <c r="F70" s="73" t="e">
        <f>O61*(1+F68)</f>
        <v>#DIV/0!</v>
      </c>
      <c r="G70" s="99"/>
      <c r="H70" s="92"/>
      <c r="I70" s="93"/>
      <c r="J70" s="100" t="e">
        <f>L61/K61-1</f>
        <v>#DIV/0!</v>
      </c>
      <c r="K70" s="100" t="e">
        <f>M61/L61-1</f>
        <v>#DIV/0!</v>
      </c>
      <c r="L70" s="101" t="e">
        <f>N61/M61-1</f>
        <v>#DIV/0!</v>
      </c>
      <c r="M70" s="100" t="e">
        <f>O61/N61-1</f>
        <v>#DIV/0!</v>
      </c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</row>
    <row r="71" spans="1:29" ht="14.25" customHeight="1" x14ac:dyDescent="0.2">
      <c r="A71" s="55"/>
      <c r="B71" s="55"/>
      <c r="C71" s="7" t="s">
        <v>53</v>
      </c>
      <c r="D71" s="55"/>
      <c r="E71" s="99"/>
      <c r="F71" s="73" t="e">
        <f>F70/(F69-F68)</f>
        <v>#DIV/0!</v>
      </c>
      <c r="G71" s="72"/>
      <c r="H71" s="92"/>
      <c r="I71" s="93"/>
      <c r="J71" s="93"/>
      <c r="K71" s="93"/>
      <c r="L71" s="92"/>
      <c r="M71" s="93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</row>
    <row r="72" spans="1:29" ht="14.25" customHeight="1" x14ac:dyDescent="0.2">
      <c r="A72" s="55"/>
      <c r="B72" s="55"/>
      <c r="C72" s="45" t="s">
        <v>59</v>
      </c>
      <c r="D72" s="60"/>
      <c r="E72" s="102"/>
      <c r="F72" s="103" t="e">
        <f>F71/(1+F69)^O49</f>
        <v>#DIV/0!</v>
      </c>
      <c r="G72" s="102"/>
      <c r="H72" s="104"/>
      <c r="I72" s="93"/>
      <c r="J72" s="93"/>
      <c r="K72" s="93"/>
      <c r="L72" s="104"/>
      <c r="M72" s="93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</row>
    <row r="73" spans="1:29" ht="14.25" customHeight="1" x14ac:dyDescent="0.2">
      <c r="A73" s="55"/>
      <c r="B73" s="55"/>
      <c r="C73" s="55"/>
      <c r="D73" s="55"/>
      <c r="E73" s="105"/>
      <c r="F73" s="105"/>
      <c r="G73" s="105"/>
      <c r="H73" s="93"/>
      <c r="I73" s="93"/>
      <c r="J73" s="93"/>
      <c r="K73" s="93"/>
      <c r="L73" s="93"/>
      <c r="M73" s="93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</row>
    <row r="74" spans="1:29" ht="18" customHeight="1" x14ac:dyDescent="0.25">
      <c r="A74" s="55"/>
      <c r="B74" s="55"/>
      <c r="C74" s="133" t="s">
        <v>57</v>
      </c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</row>
    <row r="75" spans="1:29" ht="14.25" customHeight="1" x14ac:dyDescent="0.2">
      <c r="A75" s="55"/>
      <c r="B75" s="55"/>
      <c r="C75" s="7" t="s">
        <v>60</v>
      </c>
      <c r="D75" s="55"/>
      <c r="E75" s="55"/>
      <c r="F75" s="55"/>
      <c r="G75" s="55"/>
      <c r="H75" s="55"/>
      <c r="I75" s="106">
        <f>I4</f>
        <v>0</v>
      </c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</row>
    <row r="76" spans="1:29" ht="14.25" customHeight="1" x14ac:dyDescent="0.2">
      <c r="A76" s="55"/>
      <c r="B76" s="55"/>
      <c r="C76" s="7" t="s">
        <v>2</v>
      </c>
      <c r="D76" s="55"/>
      <c r="E76" s="55"/>
      <c r="F76" s="55"/>
      <c r="G76" s="55"/>
      <c r="H76" s="55"/>
      <c r="I76" s="107">
        <f>I5</f>
        <v>0</v>
      </c>
      <c r="J76" s="55"/>
      <c r="K76" s="55"/>
      <c r="L76" s="55"/>
      <c r="M76" s="55"/>
      <c r="N76" s="108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</row>
    <row r="77" spans="1:29" ht="14.25" customHeight="1" x14ac:dyDescent="0.2">
      <c r="A77" s="55"/>
      <c r="B77" s="55"/>
      <c r="C77" s="7" t="s">
        <v>61</v>
      </c>
      <c r="D77" s="55"/>
      <c r="E77" s="55"/>
      <c r="F77" s="55"/>
      <c r="G77" s="55"/>
      <c r="H77" s="55"/>
      <c r="I77" s="95"/>
      <c r="J77" s="7"/>
      <c r="K77" s="55"/>
      <c r="L77" s="55"/>
      <c r="M77" s="7" t="s">
        <v>62</v>
      </c>
      <c r="N77" s="88">
        <f>0.1004-0.0412</f>
        <v>5.9200000000000003E-2</v>
      </c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</row>
    <row r="78" spans="1:29" ht="14.25" customHeight="1" x14ac:dyDescent="0.2">
      <c r="A78" s="55"/>
      <c r="B78" s="55"/>
      <c r="C78" s="7" t="s">
        <v>63</v>
      </c>
      <c r="D78" s="55"/>
      <c r="E78" s="55"/>
      <c r="F78" s="55"/>
      <c r="G78" s="55"/>
      <c r="H78" s="55"/>
      <c r="I78" s="109" t="e">
        <f>R52</f>
        <v>#NUM!</v>
      </c>
      <c r="J78" s="55"/>
      <c r="K78" s="55"/>
      <c r="L78" s="55"/>
      <c r="M78" s="7" t="s">
        <v>64</v>
      </c>
      <c r="N78" s="110"/>
      <c r="O78" s="7" t="s">
        <v>89</v>
      </c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</row>
    <row r="79" spans="1:29" ht="14.25" customHeight="1" x14ac:dyDescent="0.2">
      <c r="A79" s="55"/>
      <c r="B79" s="55"/>
      <c r="C79" s="7" t="s">
        <v>65</v>
      </c>
      <c r="D79" s="55"/>
      <c r="E79" s="55"/>
      <c r="F79" s="55"/>
      <c r="G79" s="55"/>
      <c r="H79" s="55"/>
      <c r="I79" s="111" t="e">
        <f>I77*(1-I78)</f>
        <v>#NUM!</v>
      </c>
      <c r="J79" s="55"/>
      <c r="K79" s="55"/>
      <c r="L79" s="55"/>
      <c r="M79" s="7" t="s">
        <v>66</v>
      </c>
      <c r="N79" s="112"/>
      <c r="O79" s="7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</row>
    <row r="80" spans="1:29" ht="14.25" customHeight="1" x14ac:dyDescent="0.2">
      <c r="A80" s="55"/>
      <c r="B80" s="55"/>
      <c r="C80" s="7" t="s">
        <v>67</v>
      </c>
      <c r="D80" s="55"/>
      <c r="E80" s="55"/>
      <c r="F80" s="55"/>
      <c r="G80" s="55"/>
      <c r="H80" s="55"/>
      <c r="I80" s="9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</row>
    <row r="81" spans="1:29" ht="14.25" customHeight="1" x14ac:dyDescent="0.2">
      <c r="A81" s="55"/>
      <c r="B81" s="55"/>
      <c r="C81" s="55"/>
      <c r="D81" s="55"/>
      <c r="E81" s="105"/>
      <c r="F81" s="105"/>
      <c r="G81" s="55"/>
      <c r="H81" s="105"/>
      <c r="I81" s="55"/>
      <c r="J81" s="55"/>
      <c r="K81" s="55"/>
      <c r="L81" s="55"/>
      <c r="M81" s="7" t="s">
        <v>68</v>
      </c>
      <c r="N81" s="88">
        <f>N78+N79*(N77)</f>
        <v>0</v>
      </c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</row>
    <row r="82" spans="1:29" ht="14.25" customHeight="1" x14ac:dyDescent="0.2">
      <c r="A82" s="55"/>
      <c r="B82" s="55"/>
      <c r="C82" s="7" t="s">
        <v>69</v>
      </c>
      <c r="D82" s="55"/>
      <c r="E82" s="55"/>
      <c r="F82" s="55"/>
      <c r="G82" s="55"/>
      <c r="H82" s="55"/>
      <c r="I82" s="113"/>
      <c r="J82" s="55"/>
      <c r="K82" s="55"/>
      <c r="L82" s="55"/>
      <c r="M82" s="114" t="s">
        <v>70</v>
      </c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</row>
    <row r="83" spans="1:29" ht="14.25" customHeight="1" x14ac:dyDescent="0.2">
      <c r="A83" s="55"/>
      <c r="B83" s="55"/>
      <c r="C83" s="7" t="s">
        <v>71</v>
      </c>
      <c r="D83" s="55"/>
      <c r="E83" s="55"/>
      <c r="F83" s="55"/>
      <c r="G83" s="55"/>
      <c r="H83" s="55"/>
      <c r="I83" s="113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</row>
    <row r="84" spans="1:29" ht="14.25" customHeight="1" x14ac:dyDescent="0.2">
      <c r="A84" s="55"/>
      <c r="B84" s="55"/>
      <c r="C84" s="35" t="s">
        <v>72</v>
      </c>
      <c r="D84" s="115"/>
      <c r="E84" s="55"/>
      <c r="F84" s="55"/>
      <c r="G84" s="55"/>
      <c r="H84" s="55"/>
      <c r="I84" s="71">
        <f>SUM(I82:I83)</f>
        <v>0</v>
      </c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</row>
    <row r="85" spans="1:29" ht="14.25" customHeight="1" x14ac:dyDescent="0.2">
      <c r="A85" s="55"/>
      <c r="B85" s="55"/>
      <c r="C85" s="115"/>
      <c r="D85" s="115"/>
      <c r="E85" s="55"/>
      <c r="F85" s="55"/>
      <c r="G85" s="55"/>
      <c r="H85" s="55"/>
      <c r="I85" s="116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</row>
    <row r="86" spans="1:29" ht="14.25" customHeight="1" x14ac:dyDescent="0.2">
      <c r="A86" s="55"/>
      <c r="B86" s="55"/>
      <c r="C86" s="7" t="s">
        <v>73</v>
      </c>
      <c r="D86" s="55"/>
      <c r="E86" s="55"/>
      <c r="F86" s="55"/>
      <c r="G86" s="55"/>
      <c r="H86" s="55"/>
      <c r="I86" s="111" t="e">
        <f>I82/I84</f>
        <v>#DIV/0!</v>
      </c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</row>
    <row r="87" spans="1:29" ht="14.25" customHeight="1" x14ac:dyDescent="0.2">
      <c r="A87" s="55"/>
      <c r="B87" s="55"/>
      <c r="C87" s="7" t="s">
        <v>74</v>
      </c>
      <c r="D87" s="55"/>
      <c r="E87" s="55"/>
      <c r="F87" s="55"/>
      <c r="G87" s="55"/>
      <c r="H87" s="55"/>
      <c r="I87" s="111" t="e">
        <f>I83/I84</f>
        <v>#DIV/0!</v>
      </c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</row>
    <row r="88" spans="1:29" ht="14.25" customHeight="1" x14ac:dyDescent="0.2">
      <c r="A88" s="55"/>
      <c r="B88" s="55"/>
      <c r="C88" s="115"/>
      <c r="D88" s="115"/>
      <c r="E88" s="55"/>
      <c r="F88" s="55"/>
      <c r="G88" s="55"/>
      <c r="H88" s="55"/>
      <c r="I88" s="116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</row>
    <row r="89" spans="1:29" ht="14.25" customHeight="1" x14ac:dyDescent="0.2">
      <c r="A89" s="55"/>
      <c r="B89" s="55"/>
      <c r="C89" s="45" t="s">
        <v>75</v>
      </c>
      <c r="D89" s="60"/>
      <c r="E89" s="60"/>
      <c r="F89" s="60"/>
      <c r="G89" s="60"/>
      <c r="H89" s="60"/>
      <c r="I89" s="83" t="e">
        <f>I86*I79+I87*I80</f>
        <v>#DIV/0!</v>
      </c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</row>
    <row r="90" spans="1:29" ht="14.25" customHeight="1" x14ac:dyDescent="0.2">
      <c r="A90" s="55"/>
      <c r="B90" s="55"/>
      <c r="C90" s="55"/>
      <c r="D90" s="55"/>
      <c r="E90" s="105"/>
      <c r="F90" s="105"/>
      <c r="G90" s="105"/>
      <c r="H90" s="10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</row>
    <row r="91" spans="1:29" ht="18" customHeight="1" x14ac:dyDescent="0.25">
      <c r="A91" s="55"/>
      <c r="B91" s="55"/>
      <c r="C91" s="133" t="s">
        <v>76</v>
      </c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</row>
    <row r="92" spans="1:29" ht="14.25" customHeight="1" x14ac:dyDescent="0.2">
      <c r="A92" s="55"/>
      <c r="B92" s="55"/>
      <c r="C92" s="7" t="s">
        <v>77</v>
      </c>
      <c r="D92" s="55"/>
      <c r="E92" s="117"/>
      <c r="F92" s="117"/>
      <c r="G92" s="117"/>
      <c r="H92" s="117"/>
      <c r="I92" s="68" t="e">
        <f>F72+F64</f>
        <v>#DIV/0!</v>
      </c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</row>
    <row r="93" spans="1:29" ht="14.25" customHeight="1" x14ac:dyDescent="0.2">
      <c r="A93" s="55"/>
      <c r="B93" s="55"/>
      <c r="C93" s="7" t="s">
        <v>78</v>
      </c>
      <c r="D93" s="55"/>
      <c r="E93" s="118"/>
      <c r="F93" s="118"/>
      <c r="G93" s="118"/>
      <c r="H93" s="118"/>
      <c r="I93" s="75">
        <f>(N93+N94)-N95</f>
        <v>0</v>
      </c>
      <c r="J93" s="35" t="s">
        <v>79</v>
      </c>
      <c r="K93" s="117"/>
      <c r="L93" s="55"/>
      <c r="M93" s="7" t="s">
        <v>80</v>
      </c>
      <c r="N93" s="119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</row>
    <row r="94" spans="1:29" ht="14.25" customHeight="1" x14ac:dyDescent="0.2">
      <c r="A94" s="55"/>
      <c r="B94" s="55"/>
      <c r="C94" s="45" t="s">
        <v>81</v>
      </c>
      <c r="D94" s="60"/>
      <c r="E94" s="55"/>
      <c r="F94" s="55"/>
      <c r="G94" s="55"/>
      <c r="H94" s="55"/>
      <c r="I94" s="87" t="e">
        <f>I92-I93</f>
        <v>#DIV/0!</v>
      </c>
      <c r="J94" s="74"/>
      <c r="K94" s="118"/>
      <c r="L94" s="55"/>
      <c r="M94" s="7" t="s">
        <v>82</v>
      </c>
      <c r="N94" s="119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</row>
    <row r="95" spans="1:29" ht="14.25" customHeight="1" x14ac:dyDescent="0.2">
      <c r="A95" s="55"/>
      <c r="B95" s="55"/>
      <c r="C95" s="7" t="s">
        <v>2</v>
      </c>
      <c r="D95" s="55"/>
      <c r="E95" s="55"/>
      <c r="F95" s="55"/>
      <c r="G95" s="55"/>
      <c r="H95" s="55"/>
      <c r="I95" s="120">
        <f>I5</f>
        <v>0</v>
      </c>
      <c r="J95" s="35" t="s">
        <v>83</v>
      </c>
      <c r="K95" s="102"/>
      <c r="L95" s="55"/>
      <c r="M95" s="7" t="s">
        <v>84</v>
      </c>
      <c r="N95" s="119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</row>
    <row r="96" spans="1:29" ht="14.25" customHeight="1" x14ac:dyDescent="0.2">
      <c r="A96" s="55"/>
      <c r="B96" s="55"/>
      <c r="C96" s="121" t="s">
        <v>85</v>
      </c>
      <c r="D96" s="64"/>
      <c r="E96" s="64"/>
      <c r="F96" s="64"/>
      <c r="G96" s="64"/>
      <c r="H96" s="64"/>
      <c r="I96" s="122" t="e">
        <f>I94/I95</f>
        <v>#DIV/0!</v>
      </c>
      <c r="J96" s="123"/>
      <c r="K96" s="124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</row>
    <row r="97" spans="1:29" ht="14.25" customHeight="1" x14ac:dyDescent="0.2">
      <c r="A97" s="55"/>
      <c r="B97" s="55"/>
      <c r="C97" s="55"/>
      <c r="D97" s="55"/>
      <c r="E97" s="55"/>
      <c r="F97" s="55"/>
      <c r="G97" s="55"/>
      <c r="H97" s="7" t="s">
        <v>86</v>
      </c>
      <c r="I97" s="125" t="e">
        <f>I96/I4-1</f>
        <v>#DIV/0!</v>
      </c>
      <c r="J97" s="11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</row>
    <row r="98" spans="1:29" ht="14.25" customHeight="1" x14ac:dyDescent="0.2">
      <c r="A98" s="105"/>
      <c r="B98" s="105"/>
      <c r="C98" s="55"/>
      <c r="D98" s="55"/>
      <c r="E98" s="105"/>
      <c r="F98" s="105"/>
      <c r="G98" s="105"/>
      <c r="H98" s="105"/>
      <c r="I98" s="105"/>
      <c r="J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</row>
    <row r="99" spans="1:29" ht="14.25" customHeight="1" x14ac:dyDescent="0.2">
      <c r="C99" s="55"/>
      <c r="D99" s="55"/>
      <c r="E99" s="126"/>
      <c r="F99" s="126"/>
    </row>
    <row r="100" spans="1:29" ht="14.25" customHeight="1" x14ac:dyDescent="0.2">
      <c r="C100" s="55"/>
      <c r="D100" s="55"/>
      <c r="E100" s="126"/>
      <c r="F100" s="126"/>
      <c r="H100" s="126"/>
    </row>
    <row r="101" spans="1:29" ht="14.25" customHeight="1" x14ac:dyDescent="0.2">
      <c r="C101" s="93"/>
      <c r="D101" s="93"/>
      <c r="E101" s="126"/>
      <c r="F101" s="126"/>
    </row>
    <row r="102" spans="1:29" ht="14.25" customHeight="1" x14ac:dyDescent="0.2">
      <c r="C102" s="93"/>
      <c r="D102" s="93"/>
      <c r="E102" s="55"/>
      <c r="F102" s="55"/>
    </row>
    <row r="103" spans="1:29" ht="14.25" customHeight="1" x14ac:dyDescent="0.2">
      <c r="C103" s="93"/>
      <c r="D103" s="93"/>
    </row>
    <row r="104" spans="1:29" ht="14.25" customHeight="1" x14ac:dyDescent="0.2">
      <c r="C104" s="93"/>
      <c r="D104" s="127"/>
    </row>
    <row r="105" spans="1:29" ht="12.75" customHeight="1" x14ac:dyDescent="0.2">
      <c r="C105" s="93"/>
      <c r="D105" s="93"/>
      <c r="R105" s="8" t="s">
        <v>87</v>
      </c>
    </row>
    <row r="106" spans="1:29" ht="12.75" customHeight="1" x14ac:dyDescent="0.2">
      <c r="C106" s="93"/>
      <c r="D106" s="127"/>
    </row>
    <row r="107" spans="1:29" ht="12.75" customHeight="1" x14ac:dyDescent="0.2">
      <c r="C107" s="93"/>
      <c r="D107" s="128"/>
    </row>
    <row r="108" spans="1:29" ht="12.75" customHeight="1" x14ac:dyDescent="0.2">
      <c r="C108" s="93"/>
      <c r="D108" s="127"/>
    </row>
    <row r="109" spans="1:29" ht="12.75" customHeight="1" x14ac:dyDescent="0.2"/>
    <row r="110" spans="1:29" ht="12.75" customHeight="1" x14ac:dyDescent="0.2"/>
    <row r="111" spans="1:29" ht="12.75" customHeight="1" x14ac:dyDescent="0.2"/>
    <row r="112" spans="1:29" ht="12.75" customHeight="1" x14ac:dyDescent="0.2"/>
    <row r="113" spans="3:10" ht="12.75" customHeight="1" x14ac:dyDescent="0.2"/>
    <row r="114" spans="3:10" ht="12.75" customHeight="1" x14ac:dyDescent="0.2"/>
    <row r="115" spans="3:10" ht="12.75" customHeight="1" x14ac:dyDescent="0.2"/>
    <row r="116" spans="3:10" ht="12.75" customHeight="1" x14ac:dyDescent="0.2"/>
    <row r="117" spans="3:10" ht="12.75" customHeight="1" x14ac:dyDescent="0.2">
      <c r="D117" s="93"/>
      <c r="E117" s="93"/>
      <c r="F117" s="93"/>
      <c r="G117" s="93"/>
      <c r="H117" s="93"/>
      <c r="I117" s="93"/>
      <c r="J117" s="93"/>
    </row>
    <row r="118" spans="3:10" ht="12.75" customHeight="1" x14ac:dyDescent="0.2">
      <c r="C118" s="93"/>
      <c r="D118" s="93"/>
      <c r="E118" s="93"/>
      <c r="F118" s="93"/>
      <c r="G118" s="93"/>
      <c r="H118" s="93"/>
      <c r="I118" s="93"/>
      <c r="J118" s="93"/>
    </row>
    <row r="119" spans="3:10" ht="12.75" customHeight="1" x14ac:dyDescent="0.2">
      <c r="E119" s="129"/>
      <c r="F119" s="129"/>
      <c r="G119" s="129"/>
      <c r="H119" s="129"/>
      <c r="I119" s="129"/>
      <c r="J119" s="129"/>
    </row>
    <row r="120" spans="3:10" ht="12.75" customHeight="1" x14ac:dyDescent="0.2"/>
    <row r="121" spans="3:10" ht="12.75" customHeight="1" x14ac:dyDescent="0.2">
      <c r="E121" s="93"/>
    </row>
    <row r="122" spans="3:10" ht="12.75" customHeight="1" x14ac:dyDescent="0.2">
      <c r="E122" s="129"/>
    </row>
    <row r="123" spans="3:10" ht="12.75" customHeight="1" x14ac:dyDescent="0.2"/>
    <row r="124" spans="3:10" ht="12.75" customHeight="1" x14ac:dyDescent="0.2"/>
    <row r="125" spans="3:10" ht="12.75" customHeight="1" x14ac:dyDescent="0.2"/>
    <row r="126" spans="3:10" ht="12.75" customHeight="1" x14ac:dyDescent="0.2"/>
    <row r="127" spans="3:10" ht="12.75" customHeight="1" x14ac:dyDescent="0.2"/>
    <row r="128" spans="3:10" ht="12.75" customHeight="1" x14ac:dyDescent="0.2"/>
    <row r="129" spans="3:15" ht="12.75" customHeight="1" x14ac:dyDescent="0.2"/>
    <row r="130" spans="3:15" ht="12.75" customHeight="1" x14ac:dyDescent="0.2"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</row>
    <row r="131" spans="3:15" ht="12.75" customHeight="1" x14ac:dyDescent="0.2">
      <c r="C131" s="93"/>
      <c r="D131" s="130"/>
      <c r="E131" s="104"/>
      <c r="F131" s="104"/>
      <c r="G131" s="104"/>
      <c r="H131" s="104"/>
      <c r="I131" s="104"/>
      <c r="J131" s="104"/>
      <c r="K131" s="131"/>
      <c r="L131" s="131"/>
      <c r="M131" s="131"/>
      <c r="N131" s="131"/>
      <c r="O131" s="131"/>
    </row>
    <row r="132" spans="3:15" ht="12.75" customHeight="1" x14ac:dyDescent="0.2"/>
    <row r="133" spans="3:15" ht="12.75" customHeight="1" x14ac:dyDescent="0.2"/>
    <row r="134" spans="3:15" ht="12.75" customHeight="1" x14ac:dyDescent="0.2"/>
    <row r="135" spans="3:15" ht="12.75" customHeight="1" x14ac:dyDescent="0.2"/>
    <row r="136" spans="3:15" ht="12.75" customHeight="1" x14ac:dyDescent="0.2"/>
    <row r="137" spans="3:15" ht="12.75" customHeight="1" x14ac:dyDescent="0.2"/>
    <row r="138" spans="3:15" ht="12.75" customHeight="1" x14ac:dyDescent="0.2"/>
    <row r="139" spans="3:15" ht="12.75" customHeight="1" x14ac:dyDescent="0.2"/>
    <row r="140" spans="3:15" ht="12.75" customHeight="1" x14ac:dyDescent="0.2"/>
    <row r="141" spans="3:15" ht="12.75" customHeight="1" x14ac:dyDescent="0.2"/>
    <row r="142" spans="3:15" ht="12.75" customHeight="1" x14ac:dyDescent="0.2"/>
    <row r="143" spans="3:15" ht="12.75" customHeight="1" x14ac:dyDescent="0.2"/>
    <row r="144" spans="3:15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</sheetData>
  <mergeCells count="4">
    <mergeCell ref="K8:O8"/>
    <mergeCell ref="K21:O21"/>
    <mergeCell ref="K47:O47"/>
    <mergeCell ref="I68:M68"/>
  </mergeCells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Wall Street Prep, LLC</dc:creator>
  <dc:description/>
  <cp:lastModifiedBy>Sam Heier</cp:lastModifiedBy>
  <cp:revision>0</cp:revision>
  <dcterms:created xsi:type="dcterms:W3CDTF">2006-10-30T23:26:47Z</dcterms:created>
  <dcterms:modified xsi:type="dcterms:W3CDTF">2026-08-14T00:20:20Z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1b0b552e-fe71-4692-9a0a-515971af59e0</vt:lpwstr>
  </property>
</Properties>
</file>
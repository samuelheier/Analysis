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mheier/Downloads/"/>
    </mc:Choice>
  </mc:AlternateContent>
  <xr:revisionPtr revIDLastSave="0" documentId="13_ncr:1_{76F06E09-3673-4441-90DF-516171C0DF1B}" xr6:coauthVersionLast="47" xr6:coauthVersionMax="47" xr10:uidLastSave="{00000000-0000-0000-0000-000000000000}"/>
  <bookViews>
    <workbookView xWindow="20" yWindow="500" windowWidth="28800" windowHeight="15720" activeTab="1" xr2:uid="{9EA498D1-7DC0-ED4B-AD68-4170B24C29C4}"/>
  </bookViews>
  <sheets>
    <sheet name="Main" sheetId="1" r:id="rId1"/>
    <sheet name="Model" sheetId="3" r:id="rId2"/>
    <sheet name="Mounjaro" sheetId="5" r:id="rId3"/>
    <sheet name="Zepbound" sheetId="6" r:id="rId4"/>
    <sheet name="Trulicity" sheetId="9" r:id="rId5"/>
    <sheet name="Retatrutide" sheetId="10" r:id="rId6"/>
    <sheet name="Foundayo" sheetId="18" r:id="rId7"/>
    <sheet name="Basaglar" sheetId="19" r:id="rId8"/>
    <sheet name="Humalog" sheetId="17" r:id="rId9"/>
    <sheet name="Humulin" sheetId="20" r:id="rId10"/>
    <sheet name="Jardiance" sheetId="7" r:id="rId11"/>
    <sheet name="Verzenio" sheetId="8" r:id="rId12"/>
    <sheet name="Cyramza" sheetId="21" r:id="rId13"/>
    <sheet name="Erbitux" sheetId="24" r:id="rId14"/>
    <sheet name="Retevmo" sheetId="25" r:id="rId15"/>
    <sheet name="Tyvyt" sheetId="26" r:id="rId16"/>
    <sheet name="Jaypirca" sheetId="14" r:id="rId17"/>
    <sheet name="Inluriyo" sheetId="15" r:id="rId18"/>
    <sheet name="Ebglyss" sheetId="11" r:id="rId19"/>
    <sheet name="Olumiant" sheetId="22" r:id="rId20"/>
    <sheet name="Omvoh" sheetId="13" r:id="rId21"/>
    <sheet name="Taltz" sheetId="16" r:id="rId22"/>
    <sheet name="Emgality" sheetId="23" r:id="rId23"/>
    <sheet name="Kisunla" sheetId="12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33" i="3" l="1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AI33" i="3"/>
  <c r="AJ33" i="3"/>
  <c r="AK33" i="3"/>
  <c r="AL33" i="3"/>
  <c r="Q31" i="3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AG31" i="3" s="1"/>
  <c r="AH31" i="3" s="1"/>
  <c r="AI31" i="3" s="1"/>
  <c r="AJ31" i="3" s="1"/>
  <c r="AK31" i="3" s="1"/>
  <c r="AL31" i="3" s="1"/>
  <c r="P31" i="3"/>
  <c r="P33" i="3" s="1"/>
  <c r="P24" i="3"/>
  <c r="P26" i="3"/>
  <c r="P27" i="3"/>
  <c r="P30" i="3"/>
  <c r="P22" i="3" l="1"/>
  <c r="P21" i="3"/>
  <c r="P16" i="3"/>
  <c r="P8" i="3"/>
  <c r="P7" i="3"/>
  <c r="P6" i="3"/>
  <c r="B5" i="1"/>
  <c r="O25" i="3"/>
  <c r="P25" i="3" s="1"/>
  <c r="O11" i="3"/>
  <c r="P11" i="3" s="1"/>
  <c r="O13" i="3"/>
  <c r="P13" i="3" s="1"/>
  <c r="O20" i="3"/>
  <c r="P20" i="3" s="1"/>
  <c r="O17" i="3"/>
  <c r="P17" i="3" s="1"/>
  <c r="O18" i="3"/>
  <c r="P18" i="3" s="1"/>
  <c r="H23" i="1"/>
  <c r="H20" i="1"/>
  <c r="H15" i="1"/>
  <c r="H14" i="1"/>
  <c r="H13" i="1"/>
  <c r="H10" i="1"/>
  <c r="H8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N17" i="3"/>
  <c r="AL23" i="3" l="1"/>
  <c r="AH23" i="3"/>
  <c r="AB23" i="3"/>
  <c r="Z23" i="3"/>
  <c r="AJ23" i="3"/>
  <c r="T23" i="3"/>
  <c r="R23" i="3"/>
  <c r="AI23" i="3"/>
  <c r="AA23" i="3"/>
  <c r="S23" i="3"/>
  <c r="AG23" i="3"/>
  <c r="Y23" i="3"/>
  <c r="Q23" i="3"/>
  <c r="AD23" i="3"/>
  <c r="V23" i="3"/>
  <c r="AF23" i="3"/>
  <c r="X23" i="3"/>
  <c r="P23" i="3"/>
  <c r="AE23" i="3"/>
  <c r="W23" i="3"/>
  <c r="AK23" i="3"/>
  <c r="AC23" i="3"/>
  <c r="U23" i="3"/>
  <c r="D28" i="3"/>
  <c r="E28" i="3"/>
  <c r="F28" i="3"/>
  <c r="G28" i="3"/>
  <c r="H28" i="3"/>
  <c r="I28" i="3"/>
  <c r="J28" i="3"/>
  <c r="K28" i="3"/>
  <c r="L28" i="3"/>
  <c r="M28" i="3"/>
  <c r="C28" i="3"/>
  <c r="D23" i="3"/>
  <c r="E23" i="3"/>
  <c r="F23" i="3"/>
  <c r="G23" i="3"/>
  <c r="H23" i="3"/>
  <c r="I23" i="3"/>
  <c r="J23" i="3"/>
  <c r="K23" i="3"/>
  <c r="L23" i="3"/>
  <c r="M23" i="3"/>
  <c r="C23" i="3"/>
  <c r="M5" i="3"/>
  <c r="L5" i="3"/>
  <c r="K5" i="3"/>
  <c r="J5" i="3"/>
  <c r="I5" i="3"/>
  <c r="H5" i="3"/>
  <c r="G5" i="3"/>
  <c r="E5" i="3"/>
  <c r="D5" i="3"/>
  <c r="C5" i="3"/>
  <c r="N12" i="3"/>
  <c r="O12" i="3" s="1"/>
  <c r="P12" i="3" s="1"/>
  <c r="D15" i="3"/>
  <c r="E15" i="3"/>
  <c r="G15" i="3"/>
  <c r="H15" i="3"/>
  <c r="I15" i="3"/>
  <c r="J15" i="3"/>
  <c r="K15" i="3"/>
  <c r="C15" i="3"/>
  <c r="O29" i="3"/>
  <c r="P29" i="3" s="1"/>
  <c r="N29" i="3"/>
  <c r="O23" i="3"/>
  <c r="N25" i="3"/>
  <c r="N20" i="3"/>
  <c r="N19" i="3"/>
  <c r="O19" i="3" s="1"/>
  <c r="P19" i="3" s="1"/>
  <c r="N18" i="3"/>
  <c r="F18" i="3"/>
  <c r="F15" i="3" s="1"/>
  <c r="N13" i="3"/>
  <c r="F13" i="3"/>
  <c r="N11" i="3"/>
  <c r="F11" i="3"/>
  <c r="N22" i="3"/>
  <c r="M22" i="3" s="1"/>
  <c r="L22" i="3" s="1"/>
  <c r="L15" i="3" s="1"/>
  <c r="N21" i="3"/>
  <c r="N26" i="3"/>
  <c r="N30" i="3"/>
  <c r="N24" i="3"/>
  <c r="K62" i="3" l="1"/>
  <c r="H62" i="3"/>
  <c r="J62" i="3"/>
  <c r="G62" i="3"/>
  <c r="I62" i="3"/>
  <c r="C62" i="3"/>
  <c r="D60" i="3"/>
  <c r="O5" i="3"/>
  <c r="C63" i="3"/>
  <c r="D62" i="3"/>
  <c r="D63" i="3"/>
  <c r="F62" i="3"/>
  <c r="D61" i="3"/>
  <c r="C61" i="3"/>
  <c r="P15" i="3"/>
  <c r="N28" i="3"/>
  <c r="E63" i="3" s="1"/>
  <c r="O28" i="3"/>
  <c r="P5" i="3"/>
  <c r="C31" i="3"/>
  <c r="D31" i="3"/>
  <c r="E31" i="3"/>
  <c r="G31" i="3"/>
  <c r="H31" i="3"/>
  <c r="I31" i="3"/>
  <c r="J31" i="3"/>
  <c r="K31" i="3"/>
  <c r="L31" i="3"/>
  <c r="F5" i="3"/>
  <c r="F31" i="3" s="1"/>
  <c r="O15" i="3"/>
  <c r="N15" i="3"/>
  <c r="M15" i="3"/>
  <c r="M31" i="3" s="1"/>
  <c r="D64" i="3" l="1"/>
  <c r="D65" i="3" s="1"/>
  <c r="C64" i="3"/>
  <c r="E61" i="3"/>
  <c r="O31" i="3"/>
  <c r="C60" i="3"/>
  <c r="C65" i="3" s="1"/>
  <c r="Q5" i="3"/>
  <c r="P28" i="3"/>
  <c r="Q15" i="3"/>
  <c r="N27" i="3"/>
  <c r="N23" i="3" s="1"/>
  <c r="E62" i="3" s="1"/>
  <c r="N14" i="3"/>
  <c r="N8" i="3"/>
  <c r="N5" i="3" s="1"/>
  <c r="K77" i="3"/>
  <c r="J77" i="3"/>
  <c r="I77" i="3"/>
  <c r="H77" i="3"/>
  <c r="G77" i="3"/>
  <c r="F77" i="3"/>
  <c r="G71" i="3"/>
  <c r="H71" i="3"/>
  <c r="I71" i="3"/>
  <c r="J71" i="3"/>
  <c r="K71" i="3"/>
  <c r="G72" i="3"/>
  <c r="H72" i="3"/>
  <c r="I72" i="3"/>
  <c r="J72" i="3"/>
  <c r="K72" i="3"/>
  <c r="E66" i="3"/>
  <c r="P39" i="3"/>
  <c r="F71" i="3" s="1"/>
  <c r="P40" i="3"/>
  <c r="F72" i="3" s="1"/>
  <c r="R35" i="3"/>
  <c r="R34" i="3" s="1"/>
  <c r="E77" i="3"/>
  <c r="D77" i="3"/>
  <c r="C77" i="3"/>
  <c r="C66" i="3"/>
  <c r="D66" i="3"/>
  <c r="C68" i="3"/>
  <c r="D68" i="3"/>
  <c r="E68" i="3"/>
  <c r="C69" i="3"/>
  <c r="D69" i="3"/>
  <c r="E69" i="3"/>
  <c r="C70" i="3"/>
  <c r="D70" i="3"/>
  <c r="E70" i="3"/>
  <c r="C71" i="3"/>
  <c r="D71" i="3"/>
  <c r="E71" i="3"/>
  <c r="C72" i="3"/>
  <c r="D72" i="3"/>
  <c r="E72" i="3"/>
  <c r="C74" i="3"/>
  <c r="D74" i="3"/>
  <c r="E74" i="3"/>
  <c r="H47" i="3"/>
  <c r="I47" i="3"/>
  <c r="J47" i="3"/>
  <c r="K47" i="3"/>
  <c r="L47" i="3"/>
  <c r="M47" i="3"/>
  <c r="N47" i="3"/>
  <c r="O47" i="3"/>
  <c r="G47" i="3"/>
  <c r="C35" i="3"/>
  <c r="C41" i="3" s="1"/>
  <c r="C43" i="3" s="1"/>
  <c r="C44" i="3" s="1"/>
  <c r="D35" i="3"/>
  <c r="D41" i="3" s="1"/>
  <c r="D43" i="3" s="1"/>
  <c r="D44" i="3" s="1"/>
  <c r="E35" i="3"/>
  <c r="E41" i="3" s="1"/>
  <c r="E43" i="3" s="1"/>
  <c r="E44" i="3" s="1"/>
  <c r="F35" i="3"/>
  <c r="F41" i="3" s="1"/>
  <c r="F43" i="3" s="1"/>
  <c r="F44" i="3" s="1"/>
  <c r="G35" i="3"/>
  <c r="G41" i="3" s="1"/>
  <c r="G43" i="3" s="1"/>
  <c r="I35" i="3"/>
  <c r="I41" i="3" s="1"/>
  <c r="I43" i="3" s="1"/>
  <c r="I44" i="3" s="1"/>
  <c r="J35" i="3"/>
  <c r="J41" i="3" s="1"/>
  <c r="J43" i="3" s="1"/>
  <c r="J44" i="3" s="1"/>
  <c r="K35" i="3"/>
  <c r="K41" i="3" s="1"/>
  <c r="K43" i="3" s="1"/>
  <c r="K44" i="3" s="1"/>
  <c r="L35" i="3"/>
  <c r="L41" i="3" s="1"/>
  <c r="L52" i="3" s="1"/>
  <c r="M35" i="3"/>
  <c r="M41" i="3" s="1"/>
  <c r="M52" i="3" s="1"/>
  <c r="N35" i="3"/>
  <c r="N41" i="3" s="1"/>
  <c r="N52" i="3" s="1"/>
  <c r="O35" i="3"/>
  <c r="O41" i="3" s="1"/>
  <c r="O52" i="3" s="1"/>
  <c r="H35" i="3"/>
  <c r="H41" i="3" s="1"/>
  <c r="H43" i="3" s="1"/>
  <c r="H44" i="3" s="1"/>
  <c r="B7" i="1"/>
  <c r="B8" i="1"/>
  <c r="N76" i="3"/>
  <c r="S35" i="3" l="1"/>
  <c r="S34" i="3" s="1"/>
  <c r="N31" i="3"/>
  <c r="E64" i="3" s="1"/>
  <c r="E60" i="3"/>
  <c r="E65" i="3" s="1"/>
  <c r="R15" i="3"/>
  <c r="F61" i="3" s="1"/>
  <c r="Q28" i="3"/>
  <c r="R5" i="3"/>
  <c r="N50" i="3"/>
  <c r="O50" i="3"/>
  <c r="P50" i="3" s="1"/>
  <c r="O49" i="3"/>
  <c r="P49" i="3" s="1"/>
  <c r="Q49" i="3" s="1"/>
  <c r="R49" i="3" s="1"/>
  <c r="S49" i="3" s="1"/>
  <c r="N49" i="3"/>
  <c r="H52" i="3"/>
  <c r="E49" i="3"/>
  <c r="E50" i="3"/>
  <c r="C52" i="3"/>
  <c r="D49" i="3"/>
  <c r="L49" i="3"/>
  <c r="L50" i="3"/>
  <c r="G52" i="3"/>
  <c r="D50" i="3"/>
  <c r="L51" i="3"/>
  <c r="M50" i="3"/>
  <c r="G49" i="3"/>
  <c r="G50" i="3"/>
  <c r="F52" i="3"/>
  <c r="D51" i="3"/>
  <c r="M49" i="3"/>
  <c r="F49" i="3"/>
  <c r="F50" i="3"/>
  <c r="S38" i="3"/>
  <c r="E52" i="3"/>
  <c r="J51" i="3"/>
  <c r="H49" i="3"/>
  <c r="C50" i="3"/>
  <c r="H50" i="3"/>
  <c r="M51" i="3"/>
  <c r="E51" i="3"/>
  <c r="I52" i="3"/>
  <c r="I51" i="3"/>
  <c r="Q35" i="3"/>
  <c r="K49" i="3"/>
  <c r="K50" i="3"/>
  <c r="C51" i="3"/>
  <c r="H51" i="3"/>
  <c r="R37" i="3"/>
  <c r="R38" i="3"/>
  <c r="D52" i="3"/>
  <c r="K51" i="3"/>
  <c r="J49" i="3"/>
  <c r="J50" i="3"/>
  <c r="O51" i="3"/>
  <c r="P51" i="3" s="1"/>
  <c r="G51" i="3"/>
  <c r="K52" i="3"/>
  <c r="I49" i="3"/>
  <c r="C49" i="3"/>
  <c r="I50" i="3"/>
  <c r="N51" i="3"/>
  <c r="F51" i="3"/>
  <c r="J52" i="3"/>
  <c r="Z35" i="3"/>
  <c r="D75" i="3"/>
  <c r="D76" i="3" s="1"/>
  <c r="P47" i="3"/>
  <c r="O48" i="3"/>
  <c r="G48" i="3"/>
  <c r="N48" i="3"/>
  <c r="F48" i="3"/>
  <c r="M48" i="3"/>
  <c r="E48" i="3"/>
  <c r="G44" i="3"/>
  <c r="L48" i="3"/>
  <c r="D48" i="3"/>
  <c r="K48" i="3"/>
  <c r="E73" i="3"/>
  <c r="J48" i="3"/>
  <c r="D73" i="3"/>
  <c r="D67" i="3"/>
  <c r="I48" i="3"/>
  <c r="C48" i="3"/>
  <c r="H48" i="3"/>
  <c r="Y35" i="3"/>
  <c r="U35" i="3"/>
  <c r="C67" i="3"/>
  <c r="E67" i="3"/>
  <c r="C73" i="3"/>
  <c r="C75" i="3"/>
  <c r="C76" i="3" s="1"/>
  <c r="L43" i="3"/>
  <c r="L44" i="3" s="1"/>
  <c r="O43" i="3"/>
  <c r="M43" i="3"/>
  <c r="M44" i="3" s="1"/>
  <c r="N43" i="3"/>
  <c r="N44" i="3" s="1"/>
  <c r="S37" i="3" l="1"/>
  <c r="F60" i="3"/>
  <c r="F64" i="3"/>
  <c r="S5" i="3"/>
  <c r="R28" i="3"/>
  <c r="F63" i="3" s="1"/>
  <c r="S15" i="3"/>
  <c r="E75" i="3"/>
  <c r="E76" i="3" s="1"/>
  <c r="O44" i="3"/>
  <c r="R36" i="3"/>
  <c r="R41" i="3" s="1"/>
  <c r="R42" i="3" s="1"/>
  <c r="V35" i="3"/>
  <c r="V34" i="3" s="1"/>
  <c r="AD35" i="3"/>
  <c r="P52" i="3"/>
  <c r="W35" i="3"/>
  <c r="Z34" i="3"/>
  <c r="Z38" i="3"/>
  <c r="Z37" i="3"/>
  <c r="Y34" i="3"/>
  <c r="Y38" i="3"/>
  <c r="Y37" i="3"/>
  <c r="T49" i="3"/>
  <c r="U49" i="3" s="1"/>
  <c r="V49" i="3" s="1"/>
  <c r="W49" i="3" s="1"/>
  <c r="X49" i="3" s="1"/>
  <c r="Y49" i="3" s="1"/>
  <c r="Z49" i="3" s="1"/>
  <c r="AA49" i="3" s="1"/>
  <c r="AB49" i="3" s="1"/>
  <c r="AC49" i="3" s="1"/>
  <c r="AD49" i="3" s="1"/>
  <c r="AE49" i="3" s="1"/>
  <c r="AF49" i="3" s="1"/>
  <c r="AG49" i="3" s="1"/>
  <c r="AH49" i="3" s="1"/>
  <c r="AI49" i="3" s="1"/>
  <c r="AJ49" i="3" s="1"/>
  <c r="AK49" i="3" s="1"/>
  <c r="AL49" i="3" s="1"/>
  <c r="S36" i="3"/>
  <c r="U34" i="3"/>
  <c r="U38" i="3"/>
  <c r="U37" i="3"/>
  <c r="Q34" i="3"/>
  <c r="Q38" i="3"/>
  <c r="Q36" i="3"/>
  <c r="Q37" i="3"/>
  <c r="P48" i="3"/>
  <c r="P35" i="3" s="1"/>
  <c r="F67" i="3" s="1"/>
  <c r="AK35" i="3"/>
  <c r="AC35" i="3"/>
  <c r="F65" i="3" l="1"/>
  <c r="G64" i="3"/>
  <c r="T15" i="3"/>
  <c r="S28" i="3"/>
  <c r="T5" i="3"/>
  <c r="AA35" i="3"/>
  <c r="AA36" i="3" s="1"/>
  <c r="T35" i="3"/>
  <c r="G67" i="3" s="1"/>
  <c r="V38" i="3"/>
  <c r="S41" i="3"/>
  <c r="S42" i="3" s="1"/>
  <c r="V37" i="3"/>
  <c r="AK34" i="3"/>
  <c r="AK37" i="3"/>
  <c r="AK38" i="3"/>
  <c r="AK36" i="3"/>
  <c r="W34" i="3"/>
  <c r="R43" i="3"/>
  <c r="R44" i="3" s="1"/>
  <c r="Q41" i="3"/>
  <c r="Q42" i="3" s="1"/>
  <c r="Q43" i="3" s="1"/>
  <c r="Q44" i="3" s="1"/>
  <c r="W37" i="3"/>
  <c r="W38" i="3"/>
  <c r="P34" i="3"/>
  <c r="F66" i="3" s="1"/>
  <c r="P36" i="3"/>
  <c r="F68" i="3" s="1"/>
  <c r="P38" i="3"/>
  <c r="F70" i="3" s="1"/>
  <c r="P37" i="3"/>
  <c r="F69" i="3" s="1"/>
  <c r="AD34" i="3"/>
  <c r="AD36" i="3"/>
  <c r="AD38" i="3"/>
  <c r="AD37" i="3"/>
  <c r="V36" i="3"/>
  <c r="Z36" i="3"/>
  <c r="Z41" i="3" s="1"/>
  <c r="AC34" i="3"/>
  <c r="AC36" i="3"/>
  <c r="AC37" i="3"/>
  <c r="AC38" i="3"/>
  <c r="U36" i="3"/>
  <c r="U41" i="3" s="1"/>
  <c r="Y36" i="3"/>
  <c r="Y41" i="3" s="1"/>
  <c r="W36" i="3"/>
  <c r="AG35" i="3"/>
  <c r="T34" i="3" l="1"/>
  <c r="G66" i="3" s="1"/>
  <c r="H64" i="3"/>
  <c r="T37" i="3"/>
  <c r="G69" i="3" s="1"/>
  <c r="U5" i="3"/>
  <c r="T28" i="3"/>
  <c r="U15" i="3"/>
  <c r="AA37" i="3"/>
  <c r="T36" i="3"/>
  <c r="G68" i="3" s="1"/>
  <c r="T38" i="3"/>
  <c r="G70" i="3" s="1"/>
  <c r="AA34" i="3"/>
  <c r="AA38" i="3"/>
  <c r="X35" i="3"/>
  <c r="X36" i="3" s="1"/>
  <c r="I68" i="3" s="1"/>
  <c r="V41" i="3"/>
  <c r="V42" i="3" s="1"/>
  <c r="V43" i="3" s="1"/>
  <c r="V44" i="3" s="1"/>
  <c r="AK41" i="3"/>
  <c r="AK42" i="3" s="1"/>
  <c r="AK43" i="3" s="1"/>
  <c r="AK44" i="3" s="1"/>
  <c r="AE35" i="3"/>
  <c r="S43" i="3"/>
  <c r="W41" i="3"/>
  <c r="AH35" i="3"/>
  <c r="AL35" i="3"/>
  <c r="AD41" i="3"/>
  <c r="AD42" i="3" s="1"/>
  <c r="AD43" i="3" s="1"/>
  <c r="AD44" i="3" s="1"/>
  <c r="P41" i="3"/>
  <c r="F73" i="3" s="1"/>
  <c r="AC41" i="3"/>
  <c r="AC42" i="3" s="1"/>
  <c r="Y42" i="3"/>
  <c r="Y43" i="3" s="1"/>
  <c r="Y44" i="3" s="1"/>
  <c r="AG34" i="3"/>
  <c r="AG38" i="3"/>
  <c r="AG37" i="3"/>
  <c r="AG36" i="3"/>
  <c r="U42" i="3"/>
  <c r="U43" i="3" s="1"/>
  <c r="U44" i="3" s="1"/>
  <c r="Z42" i="3"/>
  <c r="Z43" i="3" s="1"/>
  <c r="Z44" i="3" s="1"/>
  <c r="AB35" i="3" l="1"/>
  <c r="AB34" i="3" s="1"/>
  <c r="I64" i="3"/>
  <c r="T41" i="3"/>
  <c r="T42" i="3" s="1"/>
  <c r="G74" i="3" s="1"/>
  <c r="AA41" i="3"/>
  <c r="AA42" i="3" s="1"/>
  <c r="V15" i="3"/>
  <c r="G61" i="3" s="1"/>
  <c r="U28" i="3"/>
  <c r="V5" i="3"/>
  <c r="X34" i="3"/>
  <c r="I66" i="3" s="1"/>
  <c r="AB37" i="3"/>
  <c r="AB36" i="3"/>
  <c r="H67" i="3"/>
  <c r="H68" i="3"/>
  <c r="I67" i="3"/>
  <c r="AB38" i="3"/>
  <c r="X37" i="3"/>
  <c r="H69" i="3" s="1"/>
  <c r="X38" i="3"/>
  <c r="I70" i="3" s="1"/>
  <c r="S44" i="3"/>
  <c r="W42" i="3"/>
  <c r="AH38" i="3"/>
  <c r="AH37" i="3"/>
  <c r="AH36" i="3"/>
  <c r="AH34" i="3"/>
  <c r="AE34" i="3"/>
  <c r="AE38" i="3"/>
  <c r="AE36" i="3"/>
  <c r="AE37" i="3"/>
  <c r="P42" i="3"/>
  <c r="AL34" i="3"/>
  <c r="AL36" i="3"/>
  <c r="AL38" i="3"/>
  <c r="AL37" i="3"/>
  <c r="AI35" i="3"/>
  <c r="AC43" i="3"/>
  <c r="AC44" i="3" s="1"/>
  <c r="AG41" i="3"/>
  <c r="AG42" i="3" s="1"/>
  <c r="AG43" i="3" s="1"/>
  <c r="AG44" i="3" s="1"/>
  <c r="G60" i="3" l="1"/>
  <c r="T43" i="3"/>
  <c r="T44" i="3" s="1"/>
  <c r="G73" i="3"/>
  <c r="AA43" i="3"/>
  <c r="AA44" i="3" s="1"/>
  <c r="W5" i="3"/>
  <c r="V28" i="3"/>
  <c r="G63" i="3" s="1"/>
  <c r="G65" i="3" s="1"/>
  <c r="W15" i="3"/>
  <c r="H66" i="3"/>
  <c r="AB41" i="3"/>
  <c r="AB42" i="3" s="1"/>
  <c r="AB43" i="3" s="1"/>
  <c r="AB44" i="3" s="1"/>
  <c r="I69" i="3"/>
  <c r="AF35" i="3"/>
  <c r="H70" i="3"/>
  <c r="X41" i="3"/>
  <c r="H73" i="3" s="1"/>
  <c r="AL41" i="3"/>
  <c r="AL42" i="3" s="1"/>
  <c r="AL43" i="3" s="1"/>
  <c r="AL44" i="3" s="1"/>
  <c r="AE41" i="3"/>
  <c r="W43" i="3"/>
  <c r="P43" i="3"/>
  <c r="F74" i="3"/>
  <c r="AI38" i="3"/>
  <c r="AI36" i="3"/>
  <c r="AI34" i="3"/>
  <c r="AI37" i="3"/>
  <c r="AH41" i="3"/>
  <c r="AH42" i="3" s="1"/>
  <c r="AH43" i="3" s="1"/>
  <c r="AH44" i="3" s="1"/>
  <c r="J64" i="3" l="1"/>
  <c r="G75" i="3"/>
  <c r="G76" i="3" s="1"/>
  <c r="X15" i="3"/>
  <c r="W28" i="3"/>
  <c r="X5" i="3"/>
  <c r="I73" i="3"/>
  <c r="AJ35" i="3"/>
  <c r="AF38" i="3"/>
  <c r="J70" i="3" s="1"/>
  <c r="AF36" i="3"/>
  <c r="J68" i="3" s="1"/>
  <c r="AF34" i="3"/>
  <c r="J66" i="3" s="1"/>
  <c r="AF37" i="3"/>
  <c r="J69" i="3" s="1"/>
  <c r="J67" i="3"/>
  <c r="X42" i="3"/>
  <c r="P44" i="3"/>
  <c r="F75" i="3"/>
  <c r="F76" i="3" s="1"/>
  <c r="W44" i="3"/>
  <c r="AI41" i="3"/>
  <c r="AE42" i="3"/>
  <c r="Y5" i="3" l="1"/>
  <c r="X28" i="3"/>
  <c r="Y15" i="3"/>
  <c r="AJ34" i="3"/>
  <c r="K66" i="3" s="1"/>
  <c r="AJ37" i="3"/>
  <c r="K69" i="3" s="1"/>
  <c r="AJ36" i="3"/>
  <c r="K68" i="3" s="1"/>
  <c r="AJ38" i="3"/>
  <c r="K70" i="3" s="1"/>
  <c r="K67" i="3"/>
  <c r="AF41" i="3"/>
  <c r="X43" i="3"/>
  <c r="H74" i="3"/>
  <c r="I74" i="3"/>
  <c r="AI42" i="3"/>
  <c r="AE43" i="3"/>
  <c r="K64" i="3" l="1"/>
  <c r="AJ41" i="3"/>
  <c r="AJ42" i="3" s="1"/>
  <c r="AJ43" i="3" s="1"/>
  <c r="AJ44" i="3" s="1"/>
  <c r="Z15" i="3"/>
  <c r="H61" i="3" s="1"/>
  <c r="Y28" i="3"/>
  <c r="Z5" i="3"/>
  <c r="AF42" i="3"/>
  <c r="J73" i="3"/>
  <c r="X44" i="3"/>
  <c r="H75" i="3"/>
  <c r="H76" i="3" s="1"/>
  <c r="I75" i="3"/>
  <c r="I76" i="3" s="1"/>
  <c r="AE44" i="3"/>
  <c r="AI43" i="3"/>
  <c r="H60" i="3" l="1"/>
  <c r="K73" i="3"/>
  <c r="K74" i="3"/>
  <c r="AA5" i="3"/>
  <c r="Z28" i="3"/>
  <c r="H63" i="3" s="1"/>
  <c r="H65" i="3" s="1"/>
  <c r="AA15" i="3"/>
  <c r="AF43" i="3"/>
  <c r="J74" i="3"/>
  <c r="AI44" i="3"/>
  <c r="K75" i="3"/>
  <c r="N75" i="3" s="1"/>
  <c r="N77" i="3" s="1"/>
  <c r="AB15" i="3" l="1"/>
  <c r="AA28" i="3"/>
  <c r="AB5" i="3"/>
  <c r="K76" i="3"/>
  <c r="AF44" i="3"/>
  <c r="J75" i="3"/>
  <c r="J76" i="3" s="1"/>
  <c r="AC5" i="3" l="1"/>
  <c r="AB28" i="3"/>
  <c r="AC15" i="3"/>
  <c r="AD15" i="3" l="1"/>
  <c r="I61" i="3" s="1"/>
  <c r="AC28" i="3"/>
  <c r="AD5" i="3"/>
  <c r="I60" i="3" l="1"/>
  <c r="AE5" i="3"/>
  <c r="AD28" i="3"/>
  <c r="I63" i="3" s="1"/>
  <c r="I65" i="3" s="1"/>
  <c r="AE15" i="3"/>
  <c r="AF15" i="3" l="1"/>
  <c r="AE28" i="3"/>
  <c r="AF5" i="3"/>
  <c r="AG5" i="3" l="1"/>
  <c r="AF28" i="3"/>
  <c r="AG15" i="3"/>
  <c r="AH15" i="3" l="1"/>
  <c r="J61" i="3" s="1"/>
  <c r="AG28" i="3"/>
  <c r="AH5" i="3"/>
  <c r="J60" i="3" l="1"/>
  <c r="AI5" i="3"/>
  <c r="AH28" i="3"/>
  <c r="J63" i="3" s="1"/>
  <c r="J65" i="3" s="1"/>
  <c r="AI15" i="3"/>
  <c r="AJ15" i="3" l="1"/>
  <c r="AI28" i="3"/>
  <c r="AJ5" i="3"/>
  <c r="AL5" i="3" l="1"/>
  <c r="AK5" i="3"/>
  <c r="AJ28" i="3"/>
  <c r="AL15" i="3"/>
  <c r="AK15" i="3"/>
  <c r="K61" i="3" l="1"/>
  <c r="K60" i="3"/>
  <c r="AL28" i="3"/>
  <c r="AK28" i="3"/>
  <c r="K63" i="3" s="1"/>
  <c r="K65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 Heier</author>
  </authors>
  <commentList>
    <comment ref="G7" authorId="0" shapeId="0" xr:uid="{1BD8471E-D2CC-9E4E-B853-3D34C36CECAE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Lilly books 100% of sales but pays Chugai a tiered royalty (mid-single-digits to low-teens). Source: Chugai/Lilly Form 10-K, https://www.chugai-pharm.co.jp/english/news/detail/20240222083000_1049.html</t>
        </r>
      </text>
    </comment>
    <comment ref="G8" authorId="0" shapeId="0" xr:uid="{B3BA0B96-F539-C84B-9467-9C758B03A366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Lilly is strategic lead and books Basaglar revenue within the Boehringer Ingelheim diabetes alliance. Source: BI/Lilly, https://investor.lilly.com/news-releases/news-release-details/boehringer-ingelheim-and-lilly-modernise-alliance-focus-full</t>
        </r>
      </text>
    </comment>
    <comment ref="G11" authorId="0" shapeId="0" xr:uid="{E05B08C2-7568-1C47-BA1D-63132D49271E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Jardiance is part of Lilly's alliance with Boehringer Ingelheim. Lilly does NOT book product sales; it reports only royalties received on BI's net sales of Jardiance. Source: Lilly SEC filing (Q3 2022 sales &amp; earnings), https://www.sec.gov/Archives/edgar/data/59478/000005947822000248/q322lillysalesandearningsp.htm</t>
        </r>
      </text>
    </comment>
    <comment ref="G14" authorId="0" shapeId="0" xr:uid="{3F5E33E3-AEEC-AF42-B75D-177404E63E81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Erbitux economics are territorial/legacy: Lilly (via ImClone) holds North American rights while Merck KGaA markets ex-US; Lilly's interest is a share/royalty rather than full product sales. Worth confirming against the latest 10-K.</t>
        </r>
      </text>
    </comment>
    <comment ref="G16" authorId="0" shapeId="0" xr:uid="{A53E5600-1BD2-3B4E-A367-AEBE5AD4DFBB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Tyvyt (sintilimab) is co-developed with Innovent and sold in China; Lilly shares economics in licensed territories rather than booking 100%. Not FDA-approved in the US. Source: Eli Lilly, https://investor.lilly.com/news-releases/news-release-details/tyvyt-sintilimab-injection-combined-alimta-pemetrexed-and</t>
        </r>
      </text>
    </comment>
    <comment ref="G19" authorId="0" shapeId="0" xr:uid="{2AF035C7-A5EB-5E41-9A3F-C7656E2F5970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Lilly holds rights outside Europe and books those sales; Almirall licenses lebrikizumab in Europe.</t>
        </r>
      </text>
    </comment>
    <comment ref="G20" authorId="0" shapeId="0" xr:uid="{25FDAAFD-7C4D-D94B-A804-09374BBAAB10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Discovered by Incyte and licensed to Lilly; Lilly books sales and pays Incyte royalties. Source: Lilly/Incyte, https://investor.lilly.com/news-releases/news-release-details/fda-approves-lilly-and-incytes-olumiantr-baricitinib-first-and</t>
        </r>
      </text>
    </comment>
  </commentList>
</comments>
</file>

<file path=xl/sharedStrings.xml><?xml version="1.0" encoding="utf-8"?>
<sst xmlns="http://schemas.openxmlformats.org/spreadsheetml/2006/main" count="332" uniqueCount="180">
  <si>
    <t xml:space="preserve">Price </t>
  </si>
  <si>
    <t>Market Cap</t>
  </si>
  <si>
    <t>Cash</t>
  </si>
  <si>
    <t>Debt</t>
  </si>
  <si>
    <t>EV</t>
  </si>
  <si>
    <t>Shares</t>
  </si>
  <si>
    <t>Eli Lilly and Company (LLY)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</si>
  <si>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</si>
  <si>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</si>
  <si>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</si>
  <si>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</si>
  <si>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</si>
  <si>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</si>
  <si>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</si>
  <si>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</si>
  <si>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</si>
  <si>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</si>
  <si>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</si>
  <si>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</si>
  <si>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</si>
  <si>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Net Income</t>
  </si>
  <si>
    <t>Q2'26</t>
  </si>
  <si>
    <t>Q1'27</t>
  </si>
  <si>
    <t>Q3'26</t>
  </si>
  <si>
    <t>Q4'26</t>
  </si>
  <si>
    <t>Q2'27</t>
  </si>
  <si>
    <t>Q3'27</t>
  </si>
  <si>
    <t>Q4'27</t>
  </si>
  <si>
    <t>Q1'28</t>
  </si>
  <si>
    <t>Q2'28</t>
  </si>
  <si>
    <t>Q3'28</t>
  </si>
  <si>
    <t>Q4'28</t>
  </si>
  <si>
    <t>COGS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</si>
  <si>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</si>
  <si>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</si>
  <si>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</si>
  <si>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</si>
  <si>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</si>
  <si>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</si>
  <si>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</si>
  <si>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EPS</t>
  </si>
  <si>
    <t>Q1'29</t>
  </si>
  <si>
    <t>Q2'29</t>
  </si>
  <si>
    <t>Q3'29</t>
  </si>
  <si>
    <t>Q4'29</t>
  </si>
  <si>
    <t>Q1'30</t>
  </si>
  <si>
    <t>Q2'30</t>
  </si>
  <si>
    <t>Q3'30</t>
  </si>
  <si>
    <t>Q4'30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</si>
  <si>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</si>
  <si>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</si>
  <si>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</si>
  <si>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</si>
  <si>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</si>
  <si>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</si>
  <si>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</si>
  <si>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</si>
  <si>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FY'31</t>
  </si>
  <si>
    <t>Gross Margin</t>
  </si>
  <si>
    <t>Revenue Growth Rate</t>
  </si>
  <si>
    <t>Annual Income Statement</t>
  </si>
  <si>
    <t xml:space="preserve">Quarterly Income Statement </t>
  </si>
  <si>
    <t>Gross Margin %</t>
  </si>
  <si>
    <t>Jardiance</t>
  </si>
  <si>
    <t>Trulicity</t>
  </si>
  <si>
    <t>Inluriyo</t>
  </si>
  <si>
    <t>Jaypirca</t>
  </si>
  <si>
    <t>Verzenio</t>
  </si>
  <si>
    <t>Ebglyss</t>
  </si>
  <si>
    <t>Omvoh</t>
  </si>
  <si>
    <t>Taltz</t>
  </si>
  <si>
    <t>Kisunla</t>
  </si>
  <si>
    <t>R&amp;D %</t>
  </si>
  <si>
    <t>SG&amp;A %</t>
  </si>
  <si>
    <t>IPR&amp;D &amp;</t>
  </si>
  <si>
    <t>Tax rate</t>
  </si>
  <si>
    <t>Q1'31</t>
  </si>
  <si>
    <t>Q2'31</t>
  </si>
  <si>
    <t>Q3'31</t>
  </si>
  <si>
    <t>Q4'31</t>
  </si>
  <si>
    <t>Mounjaro</t>
  </si>
  <si>
    <t>Zepbound</t>
  </si>
  <si>
    <t>Foundayo</t>
  </si>
  <si>
    <t>Humalog</t>
  </si>
  <si>
    <t>Other / Misc</t>
  </si>
  <si>
    <t>Total Revenue</t>
  </si>
  <si>
    <t>Disocunt Rate</t>
  </si>
  <si>
    <t>Maturity Rate</t>
  </si>
  <si>
    <t>NPV</t>
  </si>
  <si>
    <t>Price</t>
  </si>
  <si>
    <t>Name</t>
  </si>
  <si>
    <t>Indication</t>
  </si>
  <si>
    <t>Mechanism</t>
  </si>
  <si>
    <t>Economics</t>
  </si>
  <si>
    <t>Approved</t>
  </si>
  <si>
    <t xml:space="preserve">Brand </t>
  </si>
  <si>
    <t>Generic</t>
  </si>
  <si>
    <t>TIRZEPATIDE</t>
  </si>
  <si>
    <t>Type 2 Diabetes</t>
  </si>
  <si>
    <t>MOA</t>
  </si>
  <si>
    <t>Retatrutide</t>
  </si>
  <si>
    <t>CDK4/6 inhibitors</t>
  </si>
  <si>
    <t>Breast Cancer</t>
  </si>
  <si>
    <t>abemaciclib</t>
  </si>
  <si>
    <t>Type-2 Diabetes</t>
  </si>
  <si>
    <t>dulaglutide</t>
  </si>
  <si>
    <t>GLP-1 Agonist</t>
  </si>
  <si>
    <t>empagliflozin</t>
  </si>
  <si>
    <t>Type 2 Diabetes &amp; Heart Failure</t>
  </si>
  <si>
    <t>SGLT2 Inhibitors</t>
  </si>
  <si>
    <t>Lebrikizumab</t>
  </si>
  <si>
    <t>Eczema</t>
  </si>
  <si>
    <t>interleukin-13 antagonist</t>
  </si>
  <si>
    <t>donanemab-azbt</t>
  </si>
  <si>
    <t>amyloid beta-directed antibody</t>
  </si>
  <si>
    <t>Mirikizumab-Mrkz</t>
  </si>
  <si>
    <t>interleukin-23 antagonist</t>
  </si>
  <si>
    <t>Pirtobrutinib</t>
  </si>
  <si>
    <t>Non-Hodgkin Lymphoma</t>
  </si>
  <si>
    <t>Bruton’s tyrosine kinase (BTK) inhibitor</t>
  </si>
  <si>
    <t>Imlunestrant</t>
  </si>
  <si>
    <t>Estrogen Antagonist</t>
  </si>
  <si>
    <t>Ixekizumab</t>
  </si>
  <si>
    <t>Plaque Psoriasis &amp; Psoriatic Arthritis</t>
  </si>
  <si>
    <t>interleukin antagonist</t>
  </si>
  <si>
    <t>Insulin Lispro</t>
  </si>
  <si>
    <t>Orforglipron</t>
  </si>
  <si>
    <t>Alzheimer's Disease</t>
  </si>
  <si>
    <t>Crohn's Disease &amp; Ulcerative Colitis</t>
  </si>
  <si>
    <t>Basaglar</t>
  </si>
  <si>
    <t xml:space="preserve">Humulin </t>
  </si>
  <si>
    <t xml:space="preserve">Oncology </t>
  </si>
  <si>
    <t>Diabetes</t>
  </si>
  <si>
    <t>Cyramza</t>
  </si>
  <si>
    <t>Erbitux</t>
  </si>
  <si>
    <t>Retevmo</t>
  </si>
  <si>
    <t>Tyvyt</t>
  </si>
  <si>
    <t>Immunology</t>
  </si>
  <si>
    <t xml:space="preserve">Neuroscience </t>
  </si>
  <si>
    <t>Emgality</t>
  </si>
  <si>
    <t>Olumiant</t>
  </si>
  <si>
    <t>Humulin</t>
  </si>
  <si>
    <t>Insulin Glargine</t>
  </si>
  <si>
    <t>Type 1 and Type 2 Diabetes</t>
  </si>
  <si>
    <t>Long-Acting Insulin</t>
  </si>
  <si>
    <t>Human Insulin</t>
  </si>
  <si>
    <t>Insulin (short- and intermediate-acting)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</si>
  <si>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</si>
  <si>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</si>
  <si>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</si>
  <si>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</si>
  <si>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</si>
  <si>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</si>
  <si>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</si>
  <si>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</si>
  <si>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</si>
  <si>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Baricitinib</t>
  </si>
  <si>
    <t>Rheumatoid Arthritis, Alopecia Areata, COVID-19</t>
  </si>
  <si>
    <t>JAK (Janus Kinase) Inhibitor</t>
  </si>
  <si>
    <t>Galcanezumab</t>
  </si>
  <si>
    <t>Migraine Prevention and Cluster Headache</t>
  </si>
  <si>
    <t>CGRP Antagonist (Monoclonal Antibody)</t>
  </si>
  <si>
    <t>Sintilimab</t>
  </si>
  <si>
    <t>Hodgkin Lymphoma, NSCLC &amp; other cancers (approved in China; not FDA-approved)</t>
  </si>
  <si>
    <t>PD-1 Inhibitor (Monoclonal Antibody)</t>
  </si>
  <si>
    <t>GIP / GLP-1 / Glucagon Triple Receptor Agonist</t>
  </si>
  <si>
    <t xml:space="preserve">Obesity &amp; Type 2 Diabetes </t>
  </si>
  <si>
    <t>Tirzepatide</t>
  </si>
  <si>
    <t>Obesity &amp; Obstructive Sleep Apnea</t>
  </si>
  <si>
    <t>Dual GIP/GLP-1 Receptor Agonist</t>
  </si>
  <si>
    <t>Obesity / Chronic Weight Management</t>
  </si>
  <si>
    <t>GLP-1 Receptor Agonist (oral, nonpeptide)</t>
  </si>
  <si>
    <t>Rapid-Acting Insulin</t>
  </si>
  <si>
    <t>Royalty only</t>
  </si>
  <si>
    <t>Royalty / share</t>
  </si>
  <si>
    <t>Not FDA approved</t>
  </si>
  <si>
    <t>TBD</t>
  </si>
  <si>
    <t>None</t>
  </si>
  <si>
    <t>LLY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</si>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</sst>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2"/>
      <color theme="1"/>
      <name val="Aptos Narrow"/>
      <family val="2"/>
      <scheme val="minor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44" fontId="0" fillId="0" borderId="0" xfId="2" applyFont="1"/>
    <xf numFmtId="43" fontId="0" fillId="0" borderId="0" xfId="1" applyFont="1"/>
    <xf numFmtId="44" fontId="0" fillId="0" borderId="0" xfId="0" applyNumberFormat="1"/>
    <xf numFmtId="0" fontId="2" fillId="0" borderId="0" xfId="0" applyFont="1"/>
    <xf numFmtId="0" fontId="5" fillId="0" borderId="0" xfId="0" applyFont="1"/>
    <xf numFmtId="0" fontId="6" fillId="0" borderId="0" xfId="0" applyFont="1"/>
    <xf numFmtId="164" fontId="5" fillId="0" borderId="2" xfId="2" applyNumberFormat="1" applyFont="1" applyBorder="1"/>
    <xf numFmtId="164" fontId="0" fillId="0" borderId="2" xfId="2" applyNumberFormat="1" applyFont="1" applyBorder="1"/>
    <xf numFmtId="164" fontId="0" fillId="0" borderId="0" xfId="2" applyNumberFormat="1" applyFont="1" applyBorder="1"/>
    <xf numFmtId="164" fontId="5" fillId="0" borderId="0" xfId="2" applyNumberFormat="1" applyFont="1" applyBorder="1"/>
    <xf numFmtId="164" fontId="0" fillId="0" borderId="0" xfId="2" applyNumberFormat="1" applyFont="1" applyFill="1" applyBorder="1"/>
    <xf numFmtId="164" fontId="0" fillId="0" borderId="0" xfId="0" applyNumberFormat="1"/>
    <xf numFmtId="44" fontId="3" fillId="0" borderId="0" xfId="0" applyNumberFormat="1" applyFon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3" applyFont="1"/>
    <xf numFmtId="43" fontId="0" fillId="0" borderId="0" xfId="0" applyNumberFormat="1"/>
    <xf numFmtId="43" fontId="0" fillId="0" borderId="0" xfId="1" applyFont="1" applyBorder="1"/>
    <xf numFmtId="43" fontId="7" fillId="0" borderId="0" xfId="1" applyFont="1" applyBorder="1"/>
    <xf numFmtId="9" fontId="7" fillId="0" borderId="0" xfId="3" applyFont="1" applyBorder="1"/>
    <xf numFmtId="44" fontId="0" fillId="0" borderId="2" xfId="0" applyNumberFormat="1" applyBorder="1"/>
    <xf numFmtId="43" fontId="0" fillId="0" borderId="2" xfId="1" applyFont="1" applyBorder="1"/>
    <xf numFmtId="9" fontId="7" fillId="0" borderId="2" xfId="3" applyFont="1" applyBorder="1"/>
    <xf numFmtId="164" fontId="5" fillId="0" borderId="0" xfId="0" applyNumberFormat="1" applyFont="1"/>
    <xf numFmtId="164" fontId="0" fillId="0" borderId="2" xfId="0" applyNumberFormat="1" applyBorder="1"/>
    <xf numFmtId="43" fontId="0" fillId="0" borderId="2" xfId="0" applyNumberFormat="1" applyBorder="1"/>
    <xf numFmtId="0" fontId="3" fillId="0" borderId="0" xfId="0" applyFont="1"/>
    <xf numFmtId="0" fontId="7" fillId="0" borderId="0" xfId="0" applyFont="1"/>
    <xf numFmtId="9" fontId="7" fillId="0" borderId="0" xfId="0" applyNumberFormat="1" applyFont="1"/>
    <xf numFmtId="0" fontId="0" fillId="0" borderId="0" xfId="0" applyAlignment="1">
      <alignment horizontal="center"/>
    </xf>
    <xf numFmtId="164" fontId="0" fillId="2" borderId="0" xfId="2" applyNumberFormat="1" applyFont="1" applyFill="1" applyBorder="1"/>
    <xf numFmtId="0" fontId="0" fillId="3" borderId="0" xfId="0" applyFill="1"/>
    <xf numFmtId="0" fontId="5" fillId="0" borderId="7" xfId="0" applyFont="1" applyBorder="1"/>
    <xf numFmtId="164" fontId="5" fillId="0" borderId="0" xfId="0" applyNumberFormat="1" applyFont="1" applyAlignment="1">
      <alignment horizontal="center"/>
    </xf>
    <xf numFmtId="0" fontId="0" fillId="0" borderId="8" xfId="0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14" fontId="11" fillId="0" borderId="2" xfId="0" applyNumberFormat="1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2" xfId="0" applyFont="1" applyBorder="1" applyAlignment="1">
      <alignment horizontal="center"/>
    </xf>
    <xf numFmtId="0" fontId="0" fillId="0" borderId="10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164" fontId="0" fillId="2" borderId="2" xfId="2" applyNumberFormat="1" applyFont="1" applyFill="1" applyBorder="1"/>
    <xf numFmtId="0" fontId="5" fillId="0" borderId="4" xfId="0" applyFont="1" applyBorder="1"/>
    <xf numFmtId="0" fontId="0" fillId="0" borderId="6" xfId="0" applyBorder="1"/>
    <xf numFmtId="0" fontId="0" fillId="0" borderId="12" xfId="0" applyBorder="1"/>
    <xf numFmtId="9" fontId="0" fillId="0" borderId="13" xfId="3" applyFont="1" applyBorder="1"/>
    <xf numFmtId="0" fontId="0" fillId="0" borderId="9" xfId="0" applyBorder="1"/>
    <xf numFmtId="9" fontId="0" fillId="0" borderId="2" xfId="3" applyFont="1" applyBorder="1"/>
    <xf numFmtId="44" fontId="0" fillId="0" borderId="2" xfId="2" applyFont="1" applyBorder="1"/>
    <xf numFmtId="0" fontId="0" fillId="0" borderId="10" xfId="0" applyBorder="1"/>
    <xf numFmtId="44" fontId="0" fillId="0" borderId="11" xfId="2" applyFont="1" applyBorder="1"/>
    <xf numFmtId="0" fontId="0" fillId="0" borderId="2" xfId="0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3B7574-CDB1-5E4F-8A94-7EA0BDC2F33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f1289d-5991-4141-b431-857d0400479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DA03D-D60F-7048-8E8C-0EDC58CFE77F}">
  <dimension ref="A2:H29"/>
  <sheetViews>
    <sheetView workbookViewId="0">
      <selection activeCell="B16" sqref="B16"/>
    </sheetView>
  </sheetViews>
  <sheetFormatPr baseColWidth="10" defaultColWidth="11" defaultRowHeight="16" x14ac:dyDescent="0.2"/>
  <cols>
    <col min="2" max="2" width="22.1640625" customWidth="1"/>
    <col min="3" max="3" width="2.83203125" customWidth="1"/>
    <col min="4" max="4" width="20.5" customWidth="1"/>
    <col min="5" max="5" width="69.6640625" bestFit="1" customWidth="1"/>
    <col min="6" max="6" width="38.83203125" bestFit="1" customWidth="1"/>
    <col min="7" max="7" width="13.5" bestFit="1" customWidth="1"/>
    <col min="8" max="8" width="16.1640625" bestFit="1" customWidth="1"/>
    <col min="9" max="9" width="14" bestFit="1" customWidth="1"/>
  </cols>
  <sheetData>
    <row r="2" spans="1:8" x14ac:dyDescent="0.2">
      <c r="A2" s="52" t="s">
        <v>178</v>
      </c>
      <c r="B2" s="53"/>
      <c r="D2" s="48" t="s">
        <v>90</v>
      </c>
      <c r="E2" s="36" t="s">
        <v>91</v>
      </c>
      <c r="F2" s="36" t="s">
        <v>92</v>
      </c>
      <c r="G2" s="36" t="s">
        <v>93</v>
      </c>
      <c r="H2" s="49" t="s">
        <v>94</v>
      </c>
    </row>
    <row r="3" spans="1:8" x14ac:dyDescent="0.2">
      <c r="A3" t="s">
        <v>0</v>
      </c>
      <c r="B3" s="1">
        <v>1213.4000000000001</v>
      </c>
      <c r="D3" s="38" t="s">
        <v>80</v>
      </c>
      <c r="E3" s="30" t="str">
        <f>Mounjaro!C4</f>
        <v>Type 2 Diabetes</v>
      </c>
      <c r="F3" s="30" t="str">
        <f>Mounjaro!C5</f>
        <v>Dual GIP/GLP-1 Receptor Agonist</v>
      </c>
      <c r="G3" s="39">
        <v>1</v>
      </c>
      <c r="H3" s="40">
        <v>44694</v>
      </c>
    </row>
    <row r="4" spans="1:8" x14ac:dyDescent="0.2">
      <c r="A4" t="s">
        <v>5</v>
      </c>
      <c r="B4" s="2">
        <v>895.9</v>
      </c>
      <c r="D4" s="38" t="s">
        <v>81</v>
      </c>
      <c r="E4" s="30" t="str">
        <f>Zepbound!C4</f>
        <v>Obesity &amp; Obstructive Sleep Apnea</v>
      </c>
      <c r="F4" s="30" t="str">
        <f>Zepbound!C5</f>
        <v>Dual GIP/GLP-1 Receptor Agonist</v>
      </c>
      <c r="G4" s="39">
        <v>1</v>
      </c>
      <c r="H4" s="40">
        <v>45238</v>
      </c>
    </row>
    <row r="5" spans="1:8" x14ac:dyDescent="0.2">
      <c r="A5" t="s">
        <v>1</v>
      </c>
      <c r="B5" s="1">
        <f>B3*B4</f>
        <v>1087085.06</v>
      </c>
      <c r="D5" s="38" t="s">
        <v>64</v>
      </c>
      <c r="E5" s="30" t="str">
        <f>Trulicity!C4</f>
        <v>Type-2 Diabetes</v>
      </c>
      <c r="F5" s="30" t="str">
        <f>Trulicity!C5</f>
        <v>GLP-1 Agonist</v>
      </c>
      <c r="G5" s="39">
        <v>1</v>
      </c>
      <c r="H5" s="40">
        <v>41900</v>
      </c>
    </row>
    <row r="6" spans="1:8" x14ac:dyDescent="0.2">
      <c r="A6" t="s">
        <v>2</v>
      </c>
      <c r="B6" s="1">
        <v>7268</v>
      </c>
      <c r="D6" s="38" t="s">
        <v>100</v>
      </c>
      <c r="E6" s="30" t="str">
        <f>Retatrutide!C4</f>
        <v xml:space="preserve">Obesity &amp; Type 2 Diabetes </v>
      </c>
      <c r="F6" s="30" t="str">
        <f>Retatrutide!C5</f>
        <v>GIP / GLP-1 / Glucagon Triple Receptor Agonist</v>
      </c>
      <c r="G6" s="39">
        <v>1</v>
      </c>
      <c r="H6" s="41" t="s">
        <v>176</v>
      </c>
    </row>
    <row r="7" spans="1:8" x14ac:dyDescent="0.2">
      <c r="A7" t="s">
        <v>3</v>
      </c>
      <c r="B7" s="1">
        <f>1635+40868</f>
        <v>42503</v>
      </c>
      <c r="D7" s="38" t="s">
        <v>82</v>
      </c>
      <c r="E7" s="30" t="str">
        <f>Foundayo!C4</f>
        <v>Obesity / Chronic Weight Management</v>
      </c>
      <c r="F7" s="30" t="str">
        <f>Foundayo!C5</f>
        <v>GLP-1 Receptor Agonist (oral, nonpeptide)</v>
      </c>
      <c r="G7" s="39">
        <v>1</v>
      </c>
      <c r="H7" s="40">
        <v>46113</v>
      </c>
    </row>
    <row r="8" spans="1:8" x14ac:dyDescent="0.2">
      <c r="A8" t="s">
        <v>4</v>
      </c>
      <c r="B8" s="3">
        <f>B5+B7-B6</f>
        <v>1122320.06</v>
      </c>
      <c r="D8" s="38" t="s">
        <v>129</v>
      </c>
      <c r="E8" s="30" t="str">
        <f>Basaglar!C4</f>
        <v>Type 1 and Type 2 Diabetes</v>
      </c>
      <c r="F8" s="30" t="str">
        <f>Basaglar!C5</f>
        <v>Long-Acting Insulin</v>
      </c>
      <c r="G8" s="39">
        <v>1</v>
      </c>
      <c r="H8" s="40">
        <f>DATE(2015,12,16)</f>
        <v>42354</v>
      </c>
    </row>
    <row r="9" spans="1:8" x14ac:dyDescent="0.2">
      <c r="D9" s="38" t="s">
        <v>83</v>
      </c>
      <c r="E9" s="30" t="str">
        <f>Humalog!C4</f>
        <v>Type 1 and Type 2 Diabetes</v>
      </c>
      <c r="F9" s="30" t="str">
        <f>Humalog!C5</f>
        <v>Rapid-Acting Insulin</v>
      </c>
      <c r="G9" s="39">
        <v>1</v>
      </c>
      <c r="H9" s="40">
        <v>35230</v>
      </c>
    </row>
    <row r="10" spans="1:8" x14ac:dyDescent="0.2">
      <c r="D10" s="38" t="s">
        <v>141</v>
      </c>
      <c r="E10" s="30" t="str">
        <f>Humulin!C4</f>
        <v>Type 1 and Type 2 Diabetes</v>
      </c>
      <c r="F10" s="30" t="str">
        <f>Humulin!C5</f>
        <v>Insulin (short- and intermediate-acting)</v>
      </c>
      <c r="G10" s="39">
        <v>1</v>
      </c>
      <c r="H10" s="40">
        <f>DATE(1982,10,28)</f>
        <v>30252</v>
      </c>
    </row>
    <row r="11" spans="1:8" x14ac:dyDescent="0.2">
      <c r="D11" s="38" t="s">
        <v>63</v>
      </c>
      <c r="E11" s="30" t="str">
        <f>Jardiance!C4</f>
        <v>Type 2 Diabetes &amp; Heart Failure</v>
      </c>
      <c r="F11" s="30" t="str">
        <f>Jardiance!C5</f>
        <v>SGLT2 Inhibitors</v>
      </c>
      <c r="G11" s="42" t="s">
        <v>173</v>
      </c>
      <c r="H11" s="40">
        <v>41852</v>
      </c>
    </row>
    <row r="12" spans="1:8" x14ac:dyDescent="0.2">
      <c r="D12" s="38" t="s">
        <v>67</v>
      </c>
      <c r="E12" s="30" t="str">
        <f>Verzenio!C4</f>
        <v>Breast Cancer</v>
      </c>
      <c r="F12" s="30" t="str">
        <f>Verzenio!C5</f>
        <v>CDK4/6 inhibitors</v>
      </c>
      <c r="G12" s="39">
        <v>1</v>
      </c>
      <c r="H12" s="40">
        <v>43006</v>
      </c>
    </row>
    <row r="13" spans="1:8" x14ac:dyDescent="0.2">
      <c r="D13" s="38" t="s">
        <v>133</v>
      </c>
      <c r="E13" s="30" t="str">
        <f>Cyramza!C4</f>
        <v>Gastric, NSCLC, and Colorectal Cancer</v>
      </c>
      <c r="F13" s="30" t="str">
        <f>Cyramza!C5</f>
        <v>VEGFR2 Antagonist (Monoclonal Antibody)</v>
      </c>
      <c r="G13" s="39">
        <v>1</v>
      </c>
      <c r="H13" s="40">
        <f>DATE(2014,4,21)</f>
        <v>41750</v>
      </c>
    </row>
    <row r="14" spans="1:8" x14ac:dyDescent="0.2">
      <c r="D14" s="38" t="s">
        <v>134</v>
      </c>
      <c r="E14" s="30" t="str">
        <f>Erbitux!C4</f>
        <v>Colorectal and Head &amp; Neck Cancer</v>
      </c>
      <c r="F14" s="30" t="str">
        <f>Erbitux!C5</f>
        <v>EGFR Inhibitor (Monoclonal Antibody)</v>
      </c>
      <c r="G14" s="42" t="s">
        <v>174</v>
      </c>
      <c r="H14" s="40">
        <f>DATE(2004,2,12)</f>
        <v>38029</v>
      </c>
    </row>
    <row r="15" spans="1:8" x14ac:dyDescent="0.2">
      <c r="D15" s="38" t="s">
        <v>135</v>
      </c>
      <c r="E15" s="30" t="str">
        <f>Retevmo!C4</f>
        <v>RET-Altered NSCLC and Thyroid Cancer</v>
      </c>
      <c r="F15" s="30" t="str">
        <f>Retevmo!C5</f>
        <v>RET Kinase Inhibitor</v>
      </c>
      <c r="G15" s="39">
        <v>1</v>
      </c>
      <c r="H15" s="40">
        <f>DATE(2020,5,8)</f>
        <v>43959</v>
      </c>
    </row>
    <row r="16" spans="1:8" x14ac:dyDescent="0.2">
      <c r="D16" s="38" t="s">
        <v>136</v>
      </c>
      <c r="E16" s="30" t="str">
        <f>Tyvyt!C4</f>
        <v>Hodgkin Lymphoma, NSCLC &amp; other cancers (approved in China; not FDA-approved)</v>
      </c>
      <c r="F16" s="30" t="str">
        <f>Tyvyt!C5</f>
        <v>PD-1 Inhibitor (Monoclonal Antibody)</v>
      </c>
      <c r="G16" s="42" t="s">
        <v>174</v>
      </c>
      <c r="H16" s="43" t="s">
        <v>175</v>
      </c>
    </row>
    <row r="17" spans="3:8" x14ac:dyDescent="0.2">
      <c r="D17" s="38" t="s">
        <v>66</v>
      </c>
      <c r="E17" s="30" t="str">
        <f>Jaypirca!C4</f>
        <v>Non-Hodgkin Lymphoma</v>
      </c>
      <c r="F17" s="30" t="str">
        <f>Jaypirca!C5</f>
        <v>Bruton’s tyrosine kinase (BTK) inhibitor</v>
      </c>
      <c r="G17" s="39">
        <v>1</v>
      </c>
      <c r="H17" s="40">
        <v>44953</v>
      </c>
    </row>
    <row r="18" spans="3:8" x14ac:dyDescent="0.2">
      <c r="D18" s="38" t="s">
        <v>65</v>
      </c>
      <c r="E18" s="30" t="str">
        <f>Inluriyo!C4</f>
        <v>Breast Cancer</v>
      </c>
      <c r="F18" s="30" t="str">
        <f>Inluriyo!C5</f>
        <v>Estrogen Antagonist</v>
      </c>
      <c r="G18" s="39">
        <v>1</v>
      </c>
      <c r="H18" s="40">
        <v>45925</v>
      </c>
    </row>
    <row r="19" spans="3:8" x14ac:dyDescent="0.2">
      <c r="D19" s="38" t="s">
        <v>68</v>
      </c>
      <c r="E19" s="30" t="str">
        <f>Ebglyss!C4</f>
        <v>Eczema</v>
      </c>
      <c r="F19" s="30" t="str">
        <f>Ebglyss!C5</f>
        <v>interleukin-13 antagonist</v>
      </c>
      <c r="G19" s="39">
        <v>1</v>
      </c>
      <c r="H19" s="40">
        <v>45548</v>
      </c>
    </row>
    <row r="20" spans="3:8" x14ac:dyDescent="0.2">
      <c r="D20" s="38" t="s">
        <v>140</v>
      </c>
      <c r="E20" s="30" t="str">
        <f>Olumiant!C4</f>
        <v>Rheumatoid Arthritis, Alopecia Areata, COVID-19</v>
      </c>
      <c r="F20" s="30" t="str">
        <f>Olumiant!C5</f>
        <v>JAK (Janus Kinase) Inhibitor</v>
      </c>
      <c r="G20" s="39">
        <v>1</v>
      </c>
      <c r="H20" s="40">
        <f>DATE(2018,5,31)</f>
        <v>43251</v>
      </c>
    </row>
    <row r="21" spans="3:8" x14ac:dyDescent="0.2">
      <c r="D21" s="38" t="s">
        <v>69</v>
      </c>
      <c r="E21" s="30" t="str">
        <f>Omvoh!C4</f>
        <v>Crohn's Disease &amp; Ulcerative Colitis</v>
      </c>
      <c r="F21" s="30" t="str">
        <f>Omvoh!C5</f>
        <v>interleukin-23 antagonist</v>
      </c>
      <c r="G21" s="39">
        <v>1</v>
      </c>
      <c r="H21" s="40">
        <v>45225</v>
      </c>
    </row>
    <row r="22" spans="3:8" x14ac:dyDescent="0.2">
      <c r="D22" s="38" t="s">
        <v>70</v>
      </c>
      <c r="E22" s="30" t="str">
        <f>Taltz!C4</f>
        <v>Plaque Psoriasis &amp; Psoriatic Arthritis</v>
      </c>
      <c r="F22" s="30" t="str">
        <f>Taltz!C5</f>
        <v>interleukin antagonist</v>
      </c>
      <c r="G22" s="39">
        <v>1</v>
      </c>
      <c r="H22" s="40">
        <v>42451</v>
      </c>
    </row>
    <row r="23" spans="3:8" x14ac:dyDescent="0.2">
      <c r="D23" s="38" t="s">
        <v>139</v>
      </c>
      <c r="E23" s="30" t="str">
        <f>Emgality!C4</f>
        <v>Migraine Prevention and Cluster Headache</v>
      </c>
      <c r="F23" s="30" t="str">
        <f>Emgality!C5</f>
        <v>CGRP Antagonist (Monoclonal Antibody)</v>
      </c>
      <c r="G23" s="39">
        <v>1</v>
      </c>
      <c r="H23" s="40">
        <f>DATE(2018,9,27)</f>
        <v>43370</v>
      </c>
    </row>
    <row r="24" spans="3:8" x14ac:dyDescent="0.2">
      <c r="D24" s="44" t="s">
        <v>71</v>
      </c>
      <c r="E24" s="37" t="str">
        <f>Kisunla!C4</f>
        <v>Alzheimer's Disease</v>
      </c>
      <c r="F24" s="37" t="str">
        <f>Kisunla!C5</f>
        <v>amyloid beta-directed antibody</v>
      </c>
      <c r="G24" s="45">
        <v>1</v>
      </c>
      <c r="H24" s="46">
        <v>45475</v>
      </c>
    </row>
    <row r="26" spans="3:8" x14ac:dyDescent="0.2">
      <c r="D26" s="47"/>
      <c r="E26" s="30"/>
      <c r="F26" s="30"/>
    </row>
    <row r="28" spans="3:8" x14ac:dyDescent="0.2">
      <c r="C28" s="30"/>
    </row>
    <row r="29" spans="3:8" x14ac:dyDescent="0.2">
      <c r="C29" s="30"/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186-ABD5-9247-B57C-084161281BED}">
  <dimension ref="B1:CM80"/>
  <sheetViews>
    <sheetView tabSelected="1" topLeftCell="A50" zoomScale="90" zoomScaleNormal="90" workbookViewId="0">
      <pane xSplit="2" topLeftCell="G1" activePane="topRight" state="frozen"/>
      <selection pane="topRight" activeCell="AM31" sqref="AM31"/>
    </sheetView>
  </sheetViews>
  <sheetFormatPr baseColWidth="10" defaultColWidth="11" defaultRowHeight="16" x14ac:dyDescent="0.2"/>
  <cols>
    <col min="1" max="1" width="2.33203125" customWidth="1"/>
    <col min="2" max="2" width="32.6640625" customWidth="1"/>
    <col min="3" max="12" width="13.33203125" customWidth="1"/>
    <col min="13" max="13" width="14" bestFit="1" customWidth="1"/>
    <col min="14" max="14" width="15.1640625" bestFit="1" customWidth="1"/>
    <col min="15" max="31" width="13.33203125" customWidth="1"/>
    <col min="32" max="38" width="13.1640625" customWidth="1"/>
    <col min="39" max="91" width="12.5" bestFit="1" customWidth="1"/>
  </cols>
  <sheetData>
    <row r="1" spans="2:38" ht="10" customHeight="1" x14ac:dyDescent="0.2"/>
    <row r="2" spans="2:38" ht="19" x14ac:dyDescent="0.25">
      <c r="B2" s="4" t="s">
        <v>6</v>
      </c>
    </row>
    <row r="3" spans="2:38" x14ac:dyDescent="0.2">
      <c r="B3" t="s">
        <v>61</v>
      </c>
    </row>
    <row r="4" spans="2:38" ht="17" thickBot="1" x14ac:dyDescent="0.25">
      <c r="B4" s="6"/>
      <c r="C4" s="14" t="s">
        <v>7</v>
      </c>
      <c r="D4" s="14" t="s">
        <v>8</v>
      </c>
      <c r="E4" s="14" t="s">
        <v>9</v>
      </c>
      <c r="F4" s="14" t="s">
        <v>10</v>
      </c>
      <c r="G4" s="14" t="s">
        <v>11</v>
      </c>
      <c r="H4" s="14" t="s">
        <v>12</v>
      </c>
      <c r="I4" s="14" t="s">
        <v>13</v>
      </c>
      <c r="J4" s="14" t="s">
        <v>14</v>
      </c>
      <c r="K4" s="14" t="s">
        <v>15</v>
      </c>
      <c r="L4" s="14" t="s">
        <v>16</v>
      </c>
      <c r="M4" s="14" t="s">
        <v>17</v>
      </c>
      <c r="N4" s="14" t="s">
        <v>18</v>
      </c>
      <c r="O4" s="15" t="s">
        <v>19</v>
      </c>
      <c r="P4" s="14" t="s">
        <v>21</v>
      </c>
      <c r="Q4" s="14" t="s">
        <v>23</v>
      </c>
      <c r="R4" s="14" t="s">
        <v>24</v>
      </c>
      <c r="S4" s="14" t="s">
        <v>22</v>
      </c>
      <c r="T4" s="14" t="s">
        <v>25</v>
      </c>
      <c r="U4" s="14" t="s">
        <v>26</v>
      </c>
      <c r="V4" s="14" t="s">
        <v>27</v>
      </c>
      <c r="W4" s="14" t="s">
        <v>28</v>
      </c>
      <c r="X4" s="14" t="s">
        <v>29</v>
      </c>
      <c r="Y4" s="14" t="s">
        <v>30</v>
      </c>
      <c r="Z4" s="14" t="s">
        <v>31</v>
      </c>
      <c r="AA4" s="14" t="s">
        <v>41</v>
      </c>
      <c r="AB4" s="14" t="s">
        <v>42</v>
      </c>
      <c r="AC4" s="14" t="s">
        <v>43</v>
      </c>
      <c r="AD4" s="14" t="s">
        <v>44</v>
      </c>
      <c r="AE4" s="14" t="s">
        <v>45</v>
      </c>
      <c r="AF4" s="14" t="s">
        <v>46</v>
      </c>
      <c r="AG4" s="14" t="s">
        <v>47</v>
      </c>
      <c r="AH4" s="14" t="s">
        <v>48</v>
      </c>
      <c r="AI4" s="14" t="s">
        <v>76</v>
      </c>
      <c r="AJ4" s="14" t="s">
        <v>77</v>
      </c>
      <c r="AK4" s="14" t="s">
        <v>78</v>
      </c>
      <c r="AL4" s="14" t="s">
        <v>79</v>
      </c>
    </row>
    <row r="5" spans="2:38" x14ac:dyDescent="0.2">
      <c r="B5" s="33" t="s">
        <v>132</v>
      </c>
      <c r="C5" s="34">
        <f>SUM(C6:C14)</f>
        <v>4045.3</v>
      </c>
      <c r="D5" s="34">
        <f t="shared" ref="D5:AL5" si="0">SUM(D6:D14)</f>
        <v>4260.3999999999996</v>
      </c>
      <c r="E5" s="34">
        <f t="shared" si="0"/>
        <v>4565.3999999999996</v>
      </c>
      <c r="F5" s="34">
        <f t="shared" si="0"/>
        <v>5588.7000000000007</v>
      </c>
      <c r="G5" s="34">
        <f t="shared" si="0"/>
        <v>5369.2</v>
      </c>
      <c r="H5" s="34">
        <f t="shared" si="0"/>
        <v>7858.8000000000011</v>
      </c>
      <c r="I5" s="34">
        <f t="shared" si="0"/>
        <v>7261.6</v>
      </c>
      <c r="J5" s="34">
        <f t="shared" si="0"/>
        <v>8962.6999999999989</v>
      </c>
      <c r="K5" s="34">
        <f t="shared" si="0"/>
        <v>9147</v>
      </c>
      <c r="L5" s="34">
        <f t="shared" si="0"/>
        <v>11185.800000000001</v>
      </c>
      <c r="M5" s="34">
        <f t="shared" si="0"/>
        <v>13051.800000000001</v>
      </c>
      <c r="N5" s="34">
        <f t="shared" si="0"/>
        <v>14526.3</v>
      </c>
      <c r="O5" s="50">
        <f t="shared" si="0"/>
        <v>15790.900000000001</v>
      </c>
      <c r="P5" s="34">
        <f t="shared" si="0"/>
        <v>16326.74415</v>
      </c>
      <c r="Q5" s="34">
        <f t="shared" si="0"/>
        <v>0</v>
      </c>
      <c r="R5" s="34">
        <f t="shared" si="0"/>
        <v>0</v>
      </c>
      <c r="S5" s="34">
        <f t="shared" si="0"/>
        <v>0</v>
      </c>
      <c r="T5" s="34">
        <f t="shared" si="0"/>
        <v>0</v>
      </c>
      <c r="U5" s="34">
        <f t="shared" si="0"/>
        <v>0</v>
      </c>
      <c r="V5" s="34">
        <f t="shared" si="0"/>
        <v>0</v>
      </c>
      <c r="W5" s="34">
        <f t="shared" si="0"/>
        <v>0</v>
      </c>
      <c r="X5" s="34">
        <f t="shared" si="0"/>
        <v>0</v>
      </c>
      <c r="Y5" s="34">
        <f t="shared" si="0"/>
        <v>0</v>
      </c>
      <c r="Z5" s="34">
        <f t="shared" si="0"/>
        <v>0</v>
      </c>
      <c r="AA5" s="34">
        <f t="shared" si="0"/>
        <v>0</v>
      </c>
      <c r="AB5" s="34">
        <f t="shared" si="0"/>
        <v>0</v>
      </c>
      <c r="AC5" s="34">
        <f t="shared" si="0"/>
        <v>0</v>
      </c>
      <c r="AD5" s="34">
        <f t="shared" si="0"/>
        <v>0</v>
      </c>
      <c r="AE5" s="34">
        <f t="shared" si="0"/>
        <v>0</v>
      </c>
      <c r="AF5" s="34">
        <f t="shared" si="0"/>
        <v>0</v>
      </c>
      <c r="AG5" s="34">
        <f t="shared" si="0"/>
        <v>0</v>
      </c>
      <c r="AH5" s="34">
        <f t="shared" si="0"/>
        <v>0</v>
      </c>
      <c r="AI5" s="34">
        <f t="shared" si="0"/>
        <v>0</v>
      </c>
      <c r="AJ5" s="34">
        <f t="shared" si="0"/>
        <v>0</v>
      </c>
      <c r="AK5" s="34">
        <f t="shared" si="0"/>
        <v>0</v>
      </c>
      <c r="AL5" s="34">
        <f t="shared" si="0"/>
        <v>0</v>
      </c>
    </row>
    <row r="6" spans="2:38" x14ac:dyDescent="0.2">
      <c r="B6" t="s">
        <v>80</v>
      </c>
      <c r="C6" s="9">
        <v>568.5</v>
      </c>
      <c r="D6" s="9">
        <v>979.7</v>
      </c>
      <c r="E6" s="9">
        <v>1409.3</v>
      </c>
      <c r="F6" s="9">
        <v>2205.6</v>
      </c>
      <c r="G6" s="9">
        <v>1806.5</v>
      </c>
      <c r="H6" s="9">
        <v>3090.8</v>
      </c>
      <c r="I6" s="9">
        <v>3112.7</v>
      </c>
      <c r="J6" s="9">
        <v>3530</v>
      </c>
      <c r="K6" s="9">
        <v>3842</v>
      </c>
      <c r="L6" s="9">
        <v>5198.8999999999996</v>
      </c>
      <c r="M6" s="9">
        <v>6515.1</v>
      </c>
      <c r="N6" s="9">
        <v>7409</v>
      </c>
      <c r="O6" s="8">
        <v>8662</v>
      </c>
      <c r="P6" s="3">
        <f>O6*(1+0.06)</f>
        <v>9181.7200000000012</v>
      </c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2:38" x14ac:dyDescent="0.2">
      <c r="B7" t="s">
        <v>81</v>
      </c>
      <c r="C7" s="31"/>
      <c r="D7" s="31"/>
      <c r="E7" s="31"/>
      <c r="F7" s="9">
        <v>175.8</v>
      </c>
      <c r="G7" s="9">
        <v>517.4</v>
      </c>
      <c r="H7" s="9">
        <v>1243.2</v>
      </c>
      <c r="I7" s="9">
        <v>1257.8</v>
      </c>
      <c r="J7" s="9">
        <v>1907</v>
      </c>
      <c r="K7" s="9">
        <v>2312</v>
      </c>
      <c r="L7" s="9">
        <v>3381.4</v>
      </c>
      <c r="M7" s="9">
        <v>3588</v>
      </c>
      <c r="N7" s="9">
        <v>4261</v>
      </c>
      <c r="O7" s="8">
        <v>4160</v>
      </c>
      <c r="P7" s="3">
        <f>O7*(1+0.065)</f>
        <v>4430.3999999999996</v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2:38" x14ac:dyDescent="0.2">
      <c r="B8" t="s">
        <v>64</v>
      </c>
      <c r="C8" s="9">
        <v>1977.1</v>
      </c>
      <c r="D8" s="9">
        <v>1812.5</v>
      </c>
      <c r="E8" s="9">
        <v>1673.6</v>
      </c>
      <c r="F8" s="9">
        <v>1669.3</v>
      </c>
      <c r="G8" s="9">
        <v>1456.3</v>
      </c>
      <c r="H8" s="9">
        <v>1245.5999999999999</v>
      </c>
      <c r="I8" s="9">
        <v>1301.4000000000001</v>
      </c>
      <c r="J8" s="9">
        <v>1250.2</v>
      </c>
      <c r="K8" s="9">
        <v>1095</v>
      </c>
      <c r="L8" s="9">
        <v>1092.2</v>
      </c>
      <c r="M8" s="9">
        <v>1051.8</v>
      </c>
      <c r="N8" s="9">
        <f>4276-M8-L8-K8</f>
        <v>1037</v>
      </c>
      <c r="O8" s="8">
        <v>919</v>
      </c>
      <c r="P8" s="3">
        <f>O8*(1+-0.05)</f>
        <v>873.05</v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2:38" x14ac:dyDescent="0.2">
      <c r="B9" s="32" t="s">
        <v>100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51"/>
      <c r="P9" s="3">
        <v>0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 spans="2:38" x14ac:dyDescent="0.2">
      <c r="B10" s="32" t="s">
        <v>82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51"/>
      <c r="P10" s="3">
        <v>50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 spans="2:38" x14ac:dyDescent="0.2">
      <c r="B11" t="s">
        <v>129</v>
      </c>
      <c r="C11" s="9">
        <v>209.3</v>
      </c>
      <c r="D11" s="9">
        <v>154.19999999999999</v>
      </c>
      <c r="E11" s="9">
        <v>179.6</v>
      </c>
      <c r="F11" s="9">
        <f>728.3-E11-D11-C11</f>
        <v>185.19999999999993</v>
      </c>
      <c r="G11" s="9">
        <v>157.6</v>
      </c>
      <c r="H11" s="9">
        <v>180.8</v>
      </c>
      <c r="I11" s="9">
        <v>161.6</v>
      </c>
      <c r="J11" s="9">
        <v>176.9</v>
      </c>
      <c r="K11" s="9">
        <v>173.6</v>
      </c>
      <c r="L11" s="9">
        <v>145</v>
      </c>
      <c r="M11" s="9">
        <v>162.19999999999999</v>
      </c>
      <c r="N11" s="9">
        <f t="shared" ref="N11" si="1">+J11</f>
        <v>176.9</v>
      </c>
      <c r="O11" s="8">
        <f>+K11-10</f>
        <v>163.6</v>
      </c>
      <c r="P11" s="3">
        <f t="shared" ref="P11" si="2">O11*(1+-0.01)</f>
        <v>161.964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2:38" x14ac:dyDescent="0.2">
      <c r="B12" t="s">
        <v>83</v>
      </c>
      <c r="C12" s="9">
        <v>460.9</v>
      </c>
      <c r="D12" s="9">
        <v>440.4</v>
      </c>
      <c r="E12" s="9">
        <v>395.4</v>
      </c>
      <c r="F12" s="9">
        <v>366.6</v>
      </c>
      <c r="G12" s="9">
        <v>538.70000000000005</v>
      </c>
      <c r="H12" s="9">
        <v>631.6</v>
      </c>
      <c r="I12" s="9">
        <v>534.6</v>
      </c>
      <c r="J12" s="9">
        <v>619.9</v>
      </c>
      <c r="K12" s="9">
        <v>537.20000000000005</v>
      </c>
      <c r="L12" s="9">
        <v>503.1</v>
      </c>
      <c r="M12" s="9">
        <v>599.1</v>
      </c>
      <c r="N12" s="9">
        <f>+M12-5</f>
        <v>594.1</v>
      </c>
      <c r="O12" s="8">
        <f>+N12--15</f>
        <v>609.1</v>
      </c>
      <c r="P12" s="3">
        <f t="shared" ref="P12" si="3">O12*(1+-0.0075)</f>
        <v>604.5317500000001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</row>
    <row r="13" spans="2:38" x14ac:dyDescent="0.2">
      <c r="B13" t="s">
        <v>130</v>
      </c>
      <c r="C13" s="9">
        <v>252</v>
      </c>
      <c r="D13" s="9">
        <v>205.3</v>
      </c>
      <c r="E13" s="9">
        <v>206.7</v>
      </c>
      <c r="F13" s="9">
        <f>852.1-E13-D13-C13</f>
        <v>188.10000000000008</v>
      </c>
      <c r="G13" s="9">
        <v>206.2</v>
      </c>
      <c r="H13" s="9">
        <v>223.6</v>
      </c>
      <c r="I13" s="9">
        <v>207.1</v>
      </c>
      <c r="J13" s="9">
        <v>280.3</v>
      </c>
      <c r="K13" s="9">
        <v>173.2</v>
      </c>
      <c r="L13" s="9">
        <v>175.2</v>
      </c>
      <c r="M13" s="9">
        <v>176.6</v>
      </c>
      <c r="N13" s="9">
        <f>+J13</f>
        <v>280.3</v>
      </c>
      <c r="O13" s="8">
        <f>+K13-10</f>
        <v>163.19999999999999</v>
      </c>
      <c r="P13" s="3">
        <f t="shared" ref="P13" si="4">O13*(1+-0.013)</f>
        <v>161.07839999999999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2:38" x14ac:dyDescent="0.2">
      <c r="B14" t="s">
        <v>63</v>
      </c>
      <c r="C14" s="9">
        <v>577.5</v>
      </c>
      <c r="D14" s="9">
        <v>668.3</v>
      </c>
      <c r="E14" s="9">
        <v>700.8</v>
      </c>
      <c r="F14" s="9">
        <v>798.1</v>
      </c>
      <c r="G14" s="9">
        <v>686.5</v>
      </c>
      <c r="H14" s="9">
        <v>1243.2</v>
      </c>
      <c r="I14" s="9">
        <v>686.4</v>
      </c>
      <c r="J14" s="9">
        <v>1198.4000000000001</v>
      </c>
      <c r="K14" s="9">
        <v>1014</v>
      </c>
      <c r="L14" s="9">
        <v>690</v>
      </c>
      <c r="M14" s="9">
        <v>959</v>
      </c>
      <c r="N14" s="9">
        <f>3431-K14-L14-M14</f>
        <v>768</v>
      </c>
      <c r="O14" s="8">
        <v>1114</v>
      </c>
      <c r="P14" s="3">
        <v>864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2:38" x14ac:dyDescent="0.2">
      <c r="B15" s="33" t="s">
        <v>131</v>
      </c>
      <c r="C15" s="10">
        <f>SUM(C16:C22)</f>
        <v>1230.0000000000002</v>
      </c>
      <c r="D15" s="10">
        <f t="shared" ref="D15:AL15" si="5">SUM(D16:D22)</f>
        <v>1518.6</v>
      </c>
      <c r="E15" s="10">
        <f t="shared" si="5"/>
        <v>1596.7</v>
      </c>
      <c r="F15" s="10">
        <f t="shared" si="5"/>
        <v>1736.2</v>
      </c>
      <c r="G15" s="10">
        <f t="shared" si="5"/>
        <v>1660.7</v>
      </c>
      <c r="H15" s="10">
        <f t="shared" si="5"/>
        <v>2043.2000000000003</v>
      </c>
      <c r="I15" s="10">
        <f t="shared" si="5"/>
        <v>2102.6</v>
      </c>
      <c r="J15" s="10">
        <f t="shared" si="5"/>
        <v>2328.1999999999998</v>
      </c>
      <c r="K15" s="10">
        <f t="shared" si="5"/>
        <v>1853.3000000000002</v>
      </c>
      <c r="L15" s="10">
        <f t="shared" si="5"/>
        <v>2317.6000000000004</v>
      </c>
      <c r="M15" s="10">
        <f t="shared" si="5"/>
        <v>2326</v>
      </c>
      <c r="N15" s="10">
        <f t="shared" si="5"/>
        <v>2468.5</v>
      </c>
      <c r="O15" s="7">
        <f t="shared" si="5"/>
        <v>2268.4</v>
      </c>
      <c r="P15" s="10">
        <f t="shared" si="5"/>
        <v>2315.8609999999999</v>
      </c>
      <c r="Q15" s="10">
        <f t="shared" si="5"/>
        <v>0</v>
      </c>
      <c r="R15" s="10">
        <f t="shared" si="5"/>
        <v>0</v>
      </c>
      <c r="S15" s="10">
        <f t="shared" si="5"/>
        <v>0</v>
      </c>
      <c r="T15" s="10">
        <f t="shared" si="5"/>
        <v>0</v>
      </c>
      <c r="U15" s="10">
        <f t="shared" si="5"/>
        <v>0</v>
      </c>
      <c r="V15" s="10">
        <f t="shared" si="5"/>
        <v>0</v>
      </c>
      <c r="W15" s="10">
        <f t="shared" si="5"/>
        <v>0</v>
      </c>
      <c r="X15" s="10">
        <f t="shared" si="5"/>
        <v>0</v>
      </c>
      <c r="Y15" s="10">
        <f t="shared" si="5"/>
        <v>0</v>
      </c>
      <c r="Z15" s="10">
        <f t="shared" si="5"/>
        <v>0</v>
      </c>
      <c r="AA15" s="10">
        <f t="shared" si="5"/>
        <v>0</v>
      </c>
      <c r="AB15" s="10">
        <f t="shared" si="5"/>
        <v>0</v>
      </c>
      <c r="AC15" s="10">
        <f t="shared" si="5"/>
        <v>0</v>
      </c>
      <c r="AD15" s="10">
        <f t="shared" si="5"/>
        <v>0</v>
      </c>
      <c r="AE15" s="10">
        <f t="shared" si="5"/>
        <v>0</v>
      </c>
      <c r="AF15" s="10">
        <f t="shared" si="5"/>
        <v>0</v>
      </c>
      <c r="AG15" s="10">
        <f t="shared" si="5"/>
        <v>0</v>
      </c>
      <c r="AH15" s="10">
        <f t="shared" si="5"/>
        <v>0</v>
      </c>
      <c r="AI15" s="10">
        <f t="shared" si="5"/>
        <v>0</v>
      </c>
      <c r="AJ15" s="10">
        <f t="shared" si="5"/>
        <v>0</v>
      </c>
      <c r="AK15" s="10">
        <f t="shared" si="5"/>
        <v>0</v>
      </c>
      <c r="AL15" s="10">
        <f t="shared" si="5"/>
        <v>0</v>
      </c>
    </row>
    <row r="16" spans="2:38" x14ac:dyDescent="0.2">
      <c r="B16" t="s">
        <v>67</v>
      </c>
      <c r="C16" s="9">
        <v>750.9</v>
      </c>
      <c r="D16" s="9">
        <v>926.8</v>
      </c>
      <c r="E16" s="9">
        <v>1040.2</v>
      </c>
      <c r="F16" s="9">
        <v>1145.4000000000001</v>
      </c>
      <c r="G16" s="9">
        <v>1050.3</v>
      </c>
      <c r="H16" s="9">
        <v>1331.9</v>
      </c>
      <c r="I16" s="9">
        <v>1369.3</v>
      </c>
      <c r="J16" s="9">
        <v>1555</v>
      </c>
      <c r="K16" s="9">
        <v>1158.9000000000001</v>
      </c>
      <c r="L16" s="9">
        <v>1489.3</v>
      </c>
      <c r="M16" s="9">
        <v>1470.2</v>
      </c>
      <c r="N16" s="9">
        <v>1604</v>
      </c>
      <c r="O16" s="8">
        <v>1302</v>
      </c>
      <c r="P16" s="3">
        <f>O16*(1+0.022)</f>
        <v>1330.644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2:38" x14ac:dyDescent="0.2">
      <c r="B17" t="s">
        <v>133</v>
      </c>
      <c r="C17" s="9">
        <v>236.8</v>
      </c>
      <c r="D17" s="9">
        <v>260.3</v>
      </c>
      <c r="E17" s="9">
        <v>224.1</v>
      </c>
      <c r="F17" s="9">
        <v>253.6</v>
      </c>
      <c r="G17" s="9">
        <v>229.9</v>
      </c>
      <c r="H17" s="9">
        <v>248.9</v>
      </c>
      <c r="I17" s="9">
        <v>236</v>
      </c>
      <c r="J17" s="9">
        <v>258.60000000000002</v>
      </c>
      <c r="K17" s="9">
        <v>224.9</v>
      </c>
      <c r="L17" s="9">
        <v>253.7</v>
      </c>
      <c r="M17" s="9">
        <v>245.5</v>
      </c>
      <c r="N17" s="9">
        <f>+J17</f>
        <v>258.60000000000002</v>
      </c>
      <c r="O17" s="8">
        <f>+K17+34</f>
        <v>258.89999999999998</v>
      </c>
      <c r="P17" s="3">
        <f t="shared" ref="P17" si="6">O17*(1+-0.005)</f>
        <v>257.60549999999995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2:38" x14ac:dyDescent="0.2">
      <c r="B18" t="s">
        <v>134</v>
      </c>
      <c r="C18" s="9">
        <v>129.9</v>
      </c>
      <c r="D18" s="9">
        <v>162.5</v>
      </c>
      <c r="E18" s="9">
        <v>153.9</v>
      </c>
      <c r="F18" s="9">
        <f>596.5-E18-D18-C18</f>
        <v>150.20000000000002</v>
      </c>
      <c r="G18" s="9">
        <v>144.6</v>
      </c>
      <c r="H18" s="9">
        <v>155.80000000000001</v>
      </c>
      <c r="I18" s="9">
        <v>152</v>
      </c>
      <c r="J18" s="9">
        <v>175</v>
      </c>
      <c r="K18" s="9">
        <v>149</v>
      </c>
      <c r="L18" s="9">
        <v>183.7</v>
      </c>
      <c r="M18" s="9">
        <v>198.6</v>
      </c>
      <c r="N18" s="9">
        <f t="shared" ref="N18" si="7">+J18</f>
        <v>175</v>
      </c>
      <c r="O18" s="8">
        <f>+K18+34</f>
        <v>183</v>
      </c>
      <c r="P18" s="3">
        <f t="shared" ref="P18" si="8">O18*(1+-0.0075)</f>
        <v>181.6275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2:38" x14ac:dyDescent="0.2">
      <c r="B19" t="s">
        <v>135</v>
      </c>
      <c r="C19" s="9">
        <v>51.4</v>
      </c>
      <c r="D19" s="9">
        <v>65.400000000000006</v>
      </c>
      <c r="E19" s="9">
        <v>63.4</v>
      </c>
      <c r="F19" s="9">
        <v>73.400000000000006</v>
      </c>
      <c r="G19" s="9">
        <v>69.2</v>
      </c>
      <c r="H19" s="9">
        <v>91.2</v>
      </c>
      <c r="I19" s="9">
        <v>114</v>
      </c>
      <c r="J19" s="9">
        <v>90</v>
      </c>
      <c r="K19" s="9">
        <v>91</v>
      </c>
      <c r="L19" s="9">
        <v>125.3</v>
      </c>
      <c r="M19" s="9">
        <v>112</v>
      </c>
      <c r="N19" s="9">
        <f>+M19+5</f>
        <v>117</v>
      </c>
      <c r="O19" s="8">
        <f>+N19+34</f>
        <v>151</v>
      </c>
      <c r="P19" s="3">
        <f>O19*(1+0.02)</f>
        <v>154.02000000000001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2:38" x14ac:dyDescent="0.2">
      <c r="B20" t="s">
        <v>136</v>
      </c>
      <c r="C20" s="9">
        <v>61</v>
      </c>
      <c r="D20" s="9">
        <v>103.6</v>
      </c>
      <c r="E20" s="9">
        <v>115.1</v>
      </c>
      <c r="F20" s="9">
        <v>113.6</v>
      </c>
      <c r="G20" s="9">
        <v>116.7</v>
      </c>
      <c r="H20" s="9">
        <v>123</v>
      </c>
      <c r="I20" s="9">
        <v>150.19999999999999</v>
      </c>
      <c r="J20" s="9">
        <v>136</v>
      </c>
      <c r="K20" s="9">
        <v>137.5</v>
      </c>
      <c r="L20" s="9">
        <v>137.30000000000001</v>
      </c>
      <c r="M20" s="9">
        <v>141.80000000000001</v>
      </c>
      <c r="N20" s="9">
        <f t="shared" ref="N20" si="9">+J20</f>
        <v>136</v>
      </c>
      <c r="O20" s="8">
        <f>+K20+34+2</f>
        <v>173.5</v>
      </c>
      <c r="P20" s="3">
        <f>O20*(1+0.024)</f>
        <v>177.66400000000002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2:38" x14ac:dyDescent="0.2">
      <c r="B21" t="s">
        <v>66</v>
      </c>
      <c r="C21" s="31"/>
      <c r="D21" s="31"/>
      <c r="E21" s="31"/>
      <c r="F21" s="31"/>
      <c r="G21" s="9">
        <v>50</v>
      </c>
      <c r="H21" s="9">
        <v>92.4</v>
      </c>
      <c r="I21" s="9">
        <v>81.099999999999994</v>
      </c>
      <c r="J21" s="9">
        <v>113.6</v>
      </c>
      <c r="K21" s="9">
        <v>92</v>
      </c>
      <c r="L21" s="9">
        <v>123.3</v>
      </c>
      <c r="M21" s="9">
        <v>142.9</v>
      </c>
      <c r="N21" s="9">
        <f>+M21+10</f>
        <v>152.9</v>
      </c>
      <c r="O21" s="8">
        <v>165</v>
      </c>
      <c r="P21" s="3">
        <f>O21*(1+0.068)</f>
        <v>176.22</v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2:38" x14ac:dyDescent="0.2">
      <c r="B22" t="s">
        <v>65</v>
      </c>
      <c r="C22" s="31"/>
      <c r="D22" s="31"/>
      <c r="E22" s="31"/>
      <c r="F22" s="31"/>
      <c r="G22" s="31"/>
      <c r="H22" s="31"/>
      <c r="I22" s="31"/>
      <c r="J22" s="31"/>
      <c r="K22" s="31"/>
      <c r="L22" s="9">
        <f t="shared" ref="L22:M22" si="10">M22-10</f>
        <v>5</v>
      </c>
      <c r="M22" s="9">
        <f t="shared" si="10"/>
        <v>15</v>
      </c>
      <c r="N22" s="9">
        <f>O22-10</f>
        <v>25</v>
      </c>
      <c r="O22" s="8">
        <v>35</v>
      </c>
      <c r="P22" s="3">
        <f>O22*(1+0.088)</f>
        <v>38.080000000000005</v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2:38" x14ac:dyDescent="0.2">
      <c r="B23" s="33" t="s">
        <v>137</v>
      </c>
      <c r="C23" s="10">
        <f>SUM(C24:C27)</f>
        <v>755.9</v>
      </c>
      <c r="D23" s="10">
        <f t="shared" ref="D23:AL23" si="11">SUM(D24:D27)</f>
        <v>922.8</v>
      </c>
      <c r="E23" s="10">
        <f t="shared" si="11"/>
        <v>975.6</v>
      </c>
      <c r="F23" s="10">
        <f t="shared" si="11"/>
        <v>1028.0999999999999</v>
      </c>
      <c r="G23" s="10">
        <f t="shared" si="11"/>
        <v>834</v>
      </c>
      <c r="H23" s="10">
        <f t="shared" si="11"/>
        <v>1082.3000000000002</v>
      </c>
      <c r="I23" s="10">
        <f t="shared" si="11"/>
        <v>1185.8</v>
      </c>
      <c r="J23" s="10">
        <f t="shared" si="11"/>
        <v>1290.9000000000001</v>
      </c>
      <c r="K23" s="10">
        <f t="shared" si="11"/>
        <v>1088.0999999999999</v>
      </c>
      <c r="L23" s="10">
        <f t="shared" si="11"/>
        <v>1255.5999999999999</v>
      </c>
      <c r="M23" s="10">
        <f t="shared" si="11"/>
        <v>1362.4</v>
      </c>
      <c r="N23" s="10">
        <f t="shared" si="11"/>
        <v>1535.5</v>
      </c>
      <c r="O23" s="7">
        <f t="shared" si="11"/>
        <v>1202.7</v>
      </c>
      <c r="P23" s="10">
        <f t="shared" si="11"/>
        <v>1229.2214999999999</v>
      </c>
      <c r="Q23" s="10">
        <f t="shared" si="11"/>
        <v>0</v>
      </c>
      <c r="R23" s="10">
        <f t="shared" si="11"/>
        <v>0</v>
      </c>
      <c r="S23" s="10">
        <f t="shared" si="11"/>
        <v>0</v>
      </c>
      <c r="T23" s="10">
        <f t="shared" si="11"/>
        <v>0</v>
      </c>
      <c r="U23" s="10">
        <f t="shared" si="11"/>
        <v>0</v>
      </c>
      <c r="V23" s="10">
        <f t="shared" si="11"/>
        <v>0</v>
      </c>
      <c r="W23" s="10">
        <f t="shared" si="11"/>
        <v>0</v>
      </c>
      <c r="X23" s="10">
        <f t="shared" si="11"/>
        <v>0</v>
      </c>
      <c r="Y23" s="10">
        <f t="shared" si="11"/>
        <v>0</v>
      </c>
      <c r="Z23" s="10">
        <f t="shared" si="11"/>
        <v>0</v>
      </c>
      <c r="AA23" s="10">
        <f t="shared" si="11"/>
        <v>0</v>
      </c>
      <c r="AB23" s="10">
        <f t="shared" si="11"/>
        <v>0</v>
      </c>
      <c r="AC23" s="10">
        <f t="shared" si="11"/>
        <v>0</v>
      </c>
      <c r="AD23" s="10">
        <f t="shared" si="11"/>
        <v>0</v>
      </c>
      <c r="AE23" s="10">
        <f t="shared" si="11"/>
        <v>0</v>
      </c>
      <c r="AF23" s="10">
        <f t="shared" si="11"/>
        <v>0</v>
      </c>
      <c r="AG23" s="10">
        <f t="shared" si="11"/>
        <v>0</v>
      </c>
      <c r="AH23" s="10">
        <f t="shared" si="11"/>
        <v>0</v>
      </c>
      <c r="AI23" s="10">
        <f t="shared" si="11"/>
        <v>0</v>
      </c>
      <c r="AJ23" s="10">
        <f t="shared" si="11"/>
        <v>0</v>
      </c>
      <c r="AK23" s="10">
        <f t="shared" si="11"/>
        <v>0</v>
      </c>
      <c r="AL23" s="10">
        <f t="shared" si="11"/>
        <v>0</v>
      </c>
    </row>
    <row r="24" spans="2:38" x14ac:dyDescent="0.2">
      <c r="B24" t="s">
        <v>68</v>
      </c>
      <c r="C24" s="31"/>
      <c r="D24" s="31"/>
      <c r="E24" s="31"/>
      <c r="F24" s="31"/>
      <c r="G24" s="9">
        <v>3.1</v>
      </c>
      <c r="H24" s="9">
        <v>4.3</v>
      </c>
      <c r="I24" s="9">
        <v>14.9</v>
      </c>
      <c r="J24" s="9">
        <v>20.399999999999999</v>
      </c>
      <c r="K24" s="9">
        <v>60.2</v>
      </c>
      <c r="L24" s="9">
        <v>86.8</v>
      </c>
      <c r="M24" s="9">
        <v>127.1</v>
      </c>
      <c r="N24" s="9">
        <f>+M24+5</f>
        <v>132.1</v>
      </c>
      <c r="O24" s="8">
        <v>145</v>
      </c>
      <c r="P24" s="3">
        <f>O24*(1+0.078)</f>
        <v>156.31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2:38" x14ac:dyDescent="0.2">
      <c r="B25" t="s">
        <v>140</v>
      </c>
      <c r="C25" s="9">
        <v>228.9</v>
      </c>
      <c r="D25" s="9">
        <v>218.9</v>
      </c>
      <c r="E25" s="9">
        <v>231.4</v>
      </c>
      <c r="F25" s="9">
        <v>243.5</v>
      </c>
      <c r="G25" s="9">
        <v>217.4</v>
      </c>
      <c r="H25" s="9">
        <v>227.7</v>
      </c>
      <c r="I25" s="9">
        <v>250.8</v>
      </c>
      <c r="J25" s="9">
        <v>261.60000000000002</v>
      </c>
      <c r="K25" s="9">
        <v>228.7</v>
      </c>
      <c r="L25" s="9">
        <v>246.4</v>
      </c>
      <c r="M25" s="9">
        <v>268.89999999999998</v>
      </c>
      <c r="N25" s="9">
        <f t="shared" ref="N25" si="12">+J25</f>
        <v>261.60000000000002</v>
      </c>
      <c r="O25" s="8">
        <f>+K25+16</f>
        <v>244.7</v>
      </c>
      <c r="P25" s="3">
        <f t="shared" ref="P25" si="13">O25*(1+-0.005)</f>
        <v>243.47649999999999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2:38" x14ac:dyDescent="0.2">
      <c r="B26" t="s">
        <v>69</v>
      </c>
      <c r="C26" s="31"/>
      <c r="D26" s="31"/>
      <c r="E26" s="31"/>
      <c r="F26" s="31"/>
      <c r="G26" s="9">
        <v>9.4</v>
      </c>
      <c r="H26" s="9">
        <v>25.6</v>
      </c>
      <c r="I26" s="9">
        <v>40.5</v>
      </c>
      <c r="J26" s="9">
        <v>56.9</v>
      </c>
      <c r="K26" s="9">
        <v>37.200000000000003</v>
      </c>
      <c r="L26" s="9">
        <v>74.8</v>
      </c>
      <c r="M26" s="9">
        <v>64.900000000000006</v>
      </c>
      <c r="N26" s="9">
        <f>+M26+25</f>
        <v>89.9</v>
      </c>
      <c r="O26" s="8">
        <v>80</v>
      </c>
      <c r="P26" s="3">
        <f>O26*(1+0.068)</f>
        <v>85.44</v>
      </c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</row>
    <row r="27" spans="2:38" x14ac:dyDescent="0.2">
      <c r="B27" t="s">
        <v>70</v>
      </c>
      <c r="C27" s="9">
        <v>527</v>
      </c>
      <c r="D27" s="9">
        <v>703.9</v>
      </c>
      <c r="E27" s="9">
        <v>744.2</v>
      </c>
      <c r="F27" s="9">
        <v>784.6</v>
      </c>
      <c r="G27" s="9">
        <v>604.1</v>
      </c>
      <c r="H27" s="9">
        <v>824.7</v>
      </c>
      <c r="I27" s="9">
        <v>879.6</v>
      </c>
      <c r="J27" s="9">
        <v>952</v>
      </c>
      <c r="K27" s="9">
        <v>762</v>
      </c>
      <c r="L27" s="9">
        <v>847.6</v>
      </c>
      <c r="M27" s="9">
        <v>901.5</v>
      </c>
      <c r="N27" s="9">
        <f>3563-K27-L27-M27</f>
        <v>1051.9000000000001</v>
      </c>
      <c r="O27" s="8">
        <v>733</v>
      </c>
      <c r="P27" s="3">
        <f>O27*(1+0.015)</f>
        <v>743.99499999999989</v>
      </c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</row>
    <row r="28" spans="2:38" x14ac:dyDescent="0.2">
      <c r="B28" s="33" t="s">
        <v>138</v>
      </c>
      <c r="C28" s="10">
        <f>SUM(C29:C30)</f>
        <v>154.30000000000001</v>
      </c>
      <c r="D28" s="10">
        <f t="shared" ref="D28:AL28" si="14">SUM(D29:D30)</f>
        <v>169.3</v>
      </c>
      <c r="E28" s="10">
        <f t="shared" si="14"/>
        <v>168.5</v>
      </c>
      <c r="F28" s="10">
        <f t="shared" si="14"/>
        <v>186.1</v>
      </c>
      <c r="G28" s="10">
        <f t="shared" si="14"/>
        <v>225.7</v>
      </c>
      <c r="H28" s="10">
        <f t="shared" si="14"/>
        <v>192</v>
      </c>
      <c r="I28" s="10">
        <f t="shared" si="14"/>
        <v>204.3</v>
      </c>
      <c r="J28" s="10">
        <f t="shared" si="14"/>
        <v>257.7</v>
      </c>
      <c r="K28" s="10">
        <f t="shared" si="14"/>
        <v>146.1</v>
      </c>
      <c r="L28" s="10">
        <f t="shared" si="14"/>
        <v>249.7</v>
      </c>
      <c r="M28" s="10">
        <f t="shared" si="14"/>
        <v>246.1</v>
      </c>
      <c r="N28" s="10">
        <f t="shared" si="14"/>
        <v>370.18000000000006</v>
      </c>
      <c r="O28" s="7">
        <f>SUM(O29:O30)</f>
        <v>261.06</v>
      </c>
      <c r="P28" s="10">
        <f t="shared" si="14"/>
        <v>272.40269999999998</v>
      </c>
      <c r="Q28" s="10">
        <f t="shared" si="14"/>
        <v>0</v>
      </c>
      <c r="R28" s="10">
        <f t="shared" si="14"/>
        <v>0</v>
      </c>
      <c r="S28" s="10">
        <f t="shared" si="14"/>
        <v>0</v>
      </c>
      <c r="T28" s="10">
        <f t="shared" si="14"/>
        <v>0</v>
      </c>
      <c r="U28" s="10">
        <f t="shared" si="14"/>
        <v>0</v>
      </c>
      <c r="V28" s="10">
        <f t="shared" si="14"/>
        <v>0</v>
      </c>
      <c r="W28" s="10">
        <f t="shared" si="14"/>
        <v>0</v>
      </c>
      <c r="X28" s="10">
        <f t="shared" si="14"/>
        <v>0</v>
      </c>
      <c r="Y28" s="10">
        <f t="shared" si="14"/>
        <v>0</v>
      </c>
      <c r="Z28" s="10">
        <f t="shared" si="14"/>
        <v>0</v>
      </c>
      <c r="AA28" s="10">
        <f t="shared" si="14"/>
        <v>0</v>
      </c>
      <c r="AB28" s="10">
        <f t="shared" si="14"/>
        <v>0</v>
      </c>
      <c r="AC28" s="10">
        <f t="shared" si="14"/>
        <v>0</v>
      </c>
      <c r="AD28" s="10">
        <f t="shared" si="14"/>
        <v>0</v>
      </c>
      <c r="AE28" s="10">
        <f t="shared" si="14"/>
        <v>0</v>
      </c>
      <c r="AF28" s="10">
        <f t="shared" si="14"/>
        <v>0</v>
      </c>
      <c r="AG28" s="10">
        <f t="shared" si="14"/>
        <v>0</v>
      </c>
      <c r="AH28" s="10">
        <f t="shared" si="14"/>
        <v>0</v>
      </c>
      <c r="AI28" s="10">
        <f t="shared" si="14"/>
        <v>0</v>
      </c>
      <c r="AJ28" s="10">
        <f t="shared" si="14"/>
        <v>0</v>
      </c>
      <c r="AK28" s="10">
        <f t="shared" si="14"/>
        <v>0</v>
      </c>
      <c r="AL28" s="10">
        <f t="shared" si="14"/>
        <v>0</v>
      </c>
    </row>
    <row r="29" spans="2:38" x14ac:dyDescent="0.2">
      <c r="B29" t="s">
        <v>139</v>
      </c>
      <c r="C29" s="9">
        <v>154.30000000000001</v>
      </c>
      <c r="D29" s="9">
        <v>169.3</v>
      </c>
      <c r="E29" s="9">
        <v>168.5</v>
      </c>
      <c r="F29" s="9">
        <v>186.1</v>
      </c>
      <c r="G29" s="9">
        <v>225.7</v>
      </c>
      <c r="H29" s="9">
        <v>192</v>
      </c>
      <c r="I29" s="9">
        <v>202.9</v>
      </c>
      <c r="J29" s="9">
        <v>249.8</v>
      </c>
      <c r="K29" s="9">
        <v>124.6</v>
      </c>
      <c r="L29" s="9">
        <v>201.1</v>
      </c>
      <c r="M29" s="9">
        <v>175.7</v>
      </c>
      <c r="N29" s="9">
        <f t="shared" ref="N29:O29" si="15">+J29*1.1</f>
        <v>274.78000000000003</v>
      </c>
      <c r="O29" s="8">
        <f t="shared" si="15"/>
        <v>137.06</v>
      </c>
      <c r="P29" s="3">
        <f t="shared" ref="P29" si="16">O29*(1+-0.005)</f>
        <v>136.37469999999999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</row>
    <row r="30" spans="2:38" x14ac:dyDescent="0.2">
      <c r="B30" t="s">
        <v>71</v>
      </c>
      <c r="C30" s="31"/>
      <c r="D30" s="31"/>
      <c r="E30" s="31"/>
      <c r="F30" s="31"/>
      <c r="G30" s="31"/>
      <c r="H30" s="31"/>
      <c r="I30" s="9">
        <v>1.4</v>
      </c>
      <c r="J30" s="9">
        <v>7.9</v>
      </c>
      <c r="K30" s="9">
        <v>21.5</v>
      </c>
      <c r="L30" s="9">
        <v>48.6</v>
      </c>
      <c r="M30" s="9">
        <v>70.400000000000006</v>
      </c>
      <c r="N30" s="9">
        <f t="shared" ref="N30" si="17">+M30+25</f>
        <v>95.4</v>
      </c>
      <c r="O30" s="8">
        <v>124</v>
      </c>
      <c r="P30" s="3">
        <f>O30*(1+0.097)</f>
        <v>136.02799999999999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</row>
    <row r="31" spans="2:38" x14ac:dyDescent="0.2">
      <c r="B31" t="s">
        <v>84</v>
      </c>
      <c r="C31" s="12">
        <f>C33-(C5+C15+C23+C28)</f>
        <v>774.5</v>
      </c>
      <c r="D31" s="12">
        <f>D33-(D5+D15+D23+D28)</f>
        <v>1441</v>
      </c>
      <c r="E31" s="12">
        <f>E33-(E5+E15+E23+E28)</f>
        <v>2192.4000000000005</v>
      </c>
      <c r="F31" s="12">
        <f>F33-(F5+F15+F23+F28)</f>
        <v>814.29999999999927</v>
      </c>
      <c r="G31" s="12">
        <f>G33-(G5+G15+G23+G28)</f>
        <v>678.40000000000055</v>
      </c>
      <c r="H31" s="12">
        <f>H33-(H5+H15+H23+H28)</f>
        <v>126.49999999999636</v>
      </c>
      <c r="I31" s="12">
        <f>I33-(I5+I15+I23+I28)</f>
        <v>684.80000000000109</v>
      </c>
      <c r="J31" s="12">
        <f>J33-(J5+J15+J23+J28)</f>
        <v>693.30000000000109</v>
      </c>
      <c r="K31" s="12">
        <f>K33-(K5+K15+K23+K28)</f>
        <v>494.5</v>
      </c>
      <c r="L31" s="12">
        <f>L33-(L5+L15+L23+L28)</f>
        <v>548.99999999999818</v>
      </c>
      <c r="M31" s="12">
        <f>M33-(M5+M15+M23+M28)</f>
        <v>614.5</v>
      </c>
      <c r="N31" s="12">
        <f>N33-(N5+N15+N23+N28)</f>
        <v>391.52000000000044</v>
      </c>
      <c r="O31" s="25">
        <f>O33-(O5+O15+O23+O28)</f>
        <v>275.93999999999505</v>
      </c>
      <c r="P31" s="3">
        <f>AVERAGE(L31:O31)</f>
        <v>457.73999999999842</v>
      </c>
      <c r="Q31" s="3">
        <f t="shared" ref="Q31:AL31" si="18">P31*(1+0.0075)</f>
        <v>461.17304999999845</v>
      </c>
      <c r="R31" s="3">
        <f t="shared" si="18"/>
        <v>464.63184787499847</v>
      </c>
      <c r="S31" s="3">
        <f t="shared" si="18"/>
        <v>468.116586734061</v>
      </c>
      <c r="T31" s="3">
        <f t="shared" si="18"/>
        <v>471.62746113456649</v>
      </c>
      <c r="U31" s="3">
        <f t="shared" si="18"/>
        <v>475.16466709307576</v>
      </c>
      <c r="V31" s="3">
        <f t="shared" si="18"/>
        <v>478.72840209627384</v>
      </c>
      <c r="W31" s="3">
        <f t="shared" si="18"/>
        <v>482.31886511199593</v>
      </c>
      <c r="X31" s="3">
        <f t="shared" si="18"/>
        <v>485.93625660033592</v>
      </c>
      <c r="Y31" s="3">
        <f t="shared" si="18"/>
        <v>489.58077852483848</v>
      </c>
      <c r="Z31" s="3">
        <f t="shared" si="18"/>
        <v>493.2526343637748</v>
      </c>
      <c r="AA31" s="3">
        <f t="shared" si="18"/>
        <v>496.95202912150313</v>
      </c>
      <c r="AB31" s="3">
        <f t="shared" si="18"/>
        <v>500.67916933991444</v>
      </c>
      <c r="AC31" s="3">
        <f t="shared" si="18"/>
        <v>504.43426310996381</v>
      </c>
      <c r="AD31" s="3">
        <f t="shared" si="18"/>
        <v>508.21752008328855</v>
      </c>
      <c r="AE31" s="3">
        <f t="shared" si="18"/>
        <v>512.02915148391321</v>
      </c>
      <c r="AF31" s="3">
        <f t="shared" si="18"/>
        <v>515.86937012004262</v>
      </c>
      <c r="AG31" s="3">
        <f t="shared" si="18"/>
        <v>519.73839039594293</v>
      </c>
      <c r="AH31" s="3">
        <f t="shared" si="18"/>
        <v>523.63642832391258</v>
      </c>
      <c r="AI31" s="3">
        <f t="shared" si="18"/>
        <v>527.56370153634191</v>
      </c>
      <c r="AJ31" s="3">
        <f t="shared" si="18"/>
        <v>531.52042929786455</v>
      </c>
      <c r="AK31" s="3">
        <f t="shared" si="18"/>
        <v>535.50683251759858</v>
      </c>
      <c r="AL31" s="3">
        <f t="shared" si="18"/>
        <v>539.52313376148061</v>
      </c>
    </row>
    <row r="32" spans="2:38" x14ac:dyDescent="0.2">
      <c r="B32" s="27"/>
      <c r="O32" s="61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</row>
    <row r="33" spans="2:38" x14ac:dyDescent="0.2">
      <c r="B33" s="5" t="s">
        <v>85</v>
      </c>
      <c r="C33" s="10">
        <v>6960</v>
      </c>
      <c r="D33" s="10">
        <v>8312.1</v>
      </c>
      <c r="E33" s="10">
        <v>9498.6</v>
      </c>
      <c r="F33" s="10">
        <v>9353.4</v>
      </c>
      <c r="G33" s="10">
        <v>8768</v>
      </c>
      <c r="H33" s="10">
        <v>11302.8</v>
      </c>
      <c r="I33" s="10">
        <v>11439.1</v>
      </c>
      <c r="J33" s="10">
        <v>13532.8</v>
      </c>
      <c r="K33" s="10">
        <v>12729</v>
      </c>
      <c r="L33" s="10">
        <v>15557.7</v>
      </c>
      <c r="M33" s="10">
        <v>17600.8</v>
      </c>
      <c r="N33" s="10">
        <v>19292</v>
      </c>
      <c r="O33" s="7">
        <v>19799</v>
      </c>
      <c r="P33" s="24">
        <f>P31+P28+P23+P15+P5</f>
        <v>20601.969349999999</v>
      </c>
      <c r="Q33" s="24">
        <f t="shared" ref="Q33:AL33" si="19">Q31+Q28+Q23+Q15+Q5</f>
        <v>461.17304999999845</v>
      </c>
      <c r="R33" s="24">
        <f t="shared" si="19"/>
        <v>464.63184787499847</v>
      </c>
      <c r="S33" s="24">
        <f t="shared" si="19"/>
        <v>468.116586734061</v>
      </c>
      <c r="T33" s="24">
        <f t="shared" si="19"/>
        <v>471.62746113456649</v>
      </c>
      <c r="U33" s="24">
        <f t="shared" si="19"/>
        <v>475.16466709307576</v>
      </c>
      <c r="V33" s="24">
        <f t="shared" si="19"/>
        <v>478.72840209627384</v>
      </c>
      <c r="W33" s="24">
        <f t="shared" si="19"/>
        <v>482.31886511199593</v>
      </c>
      <c r="X33" s="24">
        <f t="shared" si="19"/>
        <v>485.93625660033592</v>
      </c>
      <c r="Y33" s="24">
        <f t="shared" si="19"/>
        <v>489.58077852483848</v>
      </c>
      <c r="Z33" s="24">
        <f t="shared" si="19"/>
        <v>493.2526343637748</v>
      </c>
      <c r="AA33" s="24">
        <f t="shared" si="19"/>
        <v>496.95202912150313</v>
      </c>
      <c r="AB33" s="24">
        <f t="shared" si="19"/>
        <v>500.67916933991444</v>
      </c>
      <c r="AC33" s="24">
        <f t="shared" si="19"/>
        <v>504.43426310996381</v>
      </c>
      <c r="AD33" s="24">
        <f t="shared" si="19"/>
        <v>508.21752008328855</v>
      </c>
      <c r="AE33" s="24">
        <f t="shared" si="19"/>
        <v>512.02915148391321</v>
      </c>
      <c r="AF33" s="24">
        <f t="shared" si="19"/>
        <v>515.86937012004262</v>
      </c>
      <c r="AG33" s="24">
        <f t="shared" si="19"/>
        <v>519.73839039594293</v>
      </c>
      <c r="AH33" s="24">
        <f t="shared" si="19"/>
        <v>523.63642832391258</v>
      </c>
      <c r="AI33" s="24">
        <f t="shared" si="19"/>
        <v>527.56370153634191</v>
      </c>
      <c r="AJ33" s="24">
        <f t="shared" si="19"/>
        <v>531.52042929786455</v>
      </c>
      <c r="AK33" s="24">
        <f t="shared" si="19"/>
        <v>535.50683251759858</v>
      </c>
      <c r="AL33" s="24">
        <f t="shared" si="19"/>
        <v>539.52313376148061</v>
      </c>
    </row>
    <row r="34" spans="2:38" x14ac:dyDescent="0.2">
      <c r="B34" t="s">
        <v>32</v>
      </c>
      <c r="C34" s="9">
        <v>1626.7</v>
      </c>
      <c r="D34" s="9">
        <v>1807.4</v>
      </c>
      <c r="E34" s="9">
        <v>1860.1</v>
      </c>
      <c r="F34" s="9">
        <v>1788</v>
      </c>
      <c r="G34" s="9">
        <v>1673.5</v>
      </c>
      <c r="H34" s="9">
        <v>2170.1999999999998</v>
      </c>
      <c r="I34" s="9">
        <v>2170.8000000000002</v>
      </c>
      <c r="J34" s="9">
        <v>2403.8000000000002</v>
      </c>
      <c r="K34" s="9">
        <v>2225</v>
      </c>
      <c r="L34" s="9">
        <v>2447.8000000000002</v>
      </c>
      <c r="M34" s="9">
        <v>3008.3</v>
      </c>
      <c r="N34" s="9">
        <v>3371.7</v>
      </c>
      <c r="O34" s="8">
        <v>3577</v>
      </c>
      <c r="P34" s="12">
        <f t="shared" ref="P34:AH34" si="20">P35*(1-P48)</f>
        <v>3147.8919338390656</v>
      </c>
      <c r="Q34" s="12">
        <f t="shared" si="20"/>
        <v>70.465250167890161</v>
      </c>
      <c r="R34" s="12">
        <f t="shared" si="20"/>
        <v>70.993739544149335</v>
      </c>
      <c r="S34" s="12">
        <f t="shared" si="20"/>
        <v>71.526192590730474</v>
      </c>
      <c r="T34" s="12">
        <f t="shared" si="20"/>
        <v>72.062639035160956</v>
      </c>
      <c r="U34" s="12">
        <f t="shared" si="20"/>
        <v>72.603108827924657</v>
      </c>
      <c r="V34" s="12">
        <f t="shared" si="20"/>
        <v>73.147632144134107</v>
      </c>
      <c r="W34" s="12">
        <f t="shared" si="20"/>
        <v>73.696239385215108</v>
      </c>
      <c r="X34" s="12">
        <f t="shared" si="20"/>
        <v>74.248961180604226</v>
      </c>
      <c r="Y34" s="12">
        <f t="shared" si="20"/>
        <v>74.805828389458767</v>
      </c>
      <c r="Z34" s="12">
        <f t="shared" si="20"/>
        <v>75.366872102379702</v>
      </c>
      <c r="AA34" s="12">
        <f t="shared" si="20"/>
        <v>75.932123643147563</v>
      </c>
      <c r="AB34" s="12">
        <f t="shared" si="20"/>
        <v>76.501614570471176</v>
      </c>
      <c r="AC34" s="12">
        <f t="shared" si="20"/>
        <v>77.075376679749709</v>
      </c>
      <c r="AD34" s="12">
        <f t="shared" si="20"/>
        <v>77.653442004847832</v>
      </c>
      <c r="AE34" s="12">
        <f t="shared" si="20"/>
        <v>78.235842819884184</v>
      </c>
      <c r="AF34" s="12">
        <f t="shared" si="20"/>
        <v>78.822611641033333</v>
      </c>
      <c r="AG34" s="12">
        <f t="shared" si="20"/>
        <v>79.41378122834108</v>
      </c>
      <c r="AH34" s="12">
        <f t="shared" si="20"/>
        <v>80.00938458755364</v>
      </c>
      <c r="AI34" s="12">
        <f t="shared" ref="AI34:AL34" si="21">AI35*(1-AI48)</f>
        <v>80.609454971960304</v>
      </c>
      <c r="AJ34" s="12">
        <f t="shared" si="21"/>
        <v>81.21402588425002</v>
      </c>
      <c r="AK34" s="12">
        <f t="shared" si="21"/>
        <v>81.823131078381891</v>
      </c>
      <c r="AL34" s="12">
        <f t="shared" si="21"/>
        <v>82.436804561469771</v>
      </c>
    </row>
    <row r="35" spans="2:38" x14ac:dyDescent="0.2">
      <c r="B35" s="5" t="s">
        <v>58</v>
      </c>
      <c r="C35" s="10">
        <f t="shared" ref="C35:G35" si="22">C33-C34</f>
        <v>5333.3</v>
      </c>
      <c r="D35" s="10">
        <f t="shared" si="22"/>
        <v>6504.7000000000007</v>
      </c>
      <c r="E35" s="10">
        <f t="shared" si="22"/>
        <v>7638.5</v>
      </c>
      <c r="F35" s="10">
        <f t="shared" si="22"/>
        <v>7565.4</v>
      </c>
      <c r="G35" s="10">
        <f t="shared" si="22"/>
        <v>7094.5</v>
      </c>
      <c r="H35" s="10">
        <f>H33-H34</f>
        <v>9132.5999999999985</v>
      </c>
      <c r="I35" s="10">
        <f t="shared" ref="I35:O35" si="23">I33-I34</f>
        <v>9268.2999999999993</v>
      </c>
      <c r="J35" s="10">
        <f t="shared" si="23"/>
        <v>11129</v>
      </c>
      <c r="K35" s="10">
        <f t="shared" si="23"/>
        <v>10504</v>
      </c>
      <c r="L35" s="10">
        <f t="shared" si="23"/>
        <v>13109.900000000001</v>
      </c>
      <c r="M35" s="10">
        <f t="shared" si="23"/>
        <v>14592.5</v>
      </c>
      <c r="N35" s="10">
        <f t="shared" si="23"/>
        <v>15920.3</v>
      </c>
      <c r="O35" s="7">
        <f t="shared" si="23"/>
        <v>16222</v>
      </c>
      <c r="P35" s="24">
        <f>P33*P48</f>
        <v>16724.185756744224</v>
      </c>
      <c r="Q35" s="24">
        <f t="shared" ref="Q35:AH35" si="24">Q33*Q48</f>
        <v>374.36924709356811</v>
      </c>
      <c r="R35" s="24">
        <f t="shared" si="24"/>
        <v>377.17701644676987</v>
      </c>
      <c r="S35" s="24">
        <f t="shared" si="24"/>
        <v>380.0058440701207</v>
      </c>
      <c r="T35" s="24">
        <f t="shared" si="24"/>
        <v>382.85588790064662</v>
      </c>
      <c r="U35" s="24">
        <f t="shared" si="24"/>
        <v>385.72730705990148</v>
      </c>
      <c r="V35" s="24">
        <f t="shared" si="24"/>
        <v>388.62026186285078</v>
      </c>
      <c r="W35" s="24">
        <f t="shared" si="24"/>
        <v>391.53491382682216</v>
      </c>
      <c r="X35" s="24">
        <f t="shared" si="24"/>
        <v>394.47142568052334</v>
      </c>
      <c r="Y35" s="24">
        <f t="shared" si="24"/>
        <v>397.4299613731273</v>
      </c>
      <c r="Z35" s="24">
        <f t="shared" si="24"/>
        <v>400.41068608342579</v>
      </c>
      <c r="AA35" s="24">
        <f t="shared" si="24"/>
        <v>403.41376622905153</v>
      </c>
      <c r="AB35" s="24">
        <f t="shared" si="24"/>
        <v>406.43936947576941</v>
      </c>
      <c r="AC35" s="24">
        <f t="shared" si="24"/>
        <v>409.48766474683771</v>
      </c>
      <c r="AD35" s="24">
        <f t="shared" si="24"/>
        <v>412.55882223243901</v>
      </c>
      <c r="AE35" s="24">
        <f t="shared" si="24"/>
        <v>415.65301339918227</v>
      </c>
      <c r="AF35" s="24">
        <f t="shared" si="24"/>
        <v>418.77041099967619</v>
      </c>
      <c r="AG35" s="24">
        <f t="shared" si="24"/>
        <v>421.91118908217373</v>
      </c>
      <c r="AH35" s="24">
        <f t="shared" si="24"/>
        <v>425.0755230002901</v>
      </c>
      <c r="AI35" s="24">
        <f t="shared" ref="AI35:AL35" si="25">AI33*AI48</f>
        <v>428.26358942279228</v>
      </c>
      <c r="AJ35" s="24">
        <f t="shared" si="25"/>
        <v>431.4755663434633</v>
      </c>
      <c r="AK35" s="24">
        <f t="shared" si="25"/>
        <v>434.71163309103929</v>
      </c>
      <c r="AL35" s="24">
        <f t="shared" si="25"/>
        <v>437.97197033922214</v>
      </c>
    </row>
    <row r="36" spans="2:38" x14ac:dyDescent="0.2">
      <c r="B36" t="s">
        <v>33</v>
      </c>
      <c r="C36" s="9">
        <v>1985.1</v>
      </c>
      <c r="D36" s="9">
        <v>2356.5</v>
      </c>
      <c r="E36" s="9">
        <v>2409.1</v>
      </c>
      <c r="F36" s="9">
        <v>2562.6999999999998</v>
      </c>
      <c r="G36" s="9">
        <v>2522.8000000000002</v>
      </c>
      <c r="H36" s="9">
        <v>2711.2</v>
      </c>
      <c r="I36" s="9">
        <v>2734.1</v>
      </c>
      <c r="J36" s="9">
        <v>3022.5</v>
      </c>
      <c r="K36" s="9">
        <v>2734</v>
      </c>
      <c r="L36" s="9">
        <v>3336.1</v>
      </c>
      <c r="M36" s="9">
        <v>3465.7</v>
      </c>
      <c r="N36" s="9">
        <v>3801.5</v>
      </c>
      <c r="O36" s="8">
        <v>3510</v>
      </c>
      <c r="P36" s="12">
        <f t="shared" ref="P36:AL36" si="26">P$35*P49</f>
        <v>3618.6593518784507</v>
      </c>
      <c r="Q36" s="12">
        <f t="shared" si="26"/>
        <v>81.003332344866479</v>
      </c>
      <c r="R36" s="12">
        <f t="shared" si="26"/>
        <v>81.610857337452984</v>
      </c>
      <c r="S36" s="12">
        <f t="shared" si="26"/>
        <v>82.222938767483896</v>
      </c>
      <c r="T36" s="12">
        <f t="shared" si="26"/>
        <v>82.839610808240025</v>
      </c>
      <c r="U36" s="12">
        <f t="shared" si="26"/>
        <v>83.460907889301822</v>
      </c>
      <c r="V36" s="12">
        <f t="shared" si="26"/>
        <v>84.086864698471601</v>
      </c>
      <c r="W36" s="12">
        <f t="shared" si="26"/>
        <v>84.717516183710131</v>
      </c>
      <c r="X36" s="12">
        <f t="shared" si="26"/>
        <v>85.352897555087964</v>
      </c>
      <c r="Y36" s="12">
        <f t="shared" si="26"/>
        <v>85.993044286751129</v>
      </c>
      <c r="Z36" s="12">
        <f t="shared" si="26"/>
        <v>86.637992118901778</v>
      </c>
      <c r="AA36" s="12">
        <f t="shared" si="26"/>
        <v>87.287777059793541</v>
      </c>
      <c r="AB36" s="12">
        <f t="shared" si="26"/>
        <v>87.942435387741995</v>
      </c>
      <c r="AC36" s="12">
        <f t="shared" si="26"/>
        <v>88.602003653150064</v>
      </c>
      <c r="AD36" s="12">
        <f t="shared" si="26"/>
        <v>89.2665186805487</v>
      </c>
      <c r="AE36" s="12">
        <f t="shared" si="26"/>
        <v>89.936017570652808</v>
      </c>
      <c r="AF36" s="12">
        <f t="shared" si="26"/>
        <v>90.610537702432708</v>
      </c>
      <c r="AG36" s="12">
        <f t="shared" si="26"/>
        <v>91.290116735200954</v>
      </c>
      <c r="AH36" s="12">
        <f t="shared" si="26"/>
        <v>91.974792610714971</v>
      </c>
      <c r="AI36" s="12">
        <f t="shared" si="26"/>
        <v>92.664603555295344</v>
      </c>
      <c r="AJ36" s="12">
        <f t="shared" si="26"/>
        <v>93.359588081960069</v>
      </c>
      <c r="AK36" s="12">
        <f t="shared" si="26"/>
        <v>94.059784992574777</v>
      </c>
      <c r="AL36" s="12">
        <f t="shared" si="26"/>
        <v>94.765233380019097</v>
      </c>
    </row>
    <row r="37" spans="2:38" ht="16" customHeight="1" x14ac:dyDescent="0.2">
      <c r="B37" t="s">
        <v>34</v>
      </c>
      <c r="C37" s="9">
        <v>1749.2</v>
      </c>
      <c r="D37" s="9">
        <v>1925.4</v>
      </c>
      <c r="E37" s="9">
        <v>1803.9</v>
      </c>
      <c r="F37" s="9">
        <v>1924.6</v>
      </c>
      <c r="G37" s="9">
        <v>1952.2</v>
      </c>
      <c r="H37" s="9">
        <v>2117.3000000000002</v>
      </c>
      <c r="I37" s="9">
        <v>2099.8000000000002</v>
      </c>
      <c r="J37" s="9">
        <v>2424.5</v>
      </c>
      <c r="K37" s="9">
        <v>2468</v>
      </c>
      <c r="L37" s="9">
        <v>2753</v>
      </c>
      <c r="M37" s="9">
        <v>2740.7</v>
      </c>
      <c r="N37" s="9">
        <v>3131.4</v>
      </c>
      <c r="O37" s="8">
        <v>2934</v>
      </c>
      <c r="P37" s="12">
        <f t="shared" ref="P37:AL37" si="27">P$35*P50</f>
        <v>3024.8280736214742</v>
      </c>
      <c r="Q37" s="12">
        <f t="shared" si="27"/>
        <v>67.386464476842264</v>
      </c>
      <c r="R37" s="12">
        <f t="shared" si="27"/>
        <v>67.891862960418578</v>
      </c>
      <c r="S37" s="12">
        <f t="shared" si="27"/>
        <v>68.401051932621726</v>
      </c>
      <c r="T37" s="12">
        <f t="shared" si="27"/>
        <v>68.914059822116386</v>
      </c>
      <c r="U37" s="12">
        <f t="shared" si="27"/>
        <v>69.430915270782265</v>
      </c>
      <c r="V37" s="12">
        <f t="shared" si="27"/>
        <v>69.951647135313138</v>
      </c>
      <c r="W37" s="12">
        <f t="shared" si="27"/>
        <v>70.476284488827986</v>
      </c>
      <c r="X37" s="12">
        <f t="shared" si="27"/>
        <v>71.004856622494202</v>
      </c>
      <c r="Y37" s="12">
        <f t="shared" si="27"/>
        <v>71.537393047162908</v>
      </c>
      <c r="Z37" s="12">
        <f t="shared" si="27"/>
        <v>72.073923495016643</v>
      </c>
      <c r="AA37" s="12">
        <f t="shared" si="27"/>
        <v>72.614477921229266</v>
      </c>
      <c r="AB37" s="12">
        <f t="shared" si="27"/>
        <v>73.159086505638484</v>
      </c>
      <c r="AC37" s="12">
        <f t="shared" si="27"/>
        <v>73.70777965443078</v>
      </c>
      <c r="AD37" s="12">
        <f t="shared" si="27"/>
        <v>74.260588001839025</v>
      </c>
      <c r="AE37" s="12">
        <f t="shared" si="27"/>
        <v>74.817542411852813</v>
      </c>
      <c r="AF37" s="12">
        <f t="shared" si="27"/>
        <v>75.378673979941709</v>
      </c>
      <c r="AG37" s="12">
        <f t="shared" si="27"/>
        <v>75.944014034791266</v>
      </c>
      <c r="AH37" s="12">
        <f t="shared" si="27"/>
        <v>76.51359414005222</v>
      </c>
      <c r="AI37" s="12">
        <f t="shared" si="27"/>
        <v>77.08744609610261</v>
      </c>
      <c r="AJ37" s="12">
        <f t="shared" si="27"/>
        <v>77.665601941823397</v>
      </c>
      <c r="AK37" s="12">
        <f t="shared" si="27"/>
        <v>78.248093956387066</v>
      </c>
      <c r="AL37" s="12">
        <f t="shared" si="27"/>
        <v>78.834954661059982</v>
      </c>
    </row>
    <row r="38" spans="2:38" x14ac:dyDescent="0.2">
      <c r="B38" t="s">
        <v>35</v>
      </c>
      <c r="C38" s="9">
        <v>105</v>
      </c>
      <c r="D38" s="9">
        <v>97.1</v>
      </c>
      <c r="E38" s="9">
        <v>2975.1</v>
      </c>
      <c r="F38" s="9">
        <v>622.6</v>
      </c>
      <c r="G38" s="9">
        <v>110.5</v>
      </c>
      <c r="H38" s="9">
        <v>154.30000000000001</v>
      </c>
      <c r="I38" s="9">
        <v>2826.4</v>
      </c>
      <c r="J38" s="9">
        <v>189.2</v>
      </c>
      <c r="K38" s="9">
        <v>1572</v>
      </c>
      <c r="L38" s="9">
        <v>153</v>
      </c>
      <c r="M38" s="9">
        <v>655.7</v>
      </c>
      <c r="N38" s="9">
        <v>528.79999999999995</v>
      </c>
      <c r="O38" s="8">
        <v>584</v>
      </c>
      <c r="P38" s="12">
        <f t="shared" ref="P38:AL38" si="28">P$35*P51</f>
        <v>602.07893489943456</v>
      </c>
      <c r="Q38" s="12">
        <f t="shared" si="28"/>
        <v>14.974769883742724</v>
      </c>
      <c r="R38" s="12">
        <f t="shared" si="28"/>
        <v>15.087080657870795</v>
      </c>
      <c r="S38" s="12">
        <f t="shared" si="28"/>
        <v>15.200233762804828</v>
      </c>
      <c r="T38" s="12">
        <f t="shared" si="28"/>
        <v>15.314235516025866</v>
      </c>
      <c r="U38" s="12">
        <f t="shared" si="28"/>
        <v>15.429092282396059</v>
      </c>
      <c r="V38" s="12">
        <f t="shared" si="28"/>
        <v>15.544810474514032</v>
      </c>
      <c r="W38" s="12">
        <f t="shared" si="28"/>
        <v>15.661396553072887</v>
      </c>
      <c r="X38" s="12">
        <f t="shared" si="28"/>
        <v>15.778857027220933</v>
      </c>
      <c r="Y38" s="12">
        <f t="shared" si="28"/>
        <v>15.897198454925093</v>
      </c>
      <c r="Z38" s="12">
        <f t="shared" si="28"/>
        <v>16.016427443337033</v>
      </c>
      <c r="AA38" s="12">
        <f t="shared" si="28"/>
        <v>16.136550649162061</v>
      </c>
      <c r="AB38" s="12">
        <f t="shared" si="28"/>
        <v>16.257574779030776</v>
      </c>
      <c r="AC38" s="12">
        <f t="shared" si="28"/>
        <v>16.379506589873507</v>
      </c>
      <c r="AD38" s="12">
        <f t="shared" si="28"/>
        <v>16.502352889297562</v>
      </c>
      <c r="AE38" s="12">
        <f t="shared" si="28"/>
        <v>16.626120535967292</v>
      </c>
      <c r="AF38" s="12">
        <f t="shared" si="28"/>
        <v>16.750816439987048</v>
      </c>
      <c r="AG38" s="12">
        <f t="shared" si="28"/>
        <v>16.876447563286948</v>
      </c>
      <c r="AH38" s="12">
        <f t="shared" si="28"/>
        <v>17.003020920011604</v>
      </c>
      <c r="AI38" s="12">
        <f t="shared" si="28"/>
        <v>17.130543576911691</v>
      </c>
      <c r="AJ38" s="12">
        <f t="shared" si="28"/>
        <v>17.259022653738533</v>
      </c>
      <c r="AK38" s="12">
        <f t="shared" si="28"/>
        <v>17.388465323641572</v>
      </c>
      <c r="AL38" s="12">
        <f t="shared" si="28"/>
        <v>17.518878813568886</v>
      </c>
    </row>
    <row r="39" spans="2:38" x14ac:dyDescent="0.2">
      <c r="B39" t="s">
        <v>36</v>
      </c>
      <c r="C39" s="11">
        <v>0</v>
      </c>
      <c r="D39" s="9">
        <v>0</v>
      </c>
      <c r="E39" s="9">
        <v>0</v>
      </c>
      <c r="F39" s="9">
        <v>67.7</v>
      </c>
      <c r="G39" s="9">
        <v>0</v>
      </c>
      <c r="H39" s="9">
        <v>435</v>
      </c>
      <c r="I39" s="9">
        <v>81.599999999999994</v>
      </c>
      <c r="J39" s="9">
        <v>344</v>
      </c>
      <c r="K39" s="9">
        <v>35</v>
      </c>
      <c r="L39" s="9">
        <v>0</v>
      </c>
      <c r="M39" s="9">
        <v>364.9</v>
      </c>
      <c r="N39" s="9">
        <v>84.1</v>
      </c>
      <c r="O39" s="8">
        <v>279</v>
      </c>
      <c r="P39" s="12">
        <f>AVERAGE(C39:O39)</f>
        <v>130.09999999999997</v>
      </c>
      <c r="Q39" s="12">
        <v>130</v>
      </c>
      <c r="R39" s="12">
        <v>130</v>
      </c>
      <c r="S39" s="12">
        <v>130</v>
      </c>
      <c r="T39" s="12">
        <v>130</v>
      </c>
      <c r="U39" s="12">
        <v>130</v>
      </c>
      <c r="V39" s="12">
        <v>130</v>
      </c>
      <c r="W39" s="12">
        <v>130</v>
      </c>
      <c r="X39" s="12">
        <v>130</v>
      </c>
      <c r="Y39" s="12">
        <v>130</v>
      </c>
      <c r="Z39" s="12">
        <v>130</v>
      </c>
      <c r="AA39" s="12">
        <v>130</v>
      </c>
      <c r="AB39" s="12">
        <v>130</v>
      </c>
      <c r="AC39" s="12">
        <v>130</v>
      </c>
      <c r="AD39" s="12">
        <v>130</v>
      </c>
      <c r="AE39" s="12">
        <v>130</v>
      </c>
      <c r="AF39" s="12">
        <v>130</v>
      </c>
      <c r="AG39" s="12">
        <v>130</v>
      </c>
      <c r="AH39" s="12">
        <v>130</v>
      </c>
      <c r="AI39" s="12">
        <v>130</v>
      </c>
      <c r="AJ39" s="12">
        <v>130</v>
      </c>
      <c r="AK39" s="12">
        <v>130</v>
      </c>
      <c r="AL39" s="12">
        <v>130</v>
      </c>
    </row>
    <row r="40" spans="2:38" x14ac:dyDescent="0.2">
      <c r="B40" t="s">
        <v>37</v>
      </c>
      <c r="C40" s="9">
        <v>-35.700000000000003</v>
      </c>
      <c r="D40" s="9">
        <v>36.799999999999997</v>
      </c>
      <c r="E40" s="9">
        <v>23.2</v>
      </c>
      <c r="F40" s="9">
        <v>121</v>
      </c>
      <c r="G40" s="9">
        <v>-27.1</v>
      </c>
      <c r="H40" s="9">
        <v>197.6</v>
      </c>
      <c r="I40" s="9">
        <v>-62</v>
      </c>
      <c r="J40" s="9">
        <v>110.2</v>
      </c>
      <c r="K40" s="9">
        <v>239</v>
      </c>
      <c r="L40" s="9">
        <v>90.6</v>
      </c>
      <c r="M40" s="9">
        <v>133.1</v>
      </c>
      <c r="N40" s="9">
        <v>108.3</v>
      </c>
      <c r="O40" s="8">
        <v>65</v>
      </c>
      <c r="P40" s="12">
        <f>AVERAGE(C40:O40)</f>
        <v>76.92307692307692</v>
      </c>
      <c r="Q40" s="12">
        <v>77</v>
      </c>
      <c r="R40" s="12">
        <v>77</v>
      </c>
      <c r="S40" s="12">
        <v>77</v>
      </c>
      <c r="T40" s="12">
        <v>77</v>
      </c>
      <c r="U40" s="12">
        <v>77</v>
      </c>
      <c r="V40" s="12">
        <v>77</v>
      </c>
      <c r="W40" s="12">
        <v>77</v>
      </c>
      <c r="X40" s="12">
        <v>77</v>
      </c>
      <c r="Y40" s="12">
        <v>77</v>
      </c>
      <c r="Z40" s="12">
        <v>77</v>
      </c>
      <c r="AA40" s="12">
        <v>77</v>
      </c>
      <c r="AB40" s="12">
        <v>77</v>
      </c>
      <c r="AC40" s="12">
        <v>77</v>
      </c>
      <c r="AD40" s="12">
        <v>77</v>
      </c>
      <c r="AE40" s="12">
        <v>77</v>
      </c>
      <c r="AF40" s="12">
        <v>77</v>
      </c>
      <c r="AG40" s="12">
        <v>77</v>
      </c>
      <c r="AH40" s="12">
        <v>77</v>
      </c>
      <c r="AI40" s="12">
        <v>77</v>
      </c>
      <c r="AJ40" s="12">
        <v>77</v>
      </c>
      <c r="AK40" s="12">
        <v>77</v>
      </c>
      <c r="AL40" s="12">
        <v>77</v>
      </c>
    </row>
    <row r="41" spans="2:38" x14ac:dyDescent="0.2">
      <c r="B41" t="s">
        <v>38</v>
      </c>
      <c r="C41" s="9">
        <f>C35-(SUM(C36:C40))</f>
        <v>1529.6999999999998</v>
      </c>
      <c r="D41" s="9">
        <f t="shared" ref="D41:F41" si="29">D35-(SUM(D36:D40))</f>
        <v>2088.9000000000005</v>
      </c>
      <c r="E41" s="9">
        <f t="shared" si="29"/>
        <v>427.19999999999982</v>
      </c>
      <c r="F41" s="9">
        <f t="shared" si="29"/>
        <v>2266.8000000000002</v>
      </c>
      <c r="G41" s="9">
        <f>G35-(SUM(G36:G40))</f>
        <v>2536.1000000000004</v>
      </c>
      <c r="H41" s="9">
        <f>H35-(SUM(H36:H40))</f>
        <v>3517.199999999998</v>
      </c>
      <c r="I41" s="9">
        <f t="shared" ref="I41:P41" si="30">I35-(SUM(I36:I40))</f>
        <v>1588.3999999999996</v>
      </c>
      <c r="J41" s="9">
        <f t="shared" si="30"/>
        <v>5038.6000000000004</v>
      </c>
      <c r="K41" s="9">
        <f t="shared" si="30"/>
        <v>3456</v>
      </c>
      <c r="L41" s="9">
        <f t="shared" si="30"/>
        <v>6777.2000000000007</v>
      </c>
      <c r="M41" s="9">
        <f t="shared" si="30"/>
        <v>7232.4000000000005</v>
      </c>
      <c r="N41" s="9">
        <f t="shared" si="30"/>
        <v>8266.1999999999989</v>
      </c>
      <c r="O41" s="8">
        <f t="shared" si="30"/>
        <v>8850</v>
      </c>
      <c r="P41" s="9">
        <f t="shared" si="30"/>
        <v>9271.5963194217875</v>
      </c>
      <c r="Q41" s="9">
        <f>Q35-(SUM(Q36:Q40))</f>
        <v>4.0046803881166397</v>
      </c>
      <c r="R41" s="9">
        <f t="shared" ref="R41:AH41" si="31">R35-(SUM(R36:R40))</f>
        <v>5.5872154910275071</v>
      </c>
      <c r="S41" s="9">
        <f t="shared" si="31"/>
        <v>7.181619607210223</v>
      </c>
      <c r="T41" s="9">
        <f t="shared" si="31"/>
        <v>8.787981754264365</v>
      </c>
      <c r="U41" s="9">
        <f t="shared" si="31"/>
        <v>10.406391617421377</v>
      </c>
      <c r="V41" s="9">
        <f t="shared" si="31"/>
        <v>12.036939554552021</v>
      </c>
      <c r="W41" s="9">
        <f t="shared" si="31"/>
        <v>13.679716601211169</v>
      </c>
      <c r="X41" s="9">
        <f t="shared" si="31"/>
        <v>15.334814475720236</v>
      </c>
      <c r="Y41" s="9">
        <f t="shared" si="31"/>
        <v>17.002325584288144</v>
      </c>
      <c r="Z41" s="9">
        <f t="shared" si="31"/>
        <v>18.682343026170372</v>
      </c>
      <c r="AA41" s="9">
        <f t="shared" si="31"/>
        <v>20.374960598866664</v>
      </c>
      <c r="AB41" s="9">
        <f t="shared" si="31"/>
        <v>22.080272803358127</v>
      </c>
      <c r="AC41" s="9">
        <f t="shared" si="31"/>
        <v>23.798374849383322</v>
      </c>
      <c r="AD41" s="9">
        <f t="shared" si="31"/>
        <v>25.529362660753748</v>
      </c>
      <c r="AE41" s="9">
        <f t="shared" si="31"/>
        <v>27.273332880709347</v>
      </c>
      <c r="AF41" s="9">
        <f t="shared" si="31"/>
        <v>29.030382877314707</v>
      </c>
      <c r="AG41" s="9">
        <f t="shared" si="31"/>
        <v>30.800610748894599</v>
      </c>
      <c r="AH41" s="9">
        <f t="shared" si="31"/>
        <v>32.584115329511292</v>
      </c>
      <c r="AI41" s="9">
        <f t="shared" ref="AI41" si="32">AI35-(SUM(AI36:AI40))</f>
        <v>34.380996194482634</v>
      </c>
      <c r="AJ41" s="9">
        <f t="shared" ref="AJ41" si="33">AJ35-(SUM(AJ36:AJ40))</f>
        <v>36.191353665941335</v>
      </c>
      <c r="AK41" s="9">
        <f t="shared" ref="AK41" si="34">AK35-(SUM(AK36:AK40))</f>
        <v>38.015288818435863</v>
      </c>
      <c r="AL41" s="9">
        <f t="shared" ref="AL41" si="35">AL35-(SUM(AL36:AL40))</f>
        <v>39.852903484574199</v>
      </c>
    </row>
    <row r="42" spans="2:38" x14ac:dyDescent="0.2">
      <c r="B42" t="s">
        <v>39</v>
      </c>
      <c r="C42" s="11">
        <v>184.8</v>
      </c>
      <c r="D42" s="11">
        <v>325.7</v>
      </c>
      <c r="E42" s="11">
        <v>484.6</v>
      </c>
      <c r="F42" s="11">
        <v>319.10000000000002</v>
      </c>
      <c r="G42" s="11">
        <v>293.2</v>
      </c>
      <c r="H42" s="11">
        <v>550.20000000000005</v>
      </c>
      <c r="I42" s="11">
        <v>618.1</v>
      </c>
      <c r="J42" s="9">
        <v>628.9</v>
      </c>
      <c r="K42" s="11">
        <v>697</v>
      </c>
      <c r="L42" s="11">
        <v>1115.9000000000001</v>
      </c>
      <c r="M42" s="11">
        <v>1649.9</v>
      </c>
      <c r="N42" s="9">
        <v>1628.5</v>
      </c>
      <c r="O42" s="8">
        <v>1454</v>
      </c>
      <c r="P42" s="12">
        <f>P52*P41</f>
        <v>2349.0046641459539</v>
      </c>
      <c r="Q42" s="12">
        <f t="shared" ref="Q42:AH42" si="36">Q52*Q41</f>
        <v>1.0011700970291599</v>
      </c>
      <c r="R42" s="12">
        <f t="shared" si="36"/>
        <v>1.3968038727568768</v>
      </c>
      <c r="S42" s="12">
        <f t="shared" si="36"/>
        <v>1.7954049018025557</v>
      </c>
      <c r="T42" s="12">
        <f t="shared" si="36"/>
        <v>2.1969954385660913</v>
      </c>
      <c r="U42" s="12">
        <f t="shared" si="36"/>
        <v>2.6015979043553443</v>
      </c>
      <c r="V42" s="12">
        <f t="shared" si="36"/>
        <v>3.0092348886380051</v>
      </c>
      <c r="W42" s="12">
        <f t="shared" si="36"/>
        <v>3.4199291503027922</v>
      </c>
      <c r="X42" s="12">
        <f t="shared" si="36"/>
        <v>3.8337036189300591</v>
      </c>
      <c r="Y42" s="12">
        <f t="shared" si="36"/>
        <v>4.250581396072036</v>
      </c>
      <c r="Z42" s="12">
        <f t="shared" si="36"/>
        <v>4.670585756542593</v>
      </c>
      <c r="AA42" s="12">
        <f t="shared" si="36"/>
        <v>5.0937401497166661</v>
      </c>
      <c r="AB42" s="12">
        <f t="shared" si="36"/>
        <v>5.5200682008395319</v>
      </c>
      <c r="AC42" s="12">
        <f t="shared" si="36"/>
        <v>5.9495937123458305</v>
      </c>
      <c r="AD42" s="12">
        <f t="shared" si="36"/>
        <v>6.3823406651884369</v>
      </c>
      <c r="AE42" s="12">
        <f t="shared" si="36"/>
        <v>6.8183332201773368</v>
      </c>
      <c r="AF42" s="12">
        <f t="shared" si="36"/>
        <v>7.2575957193286769</v>
      </c>
      <c r="AG42" s="12">
        <f t="shared" si="36"/>
        <v>7.7001526872236497</v>
      </c>
      <c r="AH42" s="12">
        <f t="shared" si="36"/>
        <v>8.1460288323778229</v>
      </c>
      <c r="AI42" s="12">
        <f t="shared" ref="AI42" si="37">AI52*AI41</f>
        <v>8.5952490486206585</v>
      </c>
      <c r="AJ42" s="12">
        <f t="shared" ref="AJ42" si="38">AJ52*AJ41</f>
        <v>9.0478384164853338</v>
      </c>
      <c r="AK42" s="12">
        <f t="shared" ref="AK42" si="39">AK52*AK41</f>
        <v>9.5038222046089658</v>
      </c>
      <c r="AL42" s="12">
        <f t="shared" ref="AL42" si="40">AL52*AL41</f>
        <v>9.9632258711435497</v>
      </c>
    </row>
    <row r="43" spans="2:38" x14ac:dyDescent="0.2">
      <c r="B43" s="5" t="s">
        <v>20</v>
      </c>
      <c r="C43" s="10">
        <f t="shared" ref="C43:G43" si="41">C41-C42</f>
        <v>1344.8999999999999</v>
      </c>
      <c r="D43" s="10">
        <f t="shared" si="41"/>
        <v>1763.2000000000005</v>
      </c>
      <c r="E43" s="10">
        <f t="shared" si="41"/>
        <v>-57.400000000000205</v>
      </c>
      <c r="F43" s="10">
        <f t="shared" si="41"/>
        <v>1947.7000000000003</v>
      </c>
      <c r="G43" s="10">
        <f t="shared" si="41"/>
        <v>2242.9000000000005</v>
      </c>
      <c r="H43" s="10">
        <f t="shared" ref="H43:P43" si="42">H41-H42</f>
        <v>2966.9999999999982</v>
      </c>
      <c r="I43" s="10">
        <f t="shared" si="42"/>
        <v>970.29999999999961</v>
      </c>
      <c r="J43" s="10">
        <f t="shared" si="42"/>
        <v>4409.7000000000007</v>
      </c>
      <c r="K43" s="10">
        <f t="shared" si="42"/>
        <v>2759</v>
      </c>
      <c r="L43" s="10">
        <f t="shared" si="42"/>
        <v>5661.3000000000011</v>
      </c>
      <c r="M43" s="10">
        <f t="shared" si="42"/>
        <v>5582.5</v>
      </c>
      <c r="N43" s="10">
        <f t="shared" si="42"/>
        <v>6637.6999999999989</v>
      </c>
      <c r="O43" s="7">
        <f t="shared" si="42"/>
        <v>7396</v>
      </c>
      <c r="P43" s="10">
        <f t="shared" si="42"/>
        <v>6922.5916552758335</v>
      </c>
      <c r="Q43" s="10">
        <f t="shared" ref="Q43" si="43">Q41-Q42</f>
        <v>3.0035102910874798</v>
      </c>
      <c r="R43" s="10">
        <f t="shared" ref="R43" si="44">R41-R42</f>
        <v>4.1904116182706304</v>
      </c>
      <c r="S43" s="10">
        <f t="shared" ref="S43" si="45">S41-S42</f>
        <v>5.3862147054076672</v>
      </c>
      <c r="T43" s="10">
        <f t="shared" ref="T43" si="46">T41-T42</f>
        <v>6.5909863156982738</v>
      </c>
      <c r="U43" s="10">
        <f t="shared" ref="U43" si="47">U41-U42</f>
        <v>7.804793713066033</v>
      </c>
      <c r="V43" s="10">
        <f t="shared" ref="V43" si="48">V41-V42</f>
        <v>9.0277046659140154</v>
      </c>
      <c r="W43" s="10">
        <f t="shared" ref="W43" si="49">W41-W42</f>
        <v>10.259787450908377</v>
      </c>
      <c r="X43" s="10">
        <f t="shared" ref="X43" si="50">X41-X42</f>
        <v>11.501110856790177</v>
      </c>
      <c r="Y43" s="10">
        <f t="shared" ref="Y43" si="51">Y41-Y42</f>
        <v>12.751744188216108</v>
      </c>
      <c r="Z43" s="10">
        <f t="shared" ref="Z43" si="52">Z41-Z42</f>
        <v>14.011757269627779</v>
      </c>
      <c r="AA43" s="10">
        <f t="shared" ref="AA43" si="53">AA41-AA42</f>
        <v>15.281220449149998</v>
      </c>
      <c r="AB43" s="10">
        <f t="shared" ref="AB43" si="54">AB41-AB42</f>
        <v>16.560204602518596</v>
      </c>
      <c r="AC43" s="10">
        <f t="shared" ref="AC43" si="55">AC41-AC42</f>
        <v>17.848781137037491</v>
      </c>
      <c r="AD43" s="10">
        <f t="shared" ref="AD43" si="56">AD41-AD42</f>
        <v>19.147021995565311</v>
      </c>
      <c r="AE43" s="10">
        <f t="shared" ref="AE43" si="57">AE41-AE42</f>
        <v>20.45499966053201</v>
      </c>
      <c r="AF43" s="10">
        <f t="shared" ref="AF43" si="58">AF41-AF42</f>
        <v>21.772787157986031</v>
      </c>
      <c r="AG43" s="10">
        <f t="shared" ref="AG43" si="59">AG41-AG42</f>
        <v>23.100458061670949</v>
      </c>
      <c r="AH43" s="10">
        <f t="shared" ref="AH43" si="60">AH41-AH42</f>
        <v>24.438086497133469</v>
      </c>
      <c r="AI43" s="10">
        <f t="shared" ref="AI43" si="61">AI41-AI42</f>
        <v>25.785747145861976</v>
      </c>
      <c r="AJ43" s="10">
        <f t="shared" ref="AJ43" si="62">AJ41-AJ42</f>
        <v>27.143515249456001</v>
      </c>
      <c r="AK43" s="10">
        <f t="shared" ref="AK43" si="63">AK41-AK42</f>
        <v>28.511466613826897</v>
      </c>
      <c r="AL43" s="10">
        <f t="shared" ref="AL43" si="64">AL41-AL42</f>
        <v>29.889677613430649</v>
      </c>
    </row>
    <row r="44" spans="2:38" x14ac:dyDescent="0.2">
      <c r="B44" t="s">
        <v>40</v>
      </c>
      <c r="C44" s="3">
        <f>C43/C45</f>
        <v>1.4888741281966122</v>
      </c>
      <c r="D44" s="3">
        <f t="shared" ref="D44:O44" si="65">D43/D45</f>
        <v>1.9526024363233672</v>
      </c>
      <c r="E44" s="3">
        <f t="shared" si="65"/>
        <v>-6.3791953767504114E-2</v>
      </c>
      <c r="F44" s="3">
        <f t="shared" si="65"/>
        <v>2.1617092119866816</v>
      </c>
      <c r="G44" s="3">
        <f t="shared" si="65"/>
        <v>2.4816331046691755</v>
      </c>
      <c r="H44" s="3">
        <f t="shared" si="65"/>
        <v>3.2813536828135348</v>
      </c>
      <c r="I44" s="3">
        <f t="shared" si="65"/>
        <v>1.0721546961325963</v>
      </c>
      <c r="J44" s="3">
        <f t="shared" si="65"/>
        <v>4.8779867256637175</v>
      </c>
      <c r="K44" s="3">
        <f t="shared" si="65"/>
        <v>3.0635132134132799</v>
      </c>
      <c r="L44" s="3">
        <f t="shared" si="65"/>
        <v>6.2917314958879764</v>
      </c>
      <c r="M44" s="3">
        <f t="shared" si="65"/>
        <v>6.2110591900311531</v>
      </c>
      <c r="N44" s="3">
        <f t="shared" si="65"/>
        <v>7.3916481069042304</v>
      </c>
      <c r="O44" s="21">
        <f t="shared" si="65"/>
        <v>8.2553856457193877</v>
      </c>
      <c r="P44" s="3">
        <f>P43/P45</f>
        <v>7.6917685058620373</v>
      </c>
      <c r="Q44" s="3">
        <f t="shared" ref="Q44:AH44" si="66">Q43/Q45</f>
        <v>3.3372336567638666E-3</v>
      </c>
      <c r="R44" s="3">
        <f t="shared" si="66"/>
        <v>4.6560129091895892E-3</v>
      </c>
      <c r="S44" s="3">
        <f t="shared" si="66"/>
        <v>5.9846830060085194E-3</v>
      </c>
      <c r="T44" s="3">
        <f t="shared" si="66"/>
        <v>7.3233181285536379E-3</v>
      </c>
      <c r="U44" s="3">
        <f t="shared" si="66"/>
        <v>8.6719930145178151E-3</v>
      </c>
      <c r="V44" s="3">
        <f t="shared" si="66"/>
        <v>1.0030782962126684E-2</v>
      </c>
      <c r="W44" s="3">
        <f t="shared" si="66"/>
        <v>1.139976383434264E-2</v>
      </c>
      <c r="X44" s="3">
        <f t="shared" si="66"/>
        <v>1.2779012063100196E-2</v>
      </c>
      <c r="Y44" s="3">
        <f t="shared" si="66"/>
        <v>1.4168604653573454E-2</v>
      </c>
      <c r="Z44" s="3">
        <f t="shared" si="66"/>
        <v>1.5568619188475311E-2</v>
      </c>
      <c r="AA44" s="3">
        <f t="shared" si="66"/>
        <v>1.6979133832388887E-2</v>
      </c>
      <c r="AB44" s="3">
        <f t="shared" si="66"/>
        <v>1.8400227336131773E-2</v>
      </c>
      <c r="AC44" s="3">
        <f t="shared" si="66"/>
        <v>1.9831979041152768E-2</v>
      </c>
      <c r="AD44" s="3">
        <f t="shared" si="66"/>
        <v>2.1274468883961457E-2</v>
      </c>
      <c r="AE44" s="3">
        <f t="shared" si="66"/>
        <v>2.2727777400591124E-2</v>
      </c>
      <c r="AF44" s="3">
        <f t="shared" si="66"/>
        <v>2.419198573109559E-2</v>
      </c>
      <c r="AG44" s="3">
        <f t="shared" si="66"/>
        <v>2.5667175624078831E-2</v>
      </c>
      <c r="AH44" s="3">
        <f t="shared" si="66"/>
        <v>2.7153429441259411E-2</v>
      </c>
      <c r="AI44" s="3">
        <f t="shared" ref="AI44" si="67">AI43/AI45</f>
        <v>2.8619031238470562E-2</v>
      </c>
      <c r="AJ44" s="3">
        <f t="shared" ref="AJ44" si="68">AJ43/AJ45</f>
        <v>3.0092588968354768E-2</v>
      </c>
      <c r="AK44" s="3">
        <f t="shared" ref="AK44" si="69">AK43/AK45</f>
        <v>3.1574160148202544E-2</v>
      </c>
      <c r="AL44" s="3">
        <f t="shared" ref="AL44" si="70">AL43/AL45</f>
        <v>3.3063802669724168E-2</v>
      </c>
    </row>
    <row r="45" spans="2:38" x14ac:dyDescent="0.2">
      <c r="B45" t="s">
        <v>5</v>
      </c>
      <c r="C45" s="18">
        <v>903.3</v>
      </c>
      <c r="D45" s="18">
        <v>903</v>
      </c>
      <c r="E45" s="18">
        <v>899.8</v>
      </c>
      <c r="F45" s="18">
        <v>901</v>
      </c>
      <c r="G45" s="18">
        <v>903.8</v>
      </c>
      <c r="H45" s="18">
        <v>904.2</v>
      </c>
      <c r="I45" s="18">
        <v>905</v>
      </c>
      <c r="J45" s="18">
        <v>904</v>
      </c>
      <c r="K45" s="18">
        <v>900.6</v>
      </c>
      <c r="L45" s="18">
        <v>899.8</v>
      </c>
      <c r="M45" s="18">
        <v>898.8</v>
      </c>
      <c r="N45" s="18">
        <v>898</v>
      </c>
      <c r="O45" s="22">
        <v>895.9</v>
      </c>
      <c r="P45" s="18">
        <v>900</v>
      </c>
      <c r="Q45" s="18">
        <v>900</v>
      </c>
      <c r="R45" s="18">
        <v>900</v>
      </c>
      <c r="S45" s="18">
        <v>900</v>
      </c>
      <c r="T45" s="18">
        <v>900</v>
      </c>
      <c r="U45" s="18">
        <v>900</v>
      </c>
      <c r="V45" s="18">
        <v>900</v>
      </c>
      <c r="W45" s="18">
        <v>900</v>
      </c>
      <c r="X45" s="18">
        <v>900</v>
      </c>
      <c r="Y45" s="18">
        <v>900</v>
      </c>
      <c r="Z45" s="18">
        <v>900</v>
      </c>
      <c r="AA45" s="18">
        <v>900</v>
      </c>
      <c r="AB45" s="18">
        <v>900</v>
      </c>
      <c r="AC45" s="18">
        <v>900</v>
      </c>
      <c r="AD45" s="18">
        <v>900</v>
      </c>
      <c r="AE45" s="18">
        <v>900</v>
      </c>
      <c r="AF45" s="18">
        <v>900</v>
      </c>
      <c r="AG45" s="18">
        <v>900</v>
      </c>
      <c r="AH45" s="18">
        <v>900</v>
      </c>
      <c r="AI45" s="18">
        <v>901</v>
      </c>
      <c r="AJ45" s="18">
        <v>902</v>
      </c>
      <c r="AK45" s="18">
        <v>903</v>
      </c>
      <c r="AL45" s="18">
        <v>904</v>
      </c>
    </row>
    <row r="46" spans="2:38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21"/>
    </row>
    <row r="47" spans="2:38" x14ac:dyDescent="0.2">
      <c r="B47" s="28" t="s">
        <v>59</v>
      </c>
      <c r="C47" s="19">
        <v>0</v>
      </c>
      <c r="D47" s="19">
        <v>0</v>
      </c>
      <c r="E47" s="19">
        <v>0</v>
      </c>
      <c r="F47" s="19">
        <v>0</v>
      </c>
      <c r="G47" s="20">
        <f>(G33-C33)/C33</f>
        <v>0.25977011494252872</v>
      </c>
      <c r="H47" s="20">
        <f t="shared" ref="H47:O47" si="71">(H33-D33)/D33</f>
        <v>0.35980077236799352</v>
      </c>
      <c r="I47" s="20">
        <f t="shared" si="71"/>
        <v>0.20429326427052408</v>
      </c>
      <c r="J47" s="20">
        <f t="shared" si="71"/>
        <v>0.44683216798169645</v>
      </c>
      <c r="K47" s="20">
        <f t="shared" si="71"/>
        <v>0.45175638686131386</v>
      </c>
      <c r="L47" s="20">
        <f t="shared" si="71"/>
        <v>0.37644654421913171</v>
      </c>
      <c r="M47" s="20">
        <f t="shared" si="71"/>
        <v>0.53865251636929468</v>
      </c>
      <c r="N47" s="20">
        <f t="shared" si="71"/>
        <v>0.42557342161267447</v>
      </c>
      <c r="O47" s="23">
        <f t="shared" si="71"/>
        <v>0.55542462094430045</v>
      </c>
      <c r="P47" s="29">
        <f>AVERAGE(G47:O47)</f>
        <v>0.402061089952162</v>
      </c>
      <c r="Q47" s="29">
        <v>0.4</v>
      </c>
      <c r="R47" s="20">
        <v>0.4</v>
      </c>
      <c r="S47" s="20">
        <v>0.4</v>
      </c>
      <c r="T47" s="20">
        <v>0.35</v>
      </c>
      <c r="U47" s="20">
        <v>0.35</v>
      </c>
      <c r="V47" s="20">
        <v>0.35</v>
      </c>
      <c r="W47" s="20">
        <v>0.3</v>
      </c>
      <c r="X47" s="20">
        <v>0.3</v>
      </c>
      <c r="Y47" s="20">
        <v>0.3</v>
      </c>
      <c r="Z47" s="20">
        <v>0.25</v>
      </c>
      <c r="AA47" s="20">
        <v>0.25</v>
      </c>
      <c r="AB47" s="20">
        <v>0.25</v>
      </c>
      <c r="AC47" s="20">
        <v>0.2</v>
      </c>
      <c r="AD47" s="20">
        <v>0.2</v>
      </c>
      <c r="AE47" s="20">
        <v>0.2</v>
      </c>
      <c r="AF47" s="20">
        <v>0.2</v>
      </c>
      <c r="AG47" s="20">
        <v>0.2</v>
      </c>
      <c r="AH47" s="20">
        <v>0.2</v>
      </c>
      <c r="AI47" s="20">
        <v>0.2</v>
      </c>
      <c r="AJ47" s="20">
        <v>0.2</v>
      </c>
      <c r="AK47" s="20">
        <v>0.2</v>
      </c>
      <c r="AL47" s="20">
        <v>0.2</v>
      </c>
    </row>
    <row r="48" spans="2:38" x14ac:dyDescent="0.2">
      <c r="B48" s="28" t="s">
        <v>62</v>
      </c>
      <c r="C48" s="20">
        <f t="shared" ref="C48:O48" si="72">C35/C33</f>
        <v>0.76627873563218396</v>
      </c>
      <c r="D48" s="20">
        <f t="shared" si="72"/>
        <v>0.78255795767615888</v>
      </c>
      <c r="E48" s="20">
        <f t="shared" si="72"/>
        <v>0.80417114101025411</v>
      </c>
      <c r="F48" s="20">
        <f t="shared" si="72"/>
        <v>0.80883956636089549</v>
      </c>
      <c r="G48" s="20">
        <f t="shared" si="72"/>
        <v>0.80913549270072993</v>
      </c>
      <c r="H48" s="20">
        <f t="shared" si="72"/>
        <v>0.80799447924408108</v>
      </c>
      <c r="I48" s="20">
        <f t="shared" si="72"/>
        <v>0.81022982577300651</v>
      </c>
      <c r="J48" s="20">
        <f t="shared" si="72"/>
        <v>0.82237231023882718</v>
      </c>
      <c r="K48" s="20">
        <f t="shared" si="72"/>
        <v>0.82520229397438916</v>
      </c>
      <c r="L48" s="20">
        <f t="shared" si="72"/>
        <v>0.8426631185843666</v>
      </c>
      <c r="M48" s="20">
        <f t="shared" si="72"/>
        <v>0.82908163265306123</v>
      </c>
      <c r="N48" s="20">
        <f t="shared" si="72"/>
        <v>0.82522807381297947</v>
      </c>
      <c r="O48" s="23">
        <f t="shared" si="72"/>
        <v>0.81933430981362698</v>
      </c>
      <c r="P48" s="29">
        <f>AVERAGE(C48:O48)</f>
        <v>0.81177607211342762</v>
      </c>
      <c r="Q48" s="29">
        <v>0.81177607211342762</v>
      </c>
      <c r="R48" s="29">
        <v>0.81177607211342762</v>
      </c>
      <c r="S48" s="29">
        <v>0.81177607211342762</v>
      </c>
      <c r="T48" s="29">
        <v>0.81177607211342762</v>
      </c>
      <c r="U48" s="29">
        <v>0.81177607211342762</v>
      </c>
      <c r="V48" s="29">
        <v>0.81177607211342762</v>
      </c>
      <c r="W48" s="29">
        <v>0.81177607211342762</v>
      </c>
      <c r="X48" s="29">
        <v>0.81177607211342762</v>
      </c>
      <c r="Y48" s="29">
        <v>0.81177607211342762</v>
      </c>
      <c r="Z48" s="29">
        <v>0.81177607211342762</v>
      </c>
      <c r="AA48" s="29">
        <v>0.81177607211342762</v>
      </c>
      <c r="AB48" s="29">
        <v>0.81177607211342762</v>
      </c>
      <c r="AC48" s="29">
        <v>0.81177607211342762</v>
      </c>
      <c r="AD48" s="29">
        <v>0.81177607211342762</v>
      </c>
      <c r="AE48" s="29">
        <v>0.81177607211342762</v>
      </c>
      <c r="AF48" s="29">
        <v>0.81177607211342762</v>
      </c>
      <c r="AG48" s="29">
        <v>0.81177607211342762</v>
      </c>
      <c r="AH48" s="29">
        <v>0.81177607211342762</v>
      </c>
      <c r="AI48" s="29">
        <v>0.81177607211342762</v>
      </c>
      <c r="AJ48" s="29">
        <v>0.81177607211342762</v>
      </c>
      <c r="AK48" s="29">
        <v>0.81177607211342762</v>
      </c>
      <c r="AL48" s="29">
        <v>0.81177607211342762</v>
      </c>
    </row>
    <row r="49" spans="2:38" x14ac:dyDescent="0.2">
      <c r="B49" s="28" t="s">
        <v>72</v>
      </c>
      <c r="C49" s="20">
        <f>C36/C35</f>
        <v>0.37220857630360188</v>
      </c>
      <c r="D49" s="20">
        <f t="shared" ref="D49:O49" si="73">D36/D35</f>
        <v>0.36227650775593029</v>
      </c>
      <c r="E49" s="20">
        <f t="shared" si="73"/>
        <v>0.31538914708385152</v>
      </c>
      <c r="F49" s="20">
        <f t="shared" si="73"/>
        <v>0.33873952467813995</v>
      </c>
      <c r="G49" s="20">
        <f t="shared" si="73"/>
        <v>0.3555994079921066</v>
      </c>
      <c r="H49" s="20">
        <f t="shared" si="73"/>
        <v>0.29687055165013254</v>
      </c>
      <c r="I49" s="20">
        <f t="shared" si="73"/>
        <v>0.29499476710939437</v>
      </c>
      <c r="J49" s="20">
        <f t="shared" si="73"/>
        <v>0.27158774373259054</v>
      </c>
      <c r="K49" s="20">
        <f t="shared" si="73"/>
        <v>0.26028179741051027</v>
      </c>
      <c r="L49" s="20">
        <f t="shared" si="73"/>
        <v>0.25447181137918667</v>
      </c>
      <c r="M49" s="20">
        <f t="shared" si="73"/>
        <v>0.23749871509336987</v>
      </c>
      <c r="N49" s="20">
        <f t="shared" si="73"/>
        <v>0.23878318875900581</v>
      </c>
      <c r="O49" s="23">
        <f t="shared" si="73"/>
        <v>0.21637282702502775</v>
      </c>
      <c r="P49" s="29">
        <f>O49</f>
        <v>0.21637282702502775</v>
      </c>
      <c r="Q49" s="29">
        <f t="shared" ref="Q49:AH49" si="74">P49</f>
        <v>0.21637282702502775</v>
      </c>
      <c r="R49" s="29">
        <f t="shared" si="74"/>
        <v>0.21637282702502775</v>
      </c>
      <c r="S49" s="29">
        <f t="shared" si="74"/>
        <v>0.21637282702502775</v>
      </c>
      <c r="T49" s="29">
        <f t="shared" si="74"/>
        <v>0.21637282702502775</v>
      </c>
      <c r="U49" s="29">
        <f t="shared" si="74"/>
        <v>0.21637282702502775</v>
      </c>
      <c r="V49" s="29">
        <f t="shared" si="74"/>
        <v>0.21637282702502775</v>
      </c>
      <c r="W49" s="29">
        <f t="shared" si="74"/>
        <v>0.21637282702502775</v>
      </c>
      <c r="X49" s="29">
        <f t="shared" si="74"/>
        <v>0.21637282702502775</v>
      </c>
      <c r="Y49" s="29">
        <f t="shared" si="74"/>
        <v>0.21637282702502775</v>
      </c>
      <c r="Z49" s="29">
        <f t="shared" si="74"/>
        <v>0.21637282702502775</v>
      </c>
      <c r="AA49" s="29">
        <f t="shared" si="74"/>
        <v>0.21637282702502775</v>
      </c>
      <c r="AB49" s="29">
        <f t="shared" si="74"/>
        <v>0.21637282702502775</v>
      </c>
      <c r="AC49" s="29">
        <f t="shared" si="74"/>
        <v>0.21637282702502775</v>
      </c>
      <c r="AD49" s="29">
        <f t="shared" si="74"/>
        <v>0.21637282702502775</v>
      </c>
      <c r="AE49" s="29">
        <f t="shared" si="74"/>
        <v>0.21637282702502775</v>
      </c>
      <c r="AF49" s="29">
        <f t="shared" si="74"/>
        <v>0.21637282702502775</v>
      </c>
      <c r="AG49" s="29">
        <f t="shared" si="74"/>
        <v>0.21637282702502775</v>
      </c>
      <c r="AH49" s="29">
        <f t="shared" si="74"/>
        <v>0.21637282702502775</v>
      </c>
      <c r="AI49" s="29">
        <f t="shared" ref="AI49:AL49" si="75">AH49</f>
        <v>0.21637282702502775</v>
      </c>
      <c r="AJ49" s="29">
        <f t="shared" si="75"/>
        <v>0.21637282702502775</v>
      </c>
      <c r="AK49" s="29">
        <f t="shared" si="75"/>
        <v>0.21637282702502775</v>
      </c>
      <c r="AL49" s="29">
        <f t="shared" si="75"/>
        <v>0.21637282702502775</v>
      </c>
    </row>
    <row r="50" spans="2:38" x14ac:dyDescent="0.2">
      <c r="B50" s="28" t="s">
        <v>73</v>
      </c>
      <c r="C50" s="20">
        <f>C37/C35</f>
        <v>0.32797704985656162</v>
      </c>
      <c r="D50" s="20">
        <f t="shared" ref="D50:O50" si="76">D37/D35</f>
        <v>0.29600135286792623</v>
      </c>
      <c r="E50" s="20">
        <f t="shared" si="76"/>
        <v>0.23615893172743341</v>
      </c>
      <c r="F50" s="20">
        <f t="shared" si="76"/>
        <v>0.25439500885610805</v>
      </c>
      <c r="G50" s="20">
        <f t="shared" si="76"/>
        <v>0.27517090704066532</v>
      </c>
      <c r="H50" s="20">
        <f t="shared" si="76"/>
        <v>0.23183978275627976</v>
      </c>
      <c r="I50" s="20">
        <f t="shared" si="76"/>
        <v>0.22655718956011353</v>
      </c>
      <c r="J50" s="20">
        <f t="shared" si="76"/>
        <v>0.21785425465001348</v>
      </c>
      <c r="K50" s="20">
        <f t="shared" si="76"/>
        <v>0.23495811119573495</v>
      </c>
      <c r="L50" s="20">
        <f t="shared" si="76"/>
        <v>0.20999397401963399</v>
      </c>
      <c r="M50" s="20">
        <f t="shared" si="76"/>
        <v>0.18781565872879902</v>
      </c>
      <c r="N50" s="20">
        <f t="shared" si="76"/>
        <v>0.19669227338680806</v>
      </c>
      <c r="O50" s="23">
        <f t="shared" si="76"/>
        <v>0.18086549130810012</v>
      </c>
      <c r="P50" s="29">
        <f>O50</f>
        <v>0.18086549130810012</v>
      </c>
      <c r="Q50" s="29">
        <v>0.18</v>
      </c>
      <c r="R50" s="29">
        <v>0.18</v>
      </c>
      <c r="S50" s="29">
        <v>0.18</v>
      </c>
      <c r="T50" s="29">
        <v>0.18</v>
      </c>
      <c r="U50" s="29">
        <v>0.18</v>
      </c>
      <c r="V50" s="29">
        <v>0.18</v>
      </c>
      <c r="W50" s="29">
        <v>0.18</v>
      </c>
      <c r="X50" s="29">
        <v>0.18</v>
      </c>
      <c r="Y50" s="29">
        <v>0.18</v>
      </c>
      <c r="Z50" s="29">
        <v>0.18</v>
      </c>
      <c r="AA50" s="29">
        <v>0.18</v>
      </c>
      <c r="AB50" s="29">
        <v>0.18</v>
      </c>
      <c r="AC50" s="29">
        <v>0.18</v>
      </c>
      <c r="AD50" s="29">
        <v>0.18</v>
      </c>
      <c r="AE50" s="29">
        <v>0.18</v>
      </c>
      <c r="AF50" s="29">
        <v>0.18</v>
      </c>
      <c r="AG50" s="29">
        <v>0.18</v>
      </c>
      <c r="AH50" s="29">
        <v>0.18</v>
      </c>
      <c r="AI50" s="29">
        <v>0.18</v>
      </c>
      <c r="AJ50" s="29">
        <v>0.18</v>
      </c>
      <c r="AK50" s="29">
        <v>0.18</v>
      </c>
      <c r="AL50" s="29">
        <v>0.18</v>
      </c>
    </row>
    <row r="51" spans="2:38" x14ac:dyDescent="0.2">
      <c r="B51" s="28" t="s">
        <v>74</v>
      </c>
      <c r="C51" s="20">
        <f>C38/C35</f>
        <v>1.9687623047644046E-2</v>
      </c>
      <c r="D51" s="20">
        <f t="shared" ref="D51:O51" si="77">D38/D35</f>
        <v>1.4927667686442108E-2</v>
      </c>
      <c r="E51" s="20">
        <f t="shared" si="77"/>
        <v>0.38948746481639063</v>
      </c>
      <c r="F51" s="20">
        <f t="shared" si="77"/>
        <v>8.2295714701139402E-2</v>
      </c>
      <c r="G51" s="20">
        <f t="shared" si="77"/>
        <v>1.5575445767848334E-2</v>
      </c>
      <c r="H51" s="20">
        <f t="shared" si="77"/>
        <v>1.6895517158311984E-2</v>
      </c>
      <c r="I51" s="20">
        <f t="shared" si="77"/>
        <v>0.30495344345780784</v>
      </c>
      <c r="J51" s="20">
        <f t="shared" si="77"/>
        <v>1.7000628987330398E-2</v>
      </c>
      <c r="K51" s="20">
        <f t="shared" si="77"/>
        <v>0.14965727341964966</v>
      </c>
      <c r="L51" s="20">
        <f t="shared" si="77"/>
        <v>1.1670569569561933E-2</v>
      </c>
      <c r="M51" s="20">
        <f t="shared" si="77"/>
        <v>4.4934041459653934E-2</v>
      </c>
      <c r="N51" s="20">
        <f t="shared" si="77"/>
        <v>3.3215454482641654E-2</v>
      </c>
      <c r="O51" s="23">
        <f t="shared" si="77"/>
        <v>3.6000493157440513E-2</v>
      </c>
      <c r="P51" s="29">
        <f>O51</f>
        <v>3.6000493157440513E-2</v>
      </c>
      <c r="Q51" s="29">
        <v>0.04</v>
      </c>
      <c r="R51" s="29">
        <v>0.04</v>
      </c>
      <c r="S51" s="29">
        <v>0.04</v>
      </c>
      <c r="T51" s="29">
        <v>0.04</v>
      </c>
      <c r="U51" s="29">
        <v>0.04</v>
      </c>
      <c r="V51" s="29">
        <v>0.04</v>
      </c>
      <c r="W51" s="29">
        <v>0.04</v>
      </c>
      <c r="X51" s="29">
        <v>0.04</v>
      </c>
      <c r="Y51" s="29">
        <v>0.04</v>
      </c>
      <c r="Z51" s="29">
        <v>0.04</v>
      </c>
      <c r="AA51" s="29">
        <v>0.04</v>
      </c>
      <c r="AB51" s="29">
        <v>0.04</v>
      </c>
      <c r="AC51" s="29">
        <v>0.04</v>
      </c>
      <c r="AD51" s="29">
        <v>0.04</v>
      </c>
      <c r="AE51" s="29">
        <v>0.04</v>
      </c>
      <c r="AF51" s="29">
        <v>0.04</v>
      </c>
      <c r="AG51" s="29">
        <v>0.04</v>
      </c>
      <c r="AH51" s="29">
        <v>0.04</v>
      </c>
      <c r="AI51" s="29">
        <v>0.04</v>
      </c>
      <c r="AJ51" s="29">
        <v>0.04</v>
      </c>
      <c r="AK51" s="29">
        <v>0.04</v>
      </c>
      <c r="AL51" s="29">
        <v>0.04</v>
      </c>
    </row>
    <row r="52" spans="2:38" x14ac:dyDescent="0.2">
      <c r="B52" s="28" t="s">
        <v>75</v>
      </c>
      <c r="C52" s="20">
        <f>C42/C41</f>
        <v>0.12080800156893511</v>
      </c>
      <c r="D52" s="20">
        <f t="shared" ref="D52:O52" si="78">D42/D41</f>
        <v>0.15591938340753503</v>
      </c>
      <c r="E52" s="20">
        <f t="shared" si="78"/>
        <v>1.1343632958801504</v>
      </c>
      <c r="F52" s="20">
        <f t="shared" si="78"/>
        <v>0.14077113110993472</v>
      </c>
      <c r="G52" s="20">
        <f t="shared" si="78"/>
        <v>0.11561058317889671</v>
      </c>
      <c r="H52" s="20">
        <f t="shared" si="78"/>
        <v>0.15643125213237813</v>
      </c>
      <c r="I52" s="20">
        <f t="shared" si="78"/>
        <v>0.38913371946612957</v>
      </c>
      <c r="J52" s="20">
        <f t="shared" si="78"/>
        <v>0.12481641725876234</v>
      </c>
      <c r="K52" s="20">
        <f t="shared" si="78"/>
        <v>0.20167824074074073</v>
      </c>
      <c r="L52" s="20">
        <f t="shared" si="78"/>
        <v>0.16465501977217731</v>
      </c>
      <c r="M52" s="20">
        <f t="shared" si="78"/>
        <v>0.22812620983352691</v>
      </c>
      <c r="N52" s="20">
        <f t="shared" si="78"/>
        <v>0.19700708910986914</v>
      </c>
      <c r="O52" s="23">
        <f t="shared" si="78"/>
        <v>0.16429378531073446</v>
      </c>
      <c r="P52" s="29">
        <f>AVERAGE(C52:O52)</f>
        <v>0.25335493298229006</v>
      </c>
      <c r="Q52" s="29">
        <v>0.25</v>
      </c>
      <c r="R52" s="29">
        <v>0.25</v>
      </c>
      <c r="S52" s="29">
        <v>0.25</v>
      </c>
      <c r="T52" s="29">
        <v>0.25</v>
      </c>
      <c r="U52" s="29">
        <v>0.25</v>
      </c>
      <c r="V52" s="29">
        <v>0.25</v>
      </c>
      <c r="W52" s="29">
        <v>0.25</v>
      </c>
      <c r="X52" s="29">
        <v>0.25</v>
      </c>
      <c r="Y52" s="29">
        <v>0.25</v>
      </c>
      <c r="Z52" s="29">
        <v>0.25</v>
      </c>
      <c r="AA52" s="29">
        <v>0.25</v>
      </c>
      <c r="AB52" s="29">
        <v>0.25</v>
      </c>
      <c r="AC52" s="29">
        <v>0.25</v>
      </c>
      <c r="AD52" s="29">
        <v>0.25</v>
      </c>
      <c r="AE52" s="29">
        <v>0.25</v>
      </c>
      <c r="AF52" s="29">
        <v>0.25</v>
      </c>
      <c r="AG52" s="29">
        <v>0.25</v>
      </c>
      <c r="AH52" s="29">
        <v>0.25</v>
      </c>
      <c r="AI52" s="29">
        <v>0.25</v>
      </c>
      <c r="AJ52" s="29">
        <v>0.25</v>
      </c>
      <c r="AK52" s="29">
        <v>0.25</v>
      </c>
      <c r="AL52" s="29">
        <v>0.25</v>
      </c>
    </row>
    <row r="54" spans="2:38" x14ac:dyDescent="0.2">
      <c r="J54" s="13"/>
    </row>
    <row r="55" spans="2:38" x14ac:dyDescent="0.2">
      <c r="J55" s="13"/>
    </row>
    <row r="56" spans="2:38" x14ac:dyDescent="0.2">
      <c r="B56" t="s">
        <v>60</v>
      </c>
    </row>
    <row r="58" spans="2:38" ht="17" thickBot="1" x14ac:dyDescent="0.25">
      <c r="C58" s="14" t="s">
        <v>49</v>
      </c>
      <c r="D58" s="14" t="s">
        <v>50</v>
      </c>
      <c r="E58" s="15" t="s">
        <v>51</v>
      </c>
      <c r="F58" s="14" t="s">
        <v>52</v>
      </c>
      <c r="G58" s="14" t="s">
        <v>53</v>
      </c>
      <c r="H58" s="14" t="s">
        <v>54</v>
      </c>
      <c r="I58" s="14" t="s">
        <v>55</v>
      </c>
      <c r="J58" s="14" t="s">
        <v>56</v>
      </c>
      <c r="K58" s="14" t="s">
        <v>57</v>
      </c>
    </row>
    <row r="59" spans="2:38" x14ac:dyDescent="0.2">
      <c r="C59" s="30"/>
      <c r="D59" s="30"/>
      <c r="E59" s="35"/>
      <c r="F59" s="30"/>
      <c r="G59" s="30"/>
      <c r="H59" s="30"/>
      <c r="I59" s="30"/>
      <c r="J59" s="30"/>
      <c r="K59" s="30"/>
    </row>
    <row r="60" spans="2:38" x14ac:dyDescent="0.2">
      <c r="B60" s="5" t="s">
        <v>132</v>
      </c>
      <c r="C60" s="12">
        <f>SUM(C5:F5)</f>
        <v>18459.800000000003</v>
      </c>
      <c r="D60" s="12">
        <f>SUM(G5:J5)</f>
        <v>29452.299999999996</v>
      </c>
      <c r="E60" s="25">
        <f>SUM(K5:N5)</f>
        <v>47910.900000000009</v>
      </c>
      <c r="F60" s="12">
        <f>SUM(O5:R5)</f>
        <v>32117.64415</v>
      </c>
      <c r="G60" s="12">
        <f>SUM(S5:V5)</f>
        <v>0</v>
      </c>
      <c r="H60" s="12">
        <f>SUM(W5:Z5)</f>
        <v>0</v>
      </c>
      <c r="I60" s="12">
        <f>SUM(AA5:AD5)</f>
        <v>0</v>
      </c>
      <c r="J60" s="12">
        <f>SUM(AE5:AH5)</f>
        <v>0</v>
      </c>
      <c r="K60" s="12">
        <f>SUM(AI5:AL5)</f>
        <v>0</v>
      </c>
    </row>
    <row r="61" spans="2:38" x14ac:dyDescent="0.2">
      <c r="B61" s="5" t="s">
        <v>131</v>
      </c>
      <c r="C61" s="12">
        <f>SUM(C15:F15)</f>
        <v>6081.5</v>
      </c>
      <c r="D61" s="12">
        <f>SUM(G15:J15)</f>
        <v>8134.7</v>
      </c>
      <c r="E61" s="25">
        <f>SUM(K15:N15)</f>
        <v>8965.4000000000015</v>
      </c>
      <c r="F61" s="12">
        <f>SUM(O15:R15)</f>
        <v>4584.2610000000004</v>
      </c>
      <c r="G61" s="12">
        <f>SUM(S15:V15)</f>
        <v>0</v>
      </c>
      <c r="H61" s="12">
        <f>SUM(W15:Z15)</f>
        <v>0</v>
      </c>
      <c r="I61" s="12">
        <f>SUM(AA15:AD15)</f>
        <v>0</v>
      </c>
      <c r="J61" s="12">
        <f>SUM(AE15:AH15)</f>
        <v>0</v>
      </c>
      <c r="K61" s="12">
        <f>SUM(AI15:AL15)</f>
        <v>0</v>
      </c>
    </row>
    <row r="62" spans="2:38" x14ac:dyDescent="0.2">
      <c r="B62" s="5" t="s">
        <v>137</v>
      </c>
      <c r="C62" s="12">
        <f>SUM(C23:F23)</f>
        <v>3682.3999999999996</v>
      </c>
      <c r="D62" s="12">
        <f>SUM(G23:J23)</f>
        <v>4393</v>
      </c>
      <c r="E62" s="25">
        <f>SUM(K23:N23)</f>
        <v>5241.6000000000004</v>
      </c>
      <c r="F62" s="12">
        <f>SUM(O23:R23)</f>
        <v>2431.9214999999999</v>
      </c>
      <c r="G62" s="12">
        <f>SUM(S23:V23)</f>
        <v>0</v>
      </c>
      <c r="H62" s="12">
        <f>SUM(W23:Z23)</f>
        <v>0</v>
      </c>
      <c r="I62" s="12">
        <f>SUM(AA23:AD23)</f>
        <v>0</v>
      </c>
      <c r="J62" s="12">
        <f>SUM(AE23:AH23)</f>
        <v>0</v>
      </c>
      <c r="K62" s="12">
        <f>SUM(AI23:AL23)</f>
        <v>0</v>
      </c>
    </row>
    <row r="63" spans="2:38" x14ac:dyDescent="0.2">
      <c r="B63" s="5" t="s">
        <v>138</v>
      </c>
      <c r="C63" s="12">
        <f>SUM(C28:F28)</f>
        <v>678.2</v>
      </c>
      <c r="D63" s="12">
        <f>SUM(G28:J28)</f>
        <v>879.7</v>
      </c>
      <c r="E63" s="25">
        <f>SUM(K28:N28)</f>
        <v>1012.08</v>
      </c>
      <c r="F63" s="12">
        <f>SUM(O28:R28)</f>
        <v>533.46270000000004</v>
      </c>
      <c r="G63" s="12">
        <f>SUM(S28:V28)</f>
        <v>0</v>
      </c>
      <c r="H63" s="12">
        <f>SUM(W28:Z28)</f>
        <v>0</v>
      </c>
      <c r="I63" s="12">
        <f>SUM(AA28:AD28)</f>
        <v>0</v>
      </c>
      <c r="J63" s="12">
        <f>SUM(AE28:AH28)</f>
        <v>0</v>
      </c>
      <c r="K63" s="12">
        <f>SUM(AI28:AL28)</f>
        <v>0</v>
      </c>
    </row>
    <row r="64" spans="2:38" x14ac:dyDescent="0.2">
      <c r="B64" s="5" t="s">
        <v>179</v>
      </c>
      <c r="C64" s="12">
        <f>SUM(C31:F31)</f>
        <v>5222.2</v>
      </c>
      <c r="D64" s="12">
        <f>SUM(G31:J31)</f>
        <v>2182.9999999999991</v>
      </c>
      <c r="E64" s="25">
        <f>SUM(K31:N31)</f>
        <v>2049.5199999999986</v>
      </c>
      <c r="F64" s="12">
        <f>SUM(O31:R31)</f>
        <v>1659.4848978749906</v>
      </c>
      <c r="G64" s="12">
        <f>SUM(S31:V31)</f>
        <v>1893.6371170579771</v>
      </c>
      <c r="H64" s="12">
        <f>SUM(W31:Z31)</f>
        <v>1951.0885346009452</v>
      </c>
      <c r="I64" s="12">
        <f>SUM(AA31:AD31)</f>
        <v>2010.28298165467</v>
      </c>
      <c r="J64" s="12">
        <f>SUM(AE31:AH31)</f>
        <v>2071.2733403238117</v>
      </c>
      <c r="K64" s="12">
        <f>SUM(AI31:AL31)</f>
        <v>2134.1140971132854</v>
      </c>
    </row>
    <row r="65" spans="2:91" x14ac:dyDescent="0.2">
      <c r="B65" s="5" t="s">
        <v>85</v>
      </c>
      <c r="C65" s="12">
        <f>SUM(C60:C64)</f>
        <v>34124.100000000006</v>
      </c>
      <c r="D65" s="12">
        <f>SUM(D60:D64)</f>
        <v>45042.69999999999</v>
      </c>
      <c r="E65" s="12">
        <f>SUM(E60:E64)</f>
        <v>65179.500000000007</v>
      </c>
      <c r="F65" s="12">
        <f>SUM(F60:F64)</f>
        <v>41326.774247874986</v>
      </c>
      <c r="G65" s="12">
        <f>SUM(G60:G64)</f>
        <v>1893.6371170579771</v>
      </c>
      <c r="H65" s="12">
        <f>SUM(H60:H64)</f>
        <v>1951.0885346009452</v>
      </c>
      <c r="I65" s="12">
        <f>SUM(I60:I64)</f>
        <v>2010.28298165467</v>
      </c>
      <c r="J65" s="12">
        <f>SUM(J60:J64)</f>
        <v>2071.2733403238117</v>
      </c>
      <c r="K65" s="12">
        <f>SUM(K60:K64)</f>
        <v>2134.1140971132854</v>
      </c>
    </row>
    <row r="66" spans="2:91" x14ac:dyDescent="0.2">
      <c r="B66" t="s">
        <v>32</v>
      </c>
      <c r="C66" s="12">
        <f>SUM(C34:F34)</f>
        <v>7082.2000000000007</v>
      </c>
      <c r="D66" s="12">
        <f>SUM(G34:J34)</f>
        <v>8418.2999999999993</v>
      </c>
      <c r="E66" s="25">
        <f>SUM(K34:N34)</f>
        <v>11052.8</v>
      </c>
      <c r="F66" s="12">
        <f>SUM(O34:R34)</f>
        <v>6866.3509235511056</v>
      </c>
      <c r="G66" s="12">
        <f>SUM(S34:V34)</f>
        <v>289.33957259795017</v>
      </c>
      <c r="H66" s="12">
        <f>SUM(W34:Z34)</f>
        <v>298.11790105765783</v>
      </c>
      <c r="I66" s="12">
        <f>SUM(W34:Z34)</f>
        <v>298.11790105765783</v>
      </c>
      <c r="J66" s="12">
        <f>SUM(AE34:AH34)</f>
        <v>316.48162027681224</v>
      </c>
      <c r="K66" s="12">
        <f>SUM(AI34:AL34)</f>
        <v>326.083416496062</v>
      </c>
    </row>
    <row r="67" spans="2:91" x14ac:dyDescent="0.2">
      <c r="B67" s="5" t="s">
        <v>58</v>
      </c>
      <c r="C67" s="12">
        <f>SUM(C35:F35)</f>
        <v>27041.9</v>
      </c>
      <c r="D67" s="12">
        <f>SUM(G35:J35)</f>
        <v>36624.399999999994</v>
      </c>
      <c r="E67" s="25">
        <f>SUM(K35:N35)</f>
        <v>54126.7</v>
      </c>
      <c r="F67" s="12">
        <f>SUM(O35:R35)</f>
        <v>33697.732020284559</v>
      </c>
      <c r="G67" s="12">
        <f>SUM(S35:V35)</f>
        <v>1537.2093008935196</v>
      </c>
      <c r="H67" s="12">
        <f>SUM(W35:Z35)</f>
        <v>1583.8469869638986</v>
      </c>
      <c r="I67" s="12">
        <f>SUM(W35:Z35)</f>
        <v>1583.8469869638986</v>
      </c>
      <c r="J67" s="12">
        <f>SUM(AE35:AH35)</f>
        <v>1681.4101364813223</v>
      </c>
      <c r="K67" s="12">
        <f>SUM(AI35:AL35)</f>
        <v>1732.4227591965168</v>
      </c>
    </row>
    <row r="68" spans="2:91" x14ac:dyDescent="0.2">
      <c r="B68" t="s">
        <v>33</v>
      </c>
      <c r="C68" s="12">
        <f>SUM(C36:F36)</f>
        <v>9313.4000000000015</v>
      </c>
      <c r="D68" s="12">
        <f>SUM(G36:J36)</f>
        <v>10990.6</v>
      </c>
      <c r="E68" s="25">
        <f>SUM(K36:N36)</f>
        <v>13337.3</v>
      </c>
      <c r="F68" s="12">
        <f>SUM(O36:R36)</f>
        <v>7291.2735415607694</v>
      </c>
      <c r="G68" s="12">
        <f>SUM(S36:V36)</f>
        <v>332.61032216349736</v>
      </c>
      <c r="H68" s="12">
        <f>SUM(W36:Z36)</f>
        <v>342.70145014445097</v>
      </c>
      <c r="I68" s="12">
        <f>SUM(W36:Z36)</f>
        <v>342.70145014445097</v>
      </c>
      <c r="J68" s="12">
        <f>SUM(AE36:AH36)</f>
        <v>363.81146461900147</v>
      </c>
      <c r="K68" s="12">
        <f>SUM(AI36:AL36)</f>
        <v>374.84921000984929</v>
      </c>
    </row>
    <row r="69" spans="2:91" x14ac:dyDescent="0.2">
      <c r="B69" t="s">
        <v>34</v>
      </c>
      <c r="C69" s="12">
        <f>SUM(C37:F37)</f>
        <v>7403.1</v>
      </c>
      <c r="D69" s="12">
        <f>SUM(G37:J37)</f>
        <v>8593.7999999999993</v>
      </c>
      <c r="E69" s="25">
        <f>SUM(K37:N37)</f>
        <v>11093.1</v>
      </c>
      <c r="F69" s="12">
        <f>SUM(O37:R37)</f>
        <v>6094.1064010587352</v>
      </c>
      <c r="G69" s="12">
        <f>SUM(S37:V37)</f>
        <v>276.69767416083351</v>
      </c>
      <c r="H69" s="12">
        <f>SUM(W37:Z37)</f>
        <v>285.09245765350175</v>
      </c>
      <c r="I69" s="12">
        <f>SUM(W37:Z37)</f>
        <v>285.09245765350175</v>
      </c>
      <c r="J69" s="12">
        <f>SUM(AE37:AH37)</f>
        <v>302.65382456663804</v>
      </c>
      <c r="K69" s="12">
        <f>SUM(AI37:AL37)</f>
        <v>311.83609665537307</v>
      </c>
    </row>
    <row r="70" spans="2:91" x14ac:dyDescent="0.2">
      <c r="B70" t="s">
        <v>35</v>
      </c>
      <c r="C70" s="12">
        <f>SUM(C38:F38)</f>
        <v>3799.7999999999997</v>
      </c>
      <c r="D70" s="12">
        <f>SUM(G38:J38)</f>
        <v>3280.4</v>
      </c>
      <c r="E70" s="25">
        <f>SUM(K38:N38)</f>
        <v>2909.5</v>
      </c>
      <c r="F70" s="12">
        <f>SUM(O38:R38)</f>
        <v>1216.1407854410479</v>
      </c>
      <c r="G70" s="12">
        <f>SUM(S38:V38)</f>
        <v>61.488372035740788</v>
      </c>
      <c r="H70" s="12">
        <f>SUM(W38:Z38)</f>
        <v>63.353879478555953</v>
      </c>
      <c r="I70" s="12">
        <f>SUM(W38:Z38)</f>
        <v>63.353879478555953</v>
      </c>
      <c r="J70" s="12">
        <f>SUM(AE38:AH38)</f>
        <v>67.256405459252889</v>
      </c>
      <c r="K70" s="12">
        <f>SUM(AI38:AL38)</f>
        <v>69.29691036786069</v>
      </c>
    </row>
    <row r="71" spans="2:91" x14ac:dyDescent="0.2">
      <c r="B71" t="s">
        <v>36</v>
      </c>
      <c r="C71" s="12">
        <f>SUM(C39:F39)</f>
        <v>67.7</v>
      </c>
      <c r="D71" s="12">
        <f>SUM(G39:J39)</f>
        <v>860.6</v>
      </c>
      <c r="E71" s="25">
        <f>SUM(K39:N39)</f>
        <v>484</v>
      </c>
      <c r="F71" s="12">
        <f>SUM(O39:R39)</f>
        <v>669.09999999999991</v>
      </c>
      <c r="G71" s="12">
        <f>SUM(S39:V39)</f>
        <v>520</v>
      </c>
      <c r="H71" s="12">
        <f>SUM(W39:Z39)</f>
        <v>520</v>
      </c>
      <c r="I71" s="12">
        <f>SUM(W39:Z39)</f>
        <v>520</v>
      </c>
      <c r="J71" s="12">
        <f>SUM(AE39:AH39)</f>
        <v>520</v>
      </c>
      <c r="K71" s="12">
        <f>SUM(AI39:AL39)</f>
        <v>520</v>
      </c>
    </row>
    <row r="72" spans="2:91" x14ac:dyDescent="0.2">
      <c r="B72" t="s">
        <v>37</v>
      </c>
      <c r="C72" s="12">
        <f>SUM(C40:F40)</f>
        <v>145.29999999999998</v>
      </c>
      <c r="D72" s="12">
        <f>SUM(G40:J40)</f>
        <v>218.7</v>
      </c>
      <c r="E72" s="25">
        <f>SUM(K40:N40)</f>
        <v>571</v>
      </c>
      <c r="F72" s="12">
        <f>SUM(O40:R40)</f>
        <v>295.92307692307691</v>
      </c>
      <c r="G72" s="12">
        <f>SUM(S40:V40)</f>
        <v>308</v>
      </c>
      <c r="H72" s="12">
        <f>SUM(W40:Z40)</f>
        <v>308</v>
      </c>
      <c r="I72" s="12">
        <f>SUM(W40:Z40)</f>
        <v>308</v>
      </c>
      <c r="J72" s="12">
        <f>SUM(AE40:AH40)</f>
        <v>308</v>
      </c>
      <c r="K72" s="12">
        <f>SUM(AI40:AL40)</f>
        <v>308</v>
      </c>
    </row>
    <row r="73" spans="2:91" x14ac:dyDescent="0.2">
      <c r="B73" t="s">
        <v>38</v>
      </c>
      <c r="C73" s="12">
        <f>SUM(C41:F41)</f>
        <v>6312.6</v>
      </c>
      <c r="D73" s="12">
        <f>SUM(G41:J41)</f>
        <v>12680.3</v>
      </c>
      <c r="E73" s="25">
        <f>SUM(K41:N41)</f>
        <v>25731.800000000003</v>
      </c>
      <c r="F73" s="12">
        <f>SUM(O41:R41)</f>
        <v>18131.188215300932</v>
      </c>
      <c r="G73" s="12">
        <f>SUM(S41:V41)</f>
        <v>38.412932533447986</v>
      </c>
      <c r="H73" s="12">
        <f>SUM(W41:Z41)</f>
        <v>64.699199687389921</v>
      </c>
      <c r="I73" s="12">
        <f>SUM(W41:Z41)</f>
        <v>64.699199687389921</v>
      </c>
      <c r="J73" s="12">
        <f>SUM(AE41:AH41)</f>
        <v>119.68844183642994</v>
      </c>
      <c r="K73" s="12">
        <f>SUM(AI41:AL41)</f>
        <v>148.44054216343403</v>
      </c>
      <c r="M73" s="54" t="s">
        <v>87</v>
      </c>
      <c r="N73" s="55">
        <v>0.01</v>
      </c>
    </row>
    <row r="74" spans="2:91" x14ac:dyDescent="0.2">
      <c r="B74" t="s">
        <v>39</v>
      </c>
      <c r="C74" s="12">
        <f>SUM(C42:F42)</f>
        <v>1314.2</v>
      </c>
      <c r="D74" s="12">
        <f>SUM(G42:J42)</f>
        <v>2090.4</v>
      </c>
      <c r="E74" s="25">
        <f>SUM(K42:N42)</f>
        <v>5091.3</v>
      </c>
      <c r="F74" s="12">
        <f>SUM(O42:R42)</f>
        <v>3805.4026381157396</v>
      </c>
      <c r="G74" s="12">
        <f>SUM(S42:V42)</f>
        <v>9.6032331333619965</v>
      </c>
      <c r="H74" s="12">
        <f>SUM(W42:Z42)</f>
        <v>16.17479992184748</v>
      </c>
      <c r="I74" s="12">
        <f>SUM(W42:Z42)</f>
        <v>16.17479992184748</v>
      </c>
      <c r="J74" s="12">
        <f>SUM(AE42:AH42)</f>
        <v>29.922110459107486</v>
      </c>
      <c r="K74" s="12">
        <f>SUM(AI42:AL42)</f>
        <v>37.110135540858508</v>
      </c>
      <c r="M74" s="56" t="s">
        <v>86</v>
      </c>
      <c r="N74" s="57">
        <v>0.09</v>
      </c>
    </row>
    <row r="75" spans="2:91" x14ac:dyDescent="0.2">
      <c r="B75" s="5" t="s">
        <v>20</v>
      </c>
      <c r="C75" s="12">
        <f>SUM(C43:F43)</f>
        <v>4998.4000000000005</v>
      </c>
      <c r="D75" s="12">
        <f>SUM(G43:J43)</f>
        <v>10589.899999999998</v>
      </c>
      <c r="E75" s="25">
        <f>SUM(K43:N43)</f>
        <v>20640.5</v>
      </c>
      <c r="F75" s="12">
        <f>SUM(O43:R43)</f>
        <v>14325.785577185192</v>
      </c>
      <c r="G75" s="12">
        <f>SUM(S43:V43)</f>
        <v>28.809699400085989</v>
      </c>
      <c r="H75" s="12">
        <f>SUM(W43:Z43)</f>
        <v>48.524399765542441</v>
      </c>
      <c r="I75" s="12">
        <f>SUM(W43:Z43)</f>
        <v>48.524399765542441</v>
      </c>
      <c r="J75" s="12">
        <f>SUM(AE43:AH43)</f>
        <v>89.766331377322459</v>
      </c>
      <c r="K75" s="12">
        <f>SUM(AI43:AL43)</f>
        <v>111.33040662257552</v>
      </c>
      <c r="L75" s="3"/>
      <c r="M75" s="56" t="s">
        <v>88</v>
      </c>
      <c r="N75" s="58">
        <f>K75*(1+N73)/(N74-N73)</f>
        <v>1405.5463836100159</v>
      </c>
    </row>
    <row r="76" spans="2:91" x14ac:dyDescent="0.2">
      <c r="B76" t="s">
        <v>40</v>
      </c>
      <c r="C76" s="3">
        <f>C75/C77</f>
        <v>5.5428460536164792</v>
      </c>
      <c r="D76" s="3">
        <f t="shared" ref="D76:K76" si="79">D75/D77</f>
        <v>11.711252419131874</v>
      </c>
      <c r="E76" s="21">
        <f t="shared" si="79"/>
        <v>22.951740242410764</v>
      </c>
      <c r="F76" s="3">
        <f t="shared" si="79"/>
        <v>15.935688508785217</v>
      </c>
      <c r="G76" s="3">
        <f t="shared" si="79"/>
        <v>3.2010777111206652E-2</v>
      </c>
      <c r="H76" s="3">
        <f t="shared" si="79"/>
        <v>5.3915999739491599E-2</v>
      </c>
      <c r="I76" s="3">
        <f t="shared" si="79"/>
        <v>5.3915999739491599E-2</v>
      </c>
      <c r="J76" s="3">
        <f t="shared" si="79"/>
        <v>9.9740368197024948E-2</v>
      </c>
      <c r="K76" s="3">
        <f t="shared" si="79"/>
        <v>0.12335779127155183</v>
      </c>
      <c r="M76" s="56" t="s">
        <v>5</v>
      </c>
      <c r="N76" s="22">
        <f>Main!B4</f>
        <v>895.9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</row>
    <row r="77" spans="2:91" x14ac:dyDescent="0.2">
      <c r="B77" t="s">
        <v>5</v>
      </c>
      <c r="C77" s="17">
        <f>AVERAGE(C45:F45)</f>
        <v>901.77499999999998</v>
      </c>
      <c r="D77" s="17">
        <f>AVERAGE(G45:J45)</f>
        <v>904.25</v>
      </c>
      <c r="E77" s="26">
        <f>AVERAGE(K45:N45)</f>
        <v>899.3</v>
      </c>
      <c r="F77" s="17">
        <f>AVERAGE(O45:R45)</f>
        <v>898.97500000000002</v>
      </c>
      <c r="G77" s="17">
        <f>AVERAGE(S45:V45)</f>
        <v>900</v>
      </c>
      <c r="H77" s="17">
        <f>AVERAGE(W45:Z45)</f>
        <v>900</v>
      </c>
      <c r="I77" s="17">
        <f>AVERAGE(W45:Z45)</f>
        <v>900</v>
      </c>
      <c r="J77" s="17">
        <f>AVERAGE(AE45:AH45)</f>
        <v>900</v>
      </c>
      <c r="K77" s="17">
        <f>AVERAGE(AI45:AL45)</f>
        <v>902.5</v>
      </c>
      <c r="M77" s="59" t="s">
        <v>89</v>
      </c>
      <c r="N77" s="60">
        <f>N75/N76</f>
        <v>1.5688652568478803</v>
      </c>
    </row>
    <row r="80" spans="2:91" x14ac:dyDescent="0.2">
      <c r="C80" s="2"/>
      <c r="D80" s="16"/>
      <c r="E80" s="16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9C2C3-61A4-604B-9B27-349A7F74AD9C}">
  <dimension ref="B2:C6"/>
  <sheetViews>
    <sheetView zoomScale="130" zoomScaleNormal="130" workbookViewId="0">
      <selection activeCell="D11" sqref="D11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80</v>
      </c>
    </row>
    <row r="3" spans="2:3" x14ac:dyDescent="0.2">
      <c r="B3" s="5" t="s">
        <v>96</v>
      </c>
      <c r="C3" t="s">
        <v>97</v>
      </c>
    </row>
    <row r="4" spans="2:3" x14ac:dyDescent="0.2">
      <c r="B4" s="5" t="s">
        <v>91</v>
      </c>
      <c r="C4" t="s">
        <v>98</v>
      </c>
    </row>
    <row r="5" spans="2:3" x14ac:dyDescent="0.2">
      <c r="B5" s="5" t="s">
        <v>99</v>
      </c>
      <c r="C5" t="s">
        <v>169</v>
      </c>
    </row>
    <row r="6" spans="2:3" x14ac:dyDescent="0.2">
      <c r="B6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2C398-D8CE-024E-9926-8443BA028628}">
  <dimension ref="B2:C6"/>
  <sheetViews>
    <sheetView zoomScale="130" zoomScaleNormal="130" workbookViewId="0">
      <selection activeCell="C5" sqref="C5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81</v>
      </c>
    </row>
    <row r="3" spans="2:3" x14ac:dyDescent="0.2">
      <c r="B3" s="5" t="s">
        <v>96</v>
      </c>
      <c r="C3" t="s">
        <v>167</v>
      </c>
    </row>
    <row r="4" spans="2:3" x14ac:dyDescent="0.2">
      <c r="B4" s="5" t="s">
        <v>91</v>
      </c>
      <c r="C4" t="s">
        <v>168</v>
      </c>
    </row>
    <row r="5" spans="2:3" x14ac:dyDescent="0.2">
      <c r="B5" s="5" t="s">
        <v>99</v>
      </c>
      <c r="C5" t="s">
        <v>169</v>
      </c>
    </row>
    <row r="6" spans="2:3" x14ac:dyDescent="0.2">
      <c r="B6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0D6B5-CB98-2D45-AD55-3F68546ACC09}">
  <dimension ref="B2:C6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64</v>
      </c>
    </row>
    <row r="3" spans="2:3" x14ac:dyDescent="0.2">
      <c r="B3" s="5" t="s">
        <v>96</v>
      </c>
      <c r="C3" t="s">
        <v>105</v>
      </c>
    </row>
    <row r="4" spans="2:3" x14ac:dyDescent="0.2">
      <c r="B4" s="5" t="s">
        <v>91</v>
      </c>
      <c r="C4" t="s">
        <v>104</v>
      </c>
    </row>
    <row r="5" spans="2:3" x14ac:dyDescent="0.2">
      <c r="B5" s="5" t="s">
        <v>99</v>
      </c>
      <c r="C5" t="s">
        <v>106</v>
      </c>
    </row>
    <row r="6" spans="2:3" x14ac:dyDescent="0.2">
      <c r="B6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19EB6-3318-0648-826D-DF67A437D65F}">
  <sheetPr>
    <tabColor theme="4" tint="0.79998168889431442"/>
  </sheetPr>
  <dimension ref="B2:C5"/>
  <sheetViews>
    <sheetView zoomScale="130" zoomScaleNormal="130" workbookViewId="0">
      <selection activeCell="C12" sqref="C12"/>
    </sheetView>
  </sheetViews>
  <sheetFormatPr baseColWidth="10" defaultColWidth="11" defaultRowHeight="16" x14ac:dyDescent="0.2"/>
  <cols>
    <col min="2" max="2" width="11.5" customWidth="1"/>
    <col min="3" max="3" width="39.5" customWidth="1"/>
  </cols>
  <sheetData>
    <row r="2" spans="2:3" x14ac:dyDescent="0.2">
      <c r="B2" s="5" t="s">
        <v>95</v>
      </c>
      <c r="C2" t="s">
        <v>177</v>
      </c>
    </row>
    <row r="3" spans="2:3" x14ac:dyDescent="0.2">
      <c r="B3" s="5" t="s">
        <v>96</v>
      </c>
      <c r="C3" t="s">
        <v>100</v>
      </c>
    </row>
    <row r="4" spans="2:3" x14ac:dyDescent="0.2">
      <c r="B4" s="5" t="s">
        <v>91</v>
      </c>
      <c r="C4" t="s">
        <v>166</v>
      </c>
    </row>
    <row r="5" spans="2:3" x14ac:dyDescent="0.2">
      <c r="B5" s="5" t="s">
        <v>99</v>
      </c>
      <c r="C5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4E7DD-E7DB-4B4E-B4EE-1F7B76515044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6" bestFit="1" customWidth="1"/>
  </cols>
  <sheetData>
    <row r="2" spans="2:3" x14ac:dyDescent="0.2">
      <c r="B2" s="5" t="s">
        <v>95</v>
      </c>
      <c r="C2" t="s">
        <v>82</v>
      </c>
    </row>
    <row r="3" spans="2:3" x14ac:dyDescent="0.2">
      <c r="B3" s="5" t="s">
        <v>96</v>
      </c>
      <c r="C3" t="s">
        <v>126</v>
      </c>
    </row>
    <row r="4" spans="2:3" x14ac:dyDescent="0.2">
      <c r="B4" s="5" t="s">
        <v>91</v>
      </c>
      <c r="C4" t="s">
        <v>170</v>
      </c>
    </row>
    <row r="5" spans="2:3" x14ac:dyDescent="0.2">
      <c r="B5" s="5" t="s">
        <v>99</v>
      </c>
      <c r="C5" t="s">
        <v>171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8DD7D-6B57-AF48-A826-43749FB9823A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129</v>
      </c>
    </row>
    <row r="3" spans="2:3" x14ac:dyDescent="0.2">
      <c r="B3" s="5" t="s">
        <v>96</v>
      </c>
      <c r="C3" t="s">
        <v>142</v>
      </c>
    </row>
    <row r="4" spans="2:3" x14ac:dyDescent="0.2">
      <c r="B4" s="5" t="s">
        <v>91</v>
      </c>
      <c r="C4" t="s">
        <v>143</v>
      </c>
    </row>
    <row r="5" spans="2:3" x14ac:dyDescent="0.2">
      <c r="B5" s="5" t="s">
        <v>99</v>
      </c>
      <c r="C5" t="s">
        <v>144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44755-AC93-B145-9E0E-902DA5ECD2ED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83</v>
      </c>
    </row>
    <row r="3" spans="2:3" x14ac:dyDescent="0.2">
      <c r="B3" s="5" t="s">
        <v>96</v>
      </c>
      <c r="C3" t="s">
        <v>125</v>
      </c>
    </row>
    <row r="4" spans="2:3" x14ac:dyDescent="0.2">
      <c r="B4" s="5" t="s">
        <v>91</v>
      </c>
      <c r="C4" t="s">
        <v>143</v>
      </c>
    </row>
    <row r="5" spans="2:3" x14ac:dyDescent="0.2">
      <c r="B5" s="5" t="s">
        <v>99</v>
      </c>
      <c r="C5" t="s">
        <v>172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AA71F-283D-A84C-A745-ACFF3EB09014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141</v>
      </c>
    </row>
    <row r="3" spans="2:3" x14ac:dyDescent="0.2">
      <c r="B3" s="5" t="s">
        <v>96</v>
      </c>
      <c r="C3" t="s">
        <v>145</v>
      </c>
    </row>
    <row r="4" spans="2:3" x14ac:dyDescent="0.2">
      <c r="B4" s="5" t="s">
        <v>91</v>
      </c>
      <c r="C4" t="s">
        <v>143</v>
      </c>
    </row>
    <row r="5" spans="2:3" x14ac:dyDescent="0.2">
      <c r="B5" s="5" t="s">
        <v>99</v>
      </c>
      <c r="C5" t="s">
        <v>146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D8715-4322-124E-AD47-057ED0FEA06D}">
  <dimension ref="B2:C6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63</v>
      </c>
    </row>
    <row r="3" spans="2:3" x14ac:dyDescent="0.2">
      <c r="B3" s="5" t="s">
        <v>96</v>
      </c>
      <c r="C3" t="s">
        <v>107</v>
      </c>
    </row>
    <row r="4" spans="2:3" x14ac:dyDescent="0.2">
      <c r="B4" s="5" t="s">
        <v>91</v>
      </c>
      <c r="C4" t="s">
        <v>108</v>
      </c>
    </row>
    <row r="5" spans="2:3" x14ac:dyDescent="0.2">
      <c r="B5" s="5" t="s">
        <v>99</v>
      </c>
      <c r="C5" t="s">
        <v>109</v>
      </c>
    </row>
    <row r="6" spans="2:3" x14ac:dyDescent="0.2">
      <c r="B6" s="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ED2D-2973-D343-B078-3FE5FF5654B7}">
  <dimension ref="B2:C6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67</v>
      </c>
    </row>
    <row r="3" spans="2:3" x14ac:dyDescent="0.2">
      <c r="B3" s="5" t="s">
        <v>96</v>
      </c>
      <c r="C3" t="s">
        <v>103</v>
      </c>
    </row>
    <row r="4" spans="2:3" x14ac:dyDescent="0.2">
      <c r="B4" s="5" t="s">
        <v>91</v>
      </c>
      <c r="C4" t="s">
        <v>102</v>
      </c>
    </row>
    <row r="5" spans="2:3" x14ac:dyDescent="0.2">
      <c r="B5" s="5" t="s">
        <v>99</v>
      </c>
      <c r="C5" t="s">
        <v>101</v>
      </c>
    </row>
    <row r="6" spans="2:3" x14ac:dyDescent="0.2">
      <c r="B6" s="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6A10E-2CE9-C44A-BA05-CEC3F6A7B9B4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133</v>
      </c>
    </row>
    <row r="3" spans="2:3" x14ac:dyDescent="0.2">
      <c r="B3" s="5" t="s">
        <v>96</v>
      </c>
      <c r="C3" t="s">
        <v>147</v>
      </c>
    </row>
    <row r="4" spans="2:3" x14ac:dyDescent="0.2">
      <c r="B4" s="5" t="s">
        <v>91</v>
      </c>
      <c r="C4" t="s">
        <v>148</v>
      </c>
    </row>
    <row r="5" spans="2:3" x14ac:dyDescent="0.2">
      <c r="B5" s="5" t="s">
        <v>99</v>
      </c>
      <c r="C5" t="s">
        <v>149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921E-ABAD-664F-9F04-2F94181335E8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134</v>
      </c>
    </row>
    <row r="3" spans="2:3" x14ac:dyDescent="0.2">
      <c r="B3" s="5" t="s">
        <v>96</v>
      </c>
      <c r="C3" t="s">
        <v>150</v>
      </c>
    </row>
    <row r="4" spans="2:3" x14ac:dyDescent="0.2">
      <c r="B4" s="5" t="s">
        <v>91</v>
      </c>
      <c r="C4" t="s">
        <v>151</v>
      </c>
    </row>
    <row r="5" spans="2:3" x14ac:dyDescent="0.2">
      <c r="B5" s="5" t="s">
        <v>99</v>
      </c>
      <c r="C5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54DB0-2A38-CC43-AFB6-A4D15B1D16A6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135</v>
      </c>
    </row>
    <row r="3" spans="2:3" x14ac:dyDescent="0.2">
      <c r="B3" s="5" t="s">
        <v>96</v>
      </c>
      <c r="C3" t="s">
        <v>153</v>
      </c>
    </row>
    <row r="4" spans="2:3" x14ac:dyDescent="0.2">
      <c r="B4" s="5" t="s">
        <v>91</v>
      </c>
      <c r="C4" t="s">
        <v>154</v>
      </c>
    </row>
    <row r="5" spans="2:3" x14ac:dyDescent="0.2">
      <c r="B5" s="5" t="s">
        <v>99</v>
      </c>
      <c r="C5" t="s">
        <v>155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13BAB-A367-E247-9734-F5A507896F00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136</v>
      </c>
    </row>
    <row r="3" spans="2:3" x14ac:dyDescent="0.2">
      <c r="B3" s="5" t="s">
        <v>96</v>
      </c>
      <c r="C3" t="s">
        <v>162</v>
      </c>
    </row>
    <row r="4" spans="2:3" x14ac:dyDescent="0.2">
      <c r="B4" s="5" t="s">
        <v>91</v>
      </c>
      <c r="C4" t="s">
        <v>163</v>
      </c>
    </row>
    <row r="5" spans="2:3" x14ac:dyDescent="0.2">
      <c r="B5" s="5" t="s">
        <v>99</v>
      </c>
      <c r="C5" t="s">
        <v>164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E589F-D302-9A4C-AA5D-AB6E3600497C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66</v>
      </c>
    </row>
    <row r="3" spans="2:3" x14ac:dyDescent="0.2">
      <c r="B3" s="5" t="s">
        <v>96</v>
      </c>
      <c r="C3" t="s">
        <v>117</v>
      </c>
    </row>
    <row r="4" spans="2:3" x14ac:dyDescent="0.2">
      <c r="B4" s="5" t="s">
        <v>91</v>
      </c>
      <c r="C4" t="s">
        <v>118</v>
      </c>
    </row>
    <row r="5" spans="2:3" x14ac:dyDescent="0.2">
      <c r="B5" s="5" t="s">
        <v>99</v>
      </c>
      <c r="C5" t="s">
        <v>119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7D7D5-0456-3948-91A3-88A754874038}">
  <dimension ref="B2:C5"/>
  <sheetViews>
    <sheetView zoomScale="130" zoomScaleNormal="130" workbookViewId="0">
      <selection activeCell="C14" sqref="C14"/>
    </sheetView>
  </sheetViews>
  <sheetFormatPr baseColWidth="10" defaultColWidth="11" defaultRowHeight="16" x14ac:dyDescent="0.2"/>
  <cols>
    <col min="2" max="2" width="11.5" customWidth="1"/>
    <col min="3" max="3" width="32" customWidth="1"/>
  </cols>
  <sheetData>
    <row r="2" spans="2:3" x14ac:dyDescent="0.2">
      <c r="B2" s="5" t="s">
        <v>95</v>
      </c>
      <c r="C2" t="s">
        <v>65</v>
      </c>
    </row>
    <row r="3" spans="2:3" x14ac:dyDescent="0.2">
      <c r="B3" s="5" t="s">
        <v>96</v>
      </c>
      <c r="C3" t="s">
        <v>120</v>
      </c>
    </row>
    <row r="4" spans="2:3" x14ac:dyDescent="0.2">
      <c r="B4" s="5" t="s">
        <v>91</v>
      </c>
      <c r="C4" t="s">
        <v>102</v>
      </c>
    </row>
    <row r="5" spans="2:3" x14ac:dyDescent="0.2">
      <c r="B5" s="5" t="s">
        <v>99</v>
      </c>
      <c r="C5" t="s">
        <v>121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FC247-8CC8-FC41-B2F1-DFF196B2E853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27.1640625" customWidth="1"/>
  </cols>
  <sheetData>
    <row r="2" spans="2:3" x14ac:dyDescent="0.2">
      <c r="B2" s="5" t="s">
        <v>95</v>
      </c>
      <c r="C2" t="s">
        <v>68</v>
      </c>
    </row>
    <row r="3" spans="2:3" x14ac:dyDescent="0.2">
      <c r="B3" s="5" t="s">
        <v>96</v>
      </c>
      <c r="C3" t="s">
        <v>110</v>
      </c>
    </row>
    <row r="4" spans="2:3" x14ac:dyDescent="0.2">
      <c r="B4" s="5" t="s">
        <v>91</v>
      </c>
      <c r="C4" t="s">
        <v>111</v>
      </c>
    </row>
    <row r="5" spans="2:3" x14ac:dyDescent="0.2">
      <c r="B5" s="5" t="s">
        <v>99</v>
      </c>
      <c r="C5" t="s">
        <v>112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126D4-837A-7D4E-800F-AD80A82B8628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46.6640625" customWidth="1"/>
  </cols>
  <sheetData>
    <row r="2" spans="2:3" x14ac:dyDescent="0.2">
      <c r="B2" s="5" t="s">
        <v>95</v>
      </c>
      <c r="C2" t="s">
        <v>140</v>
      </c>
    </row>
    <row r="3" spans="2:3" x14ac:dyDescent="0.2">
      <c r="B3" s="5" t="s">
        <v>96</v>
      </c>
      <c r="C3" t="s">
        <v>156</v>
      </c>
    </row>
    <row r="4" spans="2:3" x14ac:dyDescent="0.2">
      <c r="B4" s="5" t="s">
        <v>91</v>
      </c>
      <c r="C4" t="s">
        <v>157</v>
      </c>
    </row>
    <row r="5" spans="2:3" x14ac:dyDescent="0.2">
      <c r="B5" s="5" t="s">
        <v>99</v>
      </c>
      <c r="C5" t="s">
        <v>158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8648-63EE-E146-A556-824FD11B725A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30.6640625" customWidth="1"/>
  </cols>
  <sheetData>
    <row r="2" spans="2:3" x14ac:dyDescent="0.2">
      <c r="B2" s="5" t="s">
        <v>95</v>
      </c>
      <c r="C2" t="s">
        <v>69</v>
      </c>
    </row>
    <row r="3" spans="2:3" x14ac:dyDescent="0.2">
      <c r="B3" s="5" t="s">
        <v>96</v>
      </c>
      <c r="C3" t="s">
        <v>115</v>
      </c>
    </row>
    <row r="4" spans="2:3" x14ac:dyDescent="0.2">
      <c r="B4" s="5" t="s">
        <v>91</v>
      </c>
      <c r="C4" t="s">
        <v>128</v>
      </c>
    </row>
    <row r="5" spans="2:3" x14ac:dyDescent="0.2">
      <c r="B5" s="5" t="s">
        <v>99</v>
      </c>
      <c r="C5" t="s">
        <v>116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B9B4-8F4E-5D4B-B1A5-8E4FDB848678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27.1640625" customWidth="1"/>
  </cols>
  <sheetData>
    <row r="2" spans="2:3" x14ac:dyDescent="0.2">
      <c r="B2" s="5" t="s">
        <v>95</v>
      </c>
      <c r="C2" t="s">
        <v>70</v>
      </c>
    </row>
    <row r="3" spans="2:3" x14ac:dyDescent="0.2">
      <c r="B3" s="5" t="s">
        <v>96</v>
      </c>
      <c r="C3" t="s">
        <v>122</v>
      </c>
    </row>
    <row r="4" spans="2:3" x14ac:dyDescent="0.2">
      <c r="B4" s="5" t="s">
        <v>91</v>
      </c>
      <c r="C4" t="s">
        <v>123</v>
      </c>
    </row>
    <row r="5" spans="2:3" x14ac:dyDescent="0.2">
      <c r="B5" s="5" t="s">
        <v>99</v>
      </c>
      <c r="C5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FC926-7D51-7843-BABD-6B4598F8197F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46.6640625" customWidth="1"/>
  </cols>
  <sheetData>
    <row r="2" spans="2:3" x14ac:dyDescent="0.2">
      <c r="B2" s="5" t="s">
        <v>95</v>
      </c>
      <c r="C2" t="s">
        <v>139</v>
      </c>
    </row>
    <row r="3" spans="2:3" x14ac:dyDescent="0.2">
      <c r="B3" s="5" t="s">
        <v>96</v>
      </c>
      <c r="C3" t="s">
        <v>159</v>
      </c>
    </row>
    <row r="4" spans="2:3" x14ac:dyDescent="0.2">
      <c r="B4" s="5" t="s">
        <v>91</v>
      </c>
      <c r="C4" t="s">
        <v>160</v>
      </c>
    </row>
    <row r="5" spans="2:3" x14ac:dyDescent="0.2">
      <c r="B5" s="5" t="s">
        <v>99</v>
      </c>
      <c r="C5" t="s">
        <v>161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5818-12E3-D249-AF08-D73D6ACD578B}">
  <dimension ref="B2:C5"/>
  <sheetViews>
    <sheetView workbookViewId="0">
      <selection activeCell="C10" sqref="C10"/>
    </sheetView>
  </sheetViews>
  <sheetFormatPr baseColWidth="10" defaultColWidth="11" defaultRowHeight="16" x14ac:dyDescent="0.2"/>
  <cols>
    <col min="3" max="3" width="27.1640625" customWidth="1"/>
  </cols>
  <sheetData>
    <row r="2" spans="2:3" x14ac:dyDescent="0.2">
      <c r="B2" s="5" t="s">
        <v>95</v>
      </c>
      <c r="C2" t="s">
        <v>71</v>
      </c>
    </row>
    <row r="3" spans="2:3" x14ac:dyDescent="0.2">
      <c r="B3" s="5" t="s">
        <v>96</v>
      </c>
      <c r="C3" t="s">
        <v>113</v>
      </c>
    </row>
    <row r="4" spans="2:3" x14ac:dyDescent="0.2">
      <c r="B4" s="5" t="s">
        <v>91</v>
      </c>
      <c r="C4" t="s">
        <v>127</v>
      </c>
    </row>
    <row r="5" spans="2:3" x14ac:dyDescent="0.2">
      <c r="B5" s="5" t="s">
        <v>99</v>
      </c>
      <c r="C5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Main</vt:lpstr>
      <vt:lpstr>Model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Heier</dc:creator>
  <cp:lastModifiedBy>Sam Heier</cp:lastModifiedBy>
  <dcterms:created xsi:type="dcterms:W3CDTF">2026-05-18T21:29:55Z</dcterms:created>
  <dcterms:modified xsi:type="dcterms:W3CDTF">2026-07-10T01:30:02Z</dcterms:modified>
</cp:coreProperties>
</file>
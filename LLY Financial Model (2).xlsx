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h\Downloads\"/>
    </mc:Choice>
  </mc:AlternateContent>
  <xr:revisionPtr revIDLastSave="0" documentId="13_ncr:1_{37DD60AB-03A7-473B-849F-42027A6D347B}" xr6:coauthVersionLast="47" xr6:coauthVersionMax="47" xr10:uidLastSave="{00000000-0000-0000-0000-000000000000}"/>
  <bookViews>
    <workbookView xWindow="-120" yWindow="-120" windowWidth="29040" windowHeight="15720" activeTab="1" xr2:uid="{9EA498D1-7DC0-ED4B-AD68-4170B24C29C4}"/>
  </bookViews>
  <sheets>
    <sheet name="Main" sheetId="1" r:id="rId1"/>
    <sheet name="Model" sheetId="3" r:id="rId2"/>
    <sheet name="Mounjaro" sheetId="5" r:id="rId3"/>
    <sheet name="Zepbound" sheetId="6" r:id="rId4"/>
    <sheet name="Trulicity" sheetId="9" r:id="rId5"/>
    <sheet name="Retatrutide" sheetId="10" r:id="rId6"/>
    <sheet name="Foundayo" sheetId="18" r:id="rId7"/>
    <sheet name="Basaglar" sheetId="19" r:id="rId8"/>
    <sheet name="Humalog" sheetId="17" r:id="rId9"/>
    <sheet name="Humulin" sheetId="20" r:id="rId10"/>
    <sheet name="Jardiance" sheetId="7" r:id="rId11"/>
    <sheet name="Verzenio" sheetId="8" r:id="rId12"/>
    <sheet name="Cyramza" sheetId="21" r:id="rId13"/>
    <sheet name="Erbitux" sheetId="24" r:id="rId14"/>
    <sheet name="Retevmo" sheetId="25" r:id="rId15"/>
    <sheet name="Tyvyt" sheetId="26" r:id="rId16"/>
    <sheet name="Jaypirca" sheetId="14" r:id="rId17"/>
    <sheet name="Inluriyo" sheetId="15" r:id="rId18"/>
    <sheet name="Ebglyss" sheetId="11" r:id="rId19"/>
    <sheet name="Olumiant" sheetId="22" r:id="rId20"/>
    <sheet name="Omvoh" sheetId="13" r:id="rId21"/>
    <sheet name="Taltz" sheetId="16" r:id="rId22"/>
    <sheet name="Emgality" sheetId="23" r:id="rId23"/>
    <sheet name="Kisunla" sheetId="12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2" i="3" l="1"/>
  <c r="J62" i="3"/>
  <c r="K62" i="3"/>
  <c r="I62" i="3"/>
  <c r="H62" i="3"/>
  <c r="G62" i="3"/>
  <c r="P27" i="3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P26" i="3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P24" i="3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P30" i="3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AG30" i="3" s="1"/>
  <c r="AH30" i="3" s="1"/>
  <c r="AI30" i="3" s="1"/>
  <c r="AJ30" i="3" s="1"/>
  <c r="AK30" i="3" s="1"/>
  <c r="AL30" i="3" s="1"/>
  <c r="P22" i="3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P21" i="3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P16" i="3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Q14" i="3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S10" i="3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G10" i="3" s="1"/>
  <c r="AH10" i="3" s="1"/>
  <c r="AI10" i="3" s="1"/>
  <c r="AJ10" i="3" s="1"/>
  <c r="AK10" i="3" s="1"/>
  <c r="AL10" i="3" s="1"/>
  <c r="X9" i="3"/>
  <c r="Y9" i="3" s="1"/>
  <c r="Z9" i="3" s="1"/>
  <c r="AA9" i="3" s="1"/>
  <c r="AB9" i="3" s="1"/>
  <c r="AC9" i="3" s="1"/>
  <c r="AD9" i="3" s="1"/>
  <c r="AE9" i="3" s="1"/>
  <c r="AF9" i="3" s="1"/>
  <c r="AG9" i="3" s="1"/>
  <c r="AH9" i="3" s="1"/>
  <c r="AI9" i="3" s="1"/>
  <c r="AJ9" i="3" s="1"/>
  <c r="AK9" i="3" s="1"/>
  <c r="AL9" i="3" s="1"/>
  <c r="P8" i="3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P7" i="3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AG7" i="3" s="1"/>
  <c r="AH7" i="3" s="1"/>
  <c r="AI7" i="3" s="1"/>
  <c r="AJ7" i="3" s="1"/>
  <c r="AK7" i="3" s="1"/>
  <c r="AL7" i="3" s="1"/>
  <c r="P6" i="3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B5" i="1"/>
  <c r="O25" i="3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O11" i="3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AG11" i="3" s="1"/>
  <c r="AH11" i="3" s="1"/>
  <c r="AI11" i="3" s="1"/>
  <c r="AJ11" i="3" s="1"/>
  <c r="AK11" i="3" s="1"/>
  <c r="AL11" i="3" s="1"/>
  <c r="O13" i="3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O20" i="3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O17" i="3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O18" i="3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H23" i="1"/>
  <c r="H20" i="1"/>
  <c r="H15" i="1"/>
  <c r="H14" i="1"/>
  <c r="H13" i="1"/>
  <c r="H10" i="1"/>
  <c r="H8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N17" i="3"/>
  <c r="D28" i="3" l="1"/>
  <c r="E28" i="3"/>
  <c r="F28" i="3"/>
  <c r="G28" i="3"/>
  <c r="H28" i="3"/>
  <c r="I28" i="3"/>
  <c r="J28" i="3"/>
  <c r="K28" i="3"/>
  <c r="L28" i="3"/>
  <c r="M28" i="3"/>
  <c r="C28" i="3"/>
  <c r="D23" i="3"/>
  <c r="E23" i="3"/>
  <c r="F23" i="3"/>
  <c r="G23" i="3"/>
  <c r="H23" i="3"/>
  <c r="I23" i="3"/>
  <c r="J23" i="3"/>
  <c r="K23" i="3"/>
  <c r="L23" i="3"/>
  <c r="M23" i="3"/>
  <c r="C23" i="3"/>
  <c r="M5" i="3"/>
  <c r="L5" i="3"/>
  <c r="K5" i="3"/>
  <c r="J5" i="3"/>
  <c r="I5" i="3"/>
  <c r="H5" i="3"/>
  <c r="G5" i="3"/>
  <c r="E5" i="3"/>
  <c r="D5" i="3"/>
  <c r="C5" i="3"/>
  <c r="N12" i="3"/>
  <c r="O12" i="3" s="1"/>
  <c r="P12" i="3" s="1"/>
  <c r="D15" i="3"/>
  <c r="E15" i="3"/>
  <c r="G15" i="3"/>
  <c r="H15" i="3"/>
  <c r="I15" i="3"/>
  <c r="J15" i="3"/>
  <c r="K15" i="3"/>
  <c r="C15" i="3"/>
  <c r="O29" i="3"/>
  <c r="N29" i="3"/>
  <c r="O23" i="3"/>
  <c r="N25" i="3"/>
  <c r="N20" i="3"/>
  <c r="N19" i="3"/>
  <c r="O19" i="3" s="1"/>
  <c r="P19" i="3" s="1"/>
  <c r="N18" i="3"/>
  <c r="F18" i="3"/>
  <c r="F15" i="3" s="1"/>
  <c r="N13" i="3"/>
  <c r="F13" i="3"/>
  <c r="O5" i="3"/>
  <c r="N11" i="3"/>
  <c r="F11" i="3"/>
  <c r="N22" i="3"/>
  <c r="M22" i="3" s="1"/>
  <c r="L22" i="3" s="1"/>
  <c r="L15" i="3" s="1"/>
  <c r="N21" i="3"/>
  <c r="N26" i="3"/>
  <c r="N30" i="3"/>
  <c r="N24" i="3"/>
  <c r="Q19" i="3" l="1"/>
  <c r="P15" i="3"/>
  <c r="N28" i="3"/>
  <c r="P29" i="3"/>
  <c r="O28" i="3"/>
  <c r="Q12" i="3"/>
  <c r="P5" i="3"/>
  <c r="C31" i="3"/>
  <c r="D31" i="3"/>
  <c r="E31" i="3"/>
  <c r="G31" i="3"/>
  <c r="H31" i="3"/>
  <c r="I31" i="3"/>
  <c r="J31" i="3"/>
  <c r="K31" i="3"/>
  <c r="L31" i="3"/>
  <c r="F5" i="3"/>
  <c r="F31" i="3" s="1"/>
  <c r="O15" i="3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AG31" i="3" s="1"/>
  <c r="AH31" i="3" s="1"/>
  <c r="AI31" i="3" s="1"/>
  <c r="AJ31" i="3" s="1"/>
  <c r="AK31" i="3" s="1"/>
  <c r="AL31" i="3" s="1"/>
  <c r="N15" i="3"/>
  <c r="M15" i="3"/>
  <c r="M31" i="3" s="1"/>
  <c r="R12" i="3" l="1"/>
  <c r="Q5" i="3"/>
  <c r="Q29" i="3"/>
  <c r="P28" i="3"/>
  <c r="R19" i="3"/>
  <c r="Q15" i="3"/>
  <c r="N27" i="3"/>
  <c r="N23" i="3" s="1"/>
  <c r="N14" i="3"/>
  <c r="N8" i="3"/>
  <c r="N5" i="3" s="1"/>
  <c r="N31" i="3" s="1"/>
  <c r="G63" i="3"/>
  <c r="H63" i="3"/>
  <c r="I63" i="3"/>
  <c r="J63" i="3"/>
  <c r="K63" i="3"/>
  <c r="G64" i="3"/>
  <c r="H64" i="3"/>
  <c r="I64" i="3"/>
  <c r="J64" i="3"/>
  <c r="K64" i="3"/>
  <c r="G65" i="3"/>
  <c r="H65" i="3"/>
  <c r="I65" i="3"/>
  <c r="J65" i="3"/>
  <c r="K65" i="3"/>
  <c r="D67" i="3"/>
  <c r="E67" i="3"/>
  <c r="K79" i="3"/>
  <c r="J79" i="3"/>
  <c r="I79" i="3"/>
  <c r="H79" i="3"/>
  <c r="G79" i="3"/>
  <c r="F79" i="3"/>
  <c r="G73" i="3"/>
  <c r="H73" i="3"/>
  <c r="I73" i="3"/>
  <c r="J73" i="3"/>
  <c r="K73" i="3"/>
  <c r="G74" i="3"/>
  <c r="H74" i="3"/>
  <c r="I74" i="3"/>
  <c r="J74" i="3"/>
  <c r="K74" i="3"/>
  <c r="E68" i="3"/>
  <c r="P41" i="3"/>
  <c r="F73" i="3" s="1"/>
  <c r="P42" i="3"/>
  <c r="F74" i="3" s="1"/>
  <c r="Q35" i="3"/>
  <c r="U35" i="3" s="1"/>
  <c r="Y35" i="3" s="1"/>
  <c r="R35" i="3"/>
  <c r="R37" i="3" s="1"/>
  <c r="R36" i="3" s="1"/>
  <c r="S35" i="3"/>
  <c r="S37" i="3" s="1"/>
  <c r="S36" i="3" s="1"/>
  <c r="E79" i="3"/>
  <c r="D79" i="3"/>
  <c r="C79" i="3"/>
  <c r="C68" i="3"/>
  <c r="D68" i="3"/>
  <c r="C70" i="3"/>
  <c r="D70" i="3"/>
  <c r="E70" i="3"/>
  <c r="C71" i="3"/>
  <c r="D71" i="3"/>
  <c r="E71" i="3"/>
  <c r="C72" i="3"/>
  <c r="D72" i="3"/>
  <c r="E72" i="3"/>
  <c r="C73" i="3"/>
  <c r="D73" i="3"/>
  <c r="E73" i="3"/>
  <c r="C74" i="3"/>
  <c r="D74" i="3"/>
  <c r="E74" i="3"/>
  <c r="C76" i="3"/>
  <c r="D76" i="3"/>
  <c r="E76" i="3"/>
  <c r="C67" i="3"/>
  <c r="H49" i="3"/>
  <c r="I49" i="3"/>
  <c r="J49" i="3"/>
  <c r="K49" i="3"/>
  <c r="L49" i="3"/>
  <c r="M49" i="3"/>
  <c r="N49" i="3"/>
  <c r="O49" i="3"/>
  <c r="G49" i="3"/>
  <c r="C37" i="3"/>
  <c r="C43" i="3" s="1"/>
  <c r="C45" i="3" s="1"/>
  <c r="C46" i="3" s="1"/>
  <c r="D37" i="3"/>
  <c r="D43" i="3" s="1"/>
  <c r="D45" i="3" s="1"/>
  <c r="D46" i="3" s="1"/>
  <c r="E37" i="3"/>
  <c r="E43" i="3" s="1"/>
  <c r="E45" i="3" s="1"/>
  <c r="E46" i="3" s="1"/>
  <c r="F37" i="3"/>
  <c r="F43" i="3" s="1"/>
  <c r="F45" i="3" s="1"/>
  <c r="F46" i="3" s="1"/>
  <c r="G37" i="3"/>
  <c r="G43" i="3" s="1"/>
  <c r="G45" i="3" s="1"/>
  <c r="I37" i="3"/>
  <c r="I43" i="3" s="1"/>
  <c r="I45" i="3" s="1"/>
  <c r="I46" i="3" s="1"/>
  <c r="J37" i="3"/>
  <c r="J43" i="3" s="1"/>
  <c r="J45" i="3" s="1"/>
  <c r="J46" i="3" s="1"/>
  <c r="K37" i="3"/>
  <c r="K43" i="3" s="1"/>
  <c r="K45" i="3" s="1"/>
  <c r="K46" i="3" s="1"/>
  <c r="L37" i="3"/>
  <c r="L43" i="3" s="1"/>
  <c r="L54" i="3" s="1"/>
  <c r="M37" i="3"/>
  <c r="M43" i="3" s="1"/>
  <c r="M54" i="3" s="1"/>
  <c r="N37" i="3"/>
  <c r="N43" i="3" s="1"/>
  <c r="N54" i="3" s="1"/>
  <c r="O37" i="3"/>
  <c r="O43" i="3" s="1"/>
  <c r="O54" i="3" s="1"/>
  <c r="H37" i="3"/>
  <c r="H43" i="3" s="1"/>
  <c r="H45" i="3" s="1"/>
  <c r="H46" i="3" s="1"/>
  <c r="B7" i="1"/>
  <c r="B8" i="1"/>
  <c r="N78" i="3"/>
  <c r="S19" i="3" l="1"/>
  <c r="R15" i="3"/>
  <c r="R29" i="3"/>
  <c r="Q28" i="3"/>
  <c r="S12" i="3"/>
  <c r="R5" i="3"/>
  <c r="N52" i="3"/>
  <c r="S39" i="3"/>
  <c r="O52" i="3"/>
  <c r="P52" i="3" s="1"/>
  <c r="O51" i="3"/>
  <c r="P51" i="3" s="1"/>
  <c r="Q51" i="3" s="1"/>
  <c r="R51" i="3" s="1"/>
  <c r="S51" i="3" s="1"/>
  <c r="N51" i="3"/>
  <c r="H54" i="3"/>
  <c r="E51" i="3"/>
  <c r="E52" i="3"/>
  <c r="C54" i="3"/>
  <c r="D51" i="3"/>
  <c r="L51" i="3"/>
  <c r="L52" i="3"/>
  <c r="G54" i="3"/>
  <c r="D52" i="3"/>
  <c r="L53" i="3"/>
  <c r="M52" i="3"/>
  <c r="G51" i="3"/>
  <c r="G52" i="3"/>
  <c r="F54" i="3"/>
  <c r="D53" i="3"/>
  <c r="M51" i="3"/>
  <c r="F51" i="3"/>
  <c r="F52" i="3"/>
  <c r="S40" i="3"/>
  <c r="E54" i="3"/>
  <c r="J53" i="3"/>
  <c r="H51" i="3"/>
  <c r="C52" i="3"/>
  <c r="H52" i="3"/>
  <c r="M53" i="3"/>
  <c r="E53" i="3"/>
  <c r="I54" i="3"/>
  <c r="I53" i="3"/>
  <c r="Q37" i="3"/>
  <c r="K51" i="3"/>
  <c r="K52" i="3"/>
  <c r="C53" i="3"/>
  <c r="H53" i="3"/>
  <c r="R39" i="3"/>
  <c r="R40" i="3"/>
  <c r="D54" i="3"/>
  <c r="K53" i="3"/>
  <c r="J51" i="3"/>
  <c r="J52" i="3"/>
  <c r="O53" i="3"/>
  <c r="P53" i="3" s="1"/>
  <c r="G53" i="3"/>
  <c r="K54" i="3"/>
  <c r="I51" i="3"/>
  <c r="C51" i="3"/>
  <c r="I52" i="3"/>
  <c r="N53" i="3"/>
  <c r="F53" i="3"/>
  <c r="J54" i="3"/>
  <c r="V35" i="3"/>
  <c r="Z35" i="3" s="1"/>
  <c r="Z37" i="3" s="1"/>
  <c r="W35" i="3"/>
  <c r="D77" i="3"/>
  <c r="D78" i="3" s="1"/>
  <c r="P49" i="3"/>
  <c r="P35" i="3" s="1"/>
  <c r="F67" i="3" s="1"/>
  <c r="O50" i="3"/>
  <c r="G50" i="3"/>
  <c r="N50" i="3"/>
  <c r="F50" i="3"/>
  <c r="M50" i="3"/>
  <c r="E50" i="3"/>
  <c r="G46" i="3"/>
  <c r="L50" i="3"/>
  <c r="D50" i="3"/>
  <c r="K50" i="3"/>
  <c r="E75" i="3"/>
  <c r="J50" i="3"/>
  <c r="D75" i="3"/>
  <c r="D69" i="3"/>
  <c r="I50" i="3"/>
  <c r="C50" i="3"/>
  <c r="H50" i="3"/>
  <c r="Y37" i="3"/>
  <c r="AC35" i="3"/>
  <c r="U37" i="3"/>
  <c r="C69" i="3"/>
  <c r="E69" i="3"/>
  <c r="C75" i="3"/>
  <c r="C77" i="3"/>
  <c r="C78" i="3" s="1"/>
  <c r="L45" i="3"/>
  <c r="L46" i="3" s="1"/>
  <c r="O45" i="3"/>
  <c r="M45" i="3"/>
  <c r="M46" i="3" s="1"/>
  <c r="N45" i="3"/>
  <c r="N46" i="3" s="1"/>
  <c r="T12" i="3" l="1"/>
  <c r="S5" i="3"/>
  <c r="S29" i="3"/>
  <c r="R28" i="3"/>
  <c r="T19" i="3"/>
  <c r="S15" i="3"/>
  <c r="E77" i="3"/>
  <c r="E78" i="3" s="1"/>
  <c r="T35" i="3"/>
  <c r="G67" i="3" s="1"/>
  <c r="AA35" i="3"/>
  <c r="O46" i="3"/>
  <c r="R38" i="3"/>
  <c r="R43" i="3" s="1"/>
  <c r="R44" i="3" s="1"/>
  <c r="V37" i="3"/>
  <c r="V36" i="3" s="1"/>
  <c r="AD35" i="3"/>
  <c r="AD37" i="3" s="1"/>
  <c r="P54" i="3"/>
  <c r="W37" i="3"/>
  <c r="Z36" i="3"/>
  <c r="Z40" i="3"/>
  <c r="Z39" i="3"/>
  <c r="Y36" i="3"/>
  <c r="Y40" i="3"/>
  <c r="Y39" i="3"/>
  <c r="T51" i="3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AG51" i="3" s="1"/>
  <c r="AH51" i="3" s="1"/>
  <c r="AI51" i="3" s="1"/>
  <c r="AJ51" i="3" s="1"/>
  <c r="AK51" i="3" s="1"/>
  <c r="AL51" i="3" s="1"/>
  <c r="S38" i="3"/>
  <c r="U36" i="3"/>
  <c r="U40" i="3"/>
  <c r="U39" i="3"/>
  <c r="Q36" i="3"/>
  <c r="Q40" i="3"/>
  <c r="Q38" i="3"/>
  <c r="Q39" i="3"/>
  <c r="P50" i="3"/>
  <c r="P37" i="3" s="1"/>
  <c r="F69" i="3" s="1"/>
  <c r="AG35" i="3"/>
  <c r="AK35" i="3" s="1"/>
  <c r="AK37" i="3" s="1"/>
  <c r="AC37" i="3"/>
  <c r="U19" i="3" l="1"/>
  <c r="T15" i="3"/>
  <c r="T29" i="3"/>
  <c r="S28" i="3"/>
  <c r="U12" i="3"/>
  <c r="T5" i="3"/>
  <c r="AA37" i="3"/>
  <c r="AA38" i="3" s="1"/>
  <c r="T37" i="3"/>
  <c r="G69" i="3" s="1"/>
  <c r="X35" i="3"/>
  <c r="AH35" i="3"/>
  <c r="V40" i="3"/>
  <c r="S43" i="3"/>
  <c r="S44" i="3" s="1"/>
  <c r="AE35" i="3"/>
  <c r="V39" i="3"/>
  <c r="AK36" i="3"/>
  <c r="AK39" i="3"/>
  <c r="AK40" i="3"/>
  <c r="AK38" i="3"/>
  <c r="W36" i="3"/>
  <c r="R45" i="3"/>
  <c r="R46" i="3" s="1"/>
  <c r="Q43" i="3"/>
  <c r="Q44" i="3" s="1"/>
  <c r="Q45" i="3" s="1"/>
  <c r="Q46" i="3" s="1"/>
  <c r="W39" i="3"/>
  <c r="W40" i="3"/>
  <c r="P36" i="3"/>
  <c r="F68" i="3" s="1"/>
  <c r="P38" i="3"/>
  <c r="F70" i="3" s="1"/>
  <c r="P40" i="3"/>
  <c r="F72" i="3" s="1"/>
  <c r="P39" i="3"/>
  <c r="F71" i="3" s="1"/>
  <c r="AD36" i="3"/>
  <c r="AD38" i="3"/>
  <c r="AD40" i="3"/>
  <c r="AD39" i="3"/>
  <c r="T36" i="3"/>
  <c r="G68" i="3" s="1"/>
  <c r="T39" i="3"/>
  <c r="V38" i="3"/>
  <c r="Z38" i="3"/>
  <c r="Z43" i="3" s="1"/>
  <c r="AC36" i="3"/>
  <c r="AC38" i="3"/>
  <c r="AC39" i="3"/>
  <c r="AC40" i="3"/>
  <c r="U38" i="3"/>
  <c r="U43" i="3" s="1"/>
  <c r="Y38" i="3"/>
  <c r="Y43" i="3" s="1"/>
  <c r="W38" i="3"/>
  <c r="AG37" i="3"/>
  <c r="V12" i="3" l="1"/>
  <c r="U5" i="3"/>
  <c r="U29" i="3"/>
  <c r="T28" i="3"/>
  <c r="V19" i="3"/>
  <c r="U15" i="3"/>
  <c r="AA39" i="3"/>
  <c r="T38" i="3"/>
  <c r="T40" i="3"/>
  <c r="AA36" i="3"/>
  <c r="AA40" i="3"/>
  <c r="AA43" i="3" s="1"/>
  <c r="AA44" i="3" s="1"/>
  <c r="AB35" i="3"/>
  <c r="AB37" i="3" s="1"/>
  <c r="H67" i="3"/>
  <c r="X37" i="3"/>
  <c r="X38" i="3" s="1"/>
  <c r="I70" i="3" s="1"/>
  <c r="V43" i="3"/>
  <c r="V44" i="3" s="1"/>
  <c r="V45" i="3" s="1"/>
  <c r="V46" i="3" s="1"/>
  <c r="AK43" i="3"/>
  <c r="AK44" i="3" s="1"/>
  <c r="AK45" i="3" s="1"/>
  <c r="AK46" i="3" s="1"/>
  <c r="G71" i="3"/>
  <c r="G70" i="3"/>
  <c r="G72" i="3"/>
  <c r="AI35" i="3"/>
  <c r="AE37" i="3"/>
  <c r="S45" i="3"/>
  <c r="W43" i="3"/>
  <c r="AH37" i="3"/>
  <c r="AL35" i="3"/>
  <c r="AL37" i="3" s="1"/>
  <c r="AD43" i="3"/>
  <c r="AD44" i="3" s="1"/>
  <c r="AD45" i="3" s="1"/>
  <c r="AD46" i="3" s="1"/>
  <c r="P43" i="3"/>
  <c r="F75" i="3" s="1"/>
  <c r="T43" i="3"/>
  <c r="T44" i="3" s="1"/>
  <c r="AC43" i="3"/>
  <c r="AC44" i="3" s="1"/>
  <c r="Y44" i="3"/>
  <c r="Y45" i="3" s="1"/>
  <c r="Y46" i="3" s="1"/>
  <c r="AG36" i="3"/>
  <c r="AG40" i="3"/>
  <c r="AG39" i="3"/>
  <c r="AG38" i="3"/>
  <c r="U44" i="3"/>
  <c r="U45" i="3" s="1"/>
  <c r="U46" i="3" s="1"/>
  <c r="Z44" i="3"/>
  <c r="Z45" i="3" s="1"/>
  <c r="Z46" i="3" s="1"/>
  <c r="W19" i="3" l="1"/>
  <c r="V15" i="3"/>
  <c r="V29" i="3"/>
  <c r="U28" i="3"/>
  <c r="W12" i="3"/>
  <c r="V5" i="3"/>
  <c r="X36" i="3"/>
  <c r="I68" i="3" s="1"/>
  <c r="AB36" i="3"/>
  <c r="AB39" i="3"/>
  <c r="AB38" i="3"/>
  <c r="H69" i="3"/>
  <c r="H70" i="3"/>
  <c r="AF35" i="3"/>
  <c r="I67" i="3"/>
  <c r="I69" i="3"/>
  <c r="AB40" i="3"/>
  <c r="X39" i="3"/>
  <c r="H71" i="3" s="1"/>
  <c r="X40" i="3"/>
  <c r="I72" i="3" s="1"/>
  <c r="G75" i="3"/>
  <c r="G76" i="3"/>
  <c r="S46" i="3"/>
  <c r="W44" i="3"/>
  <c r="AH40" i="3"/>
  <c r="AH39" i="3"/>
  <c r="AH38" i="3"/>
  <c r="AH36" i="3"/>
  <c r="AE36" i="3"/>
  <c r="AE40" i="3"/>
  <c r="AE38" i="3"/>
  <c r="AE39" i="3"/>
  <c r="P44" i="3"/>
  <c r="AL36" i="3"/>
  <c r="AL38" i="3"/>
  <c r="AL40" i="3"/>
  <c r="AL39" i="3"/>
  <c r="AI37" i="3"/>
  <c r="AA45" i="3"/>
  <c r="AA46" i="3" s="1"/>
  <c r="T45" i="3"/>
  <c r="T46" i="3" s="1"/>
  <c r="AC45" i="3"/>
  <c r="AC46" i="3" s="1"/>
  <c r="AG43" i="3"/>
  <c r="AG44" i="3" s="1"/>
  <c r="AG45" i="3" s="1"/>
  <c r="AG46" i="3" s="1"/>
  <c r="X12" i="3" l="1"/>
  <c r="W5" i="3"/>
  <c r="W29" i="3"/>
  <c r="V28" i="3"/>
  <c r="X19" i="3"/>
  <c r="W15" i="3"/>
  <c r="H68" i="3"/>
  <c r="AB43" i="3"/>
  <c r="AB44" i="3" s="1"/>
  <c r="AB45" i="3" s="1"/>
  <c r="AB46" i="3" s="1"/>
  <c r="I71" i="3"/>
  <c r="AF37" i="3"/>
  <c r="J67" i="3"/>
  <c r="AJ35" i="3"/>
  <c r="H72" i="3"/>
  <c r="X43" i="3"/>
  <c r="H75" i="3" s="1"/>
  <c r="AL43" i="3"/>
  <c r="AL44" i="3" s="1"/>
  <c r="AL45" i="3" s="1"/>
  <c r="AL46" i="3" s="1"/>
  <c r="G77" i="3"/>
  <c r="G78" i="3" s="1"/>
  <c r="AE43" i="3"/>
  <c r="W45" i="3"/>
  <c r="P45" i="3"/>
  <c r="F76" i="3"/>
  <c r="AI40" i="3"/>
  <c r="AI38" i="3"/>
  <c r="AI36" i="3"/>
  <c r="AI39" i="3"/>
  <c r="AH43" i="3"/>
  <c r="AH44" i="3" s="1"/>
  <c r="AH45" i="3" s="1"/>
  <c r="AH46" i="3" s="1"/>
  <c r="Y19" i="3" l="1"/>
  <c r="X15" i="3"/>
  <c r="X29" i="3"/>
  <c r="W28" i="3"/>
  <c r="Y12" i="3"/>
  <c r="X5" i="3"/>
  <c r="I75" i="3"/>
  <c r="AJ37" i="3"/>
  <c r="K67" i="3"/>
  <c r="AF40" i="3"/>
  <c r="J72" i="3" s="1"/>
  <c r="AF38" i="3"/>
  <c r="J70" i="3" s="1"/>
  <c r="AF36" i="3"/>
  <c r="J68" i="3" s="1"/>
  <c r="AF39" i="3"/>
  <c r="J71" i="3" s="1"/>
  <c r="J69" i="3"/>
  <c r="X44" i="3"/>
  <c r="P46" i="3"/>
  <c r="F77" i="3"/>
  <c r="F78" i="3" s="1"/>
  <c r="W46" i="3"/>
  <c r="AI43" i="3"/>
  <c r="AE44" i="3"/>
  <c r="Z12" i="3" l="1"/>
  <c r="Y5" i="3"/>
  <c r="Y29" i="3"/>
  <c r="X28" i="3"/>
  <c r="Z19" i="3"/>
  <c r="Y15" i="3"/>
  <c r="AJ36" i="3"/>
  <c r="K68" i="3" s="1"/>
  <c r="AJ39" i="3"/>
  <c r="K71" i="3" s="1"/>
  <c r="AJ38" i="3"/>
  <c r="K70" i="3" s="1"/>
  <c r="AJ40" i="3"/>
  <c r="K72" i="3" s="1"/>
  <c r="K69" i="3"/>
  <c r="AJ43" i="3"/>
  <c r="AJ44" i="3" s="1"/>
  <c r="AJ45" i="3" s="1"/>
  <c r="AJ46" i="3" s="1"/>
  <c r="AF43" i="3"/>
  <c r="X45" i="3"/>
  <c r="H76" i="3"/>
  <c r="I76" i="3"/>
  <c r="AI44" i="3"/>
  <c r="AE45" i="3"/>
  <c r="AA19" i="3" l="1"/>
  <c r="Z15" i="3"/>
  <c r="Z29" i="3"/>
  <c r="Y28" i="3"/>
  <c r="AA12" i="3"/>
  <c r="Z5" i="3"/>
  <c r="AF44" i="3"/>
  <c r="J75" i="3"/>
  <c r="K75" i="3"/>
  <c r="X46" i="3"/>
  <c r="H77" i="3"/>
  <c r="H78" i="3" s="1"/>
  <c r="I77" i="3"/>
  <c r="I78" i="3" s="1"/>
  <c r="AE46" i="3"/>
  <c r="AI45" i="3"/>
  <c r="K76" i="3"/>
  <c r="AB12" i="3" l="1"/>
  <c r="AA5" i="3"/>
  <c r="AA29" i="3"/>
  <c r="Z28" i="3"/>
  <c r="AB19" i="3"/>
  <c r="AA15" i="3"/>
  <c r="AF45" i="3"/>
  <c r="J76" i="3"/>
  <c r="AI46" i="3"/>
  <c r="K77" i="3"/>
  <c r="N77" i="3" s="1"/>
  <c r="AC19" i="3" l="1"/>
  <c r="AB15" i="3"/>
  <c r="AB29" i="3"/>
  <c r="AA28" i="3"/>
  <c r="AC12" i="3"/>
  <c r="AB5" i="3"/>
  <c r="K78" i="3"/>
  <c r="N79" i="3"/>
  <c r="AF46" i="3"/>
  <c r="J77" i="3"/>
  <c r="J78" i="3" s="1"/>
  <c r="AD12" i="3" l="1"/>
  <c r="AC5" i="3"/>
  <c r="AC29" i="3"/>
  <c r="AB28" i="3"/>
  <c r="AD19" i="3"/>
  <c r="AC15" i="3"/>
  <c r="AE19" i="3" l="1"/>
  <c r="AD15" i="3"/>
  <c r="AD29" i="3"/>
  <c r="AC28" i="3"/>
  <c r="AE12" i="3"/>
  <c r="AD5" i="3"/>
  <c r="AF12" i="3" l="1"/>
  <c r="AE5" i="3"/>
  <c r="AE29" i="3"/>
  <c r="AD28" i="3"/>
  <c r="AF19" i="3"/>
  <c r="AE15" i="3"/>
  <c r="AG19" i="3" l="1"/>
  <c r="AF15" i="3"/>
  <c r="AF29" i="3"/>
  <c r="AE28" i="3"/>
  <c r="AG12" i="3"/>
  <c r="AF5" i="3"/>
  <c r="AH12" i="3" l="1"/>
  <c r="AG5" i="3"/>
  <c r="AG29" i="3"/>
  <c r="AF28" i="3"/>
  <c r="AH19" i="3"/>
  <c r="AG15" i="3"/>
  <c r="AI19" i="3" l="1"/>
  <c r="AH15" i="3"/>
  <c r="AH29" i="3"/>
  <c r="AG28" i="3"/>
  <c r="AI12" i="3"/>
  <c r="AH5" i="3"/>
  <c r="AJ12" i="3" l="1"/>
  <c r="AI5" i="3"/>
  <c r="AI29" i="3"/>
  <c r="AH28" i="3"/>
  <c r="AJ19" i="3"/>
  <c r="AI15" i="3"/>
  <c r="AK19" i="3" l="1"/>
  <c r="AJ15" i="3"/>
  <c r="AJ29" i="3"/>
  <c r="AI28" i="3"/>
  <c r="AK12" i="3"/>
  <c r="AJ5" i="3"/>
  <c r="AL12" i="3" l="1"/>
  <c r="AL5" i="3" s="1"/>
  <c r="AK5" i="3"/>
  <c r="AK29" i="3"/>
  <c r="AJ28" i="3"/>
  <c r="AL19" i="3"/>
  <c r="AL15" i="3" s="1"/>
  <c r="AK15" i="3"/>
  <c r="AL29" i="3" l="1"/>
  <c r="AL28" i="3" s="1"/>
  <c r="AK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Heier</author>
  </authors>
  <commentList>
    <comment ref="G7" authorId="0" shapeId="0" xr:uid="{1BD8471E-D2CC-9E4E-B853-3D34C36CECAE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Lilly books 100% of sales but pays Chugai a tiered royalty (mid-single-digits to low-teens). Source: Chugai/Lilly Form 10-K, https://www.chugai-pharm.co.jp/english/news/detail/20240222083000_1049.html</t>
        </r>
      </text>
    </comment>
    <comment ref="G8" authorId="0" shapeId="0" xr:uid="{B3BA0B96-F539-C84B-9467-9C758B03A366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Lilly is strategic lead and books Basaglar revenue within the Boehringer Ingelheim diabetes alliance. Source: BI/Lilly, https://investor.lilly.com/news-releases/news-release-details/boehringer-ingelheim-and-lilly-modernise-alliance-focus-full</t>
        </r>
      </text>
    </comment>
    <comment ref="G11" authorId="0" shapeId="0" xr:uid="{E05B08C2-7568-1C47-BA1D-63132D49271E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Jardiance is part of Lilly's alliance with Boehringer Ingelheim. Lilly does NOT book product sales; it reports only royalties received on BI's net sales of Jardiance. Source: Lilly SEC filing (Q3 2022 sales &amp; earnings), https://www.sec.gov/Archives/edgar/data/59478/000005947822000248/q322lillysalesandearningsp.htm</t>
        </r>
      </text>
    </comment>
    <comment ref="G14" authorId="0" shapeId="0" xr:uid="{3F5E33E3-AEEC-AF42-B75D-177404E63E81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Erbitux economics are territorial/legacy: Lilly (via ImClone) holds North American rights while Merck KGaA markets ex-US; Lilly's interest is a share/royalty rather than full product sales. Worth confirming against the latest 10-K.</t>
        </r>
      </text>
    </comment>
    <comment ref="G16" authorId="0" shapeId="0" xr:uid="{A53E5600-1BD2-3B4E-A367-AEBE5AD4DFBB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Tyvyt (sintilimab) is co-developed with Innovent and sold in China; Lilly shares economics in licensed territories rather than booking 100%. Not FDA-approved in the US. Source: Eli Lilly, https://investor.lilly.com/news-releases/news-release-details/tyvyt-sintilimab-injection-combined-alimta-pemetrexed-and</t>
        </r>
      </text>
    </comment>
    <comment ref="G19" authorId="0" shapeId="0" xr:uid="{2AF035C7-A5EB-5E41-9A3F-C7656E2F5970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Lilly holds rights outside Europe and books those sales; Almirall licenses lebrikizumab in Europe.</t>
        </r>
      </text>
    </comment>
    <comment ref="G20" authorId="0" shapeId="0" xr:uid="{25FDAAFD-7C4D-D94B-A804-09374BBAAB10}">
      <text>
        <r>
          <rPr>
            <b/>
            <sz val="10"/>
            <color rgb="FF000000"/>
            <rFont val="Tahoma"/>
            <family val="2"/>
          </rPr>
          <t>Sam Heier: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Discovered by Incyte and licensed to Lilly; Lilly books sales and pays Incyte royalties. Source: Lilly/Incyte, https://investor.lilly.com/news-releases/news-release-details/fda-approves-lilly-and-incytes-olumiantr-baricitinib-first-and</t>
        </r>
      </text>
    </comment>
  </commentList>
</comments>
</file>

<file path=xl/sharedStrings.xml><?xml version="1.0" encoding="utf-8"?>
<sst xmlns="http://schemas.openxmlformats.org/spreadsheetml/2006/main" count="331" uniqueCount="179">
  <si>
    <t xml:space="preserve">Price </t>
  </si>
  <si>
    <t>Market Cap</t>
  </si>
  <si>
    <t>Cash</t>
  </si>
  <si>
    <t>Debt</t>
  </si>
  <si>
    <t>EV</t>
  </si>
  <si>
    <t>Shares</t>
  </si>
  <si>
    <t>Eli Lilly and Company (LLY)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</si>
  <si>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</si>
  <si>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</si>
  <si>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</si>
  <si>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</si>
  <si>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</si>
  <si>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</si>
  <si>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</si>
  <si>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</si>
  <si>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</si>
  <si>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</si>
  <si>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</si>
  <si>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</si>
  <si>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</si>
  <si>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Net Income</t>
  </si>
  <si>
    <t>Q2'26</t>
  </si>
  <si>
    <t>Q1'27</t>
  </si>
  <si>
    <t>Q3'26</t>
  </si>
  <si>
    <t>Q4'26</t>
  </si>
  <si>
    <t>Q2'27</t>
  </si>
  <si>
    <t>Q3'27</t>
  </si>
  <si>
    <t>Q4'27</t>
  </si>
  <si>
    <t>Q1'28</t>
  </si>
  <si>
    <t>Q2'28</t>
  </si>
  <si>
    <t>Q3'28</t>
  </si>
  <si>
    <t>Q4'28</t>
  </si>
  <si>
    <t>COGS</t>
  </si>
  <si>
    <t>R&amp;D</t>
  </si>
  <si>
    <t>SG&amp;A</t>
  </si>
  <si>
    <t>IPR&amp;D</t>
  </si>
  <si>
    <t>Asset Impairement/Resturcturing</t>
  </si>
  <si>
    <t>Other expenses</t>
  </si>
  <si>
    <t>Pre Tax Income</t>
  </si>
  <si>
    <t>Taxes</t>
  </si>
  <si>
    <t>EPS</t>
  </si>
  <si>
    <t>Q1'29</t>
  </si>
  <si>
    <t>Q2'29</t>
  </si>
  <si>
    <t>Q3'29</t>
  </si>
  <si>
    <t>Q4'29</t>
  </si>
  <si>
    <t>Q1'30</t>
  </si>
  <si>
    <t>Q2'30</t>
  </si>
  <si>
    <t>Q3'30</t>
  </si>
  <si>
    <t>Q4'30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</si>
  <si>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</si>
  <si>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</si>
  <si>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</si>
  <si>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</si>
  <si>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</si>
  <si>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</si>
  <si>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</si>
  <si>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</si>
  <si>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FY'31</t>
  </si>
  <si>
    <t>Gross Margin</t>
  </si>
  <si>
    <t>Revenue Growth Rate</t>
  </si>
  <si>
    <t>Annual Income Statement</t>
  </si>
  <si>
    <t xml:space="preserve">Quarterly Income Statement </t>
  </si>
  <si>
    <t>Gross Margin %</t>
  </si>
  <si>
    <t>Jardiance</t>
  </si>
  <si>
    <t>Trulicity</t>
  </si>
  <si>
    <t>Inluriyo</t>
  </si>
  <si>
    <t>Jaypirca</t>
  </si>
  <si>
    <t>Verzenio</t>
  </si>
  <si>
    <t>Ebglyss</t>
  </si>
  <si>
    <t>Omvoh</t>
  </si>
  <si>
    <t>Taltz</t>
  </si>
  <si>
    <t>Kisunla</t>
  </si>
  <si>
    <t>R&amp;D %</t>
  </si>
  <si>
    <t>SG&amp;A %</t>
  </si>
  <si>
    <t>IPR&amp;D &amp;</t>
  </si>
  <si>
    <t>Tax rate</t>
  </si>
  <si>
    <t>Q1'31</t>
  </si>
  <si>
    <t>Q2'31</t>
  </si>
  <si>
    <t>Q3'31</t>
  </si>
  <si>
    <t>Q4'31</t>
  </si>
  <si>
    <t>Mounjaro</t>
  </si>
  <si>
    <t>Zepbound</t>
  </si>
  <si>
    <t>Foundayo</t>
  </si>
  <si>
    <t>Humalog</t>
  </si>
  <si>
    <t>Other / Misc</t>
  </si>
  <si>
    <t>Total Revenue</t>
  </si>
  <si>
    <t>Disocunt Rate</t>
  </si>
  <si>
    <t>Maturity Rate</t>
  </si>
  <si>
    <t>NPV</t>
  </si>
  <si>
    <t>Price</t>
  </si>
  <si>
    <t>Name</t>
  </si>
  <si>
    <t>Indication</t>
  </si>
  <si>
    <t>Mechanism</t>
  </si>
  <si>
    <t>Economics</t>
  </si>
  <si>
    <t>Approved</t>
  </si>
  <si>
    <t xml:space="preserve">Brand </t>
  </si>
  <si>
    <t>Generic</t>
  </si>
  <si>
    <t>TIRZEPATIDE</t>
  </si>
  <si>
    <t>Type 2 Diabetes</t>
  </si>
  <si>
    <t>MOA</t>
  </si>
  <si>
    <t>Retatrutide</t>
  </si>
  <si>
    <t>CDK4/6 inhibitors</t>
  </si>
  <si>
    <t>Breast Cancer</t>
  </si>
  <si>
    <t>abemaciclib</t>
  </si>
  <si>
    <t>Type-2 Diabetes</t>
  </si>
  <si>
    <t>dulaglutide</t>
  </si>
  <si>
    <t>GLP-1 Agonist</t>
  </si>
  <si>
    <t>empagliflozin</t>
  </si>
  <si>
    <t>Type 2 Diabetes &amp; Heart Failure</t>
  </si>
  <si>
    <t>SGLT2 Inhibitors</t>
  </si>
  <si>
    <t>Lebrikizumab</t>
  </si>
  <si>
    <t>Eczema</t>
  </si>
  <si>
    <t>interleukin-13 antagonist</t>
  </si>
  <si>
    <t>donanemab-azbt</t>
  </si>
  <si>
    <t>amyloid beta-directed antibody</t>
  </si>
  <si>
    <t>Mirikizumab-Mrkz</t>
  </si>
  <si>
    <t>interleukin-23 antagonist</t>
  </si>
  <si>
    <t>Pirtobrutinib</t>
  </si>
  <si>
    <t>Non-Hodgkin Lymphoma</t>
  </si>
  <si>
    <t>Bruton’s tyrosine kinase (BTK) inhibitor</t>
  </si>
  <si>
    <t>Imlunestrant</t>
  </si>
  <si>
    <t>Estrogen Antagonist</t>
  </si>
  <si>
    <t>Ixekizumab</t>
  </si>
  <si>
    <t>Plaque Psoriasis &amp; Psoriatic Arthritis</t>
  </si>
  <si>
    <t>interleukin antagonist</t>
  </si>
  <si>
    <t>Insulin Lispro</t>
  </si>
  <si>
    <t>Orforglipron</t>
  </si>
  <si>
    <t>Alzheimer's Disease</t>
  </si>
  <si>
    <t>Crohn's Disease &amp; Ulcerative Colitis</t>
  </si>
  <si>
    <t>Basaglar</t>
  </si>
  <si>
    <t xml:space="preserve">Humulin </t>
  </si>
  <si>
    <t xml:space="preserve">Oncology </t>
  </si>
  <si>
    <t>Diabetes</t>
  </si>
  <si>
    <t>Cyramza</t>
  </si>
  <si>
    <t>Erbitux</t>
  </si>
  <si>
    <t>Retevmo</t>
  </si>
  <si>
    <t>Tyvyt</t>
  </si>
  <si>
    <t>Immunology</t>
  </si>
  <si>
    <t xml:space="preserve">Neuroscience </t>
  </si>
  <si>
    <t>Emgality</t>
  </si>
  <si>
    <t>Olumiant</t>
  </si>
  <si>
    <t>Humulin</t>
  </si>
  <si>
    <t>Insulin Glargine</t>
  </si>
  <si>
    <t>Type 1 and Type 2 Diabetes</t>
  </si>
  <si>
    <t>Long-Acting Insulin</t>
  </si>
  <si>
    <t>Human Insulin</t>
  </si>
  <si>
    <t>Insulin (short- and intermediate-acting)</t>
  </si>
  <si>
    <t>Ramucirumab</t>
  </si>
  <si>
    <t>Gastric, NSCLC, and Colorectal Cancer</t>
  </si>
  <si>
    <t>VEGFR2 Antagonist (Monoclonal Antibody)</t>
  </si>
  <si>
    <t>Cetuximab</t>
  </si>
  <si>
    <t>Colorectal and Head &amp; Neck Cancer</t>
  </si>
  <si>
    <t>EGFR Inhibitor (Monoclonal Antibody)</t>
  </si>
  <si>
    <t>Selpercatinib</t>
  </si>
  <si>
    <t>RET-Altered NSCLC and Thyroid Cancer</t>
  </si>
  <si>
    <t>RET Kinase Inhibitor</t>
  </si>
  <si>
    <t>Baricitinib</t>
  </si>
  <si>
    <t>Rheumatoid Arthritis, Alopecia Areata, COVID-19</t>
  </si>
  <si>
    <t>JAK (Janus Kinase) Inhibitor</t>
  </si>
  <si>
    <t>Galcanezumab</t>
  </si>
  <si>
    <t>Migraine Prevention and Cluster Headache</t>
  </si>
  <si>
    <t>CGRP Antagonist (Monoclonal Antibody)</t>
  </si>
  <si>
    <t>Sintilimab</t>
  </si>
  <si>
    <t>Hodgkin Lymphoma, NSCLC &amp; other cancers (approved in China; not FDA-approved)</t>
  </si>
  <si>
    <t>PD-1 Inhibitor (Monoclonal Antibody)</t>
  </si>
  <si>
    <t>GIP / GLP-1 / Glucagon Triple Receptor Agonist</t>
  </si>
  <si>
    <t xml:space="preserve">Obesity &amp; Type 2 Diabetes </t>
  </si>
  <si>
    <t>Tirzepatide</t>
  </si>
  <si>
    <t>Obesity &amp; Obstructive Sleep Apnea</t>
  </si>
  <si>
    <t>Dual GIP/GLP-1 Receptor Agonist</t>
  </si>
  <si>
    <t>Obesity / Chronic Weight Management</t>
  </si>
  <si>
    <t>GLP-1 Receptor Agonist (oral, nonpeptide)</t>
  </si>
  <si>
    <t>Rapid-Acting Insulin</t>
  </si>
  <si>
    <t>Royalty only</t>
  </si>
  <si>
    <t>Royalty / share</t>
  </si>
  <si>
    <t>Not FDA approved</t>
  </si>
  <si>
    <t>TBD</t>
  </si>
  <si>
    <t>None</t>
  </si>
  <si>
    <t>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</si>
</sst>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1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2"/>
      <color theme="1"/>
      <name val="Aptos Narrow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44" fontId="0" fillId="0" borderId="0" xfId="2" applyFont="1"/>
    <xf numFmtId="43" fontId="0" fillId="0" borderId="0" xfId="1" applyFont="1"/>
    <xf numFmtId="44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164" fontId="5" fillId="0" borderId="2" xfId="2" applyNumberFormat="1" applyFont="1" applyBorder="1"/>
    <xf numFmtId="164" fontId="0" fillId="0" borderId="2" xfId="2" applyNumberFormat="1" applyFont="1" applyBorder="1"/>
    <xf numFmtId="164" fontId="0" fillId="0" borderId="0" xfId="2" applyNumberFormat="1" applyFont="1" applyBorder="1"/>
    <xf numFmtId="164" fontId="5" fillId="0" borderId="0" xfId="2" applyNumberFormat="1" applyFont="1" applyBorder="1"/>
    <xf numFmtId="164" fontId="0" fillId="0" borderId="0" xfId="2" applyNumberFormat="1" applyFont="1" applyFill="1" applyBorder="1"/>
    <xf numFmtId="164" fontId="0" fillId="0" borderId="0" xfId="0" applyNumberFormat="1"/>
    <xf numFmtId="44" fontId="3" fillId="0" borderId="0" xfId="0" applyNumberFormat="1" applyFon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3" applyFont="1"/>
    <xf numFmtId="43" fontId="0" fillId="0" borderId="0" xfId="0" applyNumberFormat="1"/>
    <xf numFmtId="43" fontId="0" fillId="0" borderId="0" xfId="1" applyFont="1" applyBorder="1"/>
    <xf numFmtId="43" fontId="7" fillId="0" borderId="0" xfId="1" applyFont="1" applyBorder="1"/>
    <xf numFmtId="9" fontId="7" fillId="0" borderId="0" xfId="3" applyFont="1" applyBorder="1"/>
    <xf numFmtId="44" fontId="0" fillId="0" borderId="2" xfId="0" applyNumberFormat="1" applyBorder="1"/>
    <xf numFmtId="43" fontId="0" fillId="0" borderId="2" xfId="1" applyFont="1" applyBorder="1"/>
    <xf numFmtId="9" fontId="7" fillId="0" borderId="2" xfId="3" applyFont="1" applyBorder="1"/>
    <xf numFmtId="164" fontId="5" fillId="0" borderId="0" xfId="0" applyNumberFormat="1" applyFont="1"/>
    <xf numFmtId="164" fontId="0" fillId="0" borderId="2" xfId="0" applyNumberFormat="1" applyBorder="1"/>
    <xf numFmtId="43" fontId="0" fillId="0" borderId="2" xfId="0" applyNumberFormat="1" applyBorder="1"/>
    <xf numFmtId="0" fontId="3" fillId="0" borderId="0" xfId="0" applyFont="1"/>
    <xf numFmtId="0" fontId="7" fillId="0" borderId="0" xfId="0" applyFont="1"/>
    <xf numFmtId="9" fontId="7" fillId="0" borderId="0" xfId="0" applyNumberFormat="1" applyFont="1"/>
    <xf numFmtId="0" fontId="0" fillId="0" borderId="0" xfId="0" applyAlignment="1">
      <alignment horizontal="center"/>
    </xf>
    <xf numFmtId="164" fontId="0" fillId="2" borderId="0" xfId="2" applyNumberFormat="1" applyFont="1" applyFill="1" applyBorder="1"/>
    <xf numFmtId="0" fontId="0" fillId="3" borderId="0" xfId="0" applyFill="1"/>
    <xf numFmtId="0" fontId="5" fillId="0" borderId="7" xfId="0" applyFont="1" applyBorder="1"/>
    <xf numFmtId="164" fontId="5" fillId="0" borderId="0" xfId="0" applyNumberFormat="1" applyFont="1" applyAlignment="1">
      <alignment horizontal="center"/>
    </xf>
    <xf numFmtId="9" fontId="0" fillId="0" borderId="0" xfId="0" applyNumberFormat="1"/>
    <xf numFmtId="0" fontId="0" fillId="0" borderId="8" xfId="0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2" xfId="0" applyNumberForma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2" xfId="0" applyFont="1" applyBorder="1" applyAlignment="1">
      <alignment horizontal="center"/>
    </xf>
    <xf numFmtId="0" fontId="0" fillId="0" borderId="10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0" fillId="2" borderId="2" xfId="2" applyNumberFormat="1" applyFont="1" applyFill="1" applyBorder="1"/>
    <xf numFmtId="0" fontId="5" fillId="0" borderId="4" xfId="0" applyFont="1" applyBorder="1"/>
    <xf numFmtId="0" fontId="0" fillId="0" borderId="6" xfId="0" applyBorder="1"/>
    <xf numFmtId="0" fontId="0" fillId="0" borderId="12" xfId="0" applyBorder="1"/>
    <xf numFmtId="9" fontId="0" fillId="0" borderId="13" xfId="3" applyFont="1" applyBorder="1"/>
    <xf numFmtId="0" fontId="0" fillId="0" borderId="9" xfId="0" applyBorder="1"/>
    <xf numFmtId="9" fontId="0" fillId="0" borderId="2" xfId="3" applyFont="1" applyBorder="1"/>
    <xf numFmtId="44" fontId="0" fillId="0" borderId="2" xfId="2" applyFont="1" applyBorder="1"/>
    <xf numFmtId="0" fontId="0" fillId="0" borderId="10" xfId="0" applyBorder="1"/>
    <xf numFmtId="44" fontId="0" fillId="0" borderId="11" xfId="2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3B7574-CDB1-5E4F-8A94-7EA0BDC2F33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2f1289d-5991-4141-b431-857d0400479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A03D-D60F-7048-8E8C-0EDC58CFE77F}">
  <dimension ref="A2:H29"/>
  <sheetViews>
    <sheetView workbookViewId="0">
      <selection activeCell="B16" sqref="B16"/>
    </sheetView>
  </sheetViews>
  <sheetFormatPr defaultColWidth="11" defaultRowHeight="15.75" x14ac:dyDescent="0.25"/>
  <cols>
    <col min="2" max="2" width="22.125" customWidth="1"/>
    <col min="3" max="3" width="2.875" customWidth="1"/>
    <col min="4" max="4" width="20.5" customWidth="1"/>
    <col min="5" max="5" width="69.625" bestFit="1" customWidth="1"/>
    <col min="6" max="6" width="38.875" bestFit="1" customWidth="1"/>
    <col min="7" max="7" width="13.5" bestFit="1" customWidth="1"/>
    <col min="8" max="8" width="16.125" bestFit="1" customWidth="1"/>
    <col min="9" max="9" width="14" bestFit="1" customWidth="1"/>
  </cols>
  <sheetData>
    <row r="2" spans="1:8" x14ac:dyDescent="0.25">
      <c r="A2" s="53" t="s">
        <v>178</v>
      </c>
      <c r="B2" s="54"/>
      <c r="D2" s="49" t="s">
        <v>90</v>
      </c>
      <c r="E2" s="37" t="s">
        <v>91</v>
      </c>
      <c r="F2" s="37" t="s">
        <v>92</v>
      </c>
      <c r="G2" s="37" t="s">
        <v>93</v>
      </c>
      <c r="H2" s="50" t="s">
        <v>94</v>
      </c>
    </row>
    <row r="3" spans="1:8" x14ac:dyDescent="0.25">
      <c r="A3" t="s">
        <v>0</v>
      </c>
      <c r="B3" s="1">
        <v>1213.4000000000001</v>
      </c>
      <c r="D3" s="39" t="s">
        <v>80</v>
      </c>
      <c r="E3" s="30" t="str">
        <f>Mounjaro!C4</f>
        <v>Type 2 Diabetes</v>
      </c>
      <c r="F3" s="30" t="str">
        <f>Mounjaro!C5</f>
        <v>Dual GIP/GLP-1 Receptor Agonist</v>
      </c>
      <c r="G3" s="40">
        <v>1</v>
      </c>
      <c r="H3" s="41">
        <v>44694</v>
      </c>
    </row>
    <row r="4" spans="1:8" x14ac:dyDescent="0.25">
      <c r="A4" t="s">
        <v>5</v>
      </c>
      <c r="B4" s="2">
        <v>895.9</v>
      </c>
      <c r="D4" s="39" t="s">
        <v>81</v>
      </c>
      <c r="E4" s="30" t="str">
        <f>Zepbound!C4</f>
        <v>Obesity &amp; Obstructive Sleep Apnea</v>
      </c>
      <c r="F4" s="30" t="str">
        <f>Zepbound!C5</f>
        <v>Dual GIP/GLP-1 Receptor Agonist</v>
      </c>
      <c r="G4" s="40">
        <v>1</v>
      </c>
      <c r="H4" s="41">
        <v>45238</v>
      </c>
    </row>
    <row r="5" spans="1:8" x14ac:dyDescent="0.25">
      <c r="A5" t="s">
        <v>1</v>
      </c>
      <c r="B5" s="1">
        <f>B3*B4</f>
        <v>1087085.06</v>
      </c>
      <c r="D5" s="39" t="s">
        <v>64</v>
      </c>
      <c r="E5" s="30" t="str">
        <f>Trulicity!C4</f>
        <v>Type-2 Diabetes</v>
      </c>
      <c r="F5" s="30" t="str">
        <f>Trulicity!C5</f>
        <v>GLP-1 Agonist</v>
      </c>
      <c r="G5" s="40">
        <v>1</v>
      </c>
      <c r="H5" s="41">
        <v>41900</v>
      </c>
    </row>
    <row r="6" spans="1:8" x14ac:dyDescent="0.25">
      <c r="A6" t="s">
        <v>2</v>
      </c>
      <c r="B6" s="1">
        <v>7268</v>
      </c>
      <c r="D6" s="39" t="s">
        <v>100</v>
      </c>
      <c r="E6" s="30" t="str">
        <f>Retatrutide!C4</f>
        <v xml:space="preserve">Obesity &amp; Type 2 Diabetes </v>
      </c>
      <c r="F6" s="30" t="str">
        <f>Retatrutide!C5</f>
        <v>GIP / GLP-1 / Glucagon Triple Receptor Agonist</v>
      </c>
      <c r="G6" s="40">
        <v>1</v>
      </c>
      <c r="H6" s="42" t="s">
        <v>176</v>
      </c>
    </row>
    <row r="7" spans="1:8" x14ac:dyDescent="0.25">
      <c r="A7" t="s">
        <v>3</v>
      </c>
      <c r="B7" s="1">
        <f>1635+40868</f>
        <v>42503</v>
      </c>
      <c r="D7" s="39" t="s">
        <v>82</v>
      </c>
      <c r="E7" s="30" t="str">
        <f>Foundayo!C4</f>
        <v>Obesity / Chronic Weight Management</v>
      </c>
      <c r="F7" s="30" t="str">
        <f>Foundayo!C5</f>
        <v>GLP-1 Receptor Agonist (oral, nonpeptide)</v>
      </c>
      <c r="G7" s="40">
        <v>1</v>
      </c>
      <c r="H7" s="41">
        <v>46113</v>
      </c>
    </row>
    <row r="8" spans="1:8" x14ac:dyDescent="0.25">
      <c r="A8" t="s">
        <v>4</v>
      </c>
      <c r="B8" s="3">
        <f>B5+B7-B6</f>
        <v>1122320.06</v>
      </c>
      <c r="D8" s="39" t="s">
        <v>129</v>
      </c>
      <c r="E8" s="30" t="str">
        <f>Basaglar!C4</f>
        <v>Type 1 and Type 2 Diabetes</v>
      </c>
      <c r="F8" s="30" t="str">
        <f>Basaglar!C5</f>
        <v>Long-Acting Insulin</v>
      </c>
      <c r="G8" s="40">
        <v>1</v>
      </c>
      <c r="H8" s="41">
        <f>DATE(2015,12,16)</f>
        <v>42354</v>
      </c>
    </row>
    <row r="9" spans="1:8" x14ac:dyDescent="0.25">
      <c r="D9" s="39" t="s">
        <v>83</v>
      </c>
      <c r="E9" s="30" t="str">
        <f>Humalog!C4</f>
        <v>Type 1 and Type 2 Diabetes</v>
      </c>
      <c r="F9" s="30" t="str">
        <f>Humalog!C5</f>
        <v>Rapid-Acting Insulin</v>
      </c>
      <c r="G9" s="40">
        <v>1</v>
      </c>
      <c r="H9" s="41">
        <v>35230</v>
      </c>
    </row>
    <row r="10" spans="1:8" x14ac:dyDescent="0.25">
      <c r="D10" s="39" t="s">
        <v>141</v>
      </c>
      <c r="E10" s="30" t="str">
        <f>Humulin!C4</f>
        <v>Type 1 and Type 2 Diabetes</v>
      </c>
      <c r="F10" s="30" t="str">
        <f>Humulin!C5</f>
        <v>Insulin (short- and intermediate-acting)</v>
      </c>
      <c r="G10" s="40">
        <v>1</v>
      </c>
      <c r="H10" s="41">
        <f>DATE(1982,10,28)</f>
        <v>30252</v>
      </c>
    </row>
    <row r="11" spans="1:8" x14ac:dyDescent="0.25">
      <c r="D11" s="39" t="s">
        <v>63</v>
      </c>
      <c r="E11" s="30" t="str">
        <f>Jardiance!C4</f>
        <v>Type 2 Diabetes &amp; Heart Failure</v>
      </c>
      <c r="F11" s="30" t="str">
        <f>Jardiance!C5</f>
        <v>SGLT2 Inhibitors</v>
      </c>
      <c r="G11" s="43" t="s">
        <v>173</v>
      </c>
      <c r="H11" s="41">
        <v>41852</v>
      </c>
    </row>
    <row r="12" spans="1:8" x14ac:dyDescent="0.25">
      <c r="D12" s="39" t="s">
        <v>67</v>
      </c>
      <c r="E12" s="30" t="str">
        <f>Verzenio!C4</f>
        <v>Breast Cancer</v>
      </c>
      <c r="F12" s="30" t="str">
        <f>Verzenio!C5</f>
        <v>CDK4/6 inhibitors</v>
      </c>
      <c r="G12" s="40">
        <v>1</v>
      </c>
      <c r="H12" s="41">
        <v>43006</v>
      </c>
    </row>
    <row r="13" spans="1:8" x14ac:dyDescent="0.25">
      <c r="D13" s="39" t="s">
        <v>133</v>
      </c>
      <c r="E13" s="30" t="str">
        <f>Cyramza!C4</f>
        <v>Gastric, NSCLC, and Colorectal Cancer</v>
      </c>
      <c r="F13" s="30" t="str">
        <f>Cyramza!C5</f>
        <v>VEGFR2 Antagonist (Monoclonal Antibody)</v>
      </c>
      <c r="G13" s="40">
        <v>1</v>
      </c>
      <c r="H13" s="41">
        <f>DATE(2014,4,21)</f>
        <v>41750</v>
      </c>
    </row>
    <row r="14" spans="1:8" x14ac:dyDescent="0.25">
      <c r="D14" s="39" t="s">
        <v>134</v>
      </c>
      <c r="E14" s="30" t="str">
        <f>Erbitux!C4</f>
        <v>Colorectal and Head &amp; Neck Cancer</v>
      </c>
      <c r="F14" s="30" t="str">
        <f>Erbitux!C5</f>
        <v>EGFR Inhibitor (Monoclonal Antibody)</v>
      </c>
      <c r="G14" s="43" t="s">
        <v>174</v>
      </c>
      <c r="H14" s="41">
        <f>DATE(2004,2,12)</f>
        <v>38029</v>
      </c>
    </row>
    <row r="15" spans="1:8" x14ac:dyDescent="0.25">
      <c r="D15" s="39" t="s">
        <v>135</v>
      </c>
      <c r="E15" s="30" t="str">
        <f>Retevmo!C4</f>
        <v>RET-Altered NSCLC and Thyroid Cancer</v>
      </c>
      <c r="F15" s="30" t="str">
        <f>Retevmo!C5</f>
        <v>RET Kinase Inhibitor</v>
      </c>
      <c r="G15" s="40">
        <v>1</v>
      </c>
      <c r="H15" s="41">
        <f>DATE(2020,5,8)</f>
        <v>43959</v>
      </c>
    </row>
    <row r="16" spans="1:8" x14ac:dyDescent="0.25">
      <c r="D16" s="39" t="s">
        <v>136</v>
      </c>
      <c r="E16" s="30" t="str">
        <f>Tyvyt!C4</f>
        <v>Hodgkin Lymphoma, NSCLC &amp; other cancers (approved in China; not FDA-approved)</v>
      </c>
      <c r="F16" s="30" t="str">
        <f>Tyvyt!C5</f>
        <v>PD-1 Inhibitor (Monoclonal Antibody)</v>
      </c>
      <c r="G16" s="43" t="s">
        <v>174</v>
      </c>
      <c r="H16" s="44" t="s">
        <v>175</v>
      </c>
    </row>
    <row r="17" spans="3:8" x14ac:dyDescent="0.25">
      <c r="D17" s="39" t="s">
        <v>66</v>
      </c>
      <c r="E17" s="30" t="str">
        <f>Jaypirca!C4</f>
        <v>Non-Hodgkin Lymphoma</v>
      </c>
      <c r="F17" s="30" t="str">
        <f>Jaypirca!C5</f>
        <v>Bruton’s tyrosine kinase (BTK) inhibitor</v>
      </c>
      <c r="G17" s="40">
        <v>1</v>
      </c>
      <c r="H17" s="41">
        <v>44953</v>
      </c>
    </row>
    <row r="18" spans="3:8" x14ac:dyDescent="0.25">
      <c r="D18" s="39" t="s">
        <v>65</v>
      </c>
      <c r="E18" s="30" t="str">
        <f>Inluriyo!C4</f>
        <v>Breast Cancer</v>
      </c>
      <c r="F18" s="30" t="str">
        <f>Inluriyo!C5</f>
        <v>Estrogen Antagonist</v>
      </c>
      <c r="G18" s="40">
        <v>1</v>
      </c>
      <c r="H18" s="41">
        <v>45925</v>
      </c>
    </row>
    <row r="19" spans="3:8" x14ac:dyDescent="0.25">
      <c r="D19" s="39" t="s">
        <v>68</v>
      </c>
      <c r="E19" s="30" t="str">
        <f>Ebglyss!C4</f>
        <v>Eczema</v>
      </c>
      <c r="F19" s="30" t="str">
        <f>Ebglyss!C5</f>
        <v>interleukin-13 antagonist</v>
      </c>
      <c r="G19" s="40">
        <v>1</v>
      </c>
      <c r="H19" s="41">
        <v>45548</v>
      </c>
    </row>
    <row r="20" spans="3:8" x14ac:dyDescent="0.25">
      <c r="D20" s="39" t="s">
        <v>140</v>
      </c>
      <c r="E20" s="30" t="str">
        <f>Olumiant!C4</f>
        <v>Rheumatoid Arthritis, Alopecia Areata, COVID-19</v>
      </c>
      <c r="F20" s="30" t="str">
        <f>Olumiant!C5</f>
        <v>JAK (Janus Kinase) Inhibitor</v>
      </c>
      <c r="G20" s="40">
        <v>1</v>
      </c>
      <c r="H20" s="41">
        <f>DATE(2018,5,31)</f>
        <v>43251</v>
      </c>
    </row>
    <row r="21" spans="3:8" x14ac:dyDescent="0.25">
      <c r="D21" s="39" t="s">
        <v>69</v>
      </c>
      <c r="E21" s="30" t="str">
        <f>Omvoh!C4</f>
        <v>Crohn's Disease &amp; Ulcerative Colitis</v>
      </c>
      <c r="F21" s="30" t="str">
        <f>Omvoh!C5</f>
        <v>interleukin-23 antagonist</v>
      </c>
      <c r="G21" s="40">
        <v>1</v>
      </c>
      <c r="H21" s="41">
        <v>45225</v>
      </c>
    </row>
    <row r="22" spans="3:8" x14ac:dyDescent="0.25">
      <c r="D22" s="39" t="s">
        <v>70</v>
      </c>
      <c r="E22" s="30" t="str">
        <f>Taltz!C4</f>
        <v>Plaque Psoriasis &amp; Psoriatic Arthritis</v>
      </c>
      <c r="F22" s="30" t="str">
        <f>Taltz!C5</f>
        <v>interleukin antagonist</v>
      </c>
      <c r="G22" s="40">
        <v>1</v>
      </c>
      <c r="H22" s="41">
        <v>42451</v>
      </c>
    </row>
    <row r="23" spans="3:8" x14ac:dyDescent="0.25">
      <c r="D23" s="39" t="s">
        <v>139</v>
      </c>
      <c r="E23" s="30" t="str">
        <f>Emgality!C4</f>
        <v>Migraine Prevention and Cluster Headache</v>
      </c>
      <c r="F23" s="30" t="str">
        <f>Emgality!C5</f>
        <v>CGRP Antagonist (Monoclonal Antibody)</v>
      </c>
      <c r="G23" s="40">
        <v>1</v>
      </c>
      <c r="H23" s="41">
        <f>DATE(2018,9,27)</f>
        <v>43370</v>
      </c>
    </row>
    <row r="24" spans="3:8" x14ac:dyDescent="0.25">
      <c r="D24" s="45" t="s">
        <v>71</v>
      </c>
      <c r="E24" s="38" t="str">
        <f>Kisunla!C4</f>
        <v>Alzheimer's Disease</v>
      </c>
      <c r="F24" s="38" t="str">
        <f>Kisunla!C5</f>
        <v>amyloid beta-directed antibody</v>
      </c>
      <c r="G24" s="46">
        <v>1</v>
      </c>
      <c r="H24" s="47">
        <v>45475</v>
      </c>
    </row>
    <row r="26" spans="3:8" x14ac:dyDescent="0.25">
      <c r="D26" s="48"/>
      <c r="E26" s="30"/>
      <c r="F26" s="30"/>
    </row>
    <row r="28" spans="3:8" x14ac:dyDescent="0.25">
      <c r="C28" s="30"/>
    </row>
    <row r="29" spans="3:8" x14ac:dyDescent="0.25">
      <c r="C29" s="30"/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5186-ABD5-9247-B57C-084161281BED}">
  <dimension ref="B1:CM82"/>
  <sheetViews>
    <sheetView tabSelected="1" topLeftCell="A46" zoomScale="90" zoomScaleNormal="90" workbookViewId="0">
      <pane xSplit="2" topLeftCell="C1" activePane="topRight" state="frozen"/>
      <selection pane="topRight" activeCell="F67" sqref="F67"/>
    </sheetView>
  </sheetViews>
  <sheetFormatPr defaultColWidth="11" defaultRowHeight="15.75" x14ac:dyDescent="0.25"/>
  <cols>
    <col min="1" max="1" width="2.375" customWidth="1"/>
    <col min="2" max="2" width="32.625" customWidth="1"/>
    <col min="3" max="12" width="13.375" customWidth="1"/>
    <col min="13" max="13" width="14" bestFit="1" customWidth="1"/>
    <col min="14" max="14" width="15.125" bestFit="1" customWidth="1"/>
    <col min="15" max="31" width="13.375" customWidth="1"/>
    <col min="32" max="38" width="13.125" customWidth="1"/>
    <col min="39" max="91" width="12.5" bestFit="1" customWidth="1"/>
  </cols>
  <sheetData>
    <row r="1" spans="2:38" ht="9.9499999999999993" customHeight="1" x14ac:dyDescent="0.25"/>
    <row r="2" spans="2:38" ht="18.75" x14ac:dyDescent="0.3">
      <c r="B2" s="4" t="s">
        <v>6</v>
      </c>
    </row>
    <row r="3" spans="2:38" x14ac:dyDescent="0.25">
      <c r="B3" t="s">
        <v>61</v>
      </c>
    </row>
    <row r="4" spans="2:38" ht="16.5" thickBot="1" x14ac:dyDescent="0.3">
      <c r="B4" s="6"/>
      <c r="C4" s="14" t="s">
        <v>7</v>
      </c>
      <c r="D4" s="14" t="s">
        <v>8</v>
      </c>
      <c r="E4" s="14" t="s">
        <v>9</v>
      </c>
      <c r="F4" s="14" t="s">
        <v>10</v>
      </c>
      <c r="G4" s="14" t="s">
        <v>11</v>
      </c>
      <c r="H4" s="14" t="s">
        <v>12</v>
      </c>
      <c r="I4" s="14" t="s">
        <v>13</v>
      </c>
      <c r="J4" s="14" t="s">
        <v>14</v>
      </c>
      <c r="K4" s="14" t="s">
        <v>15</v>
      </c>
      <c r="L4" s="14" t="s">
        <v>16</v>
      </c>
      <c r="M4" s="14" t="s">
        <v>17</v>
      </c>
      <c r="N4" s="14" t="s">
        <v>18</v>
      </c>
      <c r="O4" s="15" t="s">
        <v>19</v>
      </c>
      <c r="P4" s="14" t="s">
        <v>21</v>
      </c>
      <c r="Q4" s="14" t="s">
        <v>23</v>
      </c>
      <c r="R4" s="14" t="s">
        <v>24</v>
      </c>
      <c r="S4" s="14" t="s">
        <v>22</v>
      </c>
      <c r="T4" s="14" t="s">
        <v>25</v>
      </c>
      <c r="U4" s="14" t="s">
        <v>26</v>
      </c>
      <c r="V4" s="14" t="s">
        <v>27</v>
      </c>
      <c r="W4" s="14" t="s">
        <v>28</v>
      </c>
      <c r="X4" s="14" t="s">
        <v>29</v>
      </c>
      <c r="Y4" s="14" t="s">
        <v>30</v>
      </c>
      <c r="Z4" s="14" t="s">
        <v>31</v>
      </c>
      <c r="AA4" s="14" t="s">
        <v>41</v>
      </c>
      <c r="AB4" s="14" t="s">
        <v>42</v>
      </c>
      <c r="AC4" s="14" t="s">
        <v>43</v>
      </c>
      <c r="AD4" s="14" t="s">
        <v>44</v>
      </c>
      <c r="AE4" s="14" t="s">
        <v>45</v>
      </c>
      <c r="AF4" s="14" t="s">
        <v>46</v>
      </c>
      <c r="AG4" s="14" t="s">
        <v>47</v>
      </c>
      <c r="AH4" s="14" t="s">
        <v>48</v>
      </c>
      <c r="AI4" s="14" t="s">
        <v>76</v>
      </c>
      <c r="AJ4" s="14" t="s">
        <v>77</v>
      </c>
      <c r="AK4" s="14" t="s">
        <v>78</v>
      </c>
      <c r="AL4" s="14" t="s">
        <v>79</v>
      </c>
    </row>
    <row r="5" spans="2:38" x14ac:dyDescent="0.25">
      <c r="B5" s="33" t="s">
        <v>132</v>
      </c>
      <c r="C5" s="34">
        <f>SUM(C6:C14)</f>
        <v>4045.3</v>
      </c>
      <c r="D5" s="34">
        <f t="shared" ref="D5:AL5" si="0">SUM(D6:D14)</f>
        <v>4260.3999999999996</v>
      </c>
      <c r="E5" s="34">
        <f t="shared" si="0"/>
        <v>4565.3999999999996</v>
      </c>
      <c r="F5" s="34">
        <f t="shared" si="0"/>
        <v>5588.7000000000007</v>
      </c>
      <c r="G5" s="34">
        <f t="shared" si="0"/>
        <v>5369.2</v>
      </c>
      <c r="H5" s="34">
        <f t="shared" si="0"/>
        <v>7858.8000000000011</v>
      </c>
      <c r="I5" s="34">
        <f t="shared" si="0"/>
        <v>7261.6</v>
      </c>
      <c r="J5" s="34">
        <f t="shared" si="0"/>
        <v>8962.6999999999989</v>
      </c>
      <c r="K5" s="34">
        <f t="shared" si="0"/>
        <v>9147</v>
      </c>
      <c r="L5" s="34">
        <f t="shared" si="0"/>
        <v>11185.800000000001</v>
      </c>
      <c r="M5" s="34">
        <f t="shared" si="0"/>
        <v>13051.800000000001</v>
      </c>
      <c r="N5" s="34">
        <f t="shared" si="0"/>
        <v>14526.3</v>
      </c>
      <c r="O5" s="51">
        <f t="shared" si="0"/>
        <v>15790.900000000001</v>
      </c>
      <c r="P5" s="34">
        <f t="shared" si="0"/>
        <v>16326.74415</v>
      </c>
      <c r="Q5" s="34">
        <f t="shared" si="0"/>
        <v>17346.443202675</v>
      </c>
      <c r="R5" s="34">
        <f t="shared" si="0"/>
        <v>18420.520535910538</v>
      </c>
      <c r="S5" s="34">
        <f t="shared" si="0"/>
        <v>18983.648123096536</v>
      </c>
      <c r="T5" s="34">
        <f t="shared" si="0"/>
        <v>19594.271206687095</v>
      </c>
      <c r="U5" s="34">
        <f t="shared" si="0"/>
        <v>20253.496154486584</v>
      </c>
      <c r="V5" s="34">
        <f t="shared" si="0"/>
        <v>20962.843961678012</v>
      </c>
      <c r="W5" s="34">
        <f t="shared" si="0"/>
        <v>21591.505764731875</v>
      </c>
      <c r="X5" s="34">
        <f t="shared" si="0"/>
        <v>22158.071650565886</v>
      </c>
      <c r="Y5" s="34">
        <f t="shared" si="0"/>
        <v>22778.569913254181</v>
      </c>
      <c r="Z5" s="34">
        <f t="shared" si="0"/>
        <v>23459.818139842129</v>
      </c>
      <c r="AA5" s="34">
        <f t="shared" si="0"/>
        <v>23896.92648127702</v>
      </c>
      <c r="AB5" s="34">
        <f t="shared" si="0"/>
        <v>24380.400679093778</v>
      </c>
      <c r="AC5" s="34">
        <f t="shared" si="0"/>
        <v>24912.711984882408</v>
      </c>
      <c r="AD5" s="34">
        <f t="shared" si="0"/>
        <v>25497.526205253307</v>
      </c>
      <c r="AE5" s="34">
        <f t="shared" si="0"/>
        <v>25883.076212827003</v>
      </c>
      <c r="AF5" s="34">
        <f t="shared" si="0"/>
        <v>26293.114278455603</v>
      </c>
      <c r="AG5" s="34">
        <f t="shared" si="0"/>
        <v>26728.742813239012</v>
      </c>
      <c r="AH5" s="34">
        <f t="shared" si="0"/>
        <v>27191.309956400066</v>
      </c>
      <c r="AI5" s="34">
        <f t="shared" si="0"/>
        <v>27517.114895159786</v>
      </c>
      <c r="AJ5" s="34">
        <f t="shared" si="0"/>
        <v>27856.839671722817</v>
      </c>
      <c r="AK5" s="34">
        <f t="shared" si="0"/>
        <v>28211.134299934871</v>
      </c>
      <c r="AL5" s="34">
        <f t="shared" si="0"/>
        <v>28580.713326509005</v>
      </c>
    </row>
    <row r="6" spans="2:38" x14ac:dyDescent="0.25">
      <c r="B6" t="s">
        <v>80</v>
      </c>
      <c r="C6" s="9">
        <v>568.5</v>
      </c>
      <c r="D6" s="9">
        <v>979.7</v>
      </c>
      <c r="E6" s="9">
        <v>1409.3</v>
      </c>
      <c r="F6" s="9">
        <v>2205.6</v>
      </c>
      <c r="G6" s="9">
        <v>1806.5</v>
      </c>
      <c r="H6" s="9">
        <v>3090.8</v>
      </c>
      <c r="I6" s="9">
        <v>3112.7</v>
      </c>
      <c r="J6" s="9">
        <v>3530</v>
      </c>
      <c r="K6" s="9">
        <v>3842</v>
      </c>
      <c r="L6" s="9">
        <v>5198.8999999999996</v>
      </c>
      <c r="M6" s="9">
        <v>6515.1</v>
      </c>
      <c r="N6" s="9">
        <v>7409</v>
      </c>
      <c r="O6" s="8">
        <v>8662</v>
      </c>
      <c r="P6" s="3">
        <f>O6*(1+0.06)</f>
        <v>9181.7200000000012</v>
      </c>
      <c r="Q6" s="3">
        <f>P6*(1+0.06)</f>
        <v>9732.6232000000018</v>
      </c>
      <c r="R6" s="3">
        <f>Q6*(1+0.06)</f>
        <v>10316.580592000002</v>
      </c>
      <c r="S6" s="3">
        <f>R6*(1+0.04)</f>
        <v>10729.243815680002</v>
      </c>
      <c r="T6" s="3">
        <f>S6*(1+0.04)</f>
        <v>11158.413568307202</v>
      </c>
      <c r="U6" s="3">
        <f>T6*(1+0.04)</f>
        <v>11604.75011103949</v>
      </c>
      <c r="V6" s="3">
        <f>U6*(1+0.04)</f>
        <v>12068.940115481069</v>
      </c>
      <c r="W6" s="3">
        <f>V6*(1+0.03)</f>
        <v>12431.008318945502</v>
      </c>
      <c r="X6" s="3">
        <f>W6*(1+0.03)</f>
        <v>12803.938568513868</v>
      </c>
      <c r="Y6" s="3">
        <f>X6*(1+0.03)</f>
        <v>13188.056725569284</v>
      </c>
      <c r="Z6" s="3">
        <f>Y6*(1+0.03)</f>
        <v>13583.698427336363</v>
      </c>
      <c r="AA6" s="3">
        <f>Z6*(1+0.02)</f>
        <v>13855.372395883091</v>
      </c>
      <c r="AB6" s="3">
        <f>AA6*(1+0.02)</f>
        <v>14132.479843800753</v>
      </c>
      <c r="AC6" s="3">
        <f>AB6*(1+0.02)</f>
        <v>14415.129440676768</v>
      </c>
      <c r="AD6" s="3">
        <f>AC6*(1+0.02)</f>
        <v>14703.432029490305</v>
      </c>
      <c r="AE6" s="3">
        <f>AD6*(1+0.013)</f>
        <v>14894.576645873676</v>
      </c>
      <c r="AF6" s="3">
        <f>AE6*(1+0.013)</f>
        <v>15088.206142270032</v>
      </c>
      <c r="AG6" s="3">
        <f>AF6*(1+0.013)</f>
        <v>15284.352822119541</v>
      </c>
      <c r="AH6" s="3">
        <f>AG6*(1+0.013)</f>
        <v>15483.049408807094</v>
      </c>
      <c r="AI6" s="3">
        <f>AH6*(1+0.009)</f>
        <v>15622.396853486356</v>
      </c>
      <c r="AJ6" s="3">
        <f>AI6*(1+0.009)</f>
        <v>15762.998425167732</v>
      </c>
      <c r="AK6" s="3">
        <f>AJ6*(1+0.009)</f>
        <v>15904.86541099424</v>
      </c>
      <c r="AL6" s="3">
        <f>AK6*(1+0.009)</f>
        <v>16048.009199693186</v>
      </c>
    </row>
    <row r="7" spans="2:38" x14ac:dyDescent="0.25">
      <c r="B7" t="s">
        <v>81</v>
      </c>
      <c r="C7" s="31"/>
      <c r="D7" s="31"/>
      <c r="E7" s="31"/>
      <c r="F7" s="9">
        <v>175.8</v>
      </c>
      <c r="G7" s="9">
        <v>517.4</v>
      </c>
      <c r="H7" s="9">
        <v>1243.2</v>
      </c>
      <c r="I7" s="9">
        <v>1257.8</v>
      </c>
      <c r="J7" s="9">
        <v>1907</v>
      </c>
      <c r="K7" s="9">
        <v>2312</v>
      </c>
      <c r="L7" s="9">
        <v>3381.4</v>
      </c>
      <c r="M7" s="9">
        <v>3588</v>
      </c>
      <c r="N7" s="9">
        <v>4261</v>
      </c>
      <c r="O7" s="8">
        <v>4160</v>
      </c>
      <c r="P7" s="3">
        <f>O7*(1+0.065)</f>
        <v>4430.3999999999996</v>
      </c>
      <c r="Q7" s="3">
        <f>P7*(1+0.065)</f>
        <v>4718.3759999999993</v>
      </c>
      <c r="R7" s="3">
        <f>Q7*(1+0.065)</f>
        <v>5025.0704399999986</v>
      </c>
      <c r="S7" s="3">
        <f>R7*(1+0.04)</f>
        <v>5226.0732575999991</v>
      </c>
      <c r="T7" s="3">
        <f>S7*(1+0.04)</f>
        <v>5435.1161879039992</v>
      </c>
      <c r="U7" s="3">
        <f>T7*(1+0.04)</f>
        <v>5652.5208354201595</v>
      </c>
      <c r="V7" s="3">
        <f>U7*(1+0.04)</f>
        <v>5878.6216688369659</v>
      </c>
      <c r="W7" s="3">
        <f>V7*(1+0.025)</f>
        <v>6025.5872105578892</v>
      </c>
      <c r="X7" s="3">
        <f>W7*(1+0.025)</f>
        <v>6176.2268908218357</v>
      </c>
      <c r="Y7" s="3">
        <f>X7*(1+0.025)</f>
        <v>6330.6325630923811</v>
      </c>
      <c r="Z7" s="3">
        <f>Y7*(1+0.025)</f>
        <v>6488.8983771696903</v>
      </c>
      <c r="AA7" s="3">
        <f>Z7*(1+0.016)</f>
        <v>6592.7207512044051</v>
      </c>
      <c r="AB7" s="3">
        <f>AA7*(1+0.016)</f>
        <v>6698.2042832236757</v>
      </c>
      <c r="AC7" s="3">
        <f>AB7*(1+0.016)</f>
        <v>6805.3755517552545</v>
      </c>
      <c r="AD7" s="3">
        <f>AC7*(1+0.016)</f>
        <v>6914.2615605833389</v>
      </c>
      <c r="AE7" s="3">
        <f>AD7*(1+0.009)</f>
        <v>6976.4899146285879</v>
      </c>
      <c r="AF7" s="3">
        <f>AE7*(1+0.009)</f>
        <v>7039.2783238602442</v>
      </c>
      <c r="AG7" s="3">
        <f>AF7*(1+0.009)</f>
        <v>7102.6318287749855</v>
      </c>
      <c r="AH7" s="3">
        <f>AG7*(1+0.009)</f>
        <v>7166.5555152339593</v>
      </c>
      <c r="AI7" s="3">
        <f>AH7*(1+0.005)</f>
        <v>7202.3882928101284</v>
      </c>
      <c r="AJ7" s="3">
        <f>AI7*(1+0.005)</f>
        <v>7238.4002342741787</v>
      </c>
      <c r="AK7" s="3">
        <f>AJ7*(1+0.005)</f>
        <v>7274.5922354455488</v>
      </c>
      <c r="AL7" s="3">
        <f>AK7*(1+0.005)</f>
        <v>7310.9651966227757</v>
      </c>
    </row>
    <row r="8" spans="2:38" x14ac:dyDescent="0.25">
      <c r="B8" t="s">
        <v>64</v>
      </c>
      <c r="C8" s="9">
        <v>1977.1</v>
      </c>
      <c r="D8" s="9">
        <v>1812.5</v>
      </c>
      <c r="E8" s="9">
        <v>1673.6</v>
      </c>
      <c r="F8" s="9">
        <v>1669.3</v>
      </c>
      <c r="G8" s="9">
        <v>1456.3</v>
      </c>
      <c r="H8" s="9">
        <v>1245.5999999999999</v>
      </c>
      <c r="I8" s="9">
        <v>1301.4000000000001</v>
      </c>
      <c r="J8" s="9">
        <v>1250.2</v>
      </c>
      <c r="K8" s="9">
        <v>1095</v>
      </c>
      <c r="L8" s="9">
        <v>1092.2</v>
      </c>
      <c r="M8" s="9">
        <v>1051.8</v>
      </c>
      <c r="N8" s="9">
        <f>4276-M8-L8-K8</f>
        <v>1037</v>
      </c>
      <c r="O8" s="8">
        <v>919</v>
      </c>
      <c r="P8" s="3">
        <f>O8*(1+-0.05)</f>
        <v>873.05</v>
      </c>
      <c r="Q8" s="3">
        <f>P8*(1+-0.05)</f>
        <v>829.39749999999992</v>
      </c>
      <c r="R8" s="3">
        <f>Q8*(1+-0.05)</f>
        <v>787.92762499999992</v>
      </c>
      <c r="S8" s="3">
        <f>R8*(1+-0.12)</f>
        <v>693.37630999999999</v>
      </c>
      <c r="T8" s="3">
        <f>S8*(1+-0.12)</f>
        <v>610.17115279999996</v>
      </c>
      <c r="U8" s="3">
        <f>T8*(1+-0.12)</f>
        <v>536.95061446399995</v>
      </c>
      <c r="V8" s="3">
        <f>U8*(1+-0.12)</f>
        <v>472.51654072831997</v>
      </c>
      <c r="W8" s="3">
        <f>V8*(1+-0.12)</f>
        <v>415.81455584092157</v>
      </c>
      <c r="X8" s="3">
        <f>W8*(1+-0.12)</f>
        <v>365.91680914001097</v>
      </c>
      <c r="Y8" s="3">
        <f>X8*(1+-0.12)</f>
        <v>322.00679204320966</v>
      </c>
      <c r="Z8" s="3">
        <f>Y8*(1+-0.12)</f>
        <v>283.36597699802451</v>
      </c>
      <c r="AA8" s="3">
        <f>Z8*(1+-0.1)</f>
        <v>255.02937929822207</v>
      </c>
      <c r="AB8" s="3">
        <f>AA8*(1+-0.1)</f>
        <v>229.52644136839987</v>
      </c>
      <c r="AC8" s="3">
        <f>AB8*(1+-0.1)</f>
        <v>206.57379723155989</v>
      </c>
      <c r="AD8" s="3">
        <f>AC8*(1+-0.1)</f>
        <v>185.9164175084039</v>
      </c>
      <c r="AE8" s="3">
        <f>AD8*(1+-0.08)</f>
        <v>171.04310410773158</v>
      </c>
      <c r="AF8" s="3">
        <f>AE8*(1+-0.08)</f>
        <v>157.35965577911307</v>
      </c>
      <c r="AG8" s="3">
        <f>AF8*(1+-0.08)</f>
        <v>144.77088331678402</v>
      </c>
      <c r="AH8" s="3">
        <f>AG8*(1+-0.08)</f>
        <v>133.1892126514413</v>
      </c>
      <c r="AI8" s="3">
        <f>AH8*(1+-0.06)</f>
        <v>125.19785989235481</v>
      </c>
      <c r="AJ8" s="3">
        <f>AI8*(1+-0.06)</f>
        <v>117.68598829881351</v>
      </c>
      <c r="AK8" s="3">
        <f>AJ8*(1+-0.06)</f>
        <v>110.6248290008847</v>
      </c>
      <c r="AL8" s="3">
        <f>AK8*(1+-0.06)</f>
        <v>103.98733926083162</v>
      </c>
    </row>
    <row r="9" spans="2:38" x14ac:dyDescent="0.25">
      <c r="B9" s="32" t="s">
        <v>100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52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150</v>
      </c>
      <c r="X9" s="3">
        <f>W9*(1+0.35)</f>
        <v>202.5</v>
      </c>
      <c r="Y9" s="3">
        <f>X9*(1+0.35)</f>
        <v>273.375</v>
      </c>
      <c r="Z9" s="3">
        <f>Y9*(1+0.35)</f>
        <v>369.05625000000003</v>
      </c>
      <c r="AA9" s="3">
        <f>Z9*(1+0.22)</f>
        <v>450.248625</v>
      </c>
      <c r="AB9" s="3">
        <f>AA9*(1+0.22)</f>
        <v>549.30332250000004</v>
      </c>
      <c r="AC9" s="3">
        <f>AB9*(1+0.22)</f>
        <v>670.15005344999997</v>
      </c>
      <c r="AD9" s="3">
        <f>AC9*(1+0.22)</f>
        <v>817.58306520899998</v>
      </c>
      <c r="AE9" s="3">
        <f>AD9*(1+0.12)</f>
        <v>915.69303303408003</v>
      </c>
      <c r="AF9" s="3">
        <f>AE9*(1+0.12)</f>
        <v>1025.5761969981697</v>
      </c>
      <c r="AG9" s="3">
        <f>AF9*(1+0.12)</f>
        <v>1148.6453406379503</v>
      </c>
      <c r="AH9" s="3">
        <f>AG9*(1+0.12)</f>
        <v>1286.4827815145045</v>
      </c>
      <c r="AI9" s="3">
        <f>AH9*(1+0.08)</f>
        <v>1389.4014040356649</v>
      </c>
      <c r="AJ9" s="3">
        <f>AI9*(1+0.08)</f>
        <v>1500.5535163585182</v>
      </c>
      <c r="AK9" s="3">
        <f>AJ9*(1+0.08)</f>
        <v>1620.5977976671998</v>
      </c>
      <c r="AL9" s="3">
        <f>AK9*(1+0.08)</f>
        <v>1750.2456214805759</v>
      </c>
    </row>
    <row r="10" spans="2:38" x14ac:dyDescent="0.25">
      <c r="B10" s="32" t="s">
        <v>82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52"/>
      <c r="P10" s="3">
        <v>50</v>
      </c>
      <c r="Q10" s="3">
        <v>300</v>
      </c>
      <c r="R10" s="3">
        <v>550</v>
      </c>
      <c r="S10" s="3">
        <f>R10*(1+0.14)</f>
        <v>627.00000000000011</v>
      </c>
      <c r="T10" s="3">
        <f>S10*(1+0.14)</f>
        <v>714.7800000000002</v>
      </c>
      <c r="U10" s="3">
        <f>T10*(1+0.14)</f>
        <v>814.84920000000034</v>
      </c>
      <c r="V10" s="3">
        <f>U10*(1+0.14)</f>
        <v>928.92808800000046</v>
      </c>
      <c r="W10" s="3">
        <f>V10*(1+0.1)</f>
        <v>1021.8208968000006</v>
      </c>
      <c r="X10" s="3">
        <f>W10*(1+0.1)</f>
        <v>1124.0029864800008</v>
      </c>
      <c r="Y10" s="3">
        <f>X10*(1+0.1)</f>
        <v>1236.403285128001</v>
      </c>
      <c r="Z10" s="3">
        <f>Y10*(1+0.1)</f>
        <v>1360.0436136408011</v>
      </c>
      <c r="AA10" s="3">
        <f>Z10*(1+0.07)</f>
        <v>1455.2466665956574</v>
      </c>
      <c r="AB10" s="3">
        <f>AA10*(1+0.07)</f>
        <v>1557.1139332573534</v>
      </c>
      <c r="AC10" s="3">
        <f>AB10*(1+0.07)</f>
        <v>1666.1119085853684</v>
      </c>
      <c r="AD10" s="3">
        <f>AC10*(1+0.07)</f>
        <v>1782.7397421863443</v>
      </c>
      <c r="AE10" s="3">
        <f>AD10*(1+0.05)</f>
        <v>1871.8767292956616</v>
      </c>
      <c r="AF10" s="3">
        <f>AE10*(1+0.05)</f>
        <v>1965.4705657604447</v>
      </c>
      <c r="AG10" s="3">
        <f>AF10*(1+0.05)</f>
        <v>2063.7440940484671</v>
      </c>
      <c r="AH10" s="3">
        <f>AG10*(1+0.05)</f>
        <v>2166.9312987508906</v>
      </c>
      <c r="AI10" s="3">
        <f>AH10*(1+0.035)</f>
        <v>2242.7738942071715</v>
      </c>
      <c r="AJ10" s="3">
        <f>AI10*(1+0.035)</f>
        <v>2321.2709805044224</v>
      </c>
      <c r="AK10" s="3">
        <f>AJ10*(1+0.035)</f>
        <v>2402.5154648220769</v>
      </c>
      <c r="AL10" s="3">
        <f>AK10*(1+0.035)</f>
        <v>2486.6035060908494</v>
      </c>
    </row>
    <row r="11" spans="2:38" x14ac:dyDescent="0.25">
      <c r="B11" t="s">
        <v>129</v>
      </c>
      <c r="C11" s="9">
        <v>209.3</v>
      </c>
      <c r="D11" s="9">
        <v>154.19999999999999</v>
      </c>
      <c r="E11" s="9">
        <v>179.6</v>
      </c>
      <c r="F11" s="9">
        <f>728.3-E11-D11-C11</f>
        <v>185.19999999999993</v>
      </c>
      <c r="G11" s="9">
        <v>157.6</v>
      </c>
      <c r="H11" s="9">
        <v>180.8</v>
      </c>
      <c r="I11" s="9">
        <v>161.6</v>
      </c>
      <c r="J11" s="9">
        <v>176.9</v>
      </c>
      <c r="K11" s="9">
        <v>173.6</v>
      </c>
      <c r="L11" s="9">
        <v>145</v>
      </c>
      <c r="M11" s="9">
        <v>162.19999999999999</v>
      </c>
      <c r="N11" s="9">
        <f t="shared" ref="N11" si="1">+J11</f>
        <v>176.9</v>
      </c>
      <c r="O11" s="8">
        <f>+K11-10</f>
        <v>163.6</v>
      </c>
      <c r="P11" s="3">
        <f>O11*(1+-0.01)</f>
        <v>161.964</v>
      </c>
      <c r="Q11" s="3">
        <f>P11*(1+-0.01)</f>
        <v>160.34435999999999</v>
      </c>
      <c r="R11" s="3">
        <f>Q11*(1+-0.01)</f>
        <v>158.7409164</v>
      </c>
      <c r="S11" s="3">
        <f>R11*(1+-0.01)</f>
        <v>157.153507236</v>
      </c>
      <c r="T11" s="3">
        <f>S11*(1+-0.01)</f>
        <v>155.58197216363999</v>
      </c>
      <c r="U11" s="3">
        <f>T11*(1+-0.01)</f>
        <v>154.02615244200359</v>
      </c>
      <c r="V11" s="3">
        <f>U11*(1+-0.01)</f>
        <v>152.48589091758356</v>
      </c>
      <c r="W11" s="3">
        <f>V11*(1+-0.01)</f>
        <v>150.96103200840773</v>
      </c>
      <c r="X11" s="3">
        <f>W11*(1+-0.01)</f>
        <v>149.45142168832365</v>
      </c>
      <c r="Y11" s="3">
        <f>X11*(1+-0.01)</f>
        <v>147.95690747144042</v>
      </c>
      <c r="Z11" s="3">
        <f>Y11*(1+-0.01)</f>
        <v>146.477338396726</v>
      </c>
      <c r="AA11" s="3">
        <f>Z11*(1+-0.01)</f>
        <v>145.01256501275873</v>
      </c>
      <c r="AB11" s="3">
        <f>AA11*(1+-0.01)</f>
        <v>143.56243936263115</v>
      </c>
      <c r="AC11" s="3">
        <f>AB11*(1+-0.01)</f>
        <v>142.12681496900484</v>
      </c>
      <c r="AD11" s="3">
        <f>AC11*(1+-0.01)</f>
        <v>140.7055468193148</v>
      </c>
      <c r="AE11" s="3">
        <f>AD11*(1+-0.01)</f>
        <v>139.29849135112167</v>
      </c>
      <c r="AF11" s="3">
        <f>AE11*(1+-0.01)</f>
        <v>137.90550643761046</v>
      </c>
      <c r="AG11" s="3">
        <f>AF11*(1+-0.01)</f>
        <v>136.52645137323435</v>
      </c>
      <c r="AH11" s="3">
        <f>AG11*(1+-0.01)</f>
        <v>135.16118685950201</v>
      </c>
      <c r="AI11" s="3">
        <f>AH11*(1+-0.01)</f>
        <v>133.80957499090698</v>
      </c>
      <c r="AJ11" s="3">
        <f>AI11*(1+-0.01)</f>
        <v>132.47147924099792</v>
      </c>
      <c r="AK11" s="3">
        <f>AJ11*(1+-0.01)</f>
        <v>131.14676444858793</v>
      </c>
      <c r="AL11" s="3">
        <f>AK11*(1+-0.01)</f>
        <v>129.83529680410206</v>
      </c>
    </row>
    <row r="12" spans="2:38" x14ac:dyDescent="0.25">
      <c r="B12" t="s">
        <v>83</v>
      </c>
      <c r="C12" s="9">
        <v>460.9</v>
      </c>
      <c r="D12" s="9">
        <v>440.4</v>
      </c>
      <c r="E12" s="9">
        <v>395.4</v>
      </c>
      <c r="F12" s="9">
        <v>366.6</v>
      </c>
      <c r="G12" s="9">
        <v>538.70000000000005</v>
      </c>
      <c r="H12" s="9">
        <v>631.6</v>
      </c>
      <c r="I12" s="9">
        <v>534.6</v>
      </c>
      <c r="J12" s="9">
        <v>619.9</v>
      </c>
      <c r="K12" s="9">
        <v>537.20000000000005</v>
      </c>
      <c r="L12" s="9">
        <v>503.1</v>
      </c>
      <c r="M12" s="9">
        <v>599.1</v>
      </c>
      <c r="N12" s="9">
        <f>+M12-5</f>
        <v>594.1</v>
      </c>
      <c r="O12" s="8">
        <f>+N12--15</f>
        <v>609.1</v>
      </c>
      <c r="P12" s="3">
        <f>O12*(1+-0.0075)</f>
        <v>604.5317500000001</v>
      </c>
      <c r="Q12" s="3">
        <f>P12*(1+-0.0075)</f>
        <v>599.99776187500015</v>
      </c>
      <c r="R12" s="3">
        <f>Q12*(1+-0.0075)</f>
        <v>595.49777866093768</v>
      </c>
      <c r="S12" s="3">
        <f>R12*(1+-0.0075)</f>
        <v>591.03154532098063</v>
      </c>
      <c r="T12" s="3">
        <f>S12*(1+-0.0075)</f>
        <v>586.59880873107329</v>
      </c>
      <c r="U12" s="3">
        <f>T12*(1+-0.0075)</f>
        <v>582.19931766559023</v>
      </c>
      <c r="V12" s="3">
        <f>U12*(1+-0.0075)</f>
        <v>577.83282278309832</v>
      </c>
      <c r="W12" s="3">
        <f>V12*(1+-0.0075)</f>
        <v>573.49907661222517</v>
      </c>
      <c r="X12" s="3">
        <f>W12*(1+-0.0075)</f>
        <v>569.19783353763353</v>
      </c>
      <c r="Y12" s="3">
        <f>X12*(1+-0.0075)</f>
        <v>564.9288497861013</v>
      </c>
      <c r="Z12" s="3">
        <f>Y12*(1+-0.0075)</f>
        <v>560.69188341270558</v>
      </c>
      <c r="AA12" s="3">
        <f>Z12*(1+-0.0075)</f>
        <v>556.48669428711037</v>
      </c>
      <c r="AB12" s="3">
        <f>AA12*(1+-0.0075)</f>
        <v>552.31304407995708</v>
      </c>
      <c r="AC12" s="3">
        <f>AB12*(1+-0.0075)</f>
        <v>548.17069624935743</v>
      </c>
      <c r="AD12" s="3">
        <f>AC12*(1+-0.0075)</f>
        <v>544.05941602748726</v>
      </c>
      <c r="AE12" s="3">
        <f>AD12*(1+-0.0075)</f>
        <v>539.97897040728117</v>
      </c>
      <c r="AF12" s="3">
        <f>AE12*(1+-0.0075)</f>
        <v>535.92912812922657</v>
      </c>
      <c r="AG12" s="3">
        <f>AF12*(1+-0.0075)</f>
        <v>531.9096596682574</v>
      </c>
      <c r="AH12" s="3">
        <f>AG12*(1+-0.0075)</f>
        <v>527.92033722074552</v>
      </c>
      <c r="AI12" s="3">
        <f>AH12*(1+-0.0075)</f>
        <v>523.96093469158996</v>
      </c>
      <c r="AJ12" s="3">
        <f>AI12*(1+-0.0075)</f>
        <v>520.03122768140304</v>
      </c>
      <c r="AK12" s="3">
        <f>AJ12*(1+-0.0075)</f>
        <v>516.1309934737925</v>
      </c>
      <c r="AL12" s="3">
        <f>AK12*(1+-0.0075)</f>
        <v>512.26001102273904</v>
      </c>
    </row>
    <row r="13" spans="2:38" x14ac:dyDescent="0.25">
      <c r="B13" t="s">
        <v>130</v>
      </c>
      <c r="C13" s="9">
        <v>252</v>
      </c>
      <c r="D13" s="9">
        <v>205.3</v>
      </c>
      <c r="E13" s="9">
        <v>206.7</v>
      </c>
      <c r="F13" s="9">
        <f>852.1-E13-D13-C13</f>
        <v>188.10000000000008</v>
      </c>
      <c r="G13" s="9">
        <v>206.2</v>
      </c>
      <c r="H13" s="9">
        <v>223.6</v>
      </c>
      <c r="I13" s="9">
        <v>207.1</v>
      </c>
      <c r="J13" s="9">
        <v>280.3</v>
      </c>
      <c r="K13" s="9">
        <v>173.2</v>
      </c>
      <c r="L13" s="9">
        <v>175.2</v>
      </c>
      <c r="M13" s="9">
        <v>176.6</v>
      </c>
      <c r="N13" s="9">
        <f>+J13</f>
        <v>280.3</v>
      </c>
      <c r="O13" s="8">
        <f>+K13-10</f>
        <v>163.19999999999999</v>
      </c>
      <c r="P13" s="3">
        <f>O13*(1+-0.013)</f>
        <v>161.07839999999999</v>
      </c>
      <c r="Q13" s="3">
        <f>P13*(1+-0.013)</f>
        <v>158.9843808</v>
      </c>
      <c r="R13" s="3">
        <f>Q13*(1+-0.013)</f>
        <v>156.91758384959999</v>
      </c>
      <c r="S13" s="3">
        <f>R13*(1+-0.013)</f>
        <v>154.87765525955518</v>
      </c>
      <c r="T13" s="3">
        <f>S13*(1+-0.013)</f>
        <v>152.86424574118095</v>
      </c>
      <c r="U13" s="3">
        <f>T13*(1+-0.013)</f>
        <v>150.87701054654559</v>
      </c>
      <c r="V13" s="3">
        <f>U13*(1+-0.013)</f>
        <v>148.91560940944049</v>
      </c>
      <c r="W13" s="3">
        <f>V13*(1+-0.013)</f>
        <v>146.97970648711777</v>
      </c>
      <c r="X13" s="3">
        <f>W13*(1+-0.013)</f>
        <v>145.06897030278523</v>
      </c>
      <c r="Y13" s="3">
        <f>X13*(1+-0.013)</f>
        <v>143.18307368884902</v>
      </c>
      <c r="Z13" s="3">
        <f>Y13*(1+-0.013)</f>
        <v>141.32169373089397</v>
      </c>
      <c r="AA13" s="3">
        <f>Z13*(1+-0.013)</f>
        <v>139.48451171239233</v>
      </c>
      <c r="AB13" s="3">
        <f>AA13*(1+-0.013)</f>
        <v>137.67121306013124</v>
      </c>
      <c r="AC13" s="3">
        <f>AB13*(1+-0.013)</f>
        <v>135.88148729034953</v>
      </c>
      <c r="AD13" s="3">
        <f>AC13*(1+-0.013)</f>
        <v>134.11502795557499</v>
      </c>
      <c r="AE13" s="3">
        <f>AD13*(1+-0.013)</f>
        <v>132.37153259215251</v>
      </c>
      <c r="AF13" s="3">
        <f>AE13*(1+-0.013)</f>
        <v>130.65070266845453</v>
      </c>
      <c r="AG13" s="3">
        <f>AF13*(1+-0.013)</f>
        <v>128.95224353376463</v>
      </c>
      <c r="AH13" s="3">
        <f>AG13*(1+-0.013)</f>
        <v>127.27586436782569</v>
      </c>
      <c r="AI13" s="3">
        <f>AH13*(1+-0.013)</f>
        <v>125.62127813104395</v>
      </c>
      <c r="AJ13" s="3">
        <f>AI13*(1+-0.013)</f>
        <v>123.98820151534038</v>
      </c>
      <c r="AK13" s="3">
        <f>AJ13*(1+-0.013)</f>
        <v>122.37635489564096</v>
      </c>
      <c r="AL13" s="3">
        <f>AK13*(1+-0.013)</f>
        <v>120.78546228199762</v>
      </c>
    </row>
    <row r="14" spans="2:38" x14ac:dyDescent="0.25">
      <c r="B14" t="s">
        <v>63</v>
      </c>
      <c r="C14" s="9">
        <v>577.5</v>
      </c>
      <c r="D14" s="9">
        <v>668.3</v>
      </c>
      <c r="E14" s="9">
        <v>700.8</v>
      </c>
      <c r="F14" s="9">
        <v>798.1</v>
      </c>
      <c r="G14" s="9">
        <v>686.5</v>
      </c>
      <c r="H14" s="9">
        <v>1243.2</v>
      </c>
      <c r="I14" s="9">
        <v>686.4</v>
      </c>
      <c r="J14" s="9">
        <v>1198.4000000000001</v>
      </c>
      <c r="K14" s="9">
        <v>1014</v>
      </c>
      <c r="L14" s="9">
        <v>690</v>
      </c>
      <c r="M14" s="9">
        <v>959</v>
      </c>
      <c r="N14" s="9">
        <f>3431-K14-L14-M14</f>
        <v>768</v>
      </c>
      <c r="O14" s="8">
        <v>1114</v>
      </c>
      <c r="P14" s="3">
        <v>864</v>
      </c>
      <c r="Q14" s="3">
        <f>P14*(1+-0.02)</f>
        <v>846.72</v>
      </c>
      <c r="R14" s="3">
        <f>Q14*(1+-0.02)</f>
        <v>829.78560000000004</v>
      </c>
      <c r="S14" s="3">
        <f>R14*(1+-0.03)</f>
        <v>804.89203199999997</v>
      </c>
      <c r="T14" s="3">
        <f>S14*(1+-0.03)</f>
        <v>780.74527103999992</v>
      </c>
      <c r="U14" s="3">
        <f>T14*(1+-0.03)</f>
        <v>757.32291290879994</v>
      </c>
      <c r="V14" s="3">
        <f>U14*(1+-0.03)</f>
        <v>734.60322552153593</v>
      </c>
      <c r="W14" s="3">
        <f>V14*(1+-0.08)</f>
        <v>675.83496747981303</v>
      </c>
      <c r="X14" s="3">
        <f>W14*(1+-0.08)</f>
        <v>621.76817008142802</v>
      </c>
      <c r="Y14" s="3">
        <f>X14*(1+-0.08)</f>
        <v>572.02671647491377</v>
      </c>
      <c r="Z14" s="3">
        <f>Y14*(1+-0.08)</f>
        <v>526.26457915692072</v>
      </c>
      <c r="AA14" s="3">
        <f>Z14*(1+-0.15)</f>
        <v>447.32489228338261</v>
      </c>
      <c r="AB14" s="3">
        <f>AA14*(1+-0.15)</f>
        <v>380.22615844087522</v>
      </c>
      <c r="AC14" s="3">
        <f>AB14*(1+-0.15)</f>
        <v>323.19223467474393</v>
      </c>
      <c r="AD14" s="3">
        <f>AC14*(1+-0.15)</f>
        <v>274.71339947353232</v>
      </c>
      <c r="AE14" s="3">
        <f>AD14*(1+-0.12)</f>
        <v>241.74779153670843</v>
      </c>
      <c r="AF14" s="3">
        <f>AE14*(1+-0.12)</f>
        <v>212.73805655230342</v>
      </c>
      <c r="AG14" s="3">
        <f>AF14*(1+-0.12)</f>
        <v>187.20948976602702</v>
      </c>
      <c r="AH14" s="3">
        <f>AG14*(1+-0.12)</f>
        <v>164.74435099410377</v>
      </c>
      <c r="AI14" s="3">
        <f>AH14*(1+-0.08)</f>
        <v>151.56480291457547</v>
      </c>
      <c r="AJ14" s="3">
        <f>AI14*(1+-0.08)</f>
        <v>139.43961868140943</v>
      </c>
      <c r="AK14" s="3">
        <f>AJ14*(1+-0.08)</f>
        <v>128.28444918689667</v>
      </c>
      <c r="AL14" s="3">
        <f>AK14*(1+-0.08)</f>
        <v>118.02169325194494</v>
      </c>
    </row>
    <row r="15" spans="2:38" x14ac:dyDescent="0.25">
      <c r="B15" s="33" t="s">
        <v>131</v>
      </c>
      <c r="C15" s="10">
        <f>SUM(C16:C22)</f>
        <v>1230.0000000000002</v>
      </c>
      <c r="D15" s="10">
        <f t="shared" ref="D15:AL15" si="2">SUM(D16:D22)</f>
        <v>1518.6</v>
      </c>
      <c r="E15" s="10">
        <f t="shared" si="2"/>
        <v>1596.7</v>
      </c>
      <c r="F15" s="10">
        <f t="shared" si="2"/>
        <v>1736.2</v>
      </c>
      <c r="G15" s="10">
        <f t="shared" si="2"/>
        <v>1660.7</v>
      </c>
      <c r="H15" s="10">
        <f t="shared" si="2"/>
        <v>2043.2000000000003</v>
      </c>
      <c r="I15" s="10">
        <f t="shared" si="2"/>
        <v>2102.6</v>
      </c>
      <c r="J15" s="10">
        <f t="shared" si="2"/>
        <v>2328.1999999999998</v>
      </c>
      <c r="K15" s="10">
        <f t="shared" si="2"/>
        <v>1853.3000000000002</v>
      </c>
      <c r="L15" s="10">
        <f t="shared" si="2"/>
        <v>2317.6000000000004</v>
      </c>
      <c r="M15" s="10">
        <f t="shared" si="2"/>
        <v>2326</v>
      </c>
      <c r="N15" s="10">
        <f t="shared" si="2"/>
        <v>2468.5</v>
      </c>
      <c r="O15" s="7">
        <f t="shared" si="2"/>
        <v>2268.4</v>
      </c>
      <c r="P15" s="10">
        <f t="shared" si="2"/>
        <v>2315.8609999999999</v>
      </c>
      <c r="Q15" s="10">
        <f t="shared" si="2"/>
        <v>2365.1632702499996</v>
      </c>
      <c r="R15" s="10">
        <f t="shared" si="2"/>
        <v>2416.3999041443749</v>
      </c>
      <c r="S15" s="10">
        <f t="shared" si="2"/>
        <v>2456.9389924422558</v>
      </c>
      <c r="T15" s="10">
        <f t="shared" si="2"/>
        <v>2498.989826233983</v>
      </c>
      <c r="U15" s="10">
        <f t="shared" si="2"/>
        <v>2542.6306710348849</v>
      </c>
      <c r="V15" s="10">
        <f t="shared" si="2"/>
        <v>2587.9447362493693</v>
      </c>
      <c r="W15" s="10">
        <f t="shared" si="2"/>
        <v>2614.0525850873278</v>
      </c>
      <c r="X15" s="10">
        <f t="shared" si="2"/>
        <v>2641.1410148034411</v>
      </c>
      <c r="Y15" s="10">
        <f t="shared" si="2"/>
        <v>2669.2562733887257</v>
      </c>
      <c r="Z15" s="10">
        <f t="shared" si="2"/>
        <v>2698.4470012007828</v>
      </c>
      <c r="AA15" s="10">
        <f t="shared" si="2"/>
        <v>2701.7059246945928</v>
      </c>
      <c r="AB15" s="10">
        <f t="shared" si="2"/>
        <v>2705.5952330290202</v>
      </c>
      <c r="AC15" s="10">
        <f t="shared" si="2"/>
        <v>2710.1325809354616</v>
      </c>
      <c r="AD15" s="10">
        <f t="shared" si="2"/>
        <v>2715.3362844285889</v>
      </c>
      <c r="AE15" s="10">
        <f t="shared" si="2"/>
        <v>2666.3732016972076</v>
      </c>
      <c r="AF15" s="10">
        <f t="shared" si="2"/>
        <v>2620.0254131728411</v>
      </c>
      <c r="AG15" s="10">
        <f t="shared" si="2"/>
        <v>2576.2055912893097</v>
      </c>
      <c r="AH15" s="10">
        <f t="shared" si="2"/>
        <v>2534.8302961367081</v>
      </c>
      <c r="AI15" s="10">
        <f t="shared" si="2"/>
        <v>2454.0271071551256</v>
      </c>
      <c r="AJ15" s="10">
        <f t="shared" si="2"/>
        <v>2379.4582463347801</v>
      </c>
      <c r="AK15" s="10">
        <f t="shared" si="2"/>
        <v>2310.7006429972662</v>
      </c>
      <c r="AL15" s="10">
        <f t="shared" si="2"/>
        <v>2247.3610459842566</v>
      </c>
    </row>
    <row r="16" spans="2:38" x14ac:dyDescent="0.25">
      <c r="B16" t="s">
        <v>67</v>
      </c>
      <c r="C16" s="9">
        <v>750.9</v>
      </c>
      <c r="D16" s="9">
        <v>926.8</v>
      </c>
      <c r="E16" s="9">
        <v>1040.2</v>
      </c>
      <c r="F16" s="9">
        <v>1145.4000000000001</v>
      </c>
      <c r="G16" s="9">
        <v>1050.3</v>
      </c>
      <c r="H16" s="9">
        <v>1331.9</v>
      </c>
      <c r="I16" s="9">
        <v>1369.3</v>
      </c>
      <c r="J16" s="9">
        <v>1555</v>
      </c>
      <c r="K16" s="9">
        <v>1158.9000000000001</v>
      </c>
      <c r="L16" s="9">
        <v>1489.3</v>
      </c>
      <c r="M16" s="9">
        <v>1470.2</v>
      </c>
      <c r="N16" s="9">
        <v>1604</v>
      </c>
      <c r="O16" s="8">
        <v>1302</v>
      </c>
      <c r="P16" s="3">
        <f>O16*(1+0.022)</f>
        <v>1330.644</v>
      </c>
      <c r="Q16" s="3">
        <f>P16*(1+0.022)</f>
        <v>1359.9181679999999</v>
      </c>
      <c r="R16" s="3">
        <f>Q16*(1+0.022)</f>
        <v>1389.836367696</v>
      </c>
      <c r="S16" s="3">
        <f>R16*(1+0.015)</f>
        <v>1410.6839132114399</v>
      </c>
      <c r="T16" s="3">
        <f>S16*(1+0.015)</f>
        <v>1431.8441719096113</v>
      </c>
      <c r="U16" s="3">
        <f>T16*(1+0.015)</f>
        <v>1453.3218344882553</v>
      </c>
      <c r="V16" s="3">
        <f>U16*(1+0.015)</f>
        <v>1475.1216620055789</v>
      </c>
      <c r="W16" s="3">
        <f>V16*(1+0.005)</f>
        <v>1482.4972703156066</v>
      </c>
      <c r="X16" s="3">
        <f>W16*(1+0.005)</f>
        <v>1489.9097566671844</v>
      </c>
      <c r="Y16" s="3">
        <f>X16*(1+0.005)</f>
        <v>1497.3593054505202</v>
      </c>
      <c r="Z16" s="3">
        <f>Y16*(1+0.005)</f>
        <v>1504.8461019777726</v>
      </c>
      <c r="AA16" s="3">
        <f>Z16*(1+-0.0075)</f>
        <v>1493.5597562129394</v>
      </c>
      <c r="AB16" s="3">
        <f>AA16*(1+-0.0075)</f>
        <v>1482.3580580413425</v>
      </c>
      <c r="AC16" s="3">
        <f>AB16*(1+-0.0075)</f>
        <v>1471.2403726060325</v>
      </c>
      <c r="AD16" s="3">
        <f>AC16*(1+-0.0075)</f>
        <v>1460.2060698114872</v>
      </c>
      <c r="AE16" s="3">
        <f>AD16*(1+-0.04)</f>
        <v>1401.7978270190276</v>
      </c>
      <c r="AF16" s="3">
        <f>AE16*(1+-0.04)</f>
        <v>1345.7259139382666</v>
      </c>
      <c r="AG16" s="3">
        <f>AF16*(1+-0.04)</f>
        <v>1291.8968773807358</v>
      </c>
      <c r="AH16" s="3">
        <f>AG16*(1+-0.04)</f>
        <v>1240.2210022855063</v>
      </c>
      <c r="AI16" s="3">
        <f>AH16*(1+-0.07)</f>
        <v>1153.4055321255207</v>
      </c>
      <c r="AJ16" s="3">
        <f>AI16*(1+-0.07)</f>
        <v>1072.6671448767343</v>
      </c>
      <c r="AK16" s="3">
        <f>AJ16*(1+-0.07)</f>
        <v>997.58044473536279</v>
      </c>
      <c r="AL16" s="3">
        <f>AK16*(1+-0.07)</f>
        <v>927.74981360388733</v>
      </c>
    </row>
    <row r="17" spans="2:38" x14ac:dyDescent="0.25">
      <c r="B17" t="s">
        <v>133</v>
      </c>
      <c r="C17" s="9">
        <v>236.8</v>
      </c>
      <c r="D17" s="9">
        <v>260.3</v>
      </c>
      <c r="E17" s="9">
        <v>224.1</v>
      </c>
      <c r="F17" s="9">
        <v>253.6</v>
      </c>
      <c r="G17" s="9">
        <v>229.9</v>
      </c>
      <c r="H17" s="9">
        <v>248.9</v>
      </c>
      <c r="I17" s="9">
        <v>236</v>
      </c>
      <c r="J17" s="9">
        <v>258.60000000000002</v>
      </c>
      <c r="K17" s="9">
        <v>224.9</v>
      </c>
      <c r="L17" s="9">
        <v>253.7</v>
      </c>
      <c r="M17" s="9">
        <v>245.5</v>
      </c>
      <c r="N17" s="9">
        <f>+J17</f>
        <v>258.60000000000002</v>
      </c>
      <c r="O17" s="8">
        <f>+K17+34</f>
        <v>258.89999999999998</v>
      </c>
      <c r="P17" s="3">
        <f>O17*(1+-0.005)</f>
        <v>257.60549999999995</v>
      </c>
      <c r="Q17" s="3">
        <f>P17*(1+-0.005)</f>
        <v>256.31747249999995</v>
      </c>
      <c r="R17" s="3">
        <f>Q17*(1+-0.005)</f>
        <v>255.03588513749995</v>
      </c>
      <c r="S17" s="3">
        <f>R17*(1+-0.005)</f>
        <v>253.76070571181245</v>
      </c>
      <c r="T17" s="3">
        <f>S17*(1+-0.005)</f>
        <v>252.49190218325339</v>
      </c>
      <c r="U17" s="3">
        <f>T17*(1+-0.005)</f>
        <v>251.22944267233711</v>
      </c>
      <c r="V17" s="3">
        <f>U17*(1+-0.005)</f>
        <v>249.97329545897543</v>
      </c>
      <c r="W17" s="3">
        <f>V17*(1+-0.005)</f>
        <v>248.72342898168054</v>
      </c>
      <c r="X17" s="3">
        <f>W17*(1+-0.005)</f>
        <v>247.47981183677214</v>
      </c>
      <c r="Y17" s="3">
        <f>X17*(1+-0.005)</f>
        <v>246.24241277758827</v>
      </c>
      <c r="Z17" s="3">
        <f>Y17*(1+-0.005)</f>
        <v>245.01120071370033</v>
      </c>
      <c r="AA17" s="3">
        <f>Z17*(1+-0.005)</f>
        <v>243.78614471013182</v>
      </c>
      <c r="AB17" s="3">
        <f>AA17*(1+-0.005)</f>
        <v>242.56721398658115</v>
      </c>
      <c r="AC17" s="3">
        <f>AB17*(1+-0.005)</f>
        <v>241.35437791664825</v>
      </c>
      <c r="AD17" s="3">
        <f>AC17*(1+-0.005)</f>
        <v>240.147606027065</v>
      </c>
      <c r="AE17" s="3">
        <f>AD17*(1+-0.005)</f>
        <v>238.94686799692968</v>
      </c>
      <c r="AF17" s="3">
        <f>AE17*(1+-0.005)</f>
        <v>237.75213365694503</v>
      </c>
      <c r="AG17" s="3">
        <f>AF17*(1+-0.005)</f>
        <v>236.56337298866032</v>
      </c>
      <c r="AH17" s="3">
        <f>AG17*(1+-0.005)</f>
        <v>235.38055612371701</v>
      </c>
      <c r="AI17" s="3">
        <f>AH17*(1+-0.005)</f>
        <v>234.20365334309844</v>
      </c>
      <c r="AJ17" s="3">
        <f>AI17*(1+-0.005)</f>
        <v>233.03263507638295</v>
      </c>
      <c r="AK17" s="3">
        <f>AJ17*(1+-0.005)</f>
        <v>231.86747190100104</v>
      </c>
      <c r="AL17" s="3">
        <f>AK17*(1+-0.005)</f>
        <v>230.70813454149604</v>
      </c>
    </row>
    <row r="18" spans="2:38" x14ac:dyDescent="0.25">
      <c r="B18" t="s">
        <v>134</v>
      </c>
      <c r="C18" s="9">
        <v>129.9</v>
      </c>
      <c r="D18" s="9">
        <v>162.5</v>
      </c>
      <c r="E18" s="9">
        <v>153.9</v>
      </c>
      <c r="F18" s="9">
        <f>596.5-E18-D18-C18</f>
        <v>150.20000000000002</v>
      </c>
      <c r="G18" s="9">
        <v>144.6</v>
      </c>
      <c r="H18" s="9">
        <v>155.80000000000001</v>
      </c>
      <c r="I18" s="9">
        <v>152</v>
      </c>
      <c r="J18" s="9">
        <v>175</v>
      </c>
      <c r="K18" s="9">
        <v>149</v>
      </c>
      <c r="L18" s="9">
        <v>183.7</v>
      </c>
      <c r="M18" s="9">
        <v>198.6</v>
      </c>
      <c r="N18" s="9">
        <f t="shared" ref="N18" si="3">+J18</f>
        <v>175</v>
      </c>
      <c r="O18" s="8">
        <f>+K18+34</f>
        <v>183</v>
      </c>
      <c r="P18" s="3">
        <f>O18*(1+-0.0075)</f>
        <v>181.6275</v>
      </c>
      <c r="Q18" s="3">
        <f>P18*(1+-0.0075)</f>
        <v>180.26529375000001</v>
      </c>
      <c r="R18" s="3">
        <f>Q18*(1+-0.0075)</f>
        <v>178.91330404687503</v>
      </c>
      <c r="S18" s="3">
        <f>R18*(1+-0.0075)</f>
        <v>177.57145426652346</v>
      </c>
      <c r="T18" s="3">
        <f>S18*(1+-0.0075)</f>
        <v>176.23966835952453</v>
      </c>
      <c r="U18" s="3">
        <f>T18*(1+-0.0075)</f>
        <v>174.91787084682809</v>
      </c>
      <c r="V18" s="3">
        <f>U18*(1+-0.0075)</f>
        <v>173.60598681547688</v>
      </c>
      <c r="W18" s="3">
        <f>V18*(1+-0.0075)</f>
        <v>172.30394191436082</v>
      </c>
      <c r="X18" s="3">
        <f>W18*(1+-0.0075)</f>
        <v>171.01166235000312</v>
      </c>
      <c r="Y18" s="3">
        <f>X18*(1+-0.0075)</f>
        <v>169.72907488237811</v>
      </c>
      <c r="Z18" s="3">
        <f>Y18*(1+-0.0075)</f>
        <v>168.45610682076028</v>
      </c>
      <c r="AA18" s="3">
        <f>Z18*(1+-0.0075)</f>
        <v>167.19268601960459</v>
      </c>
      <c r="AB18" s="3">
        <f>AA18*(1+-0.0075)</f>
        <v>165.93874087445758</v>
      </c>
      <c r="AC18" s="3">
        <f>AB18*(1+-0.0075)</f>
        <v>164.69420031789915</v>
      </c>
      <c r="AD18" s="3">
        <f>AC18*(1+-0.0075)</f>
        <v>163.4589938155149</v>
      </c>
      <c r="AE18" s="3">
        <f>AD18*(1+-0.0075)</f>
        <v>162.23305136189856</v>
      </c>
      <c r="AF18" s="3">
        <f>AE18*(1+-0.0075)</f>
        <v>161.01630347668433</v>
      </c>
      <c r="AG18" s="3">
        <f>AF18*(1+-0.0075)</f>
        <v>159.80868120060921</v>
      </c>
      <c r="AH18" s="3">
        <f>AG18*(1+-0.0075)</f>
        <v>158.61011609160465</v>
      </c>
      <c r="AI18" s="3">
        <f>AH18*(1+-0.0075)</f>
        <v>157.42054022091762</v>
      </c>
      <c r="AJ18" s="3">
        <f>AI18*(1+-0.0075)</f>
        <v>156.23988616926073</v>
      </c>
      <c r="AK18" s="3">
        <f>AJ18*(1+-0.0075)</f>
        <v>155.06808702299128</v>
      </c>
      <c r="AL18" s="3">
        <f>AK18*(1+-0.0075)</f>
        <v>153.90507637031885</v>
      </c>
    </row>
    <row r="19" spans="2:38" x14ac:dyDescent="0.25">
      <c r="B19" t="s">
        <v>135</v>
      </c>
      <c r="C19" s="9">
        <v>51.4</v>
      </c>
      <c r="D19" s="9">
        <v>65.400000000000006</v>
      </c>
      <c r="E19" s="9">
        <v>63.4</v>
      </c>
      <c r="F19" s="9">
        <v>73.400000000000006</v>
      </c>
      <c r="G19" s="9">
        <v>69.2</v>
      </c>
      <c r="H19" s="9">
        <v>91.2</v>
      </c>
      <c r="I19" s="9">
        <v>114</v>
      </c>
      <c r="J19" s="9">
        <v>90</v>
      </c>
      <c r="K19" s="9">
        <v>91</v>
      </c>
      <c r="L19" s="9">
        <v>125.3</v>
      </c>
      <c r="M19" s="9">
        <v>112</v>
      </c>
      <c r="N19" s="9">
        <f>+M19+5</f>
        <v>117</v>
      </c>
      <c r="O19" s="8">
        <f>+N19+34</f>
        <v>151</v>
      </c>
      <c r="P19" s="3">
        <f>O19*(1+0.02)</f>
        <v>154.02000000000001</v>
      </c>
      <c r="Q19" s="3">
        <f>P19*(1+0.02)</f>
        <v>157.10040000000001</v>
      </c>
      <c r="R19" s="3">
        <f>Q19*(1+0.02)</f>
        <v>160.24240800000001</v>
      </c>
      <c r="S19" s="3">
        <f>R19*(1+0.015)</f>
        <v>162.64604412</v>
      </c>
      <c r="T19" s="3">
        <f>S19*(1+0.015)</f>
        <v>165.08573478179997</v>
      </c>
      <c r="U19" s="3">
        <f>T19*(1+0.015)</f>
        <v>167.56202080352696</v>
      </c>
      <c r="V19" s="3">
        <f>U19*(1+0.015)</f>
        <v>170.07545111557985</v>
      </c>
      <c r="W19" s="3">
        <f>V19*(1+0.01)</f>
        <v>171.77620562673565</v>
      </c>
      <c r="X19" s="3">
        <f>W19*(1+0.01)</f>
        <v>173.49396768300301</v>
      </c>
      <c r="Y19" s="3">
        <f>X19*(1+0.01)</f>
        <v>175.22890735983304</v>
      </c>
      <c r="Z19" s="3">
        <f>Y19*(1+0.01)</f>
        <v>176.98119643343136</v>
      </c>
      <c r="AA19" s="3">
        <f>Z19*(1+0.005)</f>
        <v>177.8661024155985</v>
      </c>
      <c r="AB19" s="3">
        <f>AA19*(1+0.005)</f>
        <v>178.75543292767648</v>
      </c>
      <c r="AC19" s="3">
        <f>AB19*(1+0.005)</f>
        <v>179.64921009231483</v>
      </c>
      <c r="AD19" s="3">
        <f>AC19*(1+0.005)</f>
        <v>180.54745614277638</v>
      </c>
      <c r="AE19" s="3">
        <f>AD19*(1+0)</f>
        <v>180.54745614277638</v>
      </c>
      <c r="AF19" s="3">
        <f>AE19*(1+0)</f>
        <v>180.54745614277638</v>
      </c>
      <c r="AG19" s="3">
        <f>AF19*(1+0)</f>
        <v>180.54745614277638</v>
      </c>
      <c r="AH19" s="3">
        <f>AG19*(1+0)</f>
        <v>180.54745614277638</v>
      </c>
      <c r="AI19" s="3">
        <f>AH19*(1+0)</f>
        <v>180.54745614277638</v>
      </c>
      <c r="AJ19" s="3">
        <f>AI19*(1+0)</f>
        <v>180.54745614277638</v>
      </c>
      <c r="AK19" s="3">
        <f>AJ19*(1+0)</f>
        <v>180.54745614277638</v>
      </c>
      <c r="AL19" s="3">
        <f>AK19*(1+0)</f>
        <v>180.54745614277638</v>
      </c>
    </row>
    <row r="20" spans="2:38" x14ac:dyDescent="0.25">
      <c r="B20" t="s">
        <v>136</v>
      </c>
      <c r="C20" s="9">
        <v>61</v>
      </c>
      <c r="D20" s="9">
        <v>103.6</v>
      </c>
      <c r="E20" s="9">
        <v>115.1</v>
      </c>
      <c r="F20" s="9">
        <v>113.6</v>
      </c>
      <c r="G20" s="9">
        <v>116.7</v>
      </c>
      <c r="H20" s="9">
        <v>123</v>
      </c>
      <c r="I20" s="9">
        <v>150.19999999999999</v>
      </c>
      <c r="J20" s="9">
        <v>136</v>
      </c>
      <c r="K20" s="9">
        <v>137.5</v>
      </c>
      <c r="L20" s="9">
        <v>137.30000000000001</v>
      </c>
      <c r="M20" s="9">
        <v>141.80000000000001</v>
      </c>
      <c r="N20" s="9">
        <f t="shared" ref="N20" si="4">+J20</f>
        <v>136</v>
      </c>
      <c r="O20" s="8">
        <f>+K20+34+2</f>
        <v>173.5</v>
      </c>
      <c r="P20" s="3">
        <f>O20*(1+0.024)</f>
        <v>177.66400000000002</v>
      </c>
      <c r="Q20" s="3">
        <f>P20*(1+0.024)</f>
        <v>181.92793600000002</v>
      </c>
      <c r="R20" s="3">
        <f>Q20*(1+0.024)</f>
        <v>186.29420646400001</v>
      </c>
      <c r="S20" s="3">
        <f>R20*(1+0.02)</f>
        <v>190.02009059328</v>
      </c>
      <c r="T20" s="3">
        <f>S20*(1+0.02)</f>
        <v>193.82049240514561</v>
      </c>
      <c r="U20" s="3">
        <f>T20*(1+0.02)</f>
        <v>197.69690225324854</v>
      </c>
      <c r="V20" s="3">
        <f>U20*(1+0.02)</f>
        <v>201.65084029831351</v>
      </c>
      <c r="W20" s="3">
        <f>V20*(1+0.015)</f>
        <v>204.6756029027882</v>
      </c>
      <c r="X20" s="3">
        <f>W20*(1+0.015)</f>
        <v>207.74573694633</v>
      </c>
      <c r="Y20" s="3">
        <f>X20*(1+0.015)</f>
        <v>210.86192300052494</v>
      </c>
      <c r="Z20" s="3">
        <f>Y20*(1+0.015)</f>
        <v>214.02485184553279</v>
      </c>
      <c r="AA20" s="3">
        <f>Z20*(1+0.01)</f>
        <v>216.16510036398813</v>
      </c>
      <c r="AB20" s="3">
        <f>AA20*(1+0.01)</f>
        <v>218.32675136762802</v>
      </c>
      <c r="AC20" s="3">
        <f>AB20*(1+0.01)</f>
        <v>220.51001888130429</v>
      </c>
      <c r="AD20" s="3">
        <f>AC20*(1+0.01)</f>
        <v>222.71511907011734</v>
      </c>
      <c r="AE20" s="3">
        <f>AD20*(1+0.005)</f>
        <v>223.82869466546791</v>
      </c>
      <c r="AF20" s="3">
        <f>AE20*(1+0.005)</f>
        <v>224.94783813879522</v>
      </c>
      <c r="AG20" s="3">
        <f>AF20*(1+0.005)</f>
        <v>226.07257732948918</v>
      </c>
      <c r="AH20" s="3">
        <f>AG20*(1+0.005)</f>
        <v>227.2029402161366</v>
      </c>
      <c r="AI20" s="3">
        <f>AH20*(1+0)</f>
        <v>227.2029402161366</v>
      </c>
      <c r="AJ20" s="3">
        <f>AI20*(1+0)</f>
        <v>227.2029402161366</v>
      </c>
      <c r="AK20" s="3">
        <f>AJ20*(1+0)</f>
        <v>227.2029402161366</v>
      </c>
      <c r="AL20" s="3">
        <f>AK20*(1+0)</f>
        <v>227.2029402161366</v>
      </c>
    </row>
    <row r="21" spans="2:38" x14ac:dyDescent="0.25">
      <c r="B21" t="s">
        <v>66</v>
      </c>
      <c r="C21" s="31"/>
      <c r="D21" s="31"/>
      <c r="E21" s="31"/>
      <c r="F21" s="31"/>
      <c r="G21" s="9">
        <v>50</v>
      </c>
      <c r="H21" s="9">
        <v>92.4</v>
      </c>
      <c r="I21" s="9">
        <v>81.099999999999994</v>
      </c>
      <c r="J21" s="9">
        <v>113.6</v>
      </c>
      <c r="K21" s="9">
        <v>92</v>
      </c>
      <c r="L21" s="9">
        <v>123.3</v>
      </c>
      <c r="M21" s="9">
        <v>142.9</v>
      </c>
      <c r="N21" s="9">
        <f>+M21+10</f>
        <v>152.9</v>
      </c>
      <c r="O21" s="8">
        <v>165</v>
      </c>
      <c r="P21" s="3">
        <f>O21*(1+0.068)</f>
        <v>176.22</v>
      </c>
      <c r="Q21" s="3">
        <f>P21*(1+0.068)</f>
        <v>188.20296000000002</v>
      </c>
      <c r="R21" s="3">
        <f>Q21*(1+0.068)</f>
        <v>201.00076128000003</v>
      </c>
      <c r="S21" s="3">
        <f>R21*(1+0.063)</f>
        <v>213.66380924064003</v>
      </c>
      <c r="T21" s="3">
        <f>S21*(1+0.063)</f>
        <v>227.12462922280034</v>
      </c>
      <c r="U21" s="3">
        <f>T21*(1+0.063)</f>
        <v>241.43348086383673</v>
      </c>
      <c r="V21" s="3">
        <f>U21*(1+0.063)</f>
        <v>256.64379015825841</v>
      </c>
      <c r="W21" s="3">
        <f>V21*(1+0.051)</f>
        <v>269.73262345632958</v>
      </c>
      <c r="X21" s="3">
        <f>W21*(1+0.051)</f>
        <v>283.48898725260239</v>
      </c>
      <c r="Y21" s="3">
        <f>X21*(1+0.051)</f>
        <v>297.94692560248507</v>
      </c>
      <c r="Z21" s="3">
        <f>Y21*(1+0.051)</f>
        <v>313.14221880821179</v>
      </c>
      <c r="AA21" s="3">
        <f>Z21*(1+0.036)</f>
        <v>324.4153386853074</v>
      </c>
      <c r="AB21" s="3">
        <f>AA21*(1+0.036)</f>
        <v>336.09429087797849</v>
      </c>
      <c r="AC21" s="3">
        <f>AB21*(1+0.036)</f>
        <v>348.19368534958573</v>
      </c>
      <c r="AD21" s="3">
        <f>AC21*(1+0.036)</f>
        <v>360.7286580221708</v>
      </c>
      <c r="AE21" s="3">
        <f>AD21*(1+0.024)</f>
        <v>369.3861458147029</v>
      </c>
      <c r="AF21" s="3">
        <f>AE21*(1+0.024)</f>
        <v>378.25141331425579</v>
      </c>
      <c r="AG21" s="3">
        <f>AF21*(1+0.024)</f>
        <v>387.32944723379791</v>
      </c>
      <c r="AH21" s="3">
        <f>AG21*(1+0.024)</f>
        <v>396.62535396740907</v>
      </c>
      <c r="AI21" s="3">
        <f>AH21*(1+0.017)</f>
        <v>403.36798498485501</v>
      </c>
      <c r="AJ21" s="3">
        <f>AI21*(1+0.017)</f>
        <v>410.22524072959749</v>
      </c>
      <c r="AK21" s="3">
        <f>AJ21*(1+0.017)</f>
        <v>417.19906982200058</v>
      </c>
      <c r="AL21" s="3">
        <f>AK21*(1+0.017)</f>
        <v>424.29145400897454</v>
      </c>
    </row>
    <row r="22" spans="2:38" x14ac:dyDescent="0.25">
      <c r="B22" t="s">
        <v>65</v>
      </c>
      <c r="C22" s="31"/>
      <c r="D22" s="31"/>
      <c r="E22" s="31"/>
      <c r="F22" s="31"/>
      <c r="G22" s="31"/>
      <c r="H22" s="31"/>
      <c r="I22" s="31"/>
      <c r="J22" s="31"/>
      <c r="K22" s="31"/>
      <c r="L22" s="9">
        <f t="shared" ref="L22:M22" si="5">M22-10</f>
        <v>5</v>
      </c>
      <c r="M22" s="9">
        <f t="shared" si="5"/>
        <v>15</v>
      </c>
      <c r="N22" s="9">
        <f>O22-10</f>
        <v>25</v>
      </c>
      <c r="O22" s="8">
        <v>35</v>
      </c>
      <c r="P22" s="3">
        <f>O22*(1+0.088)</f>
        <v>38.080000000000005</v>
      </c>
      <c r="Q22" s="3">
        <f>P22*(1+0.088)</f>
        <v>41.43104000000001</v>
      </c>
      <c r="R22" s="3">
        <f>Q22*(1+0.088)</f>
        <v>45.076971520000015</v>
      </c>
      <c r="S22" s="3">
        <f>R22*(1+0.078)</f>
        <v>48.59297529856002</v>
      </c>
      <c r="T22" s="3">
        <f>S22*(1+0.078)</f>
        <v>52.383227371847703</v>
      </c>
      <c r="U22" s="3">
        <f>T22*(1+0.078)</f>
        <v>56.469119106851828</v>
      </c>
      <c r="V22" s="3">
        <f>U22*(1+0.078)</f>
        <v>60.873710397186272</v>
      </c>
      <c r="W22" s="3">
        <f>V22*(1+0.057)</f>
        <v>64.343511889825891</v>
      </c>
      <c r="X22" s="3">
        <f>W22*(1+0.057)</f>
        <v>68.01109206754596</v>
      </c>
      <c r="Y22" s="3">
        <f>X22*(1+0.057)</f>
        <v>71.887724315396071</v>
      </c>
      <c r="Z22" s="3">
        <f>Y22*(1+0.057)</f>
        <v>75.985324601373648</v>
      </c>
      <c r="AA22" s="3">
        <f>Z22*(1+0.036)</f>
        <v>78.720796287023106</v>
      </c>
      <c r="AB22" s="3">
        <f>AA22*(1+0.036)</f>
        <v>81.554744953355936</v>
      </c>
      <c r="AC22" s="3">
        <f>AB22*(1+0.036)</f>
        <v>84.490715771676747</v>
      </c>
      <c r="AD22" s="3">
        <f>AC22*(1+0.036)</f>
        <v>87.53238153945712</v>
      </c>
      <c r="AE22" s="3">
        <f>AD22*(1+0.024)</f>
        <v>89.633158696404095</v>
      </c>
      <c r="AF22" s="3">
        <f>AE22*(1+0.024)</f>
        <v>91.78435450511779</v>
      </c>
      <c r="AG22" s="3">
        <f>AF22*(1+0.024)</f>
        <v>93.98717901324062</v>
      </c>
      <c r="AH22" s="3">
        <f>AG22*(1+0.024)</f>
        <v>96.242871309558396</v>
      </c>
      <c r="AI22" s="3">
        <f>AH22*(1+0.017)</f>
        <v>97.87900012182088</v>
      </c>
      <c r="AJ22" s="3">
        <f>AI22*(1+0.017)</f>
        <v>99.542943123891831</v>
      </c>
      <c r="AK22" s="3">
        <f>AJ22*(1+0.017)</f>
        <v>101.23517315699799</v>
      </c>
      <c r="AL22" s="3">
        <f>AK22*(1+0.017)</f>
        <v>102.95617110066695</v>
      </c>
    </row>
    <row r="23" spans="2:38" x14ac:dyDescent="0.25">
      <c r="B23" s="33" t="s">
        <v>137</v>
      </c>
      <c r="C23" s="10">
        <f>SUM(C24:C27)</f>
        <v>755.9</v>
      </c>
      <c r="D23" s="10">
        <f t="shared" ref="D23:AL23" si="6">SUM(D24:D27)</f>
        <v>922.8</v>
      </c>
      <c r="E23" s="10">
        <f t="shared" si="6"/>
        <v>975.6</v>
      </c>
      <c r="F23" s="10">
        <f t="shared" si="6"/>
        <v>1028.0999999999999</v>
      </c>
      <c r="G23" s="10">
        <f t="shared" si="6"/>
        <v>834</v>
      </c>
      <c r="H23" s="10">
        <f t="shared" si="6"/>
        <v>1082.3000000000002</v>
      </c>
      <c r="I23" s="10">
        <f t="shared" si="6"/>
        <v>1185.8</v>
      </c>
      <c r="J23" s="10">
        <f t="shared" si="6"/>
        <v>1290.9000000000001</v>
      </c>
      <c r="K23" s="10">
        <f t="shared" si="6"/>
        <v>1088.0999999999999</v>
      </c>
      <c r="L23" s="10">
        <f t="shared" si="6"/>
        <v>1255.5999999999999</v>
      </c>
      <c r="M23" s="10">
        <f t="shared" si="6"/>
        <v>1362.4</v>
      </c>
      <c r="N23" s="10">
        <f t="shared" si="6"/>
        <v>1535.5</v>
      </c>
      <c r="O23" s="7">
        <f t="shared" si="6"/>
        <v>1202.7</v>
      </c>
      <c r="P23" s="10">
        <f t="shared" si="6"/>
        <v>1229.2214999999999</v>
      </c>
      <c r="Q23" s="10">
        <f t="shared" si="6"/>
        <v>1257.1661424999998</v>
      </c>
      <c r="R23" s="10">
        <f t="shared" si="6"/>
        <v>1286.6303353874996</v>
      </c>
      <c r="S23" s="10">
        <f t="shared" si="6"/>
        <v>1309.6652565644999</v>
      </c>
      <c r="T23" s="10">
        <f t="shared" si="6"/>
        <v>1333.9760452180205</v>
      </c>
      <c r="U23" s="10">
        <f t="shared" si="6"/>
        <v>1359.6444779965077</v>
      </c>
      <c r="V23" s="10">
        <f t="shared" si="6"/>
        <v>1386.7577531552556</v>
      </c>
      <c r="W23" s="10">
        <f t="shared" si="6"/>
        <v>1403.9751043406377</v>
      </c>
      <c r="X23" s="10">
        <f t="shared" si="6"/>
        <v>1422.1366940491112</v>
      </c>
      <c r="Y23" s="10">
        <f t="shared" si="6"/>
        <v>1441.2903476772904</v>
      </c>
      <c r="Z23" s="10">
        <f t="shared" si="6"/>
        <v>1461.4863313708574</v>
      </c>
      <c r="AA23" s="10">
        <f t="shared" si="6"/>
        <v>1465.9082494090665</v>
      </c>
      <c r="AB23" s="10">
        <f t="shared" si="6"/>
        <v>1471.0398912324927</v>
      </c>
      <c r="AC23" s="10">
        <f t="shared" si="6"/>
        <v>1476.9000297255016</v>
      </c>
      <c r="AD23" s="10">
        <f t="shared" si="6"/>
        <v>1483.5081998006322</v>
      </c>
      <c r="AE23" s="10">
        <f t="shared" si="6"/>
        <v>1470.5600899743749</v>
      </c>
      <c r="AF23" s="10">
        <f t="shared" si="6"/>
        <v>1458.6771770169921</v>
      </c>
      <c r="AG23" s="10">
        <f t="shared" si="6"/>
        <v>1447.8418838167217</v>
      </c>
      <c r="AH23" s="10">
        <f t="shared" si="6"/>
        <v>1438.0375875068346</v>
      </c>
      <c r="AI23" s="10">
        <f t="shared" si="6"/>
        <v>1420.0815889012738</v>
      </c>
      <c r="AJ23" s="10">
        <f t="shared" si="6"/>
        <v>1403.3451415094942</v>
      </c>
      <c r="AK23" s="10">
        <f t="shared" si="6"/>
        <v>1387.7888420860957</v>
      </c>
      <c r="AL23" s="10">
        <f t="shared" si="6"/>
        <v>1373.3750186725892</v>
      </c>
    </row>
    <row r="24" spans="2:38" x14ac:dyDescent="0.25">
      <c r="B24" t="s">
        <v>68</v>
      </c>
      <c r="C24" s="31"/>
      <c r="D24" s="31"/>
      <c r="E24" s="31"/>
      <c r="F24" s="31"/>
      <c r="G24" s="9">
        <v>3.1</v>
      </c>
      <c r="H24" s="9">
        <v>4.3</v>
      </c>
      <c r="I24" s="9">
        <v>14.9</v>
      </c>
      <c r="J24" s="9">
        <v>20.399999999999999</v>
      </c>
      <c r="K24" s="9">
        <v>60.2</v>
      </c>
      <c r="L24" s="9">
        <v>86.8</v>
      </c>
      <c r="M24" s="9">
        <v>127.1</v>
      </c>
      <c r="N24" s="9">
        <f>+M24+5</f>
        <v>132.1</v>
      </c>
      <c r="O24" s="8">
        <v>145</v>
      </c>
      <c r="P24" s="3">
        <f>O24*(1+0.078)</f>
        <v>156.31</v>
      </c>
      <c r="Q24" s="3">
        <f>P24*(1+0.078)</f>
        <v>168.50218000000001</v>
      </c>
      <c r="R24" s="3">
        <f>Q24*(1+0.078)</f>
        <v>181.64535004000001</v>
      </c>
      <c r="S24" s="3">
        <f>R24*(1+0.068)</f>
        <v>193.99723384272002</v>
      </c>
      <c r="T24" s="3">
        <f>S24*(1+0.068)</f>
        <v>207.18904574402498</v>
      </c>
      <c r="U24" s="3">
        <f>T24*(1+0.068)</f>
        <v>221.27790085461868</v>
      </c>
      <c r="V24" s="3">
        <f>U24*(1+0.068)</f>
        <v>236.32479811273276</v>
      </c>
      <c r="W24" s="3">
        <f>V24*(1+0.051)</f>
        <v>248.37736281648213</v>
      </c>
      <c r="X24" s="3">
        <f>W24*(1+0.051)</f>
        <v>261.04460832012273</v>
      </c>
      <c r="Y24" s="3">
        <f>X24*(1+0.051)</f>
        <v>274.35788334444896</v>
      </c>
      <c r="Z24" s="3">
        <f>Y24*(1+0.051)</f>
        <v>288.35013539501585</v>
      </c>
      <c r="AA24" s="3">
        <f>Z24*(1+0.036)</f>
        <v>298.73074026923643</v>
      </c>
      <c r="AB24" s="3">
        <f>AA24*(1+0.036)</f>
        <v>309.48504691892896</v>
      </c>
      <c r="AC24" s="3">
        <f>AB24*(1+0.036)</f>
        <v>320.6265086080104</v>
      </c>
      <c r="AD24" s="3">
        <f>AC24*(1+0.036)</f>
        <v>332.16906291789877</v>
      </c>
      <c r="AE24" s="3">
        <f>AD24*(1+0.024)</f>
        <v>340.14112042792834</v>
      </c>
      <c r="AF24" s="3">
        <f>AE24*(1+0.024)</f>
        <v>348.3045073181986</v>
      </c>
      <c r="AG24" s="3">
        <f>AF24*(1+0.024)</f>
        <v>356.66381549383539</v>
      </c>
      <c r="AH24" s="3">
        <f>AG24*(1+0.024)</f>
        <v>365.22374706568746</v>
      </c>
      <c r="AI24" s="3">
        <f>AH24*(1+0.017)</f>
        <v>371.43255076580414</v>
      </c>
      <c r="AJ24" s="3">
        <f>AI24*(1+0.017)</f>
        <v>377.74690412882279</v>
      </c>
      <c r="AK24" s="3">
        <f>AJ24*(1+0.017)</f>
        <v>384.16860149901277</v>
      </c>
      <c r="AL24" s="3">
        <f>AK24*(1+0.017)</f>
        <v>390.69946772449595</v>
      </c>
    </row>
    <row r="25" spans="2:38" x14ac:dyDescent="0.25">
      <c r="B25" t="s">
        <v>140</v>
      </c>
      <c r="C25" s="9">
        <v>228.9</v>
      </c>
      <c r="D25" s="9">
        <v>218.9</v>
      </c>
      <c r="E25" s="9">
        <v>231.4</v>
      </c>
      <c r="F25" s="9">
        <v>243.5</v>
      </c>
      <c r="G25" s="9">
        <v>217.4</v>
      </c>
      <c r="H25" s="9">
        <v>227.7</v>
      </c>
      <c r="I25" s="9">
        <v>250.8</v>
      </c>
      <c r="J25" s="9">
        <v>261.60000000000002</v>
      </c>
      <c r="K25" s="9">
        <v>228.7</v>
      </c>
      <c r="L25" s="9">
        <v>246.4</v>
      </c>
      <c r="M25" s="9">
        <v>268.89999999999998</v>
      </c>
      <c r="N25" s="9">
        <f t="shared" ref="N25" si="7">+J25</f>
        <v>261.60000000000002</v>
      </c>
      <c r="O25" s="8">
        <f>+K25+16</f>
        <v>244.7</v>
      </c>
      <c r="P25" s="3">
        <f>O25*(1+-0.005)</f>
        <v>243.47649999999999</v>
      </c>
      <c r="Q25" s="3">
        <f>P25*(1+-0.005)</f>
        <v>242.25911749999997</v>
      </c>
      <c r="R25" s="3">
        <f>Q25*(1+-0.005)</f>
        <v>241.04782191249998</v>
      </c>
      <c r="S25" s="3">
        <f>R25*(1+-0.005)</f>
        <v>239.84258280293747</v>
      </c>
      <c r="T25" s="3">
        <f>S25*(1+-0.005)</f>
        <v>238.64336988892279</v>
      </c>
      <c r="U25" s="3">
        <f>T25*(1+-0.005)</f>
        <v>237.45015303947818</v>
      </c>
      <c r="V25" s="3">
        <f>U25*(1+-0.005)</f>
        <v>236.26290227428078</v>
      </c>
      <c r="W25" s="3">
        <f>V25*(1+-0.005)</f>
        <v>235.08158776290938</v>
      </c>
      <c r="X25" s="3">
        <f>W25*(1+-0.005)</f>
        <v>233.90617982409483</v>
      </c>
      <c r="Y25" s="3">
        <f>X25*(1+-0.005)</f>
        <v>232.73664892497436</v>
      </c>
      <c r="Z25" s="3">
        <f>Y25*(1+-0.005)</f>
        <v>231.57296568034948</v>
      </c>
      <c r="AA25" s="3">
        <f>Z25*(1+-0.005)</f>
        <v>230.41510085194773</v>
      </c>
      <c r="AB25" s="3">
        <f>AA25*(1+-0.005)</f>
        <v>229.263025347688</v>
      </c>
      <c r="AC25" s="3">
        <f>AB25*(1+-0.005)</f>
        <v>228.11671022094956</v>
      </c>
      <c r="AD25" s="3">
        <f>AC25*(1+-0.005)</f>
        <v>226.9761266698448</v>
      </c>
      <c r="AE25" s="3">
        <f>AD25*(1+-0.005)</f>
        <v>225.84124603649559</v>
      </c>
      <c r="AF25" s="3">
        <f>AE25*(1+-0.005)</f>
        <v>224.7120398063131</v>
      </c>
      <c r="AG25" s="3">
        <f>AF25*(1+-0.005)</f>
        <v>223.58847960728153</v>
      </c>
      <c r="AH25" s="3">
        <f>AG25*(1+-0.005)</f>
        <v>222.47053720924512</v>
      </c>
      <c r="AI25" s="3">
        <f>AH25*(1+-0.005)</f>
        <v>221.3581845231989</v>
      </c>
      <c r="AJ25" s="3">
        <f>AI25*(1+-0.005)</f>
        <v>220.2513936005829</v>
      </c>
      <c r="AK25" s="3">
        <f>AJ25*(1+-0.005)</f>
        <v>219.15013663257997</v>
      </c>
      <c r="AL25" s="3">
        <f>AK25*(1+-0.005)</f>
        <v>218.05438594941708</v>
      </c>
    </row>
    <row r="26" spans="2:38" x14ac:dyDescent="0.25">
      <c r="B26" t="s">
        <v>69</v>
      </c>
      <c r="C26" s="31"/>
      <c r="D26" s="31"/>
      <c r="E26" s="31"/>
      <c r="F26" s="31"/>
      <c r="G26" s="9">
        <v>9.4</v>
      </c>
      <c r="H26" s="9">
        <v>25.6</v>
      </c>
      <c r="I26" s="9">
        <v>40.5</v>
      </c>
      <c r="J26" s="9">
        <v>56.9</v>
      </c>
      <c r="K26" s="9">
        <v>37.200000000000003</v>
      </c>
      <c r="L26" s="9">
        <v>74.8</v>
      </c>
      <c r="M26" s="9">
        <v>64.900000000000006</v>
      </c>
      <c r="N26" s="9">
        <f>+M26+25</f>
        <v>89.9</v>
      </c>
      <c r="O26" s="8">
        <v>80</v>
      </c>
      <c r="P26" s="3">
        <f>O26*(1+0.068)</f>
        <v>85.44</v>
      </c>
      <c r="Q26" s="3">
        <f>P26*(1+0.068)</f>
        <v>91.249920000000003</v>
      </c>
      <c r="R26" s="3">
        <f>Q26*(1+0.068)</f>
        <v>97.454914560000006</v>
      </c>
      <c r="S26" s="3">
        <f>R26*(1+0.063)</f>
        <v>103.59457417727999</v>
      </c>
      <c r="T26" s="3">
        <f>S26*(1+0.063)</f>
        <v>110.12103235044863</v>
      </c>
      <c r="U26" s="3">
        <f>T26*(1+0.063)</f>
        <v>117.05865738852688</v>
      </c>
      <c r="V26" s="3">
        <f>U26*(1+0.063)</f>
        <v>124.43335280400407</v>
      </c>
      <c r="W26" s="3">
        <f>V26*(1+0.051)</f>
        <v>130.77945379700827</v>
      </c>
      <c r="X26" s="3">
        <f>W26*(1+0.051)</f>
        <v>137.44920594065567</v>
      </c>
      <c r="Y26" s="3">
        <f>X26*(1+0.051)</f>
        <v>144.45911544362912</v>
      </c>
      <c r="Z26" s="3">
        <f>Y26*(1+0.051)</f>
        <v>151.82653033125419</v>
      </c>
      <c r="AA26" s="3">
        <f>Z26*(1+0.036)</f>
        <v>157.29228542317935</v>
      </c>
      <c r="AB26" s="3">
        <f>AA26*(1+0.036)</f>
        <v>162.95480769841382</v>
      </c>
      <c r="AC26" s="3">
        <f>AB26*(1+0.036)</f>
        <v>168.82118077555671</v>
      </c>
      <c r="AD26" s="3">
        <f>AC26*(1+0.036)</f>
        <v>174.89874328347676</v>
      </c>
      <c r="AE26" s="3">
        <f>AD26*(1+0.024)</f>
        <v>179.09631312228021</v>
      </c>
      <c r="AF26" s="3">
        <f>AE26*(1+0.024)</f>
        <v>183.39462463721495</v>
      </c>
      <c r="AG26" s="3">
        <f>AF26*(1+0.024)</f>
        <v>187.79609562850811</v>
      </c>
      <c r="AH26" s="3">
        <f>AG26*(1+0.024)</f>
        <v>192.3032019235923</v>
      </c>
      <c r="AI26" s="3">
        <f>AH26*(1+0.017)</f>
        <v>195.57235635629334</v>
      </c>
      <c r="AJ26" s="3">
        <f>AI26*(1+0.017)</f>
        <v>198.8970864143503</v>
      </c>
      <c r="AK26" s="3">
        <f>AJ26*(1+0.017)</f>
        <v>202.27833688339425</v>
      </c>
      <c r="AL26" s="3">
        <f>AK26*(1+0.017)</f>
        <v>205.71706861041193</v>
      </c>
    </row>
    <row r="27" spans="2:38" x14ac:dyDescent="0.25">
      <c r="B27" t="s">
        <v>70</v>
      </c>
      <c r="C27" s="9">
        <v>527</v>
      </c>
      <c r="D27" s="9">
        <v>703.9</v>
      </c>
      <c r="E27" s="9">
        <v>744.2</v>
      </c>
      <c r="F27" s="9">
        <v>784.6</v>
      </c>
      <c r="G27" s="9">
        <v>604.1</v>
      </c>
      <c r="H27" s="9">
        <v>824.7</v>
      </c>
      <c r="I27" s="9">
        <v>879.6</v>
      </c>
      <c r="J27" s="9">
        <v>952</v>
      </c>
      <c r="K27" s="9">
        <v>762</v>
      </c>
      <c r="L27" s="9">
        <v>847.6</v>
      </c>
      <c r="M27" s="9">
        <v>901.5</v>
      </c>
      <c r="N27" s="9">
        <f>3563-K27-L27-M27</f>
        <v>1051.9000000000001</v>
      </c>
      <c r="O27" s="8">
        <v>733</v>
      </c>
      <c r="P27" s="3">
        <f>O27*(1+0.015)</f>
        <v>743.99499999999989</v>
      </c>
      <c r="Q27" s="3">
        <f>P27*(1+0.015)</f>
        <v>755.15492499999982</v>
      </c>
      <c r="R27" s="3">
        <f>Q27*(1+0.015)</f>
        <v>766.48224887499975</v>
      </c>
      <c r="S27" s="3">
        <f>R27*(1+0.0075)</f>
        <v>772.2308657415623</v>
      </c>
      <c r="T27" s="3">
        <f>S27*(1+0.0075)</f>
        <v>778.02259723462407</v>
      </c>
      <c r="U27" s="3">
        <f>T27*(1+0.0075)</f>
        <v>783.85776671388385</v>
      </c>
      <c r="V27" s="3">
        <f>U27*(1+0.0075)</f>
        <v>789.73669996423803</v>
      </c>
      <c r="W27" s="3">
        <f>V27*(1+0)</f>
        <v>789.73669996423803</v>
      </c>
      <c r="X27" s="3">
        <f>W27*(1+0)</f>
        <v>789.73669996423803</v>
      </c>
      <c r="Y27" s="3">
        <f>X27*(1+0)</f>
        <v>789.73669996423803</v>
      </c>
      <c r="Z27" s="3">
        <f>Y27*(1+0)</f>
        <v>789.73669996423803</v>
      </c>
      <c r="AA27" s="3">
        <f>Z27*(1+-0.013)</f>
        <v>779.47012286470294</v>
      </c>
      <c r="AB27" s="3">
        <f>AA27*(1+-0.013)</f>
        <v>769.33701126746178</v>
      </c>
      <c r="AC27" s="3">
        <f>AB27*(1+-0.013)</f>
        <v>759.33563012098477</v>
      </c>
      <c r="AD27" s="3">
        <f>AC27*(1+-0.013)</f>
        <v>749.46426692941202</v>
      </c>
      <c r="AE27" s="3">
        <f>AD27*(1+-0.032)</f>
        <v>725.48141038767085</v>
      </c>
      <c r="AF27" s="3">
        <f>AE27*(1+-0.032)</f>
        <v>702.26600525526533</v>
      </c>
      <c r="AG27" s="3">
        <f>AF27*(1+-0.032)</f>
        <v>679.79349308709686</v>
      </c>
      <c r="AH27" s="3">
        <f>AG27*(1+-0.032)</f>
        <v>658.04010130830977</v>
      </c>
      <c r="AI27" s="3">
        <f>AH27*(1+-0.04)</f>
        <v>631.71849725597735</v>
      </c>
      <c r="AJ27" s="3">
        <f>AI27*(1+-0.04)</f>
        <v>606.44975736573826</v>
      </c>
      <c r="AK27" s="3">
        <f>AJ27*(1+-0.04)</f>
        <v>582.19176707110876</v>
      </c>
      <c r="AL27" s="3">
        <f>AK27*(1+-0.04)</f>
        <v>558.90409638826441</v>
      </c>
    </row>
    <row r="28" spans="2:38" x14ac:dyDescent="0.25">
      <c r="B28" s="33" t="s">
        <v>138</v>
      </c>
      <c r="C28" s="10">
        <f>SUM(C29:C30)</f>
        <v>154.30000000000001</v>
      </c>
      <c r="D28" s="10">
        <f t="shared" ref="D28:AL28" si="8">SUM(D29:D30)</f>
        <v>169.3</v>
      </c>
      <c r="E28" s="10">
        <f t="shared" si="8"/>
        <v>168.5</v>
      </c>
      <c r="F28" s="10">
        <f t="shared" si="8"/>
        <v>186.1</v>
      </c>
      <c r="G28" s="10">
        <f t="shared" si="8"/>
        <v>225.7</v>
      </c>
      <c r="H28" s="10">
        <f t="shared" si="8"/>
        <v>192</v>
      </c>
      <c r="I28" s="10">
        <f t="shared" si="8"/>
        <v>204.3</v>
      </c>
      <c r="J28" s="10">
        <f t="shared" si="8"/>
        <v>257.7</v>
      </c>
      <c r="K28" s="10">
        <f t="shared" si="8"/>
        <v>146.1</v>
      </c>
      <c r="L28" s="10">
        <f t="shared" si="8"/>
        <v>249.7</v>
      </c>
      <c r="M28" s="10">
        <f t="shared" si="8"/>
        <v>246.1</v>
      </c>
      <c r="N28" s="10">
        <f t="shared" si="8"/>
        <v>370.18000000000006</v>
      </c>
      <c r="O28" s="7">
        <f>SUM(O29:O30)</f>
        <v>261.06</v>
      </c>
      <c r="P28" s="10">
        <f t="shared" si="8"/>
        <v>272.40269999999998</v>
      </c>
      <c r="Q28" s="10">
        <f t="shared" si="8"/>
        <v>284.91554250000002</v>
      </c>
      <c r="R28" s="10">
        <f t="shared" si="8"/>
        <v>298.71168181949997</v>
      </c>
      <c r="S28" s="10">
        <f t="shared" si="8"/>
        <v>312.44197411943844</v>
      </c>
      <c r="T28" s="10">
        <f t="shared" si="8"/>
        <v>327.44331382027246</v>
      </c>
      <c r="U28" s="10">
        <f t="shared" si="8"/>
        <v>343.82723918488824</v>
      </c>
      <c r="V28" s="10">
        <f t="shared" si="8"/>
        <v>361.71510541284806</v>
      </c>
      <c r="W28" s="10">
        <f t="shared" si="8"/>
        <v>376.65133161174708</v>
      </c>
      <c r="X28" s="10">
        <f t="shared" si="8"/>
        <v>392.65152319701707</v>
      </c>
      <c r="Y28" s="10">
        <f t="shared" si="8"/>
        <v>409.78778830490705</v>
      </c>
      <c r="Z28" s="10">
        <f t="shared" si="8"/>
        <v>428.13713963248119</v>
      </c>
      <c r="AA28" s="10">
        <f t="shared" si="8"/>
        <v>441.51480254232774</v>
      </c>
      <c r="AB28" s="10">
        <f t="shared" si="8"/>
        <v>455.55493952220155</v>
      </c>
      <c r="AC28" s="10">
        <f t="shared" si="8"/>
        <v>470.28851823382752</v>
      </c>
      <c r="AD28" s="10">
        <f t="shared" si="8"/>
        <v>485.74796266212945</v>
      </c>
      <c r="AE28" s="10">
        <f t="shared" si="8"/>
        <v>495.51214508187905</v>
      </c>
      <c r="AF28" s="10">
        <f t="shared" si="8"/>
        <v>505.58110133428858</v>
      </c>
      <c r="AG28" s="10">
        <f t="shared" si="8"/>
        <v>515.96356179779286</v>
      </c>
      <c r="AH28" s="10">
        <f t="shared" si="8"/>
        <v>526.66851057211466</v>
      </c>
      <c r="AI28" s="10">
        <f t="shared" si="8"/>
        <v>533.68459729988479</v>
      </c>
      <c r="AJ28" s="10">
        <f t="shared" si="8"/>
        <v>540.8489427503481</v>
      </c>
      <c r="AK28" s="10">
        <f t="shared" si="8"/>
        <v>548.16428907386126</v>
      </c>
      <c r="AL28" s="10">
        <f t="shared" si="8"/>
        <v>555.63343089546493</v>
      </c>
    </row>
    <row r="29" spans="2:38" x14ac:dyDescent="0.25">
      <c r="B29" t="s">
        <v>139</v>
      </c>
      <c r="C29" s="9">
        <v>154.30000000000001</v>
      </c>
      <c r="D29" s="9">
        <v>169.3</v>
      </c>
      <c r="E29" s="9">
        <v>168.5</v>
      </c>
      <c r="F29" s="9">
        <v>186.1</v>
      </c>
      <c r="G29" s="9">
        <v>225.7</v>
      </c>
      <c r="H29" s="9">
        <v>192</v>
      </c>
      <c r="I29" s="9">
        <v>202.9</v>
      </c>
      <c r="J29" s="9">
        <v>249.8</v>
      </c>
      <c r="K29" s="9">
        <v>124.6</v>
      </c>
      <c r="L29" s="9">
        <v>201.1</v>
      </c>
      <c r="M29" s="9">
        <v>175.7</v>
      </c>
      <c r="N29" s="9">
        <f t="shared" ref="N29:O29" si="9">+J29*1.1</f>
        <v>274.78000000000003</v>
      </c>
      <c r="O29" s="8">
        <f t="shared" si="9"/>
        <v>137.06</v>
      </c>
      <c r="P29" s="3">
        <f>O29*(1+-0.005)</f>
        <v>136.37469999999999</v>
      </c>
      <c r="Q29" s="3">
        <f>P29*(1+-0.005)</f>
        <v>135.6928265</v>
      </c>
      <c r="R29" s="3">
        <f>Q29*(1+-0.005)</f>
        <v>135.01436236749998</v>
      </c>
      <c r="S29" s="3">
        <f>R29*(1+-0.005)</f>
        <v>134.33929055566247</v>
      </c>
      <c r="T29" s="3">
        <f>S29*(1+-0.005)</f>
        <v>133.66759410288415</v>
      </c>
      <c r="U29" s="3">
        <f>T29*(1+-0.005)</f>
        <v>132.99925613236974</v>
      </c>
      <c r="V29" s="3">
        <f>U29*(1+-0.005)</f>
        <v>132.33425985170788</v>
      </c>
      <c r="W29" s="3">
        <f>V29*(1+-0.005)</f>
        <v>131.67258855244935</v>
      </c>
      <c r="X29" s="3">
        <f>W29*(1+-0.005)</f>
        <v>131.01422560968712</v>
      </c>
      <c r="Y29" s="3">
        <f>X29*(1+-0.005)</f>
        <v>130.35915448163868</v>
      </c>
      <c r="Z29" s="3">
        <f>Y29*(1+-0.005)</f>
        <v>129.70735870923048</v>
      </c>
      <c r="AA29" s="3">
        <f>Z29*(1+-0.005)</f>
        <v>129.05882191568432</v>
      </c>
      <c r="AB29" s="3">
        <f>AA29*(1+-0.005)</f>
        <v>128.41352780610589</v>
      </c>
      <c r="AC29" s="3">
        <f>AB29*(1+-0.005)</f>
        <v>127.77146016707536</v>
      </c>
      <c r="AD29" s="3">
        <f>AC29*(1+-0.005)</f>
        <v>127.13260286623998</v>
      </c>
      <c r="AE29" s="3">
        <f>AD29*(1+-0.005)</f>
        <v>126.49693985190878</v>
      </c>
      <c r="AF29" s="3">
        <f>AE29*(1+-0.005)</f>
        <v>125.86445515264923</v>
      </c>
      <c r="AG29" s="3">
        <f>AF29*(1+-0.005)</f>
        <v>125.23513287688598</v>
      </c>
      <c r="AH29" s="3">
        <f>AG29*(1+-0.005)</f>
        <v>124.60895721250155</v>
      </c>
      <c r="AI29" s="3">
        <f>AH29*(1+-0.005)</f>
        <v>123.98591242643904</v>
      </c>
      <c r="AJ29" s="3">
        <f>AI29*(1+-0.005)</f>
        <v>123.36598286430684</v>
      </c>
      <c r="AK29" s="3">
        <f>AJ29*(1+-0.005)</f>
        <v>122.74915294998532</v>
      </c>
      <c r="AL29" s="3">
        <f>AK29*(1+-0.005)</f>
        <v>122.13540718523539</v>
      </c>
    </row>
    <row r="30" spans="2:38" x14ac:dyDescent="0.25">
      <c r="B30" t="s">
        <v>71</v>
      </c>
      <c r="C30" s="31"/>
      <c r="D30" s="31"/>
      <c r="E30" s="31"/>
      <c r="F30" s="31"/>
      <c r="G30" s="31"/>
      <c r="H30" s="31"/>
      <c r="I30" s="9">
        <v>1.4</v>
      </c>
      <c r="J30" s="9">
        <v>7.9</v>
      </c>
      <c r="K30" s="9">
        <v>21.5</v>
      </c>
      <c r="L30" s="9">
        <v>48.6</v>
      </c>
      <c r="M30" s="9">
        <v>70.400000000000006</v>
      </c>
      <c r="N30" s="9">
        <f t="shared" ref="N30" si="10">+M30+25</f>
        <v>95.4</v>
      </c>
      <c r="O30" s="8">
        <v>124</v>
      </c>
      <c r="P30" s="3">
        <f>O30*(1+0.097)</f>
        <v>136.02799999999999</v>
      </c>
      <c r="Q30" s="3">
        <f>P30*(1+0.097)</f>
        <v>149.22271599999999</v>
      </c>
      <c r="R30" s="3">
        <f>Q30*(1+0.097)</f>
        <v>163.69731945199999</v>
      </c>
      <c r="S30" s="3">
        <f>R30*(1+0.088)</f>
        <v>178.102683563776</v>
      </c>
      <c r="T30" s="3">
        <f>S30*(1+0.088)</f>
        <v>193.77571971738831</v>
      </c>
      <c r="U30" s="3">
        <f>T30*(1+0.088)</f>
        <v>210.8279830525185</v>
      </c>
      <c r="V30" s="3">
        <f>U30*(1+0.088)</f>
        <v>229.38084556114015</v>
      </c>
      <c r="W30" s="3">
        <f>V30*(1+0.068)</f>
        <v>244.9787430592977</v>
      </c>
      <c r="X30" s="3">
        <f>W30*(1+0.068)</f>
        <v>261.63729758732995</v>
      </c>
      <c r="Y30" s="3">
        <f>X30*(1+0.068)</f>
        <v>279.4286338232684</v>
      </c>
      <c r="Z30" s="3">
        <f>Y30*(1+0.068)</f>
        <v>298.42978092325069</v>
      </c>
      <c r="AA30" s="3">
        <f>Z30*(1+0.047)</f>
        <v>312.45598062664345</v>
      </c>
      <c r="AB30" s="3">
        <f>AA30*(1+0.047)</f>
        <v>327.14141171609566</v>
      </c>
      <c r="AC30" s="3">
        <f>AB30*(1+0.047)</f>
        <v>342.51705806675216</v>
      </c>
      <c r="AD30" s="3">
        <f>AC30*(1+0.047)</f>
        <v>358.6153597958895</v>
      </c>
      <c r="AE30" s="3">
        <f>AD30*(1+0.029)</f>
        <v>369.01520522997026</v>
      </c>
      <c r="AF30" s="3">
        <f>AE30*(1+0.029)</f>
        <v>379.71664618163936</v>
      </c>
      <c r="AG30" s="3">
        <f>AF30*(1+0.029)</f>
        <v>390.72842892090688</v>
      </c>
      <c r="AH30" s="3">
        <f>AG30*(1+0.029)</f>
        <v>402.05955335961312</v>
      </c>
      <c r="AI30" s="3">
        <f>AH30*(1+0.019)</f>
        <v>409.69868487344576</v>
      </c>
      <c r="AJ30" s="3">
        <f>AI30*(1+0.019)</f>
        <v>417.48295988604121</v>
      </c>
      <c r="AK30" s="3">
        <f>AJ30*(1+0.019)</f>
        <v>425.41513612387598</v>
      </c>
      <c r="AL30" s="3">
        <f>AK30*(1+0.019)</f>
        <v>433.49802371022957</v>
      </c>
    </row>
    <row r="31" spans="2:38" x14ac:dyDescent="0.25">
      <c r="B31" t="s">
        <v>84</v>
      </c>
      <c r="C31" s="12">
        <f t="shared" ref="C31:N31" si="11">C35-(C5+C15+C23+C28)</f>
        <v>774.5</v>
      </c>
      <c r="D31" s="12">
        <f t="shared" si="11"/>
        <v>1441</v>
      </c>
      <c r="E31" s="12">
        <f t="shared" si="11"/>
        <v>2192.4000000000005</v>
      </c>
      <c r="F31" s="12">
        <f t="shared" si="11"/>
        <v>814.29999999999927</v>
      </c>
      <c r="G31" s="12">
        <f t="shared" si="11"/>
        <v>678.40000000000055</v>
      </c>
      <c r="H31" s="12">
        <f t="shared" si="11"/>
        <v>126.49999999999636</v>
      </c>
      <c r="I31" s="12">
        <f t="shared" si="11"/>
        <v>684.80000000000109</v>
      </c>
      <c r="J31" s="12">
        <f t="shared" si="11"/>
        <v>693.30000000000109</v>
      </c>
      <c r="K31" s="12">
        <f t="shared" si="11"/>
        <v>494.5</v>
      </c>
      <c r="L31" s="12">
        <f t="shared" si="11"/>
        <v>548.99999999999818</v>
      </c>
      <c r="M31" s="12">
        <f t="shared" si="11"/>
        <v>614.5</v>
      </c>
      <c r="N31" s="12">
        <f t="shared" si="11"/>
        <v>391.52000000000044</v>
      </c>
      <c r="O31" s="25">
        <f>O35-(O5+O15+O23+O28)</f>
        <v>275.93999999999505</v>
      </c>
      <c r="P31" s="3">
        <f>O31*(1+0.0075)</f>
        <v>278.00954999999504</v>
      </c>
      <c r="Q31" s="3">
        <f>P31*(1+0.0075)</f>
        <v>280.094621624995</v>
      </c>
      <c r="R31" s="3">
        <f>Q31*(1+0.0075)</f>
        <v>282.19533128718246</v>
      </c>
      <c r="S31" s="3">
        <f>R31*(1+0.0075)</f>
        <v>284.31179627183633</v>
      </c>
      <c r="T31" s="3">
        <f>S31*(1+0.0075)</f>
        <v>286.44413474387511</v>
      </c>
      <c r="U31" s="3">
        <f>T31*(1+0.0075)</f>
        <v>288.59246575445417</v>
      </c>
      <c r="V31" s="3">
        <f>U31*(1+0.0075)</f>
        <v>290.75690924761261</v>
      </c>
      <c r="W31" s="3">
        <f>V31*(1+0.0075)</f>
        <v>292.93758606696974</v>
      </c>
      <c r="X31" s="3">
        <f>W31*(1+0.0075)</f>
        <v>295.13461796247202</v>
      </c>
      <c r="Y31" s="3">
        <f>X31*(1+0.0075)</f>
        <v>297.34812759719057</v>
      </c>
      <c r="Z31" s="3">
        <f>Y31*(1+0.0075)</f>
        <v>299.5782385541695</v>
      </c>
      <c r="AA31" s="3">
        <f>Z31*(1+0.0075)</f>
        <v>301.82507534332581</v>
      </c>
      <c r="AB31" s="3">
        <f>AA31*(1+0.0075)</f>
        <v>304.08876340840078</v>
      </c>
      <c r="AC31" s="3">
        <f>AB31*(1+0.0075)</f>
        <v>306.36942913396382</v>
      </c>
      <c r="AD31" s="3">
        <f>AC31*(1+0.0075)</f>
        <v>308.66719985246857</v>
      </c>
      <c r="AE31" s="3">
        <f>AD31*(1+0.0075)</f>
        <v>310.9822038513621</v>
      </c>
      <c r="AF31" s="3">
        <f>AE31*(1+0.0075)</f>
        <v>313.31457038024735</v>
      </c>
      <c r="AG31" s="3">
        <f>AF31*(1+0.0075)</f>
        <v>315.66442965809921</v>
      </c>
      <c r="AH31" s="3">
        <f>AG31*(1+0.0075)</f>
        <v>318.03191288053495</v>
      </c>
      <c r="AI31" s="3">
        <f>AH31*(1+0.0075)</f>
        <v>320.41715222713896</v>
      </c>
      <c r="AJ31" s="3">
        <f>AI31*(1+0.0075)</f>
        <v>322.82028086884253</v>
      </c>
      <c r="AK31" s="3">
        <f>AJ31*(1+0.0075)</f>
        <v>325.24143297535886</v>
      </c>
      <c r="AL31" s="3">
        <f>AK31*(1+0.0075)</f>
        <v>327.68074372267409</v>
      </c>
    </row>
    <row r="32" spans="2:38" x14ac:dyDescent="0.25"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35"/>
    </row>
    <row r="33" spans="2:38" x14ac:dyDescent="0.25">
      <c r="B33" s="27"/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9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</row>
    <row r="34" spans="2:38" x14ac:dyDescent="0.25">
      <c r="B34" s="27"/>
    </row>
    <row r="35" spans="2:38" x14ac:dyDescent="0.25">
      <c r="B35" s="5" t="s">
        <v>85</v>
      </c>
      <c r="C35" s="10">
        <v>6960</v>
      </c>
      <c r="D35" s="10">
        <v>8312.1</v>
      </c>
      <c r="E35" s="10">
        <v>9498.6</v>
      </c>
      <c r="F35" s="10">
        <v>9353.4</v>
      </c>
      <c r="G35" s="10">
        <v>8768</v>
      </c>
      <c r="H35" s="10">
        <v>11302.8</v>
      </c>
      <c r="I35" s="10">
        <v>11439.1</v>
      </c>
      <c r="J35" s="10">
        <v>13532.8</v>
      </c>
      <c r="K35" s="10">
        <v>12729</v>
      </c>
      <c r="L35" s="10">
        <v>15557.7</v>
      </c>
      <c r="M35" s="10">
        <v>17600.8</v>
      </c>
      <c r="N35" s="10">
        <v>19292</v>
      </c>
      <c r="O35" s="7">
        <v>19799</v>
      </c>
      <c r="P35" s="24">
        <f>L35*(1+P49)</f>
        <v>21812.845819148752</v>
      </c>
      <c r="Q35" s="24">
        <f t="shared" ref="Q35:AH35" si="12">M35*(1+Q49)</f>
        <v>24641.119999999999</v>
      </c>
      <c r="R35" s="24">
        <f t="shared" si="12"/>
        <v>27008.799999999999</v>
      </c>
      <c r="S35" s="24">
        <f t="shared" si="12"/>
        <v>27718.6</v>
      </c>
      <c r="T35" s="24">
        <f t="shared" si="12"/>
        <v>29447.341855850817</v>
      </c>
      <c r="U35" s="24">
        <f t="shared" si="12"/>
        <v>33265.512000000002</v>
      </c>
      <c r="V35" s="24">
        <f t="shared" si="12"/>
        <v>36461.880000000005</v>
      </c>
      <c r="W35" s="24">
        <f t="shared" si="12"/>
        <v>36034.18</v>
      </c>
      <c r="X35" s="24">
        <f t="shared" si="12"/>
        <v>38281.544412606061</v>
      </c>
      <c r="Y35" s="24">
        <f t="shared" si="12"/>
        <v>43245.165600000008</v>
      </c>
      <c r="Z35" s="24">
        <f t="shared" si="12"/>
        <v>45577.350000000006</v>
      </c>
      <c r="AA35" s="24">
        <f t="shared" si="12"/>
        <v>45042.724999999999</v>
      </c>
      <c r="AB35" s="24">
        <f t="shared" si="12"/>
        <v>47851.930515757573</v>
      </c>
      <c r="AC35" s="24">
        <f t="shared" si="12"/>
        <v>51894.198720000008</v>
      </c>
      <c r="AD35" s="24">
        <f t="shared" si="12"/>
        <v>54692.820000000007</v>
      </c>
      <c r="AE35" s="24">
        <f t="shared" si="12"/>
        <v>54051.27</v>
      </c>
      <c r="AF35" s="24">
        <f t="shared" si="12"/>
        <v>57422.316618909084</v>
      </c>
      <c r="AG35" s="24">
        <f t="shared" si="12"/>
        <v>62273.038464000005</v>
      </c>
      <c r="AH35" s="24">
        <f t="shared" si="12"/>
        <v>65631.384000000005</v>
      </c>
      <c r="AI35" s="24">
        <f t="shared" ref="AI35" si="13">AE35*(1+AI49)</f>
        <v>64861.52399999999</v>
      </c>
      <c r="AJ35" s="24">
        <f t="shared" ref="AJ35" si="14">AF35*(1+AJ49)</f>
        <v>68906.779942690904</v>
      </c>
      <c r="AK35" s="24">
        <f t="shared" ref="AK35" si="15">AG35*(1+AK49)</f>
        <v>74727.646156800009</v>
      </c>
      <c r="AL35" s="24">
        <f t="shared" ref="AL35" si="16">AH35*(1+AL49)</f>
        <v>78757.660799999998</v>
      </c>
    </row>
    <row r="36" spans="2:38" x14ac:dyDescent="0.25">
      <c r="B36" t="s">
        <v>32</v>
      </c>
      <c r="C36" s="9">
        <v>1626.7</v>
      </c>
      <c r="D36" s="9">
        <v>1807.4</v>
      </c>
      <c r="E36" s="9">
        <v>1860.1</v>
      </c>
      <c r="F36" s="9">
        <v>1788</v>
      </c>
      <c r="G36" s="9">
        <v>1673.5</v>
      </c>
      <c r="H36" s="9">
        <v>2170.1999999999998</v>
      </c>
      <c r="I36" s="9">
        <v>2170.8000000000002</v>
      </c>
      <c r="J36" s="9">
        <v>2403.8000000000002</v>
      </c>
      <c r="K36" s="9">
        <v>2225</v>
      </c>
      <c r="L36" s="9">
        <v>2447.8000000000002</v>
      </c>
      <c r="M36" s="9">
        <v>3008.3</v>
      </c>
      <c r="N36" s="9">
        <v>3371.7</v>
      </c>
      <c r="O36" s="8">
        <v>3577</v>
      </c>
      <c r="P36" s="12">
        <f t="shared" ref="P36:AH36" si="17">P37*(1-P50)</f>
        <v>3332.9086283770025</v>
      </c>
      <c r="Q36" s="12">
        <f t="shared" si="17"/>
        <v>3765.0567074919218</v>
      </c>
      <c r="R36" s="12">
        <f t="shared" si="17"/>
        <v>4126.8279851446614</v>
      </c>
      <c r="S36" s="12">
        <f t="shared" si="17"/>
        <v>4235.2823594173315</v>
      </c>
      <c r="T36" s="12">
        <f t="shared" si="17"/>
        <v>4499.4266483089541</v>
      </c>
      <c r="U36" s="12">
        <f t="shared" si="17"/>
        <v>5082.8265551140948</v>
      </c>
      <c r="V36" s="12">
        <f t="shared" si="17"/>
        <v>5571.2177799452929</v>
      </c>
      <c r="W36" s="12">
        <f t="shared" si="17"/>
        <v>5505.8670672425305</v>
      </c>
      <c r="X36" s="12">
        <f t="shared" si="17"/>
        <v>5849.2546428016403</v>
      </c>
      <c r="Y36" s="12">
        <f t="shared" si="17"/>
        <v>6607.6745216483232</v>
      </c>
      <c r="Z36" s="12">
        <f t="shared" si="17"/>
        <v>6964.0222249316175</v>
      </c>
      <c r="AA36" s="12">
        <f t="shared" si="17"/>
        <v>6882.3338340531636</v>
      </c>
      <c r="AB36" s="12">
        <f t="shared" si="17"/>
        <v>7311.5683035020493</v>
      </c>
      <c r="AC36" s="12">
        <f t="shared" si="17"/>
        <v>7929.2094259779888</v>
      </c>
      <c r="AD36" s="12">
        <f t="shared" si="17"/>
        <v>8356.8266699179403</v>
      </c>
      <c r="AE36" s="12">
        <f t="shared" si="17"/>
        <v>8258.8006008637949</v>
      </c>
      <c r="AF36" s="12">
        <f t="shared" si="17"/>
        <v>8773.8819642024591</v>
      </c>
      <c r="AG36" s="12">
        <f t="shared" si="17"/>
        <v>9515.0513111735854</v>
      </c>
      <c r="AH36" s="12">
        <f t="shared" si="17"/>
        <v>10028.192003901528</v>
      </c>
      <c r="AI36" s="12">
        <f t="shared" ref="AI36:AL36" si="18">AI37*(1-AI50)</f>
        <v>9910.5607210365524</v>
      </c>
      <c r="AJ36" s="12">
        <f t="shared" si="18"/>
        <v>10528.65835704295</v>
      </c>
      <c r="AK36" s="12">
        <f t="shared" si="18"/>
        <v>11418.061573408302</v>
      </c>
      <c r="AL36" s="12">
        <f t="shared" si="18"/>
        <v>12033.830404681832</v>
      </c>
    </row>
    <row r="37" spans="2:38" x14ac:dyDescent="0.25">
      <c r="B37" s="5" t="s">
        <v>58</v>
      </c>
      <c r="C37" s="10">
        <f t="shared" ref="C37:G37" si="19">C35-C36</f>
        <v>5333.3</v>
      </c>
      <c r="D37" s="10">
        <f t="shared" si="19"/>
        <v>6504.7000000000007</v>
      </c>
      <c r="E37" s="10">
        <f t="shared" si="19"/>
        <v>7638.5</v>
      </c>
      <c r="F37" s="10">
        <f t="shared" si="19"/>
        <v>7565.4</v>
      </c>
      <c r="G37" s="10">
        <f t="shared" si="19"/>
        <v>7094.5</v>
      </c>
      <c r="H37" s="10">
        <f>H35-H36</f>
        <v>9132.5999999999985</v>
      </c>
      <c r="I37" s="10">
        <f t="shared" ref="I37:O37" si="20">I35-I36</f>
        <v>9268.2999999999993</v>
      </c>
      <c r="J37" s="10">
        <f t="shared" si="20"/>
        <v>11129</v>
      </c>
      <c r="K37" s="10">
        <f t="shared" si="20"/>
        <v>10504</v>
      </c>
      <c r="L37" s="10">
        <f t="shared" si="20"/>
        <v>13109.900000000001</v>
      </c>
      <c r="M37" s="10">
        <f t="shared" si="20"/>
        <v>14592.5</v>
      </c>
      <c r="N37" s="10">
        <f t="shared" si="20"/>
        <v>15920.3</v>
      </c>
      <c r="O37" s="7">
        <f t="shared" si="20"/>
        <v>16222</v>
      </c>
      <c r="P37" s="24">
        <f t="shared" ref="P37:AH37" si="21">P35*P50</f>
        <v>17707.146300684373</v>
      </c>
      <c r="Q37" s="24">
        <f t="shared" si="21"/>
        <v>20003.071606075624</v>
      </c>
      <c r="R37" s="24">
        <f t="shared" si="21"/>
        <v>21925.097576497144</v>
      </c>
      <c r="S37" s="24">
        <f t="shared" si="21"/>
        <v>22501.296232483255</v>
      </c>
      <c r="T37" s="24">
        <f t="shared" si="21"/>
        <v>23904.647505923909</v>
      </c>
      <c r="U37" s="24">
        <f t="shared" si="21"/>
        <v>27004.146668202095</v>
      </c>
      <c r="V37" s="24">
        <f t="shared" si="21"/>
        <v>29598.881728271146</v>
      </c>
      <c r="W37" s="24">
        <f t="shared" si="21"/>
        <v>29251.685102228232</v>
      </c>
      <c r="X37" s="24">
        <f t="shared" si="21"/>
        <v>31076.041757701081</v>
      </c>
      <c r="Y37" s="24">
        <f t="shared" si="21"/>
        <v>35105.390668662723</v>
      </c>
      <c r="Z37" s="24">
        <f t="shared" si="21"/>
        <v>36998.602160338938</v>
      </c>
      <c r="AA37" s="24">
        <f t="shared" si="21"/>
        <v>36564.606377785291</v>
      </c>
      <c r="AB37" s="24">
        <f t="shared" si="21"/>
        <v>38845.052197126344</v>
      </c>
      <c r="AC37" s="24">
        <f t="shared" si="21"/>
        <v>42126.468802395269</v>
      </c>
      <c r="AD37" s="24">
        <f t="shared" si="21"/>
        <v>44398.322592406723</v>
      </c>
      <c r="AE37" s="24">
        <f t="shared" si="21"/>
        <v>43877.527653342346</v>
      </c>
      <c r="AF37" s="24">
        <f t="shared" si="21"/>
        <v>46614.062636551615</v>
      </c>
      <c r="AG37" s="24">
        <f t="shared" si="21"/>
        <v>50551.762562874319</v>
      </c>
      <c r="AH37" s="24">
        <f t="shared" si="21"/>
        <v>53277.987110888062</v>
      </c>
      <c r="AI37" s="24">
        <f t="shared" ref="AI37:AL37" si="22">AI35*AI50</f>
        <v>52653.033184010805</v>
      </c>
      <c r="AJ37" s="24">
        <f t="shared" si="22"/>
        <v>55936.875163861936</v>
      </c>
      <c r="AK37" s="24">
        <f t="shared" si="22"/>
        <v>60662.115075449183</v>
      </c>
      <c r="AL37" s="24">
        <f t="shared" si="22"/>
        <v>63933.584533065667</v>
      </c>
    </row>
    <row r="38" spans="2:38" x14ac:dyDescent="0.25">
      <c r="B38" t="s">
        <v>33</v>
      </c>
      <c r="C38" s="9">
        <v>1985.1</v>
      </c>
      <c r="D38" s="9">
        <v>2356.5</v>
      </c>
      <c r="E38" s="9">
        <v>2409.1</v>
      </c>
      <c r="F38" s="9">
        <v>2562.6999999999998</v>
      </c>
      <c r="G38" s="9">
        <v>2522.8000000000002</v>
      </c>
      <c r="H38" s="9">
        <v>2711.2</v>
      </c>
      <c r="I38" s="9">
        <v>2734.1</v>
      </c>
      <c r="J38" s="9">
        <v>3022.5</v>
      </c>
      <c r="K38" s="9">
        <v>2734</v>
      </c>
      <c r="L38" s="9">
        <v>3336.1</v>
      </c>
      <c r="M38" s="9">
        <v>3465.7</v>
      </c>
      <c r="N38" s="9">
        <v>3801.5</v>
      </c>
      <c r="O38" s="8">
        <v>3510</v>
      </c>
      <c r="P38" s="12">
        <f t="shared" ref="P38:AL38" si="23">P$37*P51</f>
        <v>3831.3453036248397</v>
      </c>
      <c r="Q38" s="12">
        <f t="shared" si="23"/>
        <v>4328.1211525906447</v>
      </c>
      <c r="R38" s="12">
        <f t="shared" si="23"/>
        <v>4743.9953454262713</v>
      </c>
      <c r="S38" s="12">
        <f t="shared" si="23"/>
        <v>4868.6690775500083</v>
      </c>
      <c r="T38" s="12">
        <f t="shared" si="23"/>
        <v>5172.3161598935349</v>
      </c>
      <c r="U38" s="12">
        <f t="shared" si="23"/>
        <v>5842.9635559973713</v>
      </c>
      <c r="V38" s="12">
        <f t="shared" si="23"/>
        <v>6404.3937163254668</v>
      </c>
      <c r="W38" s="12">
        <f t="shared" si="23"/>
        <v>6329.2698008150101</v>
      </c>
      <c r="X38" s="12">
        <f t="shared" si="23"/>
        <v>6724.0110078615953</v>
      </c>
      <c r="Y38" s="12">
        <f t="shared" si="23"/>
        <v>7595.8526227965822</v>
      </c>
      <c r="Z38" s="12">
        <f t="shared" si="23"/>
        <v>8005.4921454068353</v>
      </c>
      <c r="AA38" s="12">
        <f t="shared" si="23"/>
        <v>7911.5872510187628</v>
      </c>
      <c r="AB38" s="12">
        <f t="shared" si="23"/>
        <v>8405.0137598269921</v>
      </c>
      <c r="AC38" s="12">
        <f t="shared" si="23"/>
        <v>9115.0231473558997</v>
      </c>
      <c r="AD38" s="12">
        <f t="shared" si="23"/>
        <v>9606.590574488202</v>
      </c>
      <c r="AE38" s="12">
        <f t="shared" si="23"/>
        <v>9493.9047012225146</v>
      </c>
      <c r="AF38" s="12">
        <f t="shared" si="23"/>
        <v>10086.016511792392</v>
      </c>
      <c r="AG38" s="12">
        <f t="shared" si="23"/>
        <v>10938.027776827079</v>
      </c>
      <c r="AH38" s="12">
        <f t="shared" si="23"/>
        <v>11527.90868938584</v>
      </c>
      <c r="AI38" s="12">
        <f t="shared" si="23"/>
        <v>11392.685641467016</v>
      </c>
      <c r="AJ38" s="12">
        <f t="shared" si="23"/>
        <v>12103.219814150869</v>
      </c>
      <c r="AK38" s="12">
        <f t="shared" si="23"/>
        <v>13125.633332192494</v>
      </c>
      <c r="AL38" s="12">
        <f t="shared" si="23"/>
        <v>13833.490427263006</v>
      </c>
    </row>
    <row r="39" spans="2:38" ht="15.95" customHeight="1" x14ac:dyDescent="0.25">
      <c r="B39" t="s">
        <v>34</v>
      </c>
      <c r="C39" s="9">
        <v>1749.2</v>
      </c>
      <c r="D39" s="9">
        <v>1925.4</v>
      </c>
      <c r="E39" s="9">
        <v>1803.9</v>
      </c>
      <c r="F39" s="9">
        <v>1924.6</v>
      </c>
      <c r="G39" s="9">
        <v>1952.2</v>
      </c>
      <c r="H39" s="9">
        <v>2117.3000000000002</v>
      </c>
      <c r="I39" s="9">
        <v>2099.8000000000002</v>
      </c>
      <c r="J39" s="9">
        <v>2424.5</v>
      </c>
      <c r="K39" s="9">
        <v>2468</v>
      </c>
      <c r="L39" s="9">
        <v>2753</v>
      </c>
      <c r="M39" s="9">
        <v>2740.7</v>
      </c>
      <c r="N39" s="9">
        <v>3131.4</v>
      </c>
      <c r="O39" s="8">
        <v>2934</v>
      </c>
      <c r="P39" s="12">
        <f t="shared" ref="P39:AL39" si="24">P$37*P52</f>
        <v>3202.6117153376867</v>
      </c>
      <c r="Q39" s="12">
        <f t="shared" si="24"/>
        <v>3600.5528890936121</v>
      </c>
      <c r="R39" s="12">
        <f t="shared" si="24"/>
        <v>3946.5175637694861</v>
      </c>
      <c r="S39" s="12">
        <f t="shared" si="24"/>
        <v>4050.2333218469857</v>
      </c>
      <c r="T39" s="12">
        <f t="shared" si="24"/>
        <v>4302.8365510663034</v>
      </c>
      <c r="U39" s="12">
        <f t="shared" si="24"/>
        <v>4860.7464002763772</v>
      </c>
      <c r="V39" s="12">
        <f t="shared" si="24"/>
        <v>5327.7987110888062</v>
      </c>
      <c r="W39" s="12">
        <f t="shared" si="24"/>
        <v>5265.3033184010819</v>
      </c>
      <c r="X39" s="12">
        <f t="shared" si="24"/>
        <v>5593.6875163861941</v>
      </c>
      <c r="Y39" s="12">
        <f t="shared" si="24"/>
        <v>6318.9703203592899</v>
      </c>
      <c r="Z39" s="12">
        <f t="shared" si="24"/>
        <v>6659.7483888610086</v>
      </c>
      <c r="AA39" s="12">
        <f t="shared" si="24"/>
        <v>6581.6291480013524</v>
      </c>
      <c r="AB39" s="12">
        <f t="shared" si="24"/>
        <v>6992.109395482742</v>
      </c>
      <c r="AC39" s="12">
        <f t="shared" si="24"/>
        <v>7582.7643844311478</v>
      </c>
      <c r="AD39" s="12">
        <f t="shared" si="24"/>
        <v>7991.6980666332101</v>
      </c>
      <c r="AE39" s="12">
        <f t="shared" si="24"/>
        <v>7897.954977601622</v>
      </c>
      <c r="AF39" s="12">
        <f t="shared" si="24"/>
        <v>8390.5312745792908</v>
      </c>
      <c r="AG39" s="12">
        <f t="shared" si="24"/>
        <v>9099.3172613173774</v>
      </c>
      <c r="AH39" s="12">
        <f t="shared" si="24"/>
        <v>9590.0376799598507</v>
      </c>
      <c r="AI39" s="12">
        <f t="shared" si="24"/>
        <v>9477.5459731219453</v>
      </c>
      <c r="AJ39" s="12">
        <f t="shared" si="24"/>
        <v>10068.637529495149</v>
      </c>
      <c r="AK39" s="12">
        <f t="shared" si="24"/>
        <v>10919.180713580852</v>
      </c>
      <c r="AL39" s="12">
        <f t="shared" si="24"/>
        <v>11508.045215951819</v>
      </c>
    </row>
    <row r="40" spans="2:38" x14ac:dyDescent="0.25">
      <c r="B40" t="s">
        <v>35</v>
      </c>
      <c r="C40" s="9">
        <v>105</v>
      </c>
      <c r="D40" s="9">
        <v>97.1</v>
      </c>
      <c r="E40" s="9">
        <v>2975.1</v>
      </c>
      <c r="F40" s="9">
        <v>622.6</v>
      </c>
      <c r="G40" s="9">
        <v>110.5</v>
      </c>
      <c r="H40" s="9">
        <v>154.30000000000001</v>
      </c>
      <c r="I40" s="9">
        <v>2826.4</v>
      </c>
      <c r="J40" s="9">
        <v>189.2</v>
      </c>
      <c r="K40" s="9">
        <v>1572</v>
      </c>
      <c r="L40" s="9">
        <v>153</v>
      </c>
      <c r="M40" s="9">
        <v>655.7</v>
      </c>
      <c r="N40" s="9">
        <v>528.79999999999995</v>
      </c>
      <c r="O40" s="8">
        <v>584</v>
      </c>
      <c r="P40" s="12">
        <f t="shared" ref="P40:AL40" si="25">P$37*P53</f>
        <v>637.46599923558585</v>
      </c>
      <c r="Q40" s="12">
        <f t="shared" si="25"/>
        <v>800.12286424302499</v>
      </c>
      <c r="R40" s="12">
        <f t="shared" si="25"/>
        <v>877.00390305988583</v>
      </c>
      <c r="S40" s="12">
        <f t="shared" si="25"/>
        <v>900.05184929933023</v>
      </c>
      <c r="T40" s="12">
        <f t="shared" si="25"/>
        <v>956.1859002369564</v>
      </c>
      <c r="U40" s="12">
        <f t="shared" si="25"/>
        <v>1080.1658667280838</v>
      </c>
      <c r="V40" s="12">
        <f t="shared" si="25"/>
        <v>1183.9552691308459</v>
      </c>
      <c r="W40" s="12">
        <f t="shared" si="25"/>
        <v>1170.0674040891292</v>
      </c>
      <c r="X40" s="12">
        <f t="shared" si="25"/>
        <v>1243.0416703080432</v>
      </c>
      <c r="Y40" s="12">
        <f t="shared" si="25"/>
        <v>1404.2156267465089</v>
      </c>
      <c r="Z40" s="12">
        <f t="shared" si="25"/>
        <v>1479.9440864135574</v>
      </c>
      <c r="AA40" s="12">
        <f t="shared" si="25"/>
        <v>1462.5842551114117</v>
      </c>
      <c r="AB40" s="12">
        <f t="shared" si="25"/>
        <v>1553.8020878850539</v>
      </c>
      <c r="AC40" s="12">
        <f t="shared" si="25"/>
        <v>1685.0587520958109</v>
      </c>
      <c r="AD40" s="12">
        <f t="shared" si="25"/>
        <v>1775.932903696269</v>
      </c>
      <c r="AE40" s="12">
        <f t="shared" si="25"/>
        <v>1755.101106133694</v>
      </c>
      <c r="AF40" s="12">
        <f t="shared" si="25"/>
        <v>1864.5625054620646</v>
      </c>
      <c r="AG40" s="12">
        <f t="shared" si="25"/>
        <v>2022.0705025149728</v>
      </c>
      <c r="AH40" s="12">
        <f t="shared" si="25"/>
        <v>2131.1194844355223</v>
      </c>
      <c r="AI40" s="12">
        <f t="shared" si="25"/>
        <v>2106.1213273604321</v>
      </c>
      <c r="AJ40" s="12">
        <f t="shared" si="25"/>
        <v>2237.4750065544777</v>
      </c>
      <c r="AK40" s="12">
        <f t="shared" si="25"/>
        <v>2426.4846030179674</v>
      </c>
      <c r="AL40" s="12">
        <f t="shared" si="25"/>
        <v>2557.3433813226266</v>
      </c>
    </row>
    <row r="41" spans="2:38" x14ac:dyDescent="0.25">
      <c r="B41" t="s">
        <v>36</v>
      </c>
      <c r="C41" s="11">
        <v>0</v>
      </c>
      <c r="D41" s="9">
        <v>0</v>
      </c>
      <c r="E41" s="9">
        <v>0</v>
      </c>
      <c r="F41" s="9">
        <v>67.7</v>
      </c>
      <c r="G41" s="9">
        <v>0</v>
      </c>
      <c r="H41" s="9">
        <v>435</v>
      </c>
      <c r="I41" s="9">
        <v>81.599999999999994</v>
      </c>
      <c r="J41" s="9">
        <v>344</v>
      </c>
      <c r="K41" s="9">
        <v>35</v>
      </c>
      <c r="L41" s="9">
        <v>0</v>
      </c>
      <c r="M41" s="9">
        <v>364.9</v>
      </c>
      <c r="N41" s="9">
        <v>84.1</v>
      </c>
      <c r="O41" s="8">
        <v>279</v>
      </c>
      <c r="P41" s="12">
        <f>AVERAGE(C41:O41)</f>
        <v>130.09999999999997</v>
      </c>
      <c r="Q41" s="12">
        <v>130</v>
      </c>
      <c r="R41" s="12">
        <v>130</v>
      </c>
      <c r="S41" s="12">
        <v>130</v>
      </c>
      <c r="T41" s="12">
        <v>130</v>
      </c>
      <c r="U41" s="12">
        <v>130</v>
      </c>
      <c r="V41" s="12">
        <v>130</v>
      </c>
      <c r="W41" s="12">
        <v>130</v>
      </c>
      <c r="X41" s="12">
        <v>130</v>
      </c>
      <c r="Y41" s="12">
        <v>130</v>
      </c>
      <c r="Z41" s="12">
        <v>130</v>
      </c>
      <c r="AA41" s="12">
        <v>130</v>
      </c>
      <c r="AB41" s="12">
        <v>130</v>
      </c>
      <c r="AC41" s="12">
        <v>130</v>
      </c>
      <c r="AD41" s="12">
        <v>130</v>
      </c>
      <c r="AE41" s="12">
        <v>130</v>
      </c>
      <c r="AF41" s="12">
        <v>130</v>
      </c>
      <c r="AG41" s="12">
        <v>130</v>
      </c>
      <c r="AH41" s="12">
        <v>130</v>
      </c>
      <c r="AI41" s="12">
        <v>130</v>
      </c>
      <c r="AJ41" s="12">
        <v>130</v>
      </c>
      <c r="AK41" s="12">
        <v>130</v>
      </c>
      <c r="AL41" s="12">
        <v>130</v>
      </c>
    </row>
    <row r="42" spans="2:38" x14ac:dyDescent="0.25">
      <c r="B42" t="s">
        <v>37</v>
      </c>
      <c r="C42" s="9">
        <v>-35.700000000000003</v>
      </c>
      <c r="D42" s="9">
        <v>36.799999999999997</v>
      </c>
      <c r="E42" s="9">
        <v>23.2</v>
      </c>
      <c r="F42" s="9">
        <v>121</v>
      </c>
      <c r="G42" s="9">
        <v>-27.1</v>
      </c>
      <c r="H42" s="9">
        <v>197.6</v>
      </c>
      <c r="I42" s="9">
        <v>-62</v>
      </c>
      <c r="J42" s="9">
        <v>110.2</v>
      </c>
      <c r="K42" s="9">
        <v>239</v>
      </c>
      <c r="L42" s="9">
        <v>90.6</v>
      </c>
      <c r="M42" s="9">
        <v>133.1</v>
      </c>
      <c r="N42" s="9">
        <v>108.3</v>
      </c>
      <c r="O42" s="8">
        <v>65</v>
      </c>
      <c r="P42" s="12">
        <f>AVERAGE(C42:O42)</f>
        <v>76.92307692307692</v>
      </c>
      <c r="Q42" s="12">
        <v>77</v>
      </c>
      <c r="R42" s="12">
        <v>77</v>
      </c>
      <c r="S42" s="12">
        <v>77</v>
      </c>
      <c r="T42" s="12">
        <v>77</v>
      </c>
      <c r="U42" s="12">
        <v>77</v>
      </c>
      <c r="V42" s="12">
        <v>77</v>
      </c>
      <c r="W42" s="12">
        <v>77</v>
      </c>
      <c r="X42" s="12">
        <v>77</v>
      </c>
      <c r="Y42" s="12">
        <v>77</v>
      </c>
      <c r="Z42" s="12">
        <v>77</v>
      </c>
      <c r="AA42" s="12">
        <v>77</v>
      </c>
      <c r="AB42" s="12">
        <v>77</v>
      </c>
      <c r="AC42" s="12">
        <v>77</v>
      </c>
      <c r="AD42" s="12">
        <v>77</v>
      </c>
      <c r="AE42" s="12">
        <v>77</v>
      </c>
      <c r="AF42" s="12">
        <v>77</v>
      </c>
      <c r="AG42" s="12">
        <v>77</v>
      </c>
      <c r="AH42" s="12">
        <v>77</v>
      </c>
      <c r="AI42" s="12">
        <v>77</v>
      </c>
      <c r="AJ42" s="12">
        <v>77</v>
      </c>
      <c r="AK42" s="12">
        <v>77</v>
      </c>
      <c r="AL42" s="12">
        <v>77</v>
      </c>
    </row>
    <row r="43" spans="2:38" x14ac:dyDescent="0.25">
      <c r="B43" t="s">
        <v>38</v>
      </c>
      <c r="C43" s="9">
        <f>C37-(SUM(C38:C42))</f>
        <v>1529.6999999999998</v>
      </c>
      <c r="D43" s="9">
        <f t="shared" ref="D43:F43" si="26">D37-(SUM(D38:D42))</f>
        <v>2088.9000000000005</v>
      </c>
      <c r="E43" s="9">
        <f t="shared" si="26"/>
        <v>427.19999999999982</v>
      </c>
      <c r="F43" s="9">
        <f t="shared" si="26"/>
        <v>2266.8000000000002</v>
      </c>
      <c r="G43" s="9">
        <f>G37-(SUM(G38:G42))</f>
        <v>2536.1000000000004</v>
      </c>
      <c r="H43" s="9">
        <f>H37-(SUM(H38:H42))</f>
        <v>3517.199999999998</v>
      </c>
      <c r="I43" s="9">
        <f t="shared" ref="I43:P43" si="27">I37-(SUM(I38:I42))</f>
        <v>1588.3999999999996</v>
      </c>
      <c r="J43" s="9">
        <f t="shared" si="27"/>
        <v>5038.6000000000004</v>
      </c>
      <c r="K43" s="9">
        <f t="shared" si="27"/>
        <v>3456</v>
      </c>
      <c r="L43" s="9">
        <f t="shared" si="27"/>
        <v>6777.2000000000007</v>
      </c>
      <c r="M43" s="9">
        <f t="shared" si="27"/>
        <v>7232.4000000000005</v>
      </c>
      <c r="N43" s="9">
        <f t="shared" si="27"/>
        <v>8266.1999999999989</v>
      </c>
      <c r="O43" s="8">
        <f t="shared" si="27"/>
        <v>8850</v>
      </c>
      <c r="P43" s="9">
        <f t="shared" si="27"/>
        <v>9828.7002055631838</v>
      </c>
      <c r="Q43" s="9">
        <f>Q37-(SUM(Q38:Q42))</f>
        <v>11067.274700148342</v>
      </c>
      <c r="R43" s="9">
        <f t="shared" ref="R43:AH43" si="28">R37-(SUM(R38:R42))</f>
        <v>12150.580764241502</v>
      </c>
      <c r="S43" s="9">
        <f t="shared" si="28"/>
        <v>12475.341983786931</v>
      </c>
      <c r="T43" s="9">
        <f t="shared" si="28"/>
        <v>13266.308894727114</v>
      </c>
      <c r="U43" s="9">
        <f t="shared" si="28"/>
        <v>15013.270845200261</v>
      </c>
      <c r="V43" s="9">
        <f t="shared" si="28"/>
        <v>16475.734031726028</v>
      </c>
      <c r="W43" s="9">
        <f t="shared" si="28"/>
        <v>16280.044578923009</v>
      </c>
      <c r="X43" s="9">
        <f t="shared" si="28"/>
        <v>17308.301563145251</v>
      </c>
      <c r="Y43" s="9">
        <f t="shared" si="28"/>
        <v>19579.352098760341</v>
      </c>
      <c r="Z43" s="9">
        <f t="shared" si="28"/>
        <v>20646.417539657537</v>
      </c>
      <c r="AA43" s="9">
        <f t="shared" si="28"/>
        <v>20401.805723653764</v>
      </c>
      <c r="AB43" s="9">
        <f t="shared" si="28"/>
        <v>21687.126953931554</v>
      </c>
      <c r="AC43" s="9">
        <f t="shared" si="28"/>
        <v>23536.622518512409</v>
      </c>
      <c r="AD43" s="9">
        <f t="shared" si="28"/>
        <v>24817.10104758904</v>
      </c>
      <c r="AE43" s="9">
        <f t="shared" si="28"/>
        <v>24523.566868384514</v>
      </c>
      <c r="AF43" s="9">
        <f t="shared" si="28"/>
        <v>26065.952344717869</v>
      </c>
      <c r="AG43" s="9">
        <f t="shared" si="28"/>
        <v>28285.34702221489</v>
      </c>
      <c r="AH43" s="9">
        <f t="shared" si="28"/>
        <v>29821.921257106846</v>
      </c>
      <c r="AI43" s="9">
        <f t="shared" ref="AI43" si="29">AI37-(SUM(AI38:AI42))</f>
        <v>29469.680242061408</v>
      </c>
      <c r="AJ43" s="9">
        <f t="shared" ref="AJ43" si="30">AJ37-(SUM(AJ38:AJ42))</f>
        <v>31320.542813661443</v>
      </c>
      <c r="AK43" s="9">
        <f t="shared" ref="AK43" si="31">AK37-(SUM(AK38:AK42))</f>
        <v>33983.816426657868</v>
      </c>
      <c r="AL43" s="9">
        <f t="shared" ref="AL43" si="32">AL37-(SUM(AL38:AL42))</f>
        <v>35827.705508528219</v>
      </c>
    </row>
    <row r="44" spans="2:38" x14ac:dyDescent="0.25">
      <c r="B44" t="s">
        <v>39</v>
      </c>
      <c r="C44" s="11">
        <v>184.8</v>
      </c>
      <c r="D44" s="11">
        <v>325.7</v>
      </c>
      <c r="E44" s="11">
        <v>484.6</v>
      </c>
      <c r="F44" s="11">
        <v>319.10000000000002</v>
      </c>
      <c r="G44" s="11">
        <v>293.2</v>
      </c>
      <c r="H44" s="11">
        <v>550.20000000000005</v>
      </c>
      <c r="I44" s="11">
        <v>618.1</v>
      </c>
      <c r="J44" s="9">
        <v>628.9</v>
      </c>
      <c r="K44" s="11">
        <v>697</v>
      </c>
      <c r="L44" s="11">
        <v>1115.9000000000001</v>
      </c>
      <c r="M44" s="11">
        <v>1649.9</v>
      </c>
      <c r="N44" s="9">
        <v>1628.5</v>
      </c>
      <c r="O44" s="8">
        <v>1454</v>
      </c>
      <c r="P44" s="12">
        <f>P54*P43</f>
        <v>2490.1496818834808</v>
      </c>
      <c r="Q44" s="12">
        <f t="shared" ref="Q44:AH44" si="33">Q54*Q43</f>
        <v>2766.8186750370855</v>
      </c>
      <c r="R44" s="12">
        <f t="shared" si="33"/>
        <v>3037.6451910603755</v>
      </c>
      <c r="S44" s="12">
        <f t="shared" si="33"/>
        <v>3118.8354959467329</v>
      </c>
      <c r="T44" s="12">
        <f t="shared" si="33"/>
        <v>3316.5772236817784</v>
      </c>
      <c r="U44" s="12">
        <f t="shared" si="33"/>
        <v>3753.3177113000652</v>
      </c>
      <c r="V44" s="12">
        <f t="shared" si="33"/>
        <v>4118.9335079315069</v>
      </c>
      <c r="W44" s="12">
        <f t="shared" si="33"/>
        <v>4070.0111447307522</v>
      </c>
      <c r="X44" s="12">
        <f t="shared" si="33"/>
        <v>4327.0753907863127</v>
      </c>
      <c r="Y44" s="12">
        <f t="shared" si="33"/>
        <v>4894.8380246900851</v>
      </c>
      <c r="Z44" s="12">
        <f t="shared" si="33"/>
        <v>5161.6043849143844</v>
      </c>
      <c r="AA44" s="12">
        <f t="shared" si="33"/>
        <v>5100.4514309134411</v>
      </c>
      <c r="AB44" s="12">
        <f t="shared" si="33"/>
        <v>5421.7817384828886</v>
      </c>
      <c r="AC44" s="12">
        <f t="shared" si="33"/>
        <v>5884.1556296281024</v>
      </c>
      <c r="AD44" s="12">
        <f t="shared" si="33"/>
        <v>6204.27526189726</v>
      </c>
      <c r="AE44" s="12">
        <f t="shared" si="33"/>
        <v>6130.8917170961286</v>
      </c>
      <c r="AF44" s="12">
        <f t="shared" si="33"/>
        <v>6516.4880861794672</v>
      </c>
      <c r="AG44" s="12">
        <f t="shared" si="33"/>
        <v>7071.3367555537225</v>
      </c>
      <c r="AH44" s="12">
        <f t="shared" si="33"/>
        <v>7455.4803142767114</v>
      </c>
      <c r="AI44" s="12">
        <f t="shared" ref="AI44" si="34">AI54*AI43</f>
        <v>7367.4200605153519</v>
      </c>
      <c r="AJ44" s="12">
        <f t="shared" ref="AJ44" si="35">AJ54*AJ43</f>
        <v>7830.1357034153607</v>
      </c>
      <c r="AK44" s="12">
        <f t="shared" ref="AK44" si="36">AK54*AK43</f>
        <v>8495.954106664467</v>
      </c>
      <c r="AL44" s="12">
        <f t="shared" ref="AL44" si="37">AL54*AL43</f>
        <v>8956.9263771320548</v>
      </c>
    </row>
    <row r="45" spans="2:38" x14ac:dyDescent="0.25">
      <c r="B45" s="5" t="s">
        <v>20</v>
      </c>
      <c r="C45" s="10">
        <f t="shared" ref="C45:G45" si="38">C43-C44</f>
        <v>1344.8999999999999</v>
      </c>
      <c r="D45" s="10">
        <f t="shared" si="38"/>
        <v>1763.2000000000005</v>
      </c>
      <c r="E45" s="10">
        <f t="shared" si="38"/>
        <v>-57.400000000000205</v>
      </c>
      <c r="F45" s="10">
        <f t="shared" si="38"/>
        <v>1947.7000000000003</v>
      </c>
      <c r="G45" s="10">
        <f t="shared" si="38"/>
        <v>2242.9000000000005</v>
      </c>
      <c r="H45" s="10">
        <f t="shared" ref="H45:P45" si="39">H43-H44</f>
        <v>2966.9999999999982</v>
      </c>
      <c r="I45" s="10">
        <f t="shared" si="39"/>
        <v>970.29999999999961</v>
      </c>
      <c r="J45" s="10">
        <f t="shared" si="39"/>
        <v>4409.7000000000007</v>
      </c>
      <c r="K45" s="10">
        <f t="shared" si="39"/>
        <v>2759</v>
      </c>
      <c r="L45" s="10">
        <f t="shared" si="39"/>
        <v>5661.3000000000011</v>
      </c>
      <c r="M45" s="10">
        <f t="shared" si="39"/>
        <v>5582.5</v>
      </c>
      <c r="N45" s="10">
        <f t="shared" si="39"/>
        <v>6637.6999999999989</v>
      </c>
      <c r="O45" s="7">
        <f t="shared" si="39"/>
        <v>7396</v>
      </c>
      <c r="P45" s="10">
        <f t="shared" si="39"/>
        <v>7338.5505236797035</v>
      </c>
      <c r="Q45" s="10">
        <f t="shared" ref="Q45" si="40">Q43-Q44</f>
        <v>8300.4560251112562</v>
      </c>
      <c r="R45" s="10">
        <f t="shared" ref="R45" si="41">R43-R44</f>
        <v>9112.9355731811265</v>
      </c>
      <c r="S45" s="10">
        <f t="shared" ref="S45" si="42">S43-S44</f>
        <v>9356.506487840199</v>
      </c>
      <c r="T45" s="10">
        <f t="shared" ref="T45" si="43">T43-T44</f>
        <v>9949.7316710453342</v>
      </c>
      <c r="U45" s="10">
        <f t="shared" ref="U45" si="44">U43-U44</f>
        <v>11259.953133900195</v>
      </c>
      <c r="V45" s="10">
        <f t="shared" ref="V45" si="45">V43-V44</f>
        <v>12356.800523794522</v>
      </c>
      <c r="W45" s="10">
        <f t="shared" ref="W45" si="46">W43-W44</f>
        <v>12210.033434192257</v>
      </c>
      <c r="X45" s="10">
        <f t="shared" ref="X45" si="47">X43-X44</f>
        <v>12981.226172358938</v>
      </c>
      <c r="Y45" s="10">
        <f t="shared" ref="Y45" si="48">Y43-Y44</f>
        <v>14684.514074070255</v>
      </c>
      <c r="Z45" s="10">
        <f t="shared" ref="Z45" si="49">Z43-Z44</f>
        <v>15484.813154743153</v>
      </c>
      <c r="AA45" s="10">
        <f t="shared" ref="AA45" si="50">AA43-AA44</f>
        <v>15301.354292740323</v>
      </c>
      <c r="AB45" s="10">
        <f t="shared" ref="AB45" si="51">AB43-AB44</f>
        <v>16265.345215448666</v>
      </c>
      <c r="AC45" s="10">
        <f t="shared" ref="AC45" si="52">AC43-AC44</f>
        <v>17652.466888884308</v>
      </c>
      <c r="AD45" s="10">
        <f t="shared" ref="AD45" si="53">AD43-AD44</f>
        <v>18612.825785691781</v>
      </c>
      <c r="AE45" s="10">
        <f t="shared" ref="AE45" si="54">AE43-AE44</f>
        <v>18392.675151288386</v>
      </c>
      <c r="AF45" s="10">
        <f t="shared" ref="AF45" si="55">AF43-AF44</f>
        <v>19549.464258538403</v>
      </c>
      <c r="AG45" s="10">
        <f t="shared" ref="AG45" si="56">AG43-AG44</f>
        <v>21214.010266661167</v>
      </c>
      <c r="AH45" s="10">
        <f t="shared" ref="AH45" si="57">AH43-AH44</f>
        <v>22366.440942830133</v>
      </c>
      <c r="AI45" s="10">
        <f t="shared" ref="AI45" si="58">AI43-AI44</f>
        <v>22102.260181546055</v>
      </c>
      <c r="AJ45" s="10">
        <f t="shared" ref="AJ45" si="59">AJ43-AJ44</f>
        <v>23490.40711024608</v>
      </c>
      <c r="AK45" s="10">
        <f t="shared" ref="AK45" si="60">AK43-AK44</f>
        <v>25487.862319993401</v>
      </c>
      <c r="AL45" s="10">
        <f t="shared" ref="AL45" si="61">AL43-AL44</f>
        <v>26870.779131396164</v>
      </c>
    </row>
    <row r="46" spans="2:38" x14ac:dyDescent="0.25">
      <c r="B46" t="s">
        <v>40</v>
      </c>
      <c r="C46" s="3">
        <f>C45/C47</f>
        <v>1.4888741281966122</v>
      </c>
      <c r="D46" s="3">
        <f t="shared" ref="D46:O46" si="62">D45/D47</f>
        <v>1.9526024363233672</v>
      </c>
      <c r="E46" s="3">
        <f t="shared" si="62"/>
        <v>-6.3791953767504114E-2</v>
      </c>
      <c r="F46" s="3">
        <f t="shared" si="62"/>
        <v>2.1617092119866816</v>
      </c>
      <c r="G46" s="3">
        <f t="shared" si="62"/>
        <v>2.4816331046691755</v>
      </c>
      <c r="H46" s="3">
        <f t="shared" si="62"/>
        <v>3.2813536828135348</v>
      </c>
      <c r="I46" s="3">
        <f t="shared" si="62"/>
        <v>1.0721546961325963</v>
      </c>
      <c r="J46" s="3">
        <f t="shared" si="62"/>
        <v>4.8779867256637175</v>
      </c>
      <c r="K46" s="3">
        <f t="shared" si="62"/>
        <v>3.0635132134132799</v>
      </c>
      <c r="L46" s="3">
        <f t="shared" si="62"/>
        <v>6.2917314958879764</v>
      </c>
      <c r="M46" s="3">
        <f t="shared" si="62"/>
        <v>6.2110591900311531</v>
      </c>
      <c r="N46" s="3">
        <f t="shared" si="62"/>
        <v>7.3916481069042304</v>
      </c>
      <c r="O46" s="21">
        <f t="shared" si="62"/>
        <v>8.2553856457193877</v>
      </c>
      <c r="P46" s="3">
        <f>P45/P47</f>
        <v>8.1539450263107813</v>
      </c>
      <c r="Q46" s="3">
        <f t="shared" ref="Q46:AH46" si="63">Q45/Q47</f>
        <v>9.2227289167902846</v>
      </c>
      <c r="R46" s="3">
        <f t="shared" si="63"/>
        <v>10.125483970201252</v>
      </c>
      <c r="S46" s="3">
        <f t="shared" si="63"/>
        <v>10.396118319822444</v>
      </c>
      <c r="T46" s="3">
        <f t="shared" si="63"/>
        <v>11.055257412272594</v>
      </c>
      <c r="U46" s="3">
        <f t="shared" si="63"/>
        <v>12.511059037666884</v>
      </c>
      <c r="V46" s="3">
        <f t="shared" si="63"/>
        <v>13.729778359771691</v>
      </c>
      <c r="W46" s="3">
        <f t="shared" si="63"/>
        <v>13.566703815769175</v>
      </c>
      <c r="X46" s="3">
        <f t="shared" si="63"/>
        <v>14.423584635954375</v>
      </c>
      <c r="Y46" s="3">
        <f t="shared" si="63"/>
        <v>16.316126748966951</v>
      </c>
      <c r="Z46" s="3">
        <f t="shared" si="63"/>
        <v>17.205347949714614</v>
      </c>
      <c r="AA46" s="3">
        <f t="shared" si="63"/>
        <v>17.00150476971147</v>
      </c>
      <c r="AB46" s="3">
        <f t="shared" si="63"/>
        <v>18.072605794942962</v>
      </c>
      <c r="AC46" s="3">
        <f t="shared" si="63"/>
        <v>19.613852098760344</v>
      </c>
      <c r="AD46" s="3">
        <f t="shared" si="63"/>
        <v>20.680917539657536</v>
      </c>
      <c r="AE46" s="3">
        <f t="shared" si="63"/>
        <v>20.436305723653764</v>
      </c>
      <c r="AF46" s="3">
        <f t="shared" si="63"/>
        <v>21.721626953931558</v>
      </c>
      <c r="AG46" s="3">
        <f t="shared" si="63"/>
        <v>23.571122518512407</v>
      </c>
      <c r="AH46" s="3">
        <f t="shared" si="63"/>
        <v>24.851601047589035</v>
      </c>
      <c r="AI46" s="3">
        <f t="shared" ref="AI46" si="64">AI45/AI47</f>
        <v>24.530810412370759</v>
      </c>
      <c r="AJ46" s="3">
        <f t="shared" ref="AJ46" si="65">AJ45/AJ47</f>
        <v>26.042579944840444</v>
      </c>
      <c r="AK46" s="3">
        <f t="shared" ref="AK46" si="66">AK45/AK47</f>
        <v>28.225761151709193</v>
      </c>
      <c r="AL46" s="3">
        <f t="shared" ref="AL46" si="67">AL45/AL47</f>
        <v>29.724313198447085</v>
      </c>
    </row>
    <row r="47" spans="2:38" x14ac:dyDescent="0.25">
      <c r="B47" t="s">
        <v>5</v>
      </c>
      <c r="C47" s="18">
        <v>903.3</v>
      </c>
      <c r="D47" s="18">
        <v>903</v>
      </c>
      <c r="E47" s="18">
        <v>899.8</v>
      </c>
      <c r="F47" s="18">
        <v>901</v>
      </c>
      <c r="G47" s="18">
        <v>903.8</v>
      </c>
      <c r="H47" s="18">
        <v>904.2</v>
      </c>
      <c r="I47" s="18">
        <v>905</v>
      </c>
      <c r="J47" s="18">
        <v>904</v>
      </c>
      <c r="K47" s="18">
        <v>900.6</v>
      </c>
      <c r="L47" s="18">
        <v>899.8</v>
      </c>
      <c r="M47" s="18">
        <v>898.8</v>
      </c>
      <c r="N47" s="18">
        <v>898</v>
      </c>
      <c r="O47" s="22">
        <v>895.9</v>
      </c>
      <c r="P47" s="18">
        <v>900</v>
      </c>
      <c r="Q47" s="18">
        <v>900</v>
      </c>
      <c r="R47" s="18">
        <v>900</v>
      </c>
      <c r="S47" s="18">
        <v>900</v>
      </c>
      <c r="T47" s="18">
        <v>900</v>
      </c>
      <c r="U47" s="18">
        <v>900</v>
      </c>
      <c r="V47" s="18">
        <v>900</v>
      </c>
      <c r="W47" s="18">
        <v>900</v>
      </c>
      <c r="X47" s="18">
        <v>900</v>
      </c>
      <c r="Y47" s="18">
        <v>900</v>
      </c>
      <c r="Z47" s="18">
        <v>900</v>
      </c>
      <c r="AA47" s="18">
        <v>900</v>
      </c>
      <c r="AB47" s="18">
        <v>900</v>
      </c>
      <c r="AC47" s="18">
        <v>900</v>
      </c>
      <c r="AD47" s="18">
        <v>900</v>
      </c>
      <c r="AE47" s="18">
        <v>900</v>
      </c>
      <c r="AF47" s="18">
        <v>900</v>
      </c>
      <c r="AG47" s="18">
        <v>900</v>
      </c>
      <c r="AH47" s="18">
        <v>900</v>
      </c>
      <c r="AI47" s="18">
        <v>901</v>
      </c>
      <c r="AJ47" s="18">
        <v>902</v>
      </c>
      <c r="AK47" s="18">
        <v>903</v>
      </c>
      <c r="AL47" s="18">
        <v>904</v>
      </c>
    </row>
    <row r="48" spans="2:38" x14ac:dyDescent="0.25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21"/>
    </row>
    <row r="49" spans="2:38" x14ac:dyDescent="0.25">
      <c r="B49" s="28" t="s">
        <v>59</v>
      </c>
      <c r="C49" s="19">
        <v>0</v>
      </c>
      <c r="D49" s="19">
        <v>0</v>
      </c>
      <c r="E49" s="19">
        <v>0</v>
      </c>
      <c r="F49" s="19">
        <v>0</v>
      </c>
      <c r="G49" s="20">
        <f>(G35-C35)/C35</f>
        <v>0.25977011494252872</v>
      </c>
      <c r="H49" s="20">
        <f t="shared" ref="H49:O49" si="68">(H35-D35)/D35</f>
        <v>0.35980077236799352</v>
      </c>
      <c r="I49" s="20">
        <f t="shared" si="68"/>
        <v>0.20429326427052408</v>
      </c>
      <c r="J49" s="20">
        <f t="shared" si="68"/>
        <v>0.44683216798169645</v>
      </c>
      <c r="K49" s="20">
        <f t="shared" si="68"/>
        <v>0.45175638686131386</v>
      </c>
      <c r="L49" s="20">
        <f t="shared" si="68"/>
        <v>0.37644654421913171</v>
      </c>
      <c r="M49" s="20">
        <f t="shared" si="68"/>
        <v>0.53865251636929468</v>
      </c>
      <c r="N49" s="20">
        <f t="shared" si="68"/>
        <v>0.42557342161267447</v>
      </c>
      <c r="O49" s="23">
        <f t="shared" si="68"/>
        <v>0.55542462094430045</v>
      </c>
      <c r="P49" s="29">
        <f>AVERAGE(G49:O49)</f>
        <v>0.402061089952162</v>
      </c>
      <c r="Q49" s="29">
        <v>0.4</v>
      </c>
      <c r="R49" s="20">
        <v>0.4</v>
      </c>
      <c r="S49" s="20">
        <v>0.4</v>
      </c>
      <c r="T49" s="20">
        <v>0.35</v>
      </c>
      <c r="U49" s="20">
        <v>0.35</v>
      </c>
      <c r="V49" s="20">
        <v>0.35</v>
      </c>
      <c r="W49" s="20">
        <v>0.3</v>
      </c>
      <c r="X49" s="20">
        <v>0.3</v>
      </c>
      <c r="Y49" s="20">
        <v>0.3</v>
      </c>
      <c r="Z49" s="20">
        <v>0.25</v>
      </c>
      <c r="AA49" s="20">
        <v>0.25</v>
      </c>
      <c r="AB49" s="20">
        <v>0.25</v>
      </c>
      <c r="AC49" s="20">
        <v>0.2</v>
      </c>
      <c r="AD49" s="20">
        <v>0.2</v>
      </c>
      <c r="AE49" s="20">
        <v>0.2</v>
      </c>
      <c r="AF49" s="20">
        <v>0.2</v>
      </c>
      <c r="AG49" s="20">
        <v>0.2</v>
      </c>
      <c r="AH49" s="20">
        <v>0.2</v>
      </c>
      <c r="AI49" s="20">
        <v>0.2</v>
      </c>
      <c r="AJ49" s="20">
        <v>0.2</v>
      </c>
      <c r="AK49" s="20">
        <v>0.2</v>
      </c>
      <c r="AL49" s="20">
        <v>0.2</v>
      </c>
    </row>
    <row r="50" spans="2:38" x14ac:dyDescent="0.25">
      <c r="B50" s="28" t="s">
        <v>62</v>
      </c>
      <c r="C50" s="20">
        <f t="shared" ref="C50:O50" si="69">C37/C35</f>
        <v>0.76627873563218396</v>
      </c>
      <c r="D50" s="20">
        <f t="shared" si="69"/>
        <v>0.78255795767615888</v>
      </c>
      <c r="E50" s="20">
        <f t="shared" si="69"/>
        <v>0.80417114101025411</v>
      </c>
      <c r="F50" s="20">
        <f t="shared" si="69"/>
        <v>0.80883956636089549</v>
      </c>
      <c r="G50" s="20">
        <f t="shared" si="69"/>
        <v>0.80913549270072993</v>
      </c>
      <c r="H50" s="20">
        <f t="shared" si="69"/>
        <v>0.80799447924408108</v>
      </c>
      <c r="I50" s="20">
        <f t="shared" si="69"/>
        <v>0.81022982577300651</v>
      </c>
      <c r="J50" s="20">
        <f t="shared" si="69"/>
        <v>0.82237231023882718</v>
      </c>
      <c r="K50" s="20">
        <f t="shared" si="69"/>
        <v>0.82520229397438916</v>
      </c>
      <c r="L50" s="20">
        <f t="shared" si="69"/>
        <v>0.8426631185843666</v>
      </c>
      <c r="M50" s="20">
        <f t="shared" si="69"/>
        <v>0.82908163265306123</v>
      </c>
      <c r="N50" s="20">
        <f t="shared" si="69"/>
        <v>0.82522807381297947</v>
      </c>
      <c r="O50" s="23">
        <f t="shared" si="69"/>
        <v>0.81933430981362698</v>
      </c>
      <c r="P50" s="29">
        <f>AVERAGE(C50:O50)</f>
        <v>0.81177607211342762</v>
      </c>
      <c r="Q50" s="29">
        <v>0.81177607211342762</v>
      </c>
      <c r="R50" s="29">
        <v>0.81177607211342762</v>
      </c>
      <c r="S50" s="29">
        <v>0.81177607211342762</v>
      </c>
      <c r="T50" s="29">
        <v>0.81177607211342762</v>
      </c>
      <c r="U50" s="29">
        <v>0.81177607211342762</v>
      </c>
      <c r="V50" s="29">
        <v>0.81177607211342762</v>
      </c>
      <c r="W50" s="29">
        <v>0.81177607211342762</v>
      </c>
      <c r="X50" s="29">
        <v>0.81177607211342762</v>
      </c>
      <c r="Y50" s="29">
        <v>0.81177607211342762</v>
      </c>
      <c r="Z50" s="29">
        <v>0.81177607211342762</v>
      </c>
      <c r="AA50" s="29">
        <v>0.81177607211342762</v>
      </c>
      <c r="AB50" s="29">
        <v>0.81177607211342762</v>
      </c>
      <c r="AC50" s="29">
        <v>0.81177607211342762</v>
      </c>
      <c r="AD50" s="29">
        <v>0.81177607211342762</v>
      </c>
      <c r="AE50" s="29">
        <v>0.81177607211342762</v>
      </c>
      <c r="AF50" s="29">
        <v>0.81177607211342762</v>
      </c>
      <c r="AG50" s="29">
        <v>0.81177607211342762</v>
      </c>
      <c r="AH50" s="29">
        <v>0.81177607211342762</v>
      </c>
      <c r="AI50" s="29">
        <v>0.81177607211342762</v>
      </c>
      <c r="AJ50" s="29">
        <v>0.81177607211342762</v>
      </c>
      <c r="AK50" s="29">
        <v>0.81177607211342762</v>
      </c>
      <c r="AL50" s="29">
        <v>0.81177607211342762</v>
      </c>
    </row>
    <row r="51" spans="2:38" x14ac:dyDescent="0.25">
      <c r="B51" s="28" t="s">
        <v>72</v>
      </c>
      <c r="C51" s="20">
        <f>C38/C37</f>
        <v>0.37220857630360188</v>
      </c>
      <c r="D51" s="20">
        <f t="shared" ref="D51:O51" si="70">D38/D37</f>
        <v>0.36227650775593029</v>
      </c>
      <c r="E51" s="20">
        <f t="shared" si="70"/>
        <v>0.31538914708385152</v>
      </c>
      <c r="F51" s="20">
        <f t="shared" si="70"/>
        <v>0.33873952467813995</v>
      </c>
      <c r="G51" s="20">
        <f t="shared" si="70"/>
        <v>0.3555994079921066</v>
      </c>
      <c r="H51" s="20">
        <f t="shared" si="70"/>
        <v>0.29687055165013254</v>
      </c>
      <c r="I51" s="20">
        <f t="shared" si="70"/>
        <v>0.29499476710939437</v>
      </c>
      <c r="J51" s="20">
        <f t="shared" si="70"/>
        <v>0.27158774373259054</v>
      </c>
      <c r="K51" s="20">
        <f t="shared" si="70"/>
        <v>0.26028179741051027</v>
      </c>
      <c r="L51" s="20">
        <f t="shared" si="70"/>
        <v>0.25447181137918667</v>
      </c>
      <c r="M51" s="20">
        <f t="shared" si="70"/>
        <v>0.23749871509336987</v>
      </c>
      <c r="N51" s="20">
        <f t="shared" si="70"/>
        <v>0.23878318875900581</v>
      </c>
      <c r="O51" s="23">
        <f t="shared" si="70"/>
        <v>0.21637282702502775</v>
      </c>
      <c r="P51" s="29">
        <f>O51</f>
        <v>0.21637282702502775</v>
      </c>
      <c r="Q51" s="29">
        <f t="shared" ref="Q51:AH51" si="71">P51</f>
        <v>0.21637282702502775</v>
      </c>
      <c r="R51" s="29">
        <f t="shared" si="71"/>
        <v>0.21637282702502775</v>
      </c>
      <c r="S51" s="29">
        <f t="shared" si="71"/>
        <v>0.21637282702502775</v>
      </c>
      <c r="T51" s="29">
        <f t="shared" si="71"/>
        <v>0.21637282702502775</v>
      </c>
      <c r="U51" s="29">
        <f t="shared" si="71"/>
        <v>0.21637282702502775</v>
      </c>
      <c r="V51" s="29">
        <f t="shared" si="71"/>
        <v>0.21637282702502775</v>
      </c>
      <c r="W51" s="29">
        <f t="shared" si="71"/>
        <v>0.21637282702502775</v>
      </c>
      <c r="X51" s="29">
        <f t="shared" si="71"/>
        <v>0.21637282702502775</v>
      </c>
      <c r="Y51" s="29">
        <f t="shared" si="71"/>
        <v>0.21637282702502775</v>
      </c>
      <c r="Z51" s="29">
        <f t="shared" si="71"/>
        <v>0.21637282702502775</v>
      </c>
      <c r="AA51" s="29">
        <f t="shared" si="71"/>
        <v>0.21637282702502775</v>
      </c>
      <c r="AB51" s="29">
        <f t="shared" si="71"/>
        <v>0.21637282702502775</v>
      </c>
      <c r="AC51" s="29">
        <f t="shared" si="71"/>
        <v>0.21637282702502775</v>
      </c>
      <c r="AD51" s="29">
        <f t="shared" si="71"/>
        <v>0.21637282702502775</v>
      </c>
      <c r="AE51" s="29">
        <f t="shared" si="71"/>
        <v>0.21637282702502775</v>
      </c>
      <c r="AF51" s="29">
        <f t="shared" si="71"/>
        <v>0.21637282702502775</v>
      </c>
      <c r="AG51" s="29">
        <f t="shared" si="71"/>
        <v>0.21637282702502775</v>
      </c>
      <c r="AH51" s="29">
        <f t="shared" si="71"/>
        <v>0.21637282702502775</v>
      </c>
      <c r="AI51" s="29">
        <f t="shared" ref="AI51:AL51" si="72">AH51</f>
        <v>0.21637282702502775</v>
      </c>
      <c r="AJ51" s="29">
        <f t="shared" si="72"/>
        <v>0.21637282702502775</v>
      </c>
      <c r="AK51" s="29">
        <f t="shared" si="72"/>
        <v>0.21637282702502775</v>
      </c>
      <c r="AL51" s="29">
        <f t="shared" si="72"/>
        <v>0.21637282702502775</v>
      </c>
    </row>
    <row r="52" spans="2:38" x14ac:dyDescent="0.25">
      <c r="B52" s="28" t="s">
        <v>73</v>
      </c>
      <c r="C52" s="20">
        <f>C39/C37</f>
        <v>0.32797704985656162</v>
      </c>
      <c r="D52" s="20">
        <f t="shared" ref="D52:O52" si="73">D39/D37</f>
        <v>0.29600135286792623</v>
      </c>
      <c r="E52" s="20">
        <f t="shared" si="73"/>
        <v>0.23615893172743341</v>
      </c>
      <c r="F52" s="20">
        <f t="shared" si="73"/>
        <v>0.25439500885610805</v>
      </c>
      <c r="G52" s="20">
        <f t="shared" si="73"/>
        <v>0.27517090704066532</v>
      </c>
      <c r="H52" s="20">
        <f t="shared" si="73"/>
        <v>0.23183978275627976</v>
      </c>
      <c r="I52" s="20">
        <f t="shared" si="73"/>
        <v>0.22655718956011353</v>
      </c>
      <c r="J52" s="20">
        <f t="shared" si="73"/>
        <v>0.21785425465001348</v>
      </c>
      <c r="K52" s="20">
        <f t="shared" si="73"/>
        <v>0.23495811119573495</v>
      </c>
      <c r="L52" s="20">
        <f t="shared" si="73"/>
        <v>0.20999397401963399</v>
      </c>
      <c r="M52" s="20">
        <f t="shared" si="73"/>
        <v>0.18781565872879902</v>
      </c>
      <c r="N52" s="20">
        <f t="shared" si="73"/>
        <v>0.19669227338680806</v>
      </c>
      <c r="O52" s="23">
        <f t="shared" si="73"/>
        <v>0.18086549130810012</v>
      </c>
      <c r="P52" s="29">
        <f>O52</f>
        <v>0.18086549130810012</v>
      </c>
      <c r="Q52" s="29">
        <v>0.18</v>
      </c>
      <c r="R52" s="29">
        <v>0.18</v>
      </c>
      <c r="S52" s="29">
        <v>0.18</v>
      </c>
      <c r="T52" s="29">
        <v>0.18</v>
      </c>
      <c r="U52" s="29">
        <v>0.18</v>
      </c>
      <c r="V52" s="29">
        <v>0.18</v>
      </c>
      <c r="W52" s="29">
        <v>0.18</v>
      </c>
      <c r="X52" s="29">
        <v>0.18</v>
      </c>
      <c r="Y52" s="29">
        <v>0.18</v>
      </c>
      <c r="Z52" s="29">
        <v>0.18</v>
      </c>
      <c r="AA52" s="29">
        <v>0.18</v>
      </c>
      <c r="AB52" s="29">
        <v>0.18</v>
      </c>
      <c r="AC52" s="29">
        <v>0.18</v>
      </c>
      <c r="AD52" s="29">
        <v>0.18</v>
      </c>
      <c r="AE52" s="29">
        <v>0.18</v>
      </c>
      <c r="AF52" s="29">
        <v>0.18</v>
      </c>
      <c r="AG52" s="29">
        <v>0.18</v>
      </c>
      <c r="AH52" s="29">
        <v>0.18</v>
      </c>
      <c r="AI52" s="29">
        <v>0.18</v>
      </c>
      <c r="AJ52" s="29">
        <v>0.18</v>
      </c>
      <c r="AK52" s="29">
        <v>0.18</v>
      </c>
      <c r="AL52" s="29">
        <v>0.18</v>
      </c>
    </row>
    <row r="53" spans="2:38" x14ac:dyDescent="0.25">
      <c r="B53" s="28" t="s">
        <v>74</v>
      </c>
      <c r="C53" s="20">
        <f>C40/C37</f>
        <v>1.9687623047644046E-2</v>
      </c>
      <c r="D53" s="20">
        <f t="shared" ref="D53:O53" si="74">D40/D37</f>
        <v>1.4927667686442108E-2</v>
      </c>
      <c r="E53" s="20">
        <f t="shared" si="74"/>
        <v>0.38948746481639063</v>
      </c>
      <c r="F53" s="20">
        <f t="shared" si="74"/>
        <v>8.2295714701139402E-2</v>
      </c>
      <c r="G53" s="20">
        <f t="shared" si="74"/>
        <v>1.5575445767848334E-2</v>
      </c>
      <c r="H53" s="20">
        <f t="shared" si="74"/>
        <v>1.6895517158311984E-2</v>
      </c>
      <c r="I53" s="20">
        <f t="shared" si="74"/>
        <v>0.30495344345780784</v>
      </c>
      <c r="J53" s="20">
        <f t="shared" si="74"/>
        <v>1.7000628987330398E-2</v>
      </c>
      <c r="K53" s="20">
        <f t="shared" si="74"/>
        <v>0.14965727341964966</v>
      </c>
      <c r="L53" s="20">
        <f t="shared" si="74"/>
        <v>1.1670569569561933E-2</v>
      </c>
      <c r="M53" s="20">
        <f t="shared" si="74"/>
        <v>4.4934041459653934E-2</v>
      </c>
      <c r="N53" s="20">
        <f t="shared" si="74"/>
        <v>3.3215454482641654E-2</v>
      </c>
      <c r="O53" s="23">
        <f t="shared" si="74"/>
        <v>3.6000493157440513E-2</v>
      </c>
      <c r="P53" s="29">
        <f>O53</f>
        <v>3.6000493157440513E-2</v>
      </c>
      <c r="Q53" s="29">
        <v>0.04</v>
      </c>
      <c r="R53" s="29">
        <v>0.04</v>
      </c>
      <c r="S53" s="29">
        <v>0.04</v>
      </c>
      <c r="T53" s="29">
        <v>0.04</v>
      </c>
      <c r="U53" s="29">
        <v>0.04</v>
      </c>
      <c r="V53" s="29">
        <v>0.04</v>
      </c>
      <c r="W53" s="29">
        <v>0.04</v>
      </c>
      <c r="X53" s="29">
        <v>0.04</v>
      </c>
      <c r="Y53" s="29">
        <v>0.04</v>
      </c>
      <c r="Z53" s="29">
        <v>0.04</v>
      </c>
      <c r="AA53" s="29">
        <v>0.04</v>
      </c>
      <c r="AB53" s="29">
        <v>0.04</v>
      </c>
      <c r="AC53" s="29">
        <v>0.04</v>
      </c>
      <c r="AD53" s="29">
        <v>0.04</v>
      </c>
      <c r="AE53" s="29">
        <v>0.04</v>
      </c>
      <c r="AF53" s="29">
        <v>0.04</v>
      </c>
      <c r="AG53" s="29">
        <v>0.04</v>
      </c>
      <c r="AH53" s="29">
        <v>0.04</v>
      </c>
      <c r="AI53" s="29">
        <v>0.04</v>
      </c>
      <c r="AJ53" s="29">
        <v>0.04</v>
      </c>
      <c r="AK53" s="29">
        <v>0.04</v>
      </c>
      <c r="AL53" s="29">
        <v>0.04</v>
      </c>
    </row>
    <row r="54" spans="2:38" x14ac:dyDescent="0.25">
      <c r="B54" s="28" t="s">
        <v>75</v>
      </c>
      <c r="C54" s="20">
        <f>C44/C43</f>
        <v>0.12080800156893511</v>
      </c>
      <c r="D54" s="20">
        <f t="shared" ref="D54:O54" si="75">D44/D43</f>
        <v>0.15591938340753503</v>
      </c>
      <c r="E54" s="20">
        <f t="shared" si="75"/>
        <v>1.1343632958801504</v>
      </c>
      <c r="F54" s="20">
        <f t="shared" si="75"/>
        <v>0.14077113110993472</v>
      </c>
      <c r="G54" s="20">
        <f t="shared" si="75"/>
        <v>0.11561058317889671</v>
      </c>
      <c r="H54" s="20">
        <f t="shared" si="75"/>
        <v>0.15643125213237813</v>
      </c>
      <c r="I54" s="20">
        <f t="shared" si="75"/>
        <v>0.38913371946612957</v>
      </c>
      <c r="J54" s="20">
        <f t="shared" si="75"/>
        <v>0.12481641725876234</v>
      </c>
      <c r="K54" s="20">
        <f t="shared" si="75"/>
        <v>0.20167824074074073</v>
      </c>
      <c r="L54" s="20">
        <f t="shared" si="75"/>
        <v>0.16465501977217731</v>
      </c>
      <c r="M54" s="20">
        <f t="shared" si="75"/>
        <v>0.22812620983352691</v>
      </c>
      <c r="N54" s="20">
        <f t="shared" si="75"/>
        <v>0.19700708910986914</v>
      </c>
      <c r="O54" s="23">
        <f t="shared" si="75"/>
        <v>0.16429378531073446</v>
      </c>
      <c r="P54" s="29">
        <f>AVERAGE(C54:O54)</f>
        <v>0.25335493298229006</v>
      </c>
      <c r="Q54" s="29">
        <v>0.25</v>
      </c>
      <c r="R54" s="29">
        <v>0.25</v>
      </c>
      <c r="S54" s="29">
        <v>0.25</v>
      </c>
      <c r="T54" s="29">
        <v>0.25</v>
      </c>
      <c r="U54" s="29">
        <v>0.25</v>
      </c>
      <c r="V54" s="29">
        <v>0.25</v>
      </c>
      <c r="W54" s="29">
        <v>0.25</v>
      </c>
      <c r="X54" s="29">
        <v>0.25</v>
      </c>
      <c r="Y54" s="29">
        <v>0.25</v>
      </c>
      <c r="Z54" s="29">
        <v>0.25</v>
      </c>
      <c r="AA54" s="29">
        <v>0.25</v>
      </c>
      <c r="AB54" s="29">
        <v>0.25</v>
      </c>
      <c r="AC54" s="29">
        <v>0.25</v>
      </c>
      <c r="AD54" s="29">
        <v>0.25</v>
      </c>
      <c r="AE54" s="29">
        <v>0.25</v>
      </c>
      <c r="AF54" s="29">
        <v>0.25</v>
      </c>
      <c r="AG54" s="29">
        <v>0.25</v>
      </c>
      <c r="AH54" s="29">
        <v>0.25</v>
      </c>
      <c r="AI54" s="29">
        <v>0.25</v>
      </c>
      <c r="AJ54" s="29">
        <v>0.25</v>
      </c>
      <c r="AK54" s="29">
        <v>0.25</v>
      </c>
      <c r="AL54" s="29">
        <v>0.25</v>
      </c>
    </row>
    <row r="56" spans="2:38" x14ac:dyDescent="0.25">
      <c r="J56" s="13"/>
    </row>
    <row r="57" spans="2:38" x14ac:dyDescent="0.25">
      <c r="J57" s="13"/>
    </row>
    <row r="58" spans="2:38" x14ac:dyDescent="0.25">
      <c r="B58" t="s">
        <v>60</v>
      </c>
    </row>
    <row r="60" spans="2:38" ht="16.5" thickBot="1" x14ac:dyDescent="0.3">
      <c r="C60" s="14" t="s">
        <v>49</v>
      </c>
      <c r="D60" s="14" t="s">
        <v>50</v>
      </c>
      <c r="E60" s="15" t="s">
        <v>51</v>
      </c>
      <c r="F60" s="14" t="s">
        <v>52</v>
      </c>
      <c r="G60" s="14" t="s">
        <v>53</v>
      </c>
      <c r="H60" s="14" t="s">
        <v>54</v>
      </c>
      <c r="I60" s="14" t="s">
        <v>55</v>
      </c>
      <c r="J60" s="14" t="s">
        <v>56</v>
      </c>
      <c r="K60" s="14" t="s">
        <v>57</v>
      </c>
    </row>
    <row r="61" spans="2:38" x14ac:dyDescent="0.25">
      <c r="C61" s="30"/>
      <c r="D61" s="30"/>
      <c r="E61" s="36"/>
      <c r="F61" s="30"/>
      <c r="G61" s="30"/>
      <c r="H61" s="30"/>
      <c r="I61" s="30"/>
      <c r="J61" s="30"/>
      <c r="K61" s="30"/>
    </row>
    <row r="62" spans="2:38" x14ac:dyDescent="0.25">
      <c r="B62" s="5" t="s">
        <v>132</v>
      </c>
      <c r="C62" s="12"/>
      <c r="D62" s="12"/>
      <c r="E62" s="25"/>
      <c r="F62" s="12">
        <f>SUM(O5:R5)</f>
        <v>67884.607888585539</v>
      </c>
      <c r="G62" s="12">
        <f>SUM(S5:V5)</f>
        <v>79794.259445948221</v>
      </c>
      <c r="H62" s="12">
        <f>SUM(W5:Z5)</f>
        <v>89987.965468394075</v>
      </c>
      <c r="I62" s="12">
        <f>SUM(AA5:AD5)</f>
        <v>98687.565350506513</v>
      </c>
      <c r="J62" s="12">
        <f>SUM(AE5:AH5)</f>
        <v>106096.24326092168</v>
      </c>
      <c r="K62" s="12">
        <f>SUM(AI5:AL5)</f>
        <v>112165.80219332648</v>
      </c>
    </row>
    <row r="63" spans="2:38" x14ac:dyDescent="0.25">
      <c r="B63" s="5" t="s">
        <v>131</v>
      </c>
      <c r="C63" s="12"/>
      <c r="D63" s="12"/>
      <c r="E63" s="25"/>
      <c r="F63" s="12"/>
      <c r="G63" s="12">
        <f>SUM(S21:V21)</f>
        <v>938.86570948553549</v>
      </c>
      <c r="H63" s="12">
        <f>SUM(W21:Z21)</f>
        <v>1164.3107551196288</v>
      </c>
      <c r="I63" s="12">
        <f>SUM(AA21:AD21)</f>
        <v>1369.4319729350425</v>
      </c>
      <c r="J63" s="12">
        <f>SUM(AE21:AH21)</f>
        <v>1531.5923603301658</v>
      </c>
      <c r="K63" s="12">
        <f>SUM(AI21:AL21)</f>
        <v>1655.0837495454277</v>
      </c>
    </row>
    <row r="64" spans="2:38" x14ac:dyDescent="0.25">
      <c r="B64" s="5" t="s">
        <v>137</v>
      </c>
      <c r="C64" s="12"/>
      <c r="D64" s="12"/>
      <c r="E64" s="25"/>
      <c r="F64" s="12"/>
      <c r="G64" s="12">
        <f>SUM(S22:V22)</f>
        <v>218.31903217444582</v>
      </c>
      <c r="H64" s="12">
        <f>SUM(W22:Z22)</f>
        <v>280.2276528741416</v>
      </c>
      <c r="I64" s="12">
        <f>SUM(AA22:AD22)</f>
        <v>332.29863855151291</v>
      </c>
      <c r="J64" s="12">
        <f>SUM(AE22:AH22)</f>
        <v>371.6475635243209</v>
      </c>
      <c r="K64" s="12">
        <f>SUM(AI22:AL22)</f>
        <v>401.61328750337765</v>
      </c>
    </row>
    <row r="65" spans="2:91" x14ac:dyDescent="0.25">
      <c r="B65" s="5" t="s">
        <v>138</v>
      </c>
      <c r="C65" s="12"/>
      <c r="D65" s="12"/>
      <c r="E65" s="25"/>
      <c r="F65" s="12"/>
      <c r="G65" s="12">
        <f>SUM(S27:V27)</f>
        <v>3123.8479296543082</v>
      </c>
      <c r="H65" s="12">
        <f>SUM(W27:Z27)</f>
        <v>3158.9467998569521</v>
      </c>
      <c r="I65" s="12">
        <f>SUM(AA27:AD27)</f>
        <v>3057.6070311825615</v>
      </c>
      <c r="J65" s="12">
        <f>SUM(AE27:AH27)</f>
        <v>2765.5810100383428</v>
      </c>
      <c r="K65" s="12">
        <f>SUM(AI27:AL27)</f>
        <v>2379.2641180810888</v>
      </c>
    </row>
    <row r="66" spans="2:91" x14ac:dyDescent="0.25">
      <c r="C66" s="12"/>
      <c r="D66" s="12"/>
      <c r="E66" s="25"/>
      <c r="F66" s="12"/>
      <c r="G66" s="12"/>
      <c r="H66" s="12"/>
      <c r="I66" s="12"/>
      <c r="J66" s="12"/>
      <c r="K66" s="12"/>
    </row>
    <row r="67" spans="2:91" x14ac:dyDescent="0.25">
      <c r="B67" s="5" t="s">
        <v>85</v>
      </c>
      <c r="C67" s="12">
        <f>SUM(C35:F35)</f>
        <v>34124.1</v>
      </c>
      <c r="D67" s="12">
        <f>SUM(G35:J35)</f>
        <v>45042.7</v>
      </c>
      <c r="E67" s="25">
        <f>SUM(K35:N35)</f>
        <v>65179.5</v>
      </c>
      <c r="F67" s="12">
        <f>SUM(O35:R35)</f>
        <v>93261.765819148757</v>
      </c>
      <c r="G67" s="12">
        <f>SUM(S35:V35)</f>
        <v>126893.33385585083</v>
      </c>
      <c r="H67" s="12">
        <f>SUM(W35:Z35)</f>
        <v>163138.24001260608</v>
      </c>
      <c r="I67" s="12">
        <f>SUM(AA35:AD35)</f>
        <v>199481.67423575759</v>
      </c>
      <c r="J67" s="12">
        <f>SUM(AE35:AH35)</f>
        <v>239378.00908290909</v>
      </c>
      <c r="K67" s="12">
        <f>SUM(AI35:AL35)</f>
        <v>287253.61089949089</v>
      </c>
    </row>
    <row r="68" spans="2:91" x14ac:dyDescent="0.25">
      <c r="B68" t="s">
        <v>32</v>
      </c>
      <c r="C68" s="12">
        <f>SUM(C36:F36)</f>
        <v>7082.2000000000007</v>
      </c>
      <c r="D68" s="12">
        <f>SUM(G36:J36)</f>
        <v>8418.2999999999993</v>
      </c>
      <c r="E68" s="25">
        <f>SUM(K36:N36)</f>
        <v>11052.8</v>
      </c>
      <c r="F68" s="12">
        <f>SUM(O36:R36)</f>
        <v>14801.793321013585</v>
      </c>
      <c r="G68" s="12">
        <f>SUM(S36:V36)</f>
        <v>19388.753342785676</v>
      </c>
      <c r="H68" s="12">
        <f>SUM(W36:Z36)</f>
        <v>24926.818456624114</v>
      </c>
      <c r="I68" s="12">
        <f>SUM(W36:Z36)</f>
        <v>24926.818456624114</v>
      </c>
      <c r="J68" s="12">
        <f>SUM(AE36:AH36)</f>
        <v>36575.925880141367</v>
      </c>
      <c r="K68" s="12">
        <f>SUM(AI36:AL36)</f>
        <v>43891.111056169633</v>
      </c>
    </row>
    <row r="69" spans="2:91" x14ac:dyDescent="0.25">
      <c r="B69" s="5" t="s">
        <v>58</v>
      </c>
      <c r="C69" s="12">
        <f>SUM(C37:F37)</f>
        <v>27041.9</v>
      </c>
      <c r="D69" s="12">
        <f>SUM(G37:J37)</f>
        <v>36624.399999999994</v>
      </c>
      <c r="E69" s="25">
        <f>SUM(K37:N37)</f>
        <v>54126.7</v>
      </c>
      <c r="F69" s="12">
        <f>SUM(O37:R37)</f>
        <v>75857.315483257145</v>
      </c>
      <c r="G69" s="12">
        <f>SUM(S37:V37)</f>
        <v>103008.9721348804</v>
      </c>
      <c r="H69" s="12">
        <f>SUM(W37:Z37)</f>
        <v>132431.71968893096</v>
      </c>
      <c r="I69" s="12">
        <f>SUM(W37:Z37)</f>
        <v>132431.71968893096</v>
      </c>
      <c r="J69" s="12">
        <f>SUM(AE37:AH37)</f>
        <v>194321.33996365636</v>
      </c>
      <c r="K69" s="12">
        <f>SUM(AI37:AL37)</f>
        <v>233185.6079563876</v>
      </c>
    </row>
    <row r="70" spans="2:91" x14ac:dyDescent="0.25">
      <c r="B70" t="s">
        <v>33</v>
      </c>
      <c r="C70" s="12">
        <f>SUM(C38:F38)</f>
        <v>9313.4000000000015</v>
      </c>
      <c r="D70" s="12">
        <f>SUM(G38:J38)</f>
        <v>10990.6</v>
      </c>
      <c r="E70" s="25">
        <f>SUM(K38:N38)</f>
        <v>13337.3</v>
      </c>
      <c r="F70" s="12">
        <f>SUM(O38:R38)</f>
        <v>16413.461801641755</v>
      </c>
      <c r="G70" s="12">
        <f>SUM(S38:V38)</f>
        <v>22288.342509766382</v>
      </c>
      <c r="H70" s="12">
        <f>SUM(W38:Z38)</f>
        <v>28654.625576880022</v>
      </c>
      <c r="I70" s="12">
        <f>SUM(W38:Z38)</f>
        <v>28654.625576880022</v>
      </c>
      <c r="J70" s="12">
        <f>SUM(AE38:AH38)</f>
        <v>42045.857679227825</v>
      </c>
      <c r="K70" s="12">
        <f>SUM(AI38:AL38)</f>
        <v>50455.029215073388</v>
      </c>
    </row>
    <row r="71" spans="2:91" x14ac:dyDescent="0.25">
      <c r="B71" t="s">
        <v>34</v>
      </c>
      <c r="C71" s="12">
        <f>SUM(C39:F39)</f>
        <v>7403.1</v>
      </c>
      <c r="D71" s="12">
        <f>SUM(G39:J39)</f>
        <v>8593.7999999999993</v>
      </c>
      <c r="E71" s="25">
        <f>SUM(K39:N39)</f>
        <v>11093.1</v>
      </c>
      <c r="F71" s="12">
        <f>SUM(O39:R39)</f>
        <v>13683.682168200785</v>
      </c>
      <c r="G71" s="12">
        <f>SUM(S39:V39)</f>
        <v>18541.614984278473</v>
      </c>
      <c r="H71" s="12">
        <f>SUM(W39:Z39)</f>
        <v>23837.709544007575</v>
      </c>
      <c r="I71" s="12">
        <f>SUM(W39:Z39)</f>
        <v>23837.709544007575</v>
      </c>
      <c r="J71" s="12">
        <f>SUM(AE39:AH39)</f>
        <v>34977.841193458138</v>
      </c>
      <c r="K71" s="12">
        <f>SUM(AI39:AL39)</f>
        <v>41973.409432149769</v>
      </c>
    </row>
    <row r="72" spans="2:91" x14ac:dyDescent="0.25">
      <c r="B72" t="s">
        <v>35</v>
      </c>
      <c r="C72" s="12">
        <f>SUM(C40:F40)</f>
        <v>3799.7999999999997</v>
      </c>
      <c r="D72" s="12">
        <f>SUM(G40:J40)</f>
        <v>3280.4</v>
      </c>
      <c r="E72" s="25">
        <f>SUM(K40:N40)</f>
        <v>2909.5</v>
      </c>
      <c r="F72" s="12">
        <f>SUM(O40:R40)</f>
        <v>2898.592766538497</v>
      </c>
      <c r="G72" s="12">
        <f>SUM(S40:V40)</f>
        <v>4120.3588853952169</v>
      </c>
      <c r="H72" s="12">
        <f>SUM(W40:Z40)</f>
        <v>5297.2687875572392</v>
      </c>
      <c r="I72" s="12">
        <f>SUM(W40:Z40)</f>
        <v>5297.2687875572392</v>
      </c>
      <c r="J72" s="12">
        <f>SUM(AE40:AH40)</f>
        <v>7772.853598546254</v>
      </c>
      <c r="K72" s="12">
        <f>SUM(AI40:AL40)</f>
        <v>9327.4243182555037</v>
      </c>
    </row>
    <row r="73" spans="2:91" x14ac:dyDescent="0.25">
      <c r="B73" t="s">
        <v>36</v>
      </c>
      <c r="C73" s="12">
        <f>SUM(C41:F41)</f>
        <v>67.7</v>
      </c>
      <c r="D73" s="12">
        <f>SUM(G41:J41)</f>
        <v>860.6</v>
      </c>
      <c r="E73" s="25">
        <f>SUM(K41:N41)</f>
        <v>484</v>
      </c>
      <c r="F73" s="12">
        <f>SUM(O41:R41)</f>
        <v>669.09999999999991</v>
      </c>
      <c r="G73" s="12">
        <f>SUM(S41:V41)</f>
        <v>520</v>
      </c>
      <c r="H73" s="12">
        <f>SUM(W41:Z41)</f>
        <v>520</v>
      </c>
      <c r="I73" s="12">
        <f>SUM(W41:Z41)</f>
        <v>520</v>
      </c>
      <c r="J73" s="12">
        <f>SUM(AE41:AH41)</f>
        <v>520</v>
      </c>
      <c r="K73" s="12">
        <f>SUM(AI41:AL41)</f>
        <v>520</v>
      </c>
    </row>
    <row r="74" spans="2:91" x14ac:dyDescent="0.25">
      <c r="B74" t="s">
        <v>37</v>
      </c>
      <c r="C74" s="12">
        <f>SUM(C42:F42)</f>
        <v>145.29999999999998</v>
      </c>
      <c r="D74" s="12">
        <f>SUM(G42:J42)</f>
        <v>218.7</v>
      </c>
      <c r="E74" s="25">
        <f>SUM(K42:N42)</f>
        <v>571</v>
      </c>
      <c r="F74" s="12">
        <f>SUM(O42:R42)</f>
        <v>295.92307692307691</v>
      </c>
      <c r="G74" s="12">
        <f>SUM(S42:V42)</f>
        <v>308</v>
      </c>
      <c r="H74" s="12">
        <f>SUM(W42:Z42)</f>
        <v>308</v>
      </c>
      <c r="I74" s="12">
        <f>SUM(W42:Z42)</f>
        <v>308</v>
      </c>
      <c r="J74" s="12">
        <f>SUM(AE42:AH42)</f>
        <v>308</v>
      </c>
      <c r="K74" s="12">
        <f>SUM(AI42:AL42)</f>
        <v>308</v>
      </c>
    </row>
    <row r="75" spans="2:91" x14ac:dyDescent="0.25">
      <c r="B75" t="s">
        <v>38</v>
      </c>
      <c r="C75" s="12">
        <f>SUM(C43:F43)</f>
        <v>6312.6</v>
      </c>
      <c r="D75" s="12">
        <f>SUM(G43:J43)</f>
        <v>12680.3</v>
      </c>
      <c r="E75" s="25">
        <f>SUM(K43:N43)</f>
        <v>25731.800000000003</v>
      </c>
      <c r="F75" s="12">
        <f>SUM(O43:R43)</f>
        <v>41896.555669953028</v>
      </c>
      <c r="G75" s="12">
        <f>SUM(S43:V43)</f>
        <v>57230.655755440341</v>
      </c>
      <c r="H75" s="12">
        <f>SUM(W43:Z43)</f>
        <v>73814.115780486143</v>
      </c>
      <c r="I75" s="12">
        <f>SUM(W43:Z43)</f>
        <v>73814.115780486143</v>
      </c>
      <c r="J75" s="12">
        <f>SUM(AE43:AH43)</f>
        <v>108696.78749242412</v>
      </c>
      <c r="K75" s="12">
        <f>SUM(AI43:AL43)</f>
        <v>130601.74499090893</v>
      </c>
      <c r="M75" s="55" t="s">
        <v>87</v>
      </c>
      <c r="N75" s="56">
        <v>0.01</v>
      </c>
    </row>
    <row r="76" spans="2:91" x14ac:dyDescent="0.25">
      <c r="B76" t="s">
        <v>39</v>
      </c>
      <c r="C76" s="12">
        <f>SUM(C44:F44)</f>
        <v>1314.2</v>
      </c>
      <c r="D76" s="12">
        <f>SUM(G44:J44)</f>
        <v>2090.4</v>
      </c>
      <c r="E76" s="25">
        <f>SUM(K44:N44)</f>
        <v>5091.3</v>
      </c>
      <c r="F76" s="12">
        <f>SUM(O44:R44)</f>
        <v>9748.6135479809418</v>
      </c>
      <c r="G76" s="12">
        <f>SUM(S44:V44)</f>
        <v>14307.663938860085</v>
      </c>
      <c r="H76" s="12">
        <f>SUM(W44:Z44)</f>
        <v>18453.528945121536</v>
      </c>
      <c r="I76" s="12">
        <f>SUM(W44:Z44)</f>
        <v>18453.528945121536</v>
      </c>
      <c r="J76" s="12">
        <f>SUM(AE44:AH44)</f>
        <v>27174.19687310603</v>
      </c>
      <c r="K76" s="12">
        <f>SUM(AI44:AL44)</f>
        <v>32650.436247727233</v>
      </c>
      <c r="M76" s="57" t="s">
        <v>86</v>
      </c>
      <c r="N76" s="58">
        <v>0.09</v>
      </c>
    </row>
    <row r="77" spans="2:91" x14ac:dyDescent="0.25">
      <c r="B77" s="5" t="s">
        <v>20</v>
      </c>
      <c r="C77" s="12">
        <f>SUM(C45:F45)</f>
        <v>4998.4000000000005</v>
      </c>
      <c r="D77" s="12">
        <f>SUM(G45:J45)</f>
        <v>10589.899999999998</v>
      </c>
      <c r="E77" s="25">
        <f>SUM(K45:N45)</f>
        <v>20640.5</v>
      </c>
      <c r="F77" s="12">
        <f>SUM(O45:R45)</f>
        <v>32147.942121972086</v>
      </c>
      <c r="G77" s="12">
        <f>SUM(S45:V45)</f>
        <v>42922.991816580252</v>
      </c>
      <c r="H77" s="12">
        <f>SUM(W45:Z45)</f>
        <v>55360.586835364607</v>
      </c>
      <c r="I77" s="12">
        <f>SUM(W45:Z45)</f>
        <v>55360.586835364607</v>
      </c>
      <c r="J77" s="12">
        <f>SUM(AE45:AH45)</f>
        <v>81522.590619318085</v>
      </c>
      <c r="K77" s="12">
        <f>SUM(AI45:AL45)</f>
        <v>97951.308743181711</v>
      </c>
      <c r="L77" s="3"/>
      <c r="M77" s="57" t="s">
        <v>88</v>
      </c>
      <c r="N77" s="59">
        <f>K77*(1+N75)/(N76-N75)</f>
        <v>1236635.272882669</v>
      </c>
    </row>
    <row r="78" spans="2:91" x14ac:dyDescent="0.25">
      <c r="B78" t="s">
        <v>40</v>
      </c>
      <c r="C78" s="3">
        <f>C77/C79</f>
        <v>5.5428460536164792</v>
      </c>
      <c r="D78" s="3">
        <f t="shared" ref="D78:K78" si="76">D77/D79</f>
        <v>11.711252419131874</v>
      </c>
      <c r="E78" s="21">
        <f t="shared" si="76"/>
        <v>22.951740242410764</v>
      </c>
      <c r="F78" s="3">
        <f t="shared" si="76"/>
        <v>35.760663112958746</v>
      </c>
      <c r="G78" s="3">
        <f t="shared" si="76"/>
        <v>47.692213129533613</v>
      </c>
      <c r="H78" s="3">
        <f t="shared" si="76"/>
        <v>61.511763150405116</v>
      </c>
      <c r="I78" s="3">
        <f t="shared" si="76"/>
        <v>61.511763150405116</v>
      </c>
      <c r="J78" s="3">
        <f t="shared" si="76"/>
        <v>90.580656243686761</v>
      </c>
      <c r="K78" s="3">
        <f t="shared" si="76"/>
        <v>108.53330608662793</v>
      </c>
      <c r="M78" s="57" t="s">
        <v>5</v>
      </c>
      <c r="N78" s="22">
        <f>Main!B4</f>
        <v>895.9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</row>
    <row r="79" spans="2:91" x14ac:dyDescent="0.25">
      <c r="B79" t="s">
        <v>5</v>
      </c>
      <c r="C79" s="17">
        <f>AVERAGE(C47:F47)</f>
        <v>901.77499999999998</v>
      </c>
      <c r="D79" s="17">
        <f>AVERAGE(G47:J47)</f>
        <v>904.25</v>
      </c>
      <c r="E79" s="26">
        <f>AVERAGE(K47:N47)</f>
        <v>899.3</v>
      </c>
      <c r="F79" s="17">
        <f>AVERAGE(O47:R47)</f>
        <v>898.97500000000002</v>
      </c>
      <c r="G79" s="17">
        <f>AVERAGE(S47:V47)</f>
        <v>900</v>
      </c>
      <c r="H79" s="17">
        <f>AVERAGE(W47:Z47)</f>
        <v>900</v>
      </c>
      <c r="I79" s="17">
        <f>AVERAGE(W47:Z47)</f>
        <v>900</v>
      </c>
      <c r="J79" s="17">
        <f>AVERAGE(AE47:AH47)</f>
        <v>900</v>
      </c>
      <c r="K79" s="17">
        <f>AVERAGE(AI47:AL47)</f>
        <v>902.5</v>
      </c>
      <c r="M79" s="60" t="s">
        <v>89</v>
      </c>
      <c r="N79" s="61">
        <f>N77/N78</f>
        <v>1380.3273500197222</v>
      </c>
    </row>
    <row r="82" spans="3:5" x14ac:dyDescent="0.25">
      <c r="C82" s="2"/>
      <c r="D82" s="16"/>
      <c r="E82" s="16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9C2C3-61A4-604B-9B27-349A7F74AD9C}">
  <dimension ref="B2:C6"/>
  <sheetViews>
    <sheetView zoomScale="130" zoomScaleNormal="130" workbookViewId="0">
      <selection activeCell="D11" sqref="D11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80</v>
      </c>
    </row>
    <row r="3" spans="2:3" x14ac:dyDescent="0.25">
      <c r="B3" s="5" t="s">
        <v>96</v>
      </c>
      <c r="C3" t="s">
        <v>97</v>
      </c>
    </row>
    <row r="4" spans="2:3" x14ac:dyDescent="0.25">
      <c r="B4" s="5" t="s">
        <v>91</v>
      </c>
      <c r="C4" t="s">
        <v>98</v>
      </c>
    </row>
    <row r="5" spans="2:3" x14ac:dyDescent="0.25">
      <c r="B5" s="5" t="s">
        <v>99</v>
      </c>
      <c r="C5" t="s">
        <v>169</v>
      </c>
    </row>
    <row r="6" spans="2:3" x14ac:dyDescent="0.25">
      <c r="B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C398-D8CE-024E-9926-8443BA028628}">
  <dimension ref="B2:C6"/>
  <sheetViews>
    <sheetView zoomScale="130" zoomScaleNormal="130" workbookViewId="0">
      <selection activeCell="C5" sqref="C5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81</v>
      </c>
    </row>
    <row r="3" spans="2:3" x14ac:dyDescent="0.25">
      <c r="B3" s="5" t="s">
        <v>96</v>
      </c>
      <c r="C3" t="s">
        <v>167</v>
      </c>
    </row>
    <row r="4" spans="2:3" x14ac:dyDescent="0.25">
      <c r="B4" s="5" t="s">
        <v>91</v>
      </c>
      <c r="C4" t="s">
        <v>168</v>
      </c>
    </row>
    <row r="5" spans="2:3" x14ac:dyDescent="0.25">
      <c r="B5" s="5" t="s">
        <v>99</v>
      </c>
      <c r="C5" t="s">
        <v>169</v>
      </c>
    </row>
    <row r="6" spans="2:3" x14ac:dyDescent="0.25">
      <c r="B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D6B5-CB98-2D45-AD55-3F68546ACC09}">
  <dimension ref="B2:C6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64</v>
      </c>
    </row>
    <row r="3" spans="2:3" x14ac:dyDescent="0.25">
      <c r="B3" s="5" t="s">
        <v>96</v>
      </c>
      <c r="C3" t="s">
        <v>105</v>
      </c>
    </row>
    <row r="4" spans="2:3" x14ac:dyDescent="0.25">
      <c r="B4" s="5" t="s">
        <v>91</v>
      </c>
      <c r="C4" t="s">
        <v>104</v>
      </c>
    </row>
    <row r="5" spans="2:3" x14ac:dyDescent="0.25">
      <c r="B5" s="5" t="s">
        <v>99</v>
      </c>
      <c r="C5" t="s">
        <v>106</v>
      </c>
    </row>
    <row r="6" spans="2:3" x14ac:dyDescent="0.25">
      <c r="B6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19EB6-3318-0648-826D-DF67A437D65F}">
  <sheetPr>
    <tabColor theme="4" tint="0.79998168889431442"/>
  </sheetPr>
  <dimension ref="B2:C5"/>
  <sheetViews>
    <sheetView zoomScale="130" zoomScaleNormal="130" workbookViewId="0">
      <selection activeCell="C12" sqref="C12"/>
    </sheetView>
  </sheetViews>
  <sheetFormatPr defaultColWidth="11" defaultRowHeight="15.75" x14ac:dyDescent="0.25"/>
  <cols>
    <col min="2" max="2" width="11.5" customWidth="1"/>
    <col min="3" max="3" width="39.5" customWidth="1"/>
  </cols>
  <sheetData>
    <row r="2" spans="2:3" x14ac:dyDescent="0.25">
      <c r="B2" s="5" t="s">
        <v>95</v>
      </c>
      <c r="C2" t="s">
        <v>177</v>
      </c>
    </row>
    <row r="3" spans="2:3" x14ac:dyDescent="0.25">
      <c r="B3" s="5" t="s">
        <v>96</v>
      </c>
      <c r="C3" t="s">
        <v>100</v>
      </c>
    </row>
    <row r="4" spans="2:3" x14ac:dyDescent="0.25">
      <c r="B4" s="5" t="s">
        <v>91</v>
      </c>
      <c r="C4" t="s">
        <v>166</v>
      </c>
    </row>
    <row r="5" spans="2:3" x14ac:dyDescent="0.25">
      <c r="B5" s="5" t="s">
        <v>99</v>
      </c>
      <c r="C5" t="s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E7DD-E7DB-4B4E-B4EE-1F7B76515044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6" bestFit="1" customWidth="1"/>
  </cols>
  <sheetData>
    <row r="2" spans="2:3" x14ac:dyDescent="0.25">
      <c r="B2" s="5" t="s">
        <v>95</v>
      </c>
      <c r="C2" t="s">
        <v>82</v>
      </c>
    </row>
    <row r="3" spans="2:3" x14ac:dyDescent="0.25">
      <c r="B3" s="5" t="s">
        <v>96</v>
      </c>
      <c r="C3" t="s">
        <v>126</v>
      </c>
    </row>
    <row r="4" spans="2:3" x14ac:dyDescent="0.25">
      <c r="B4" s="5" t="s">
        <v>91</v>
      </c>
      <c r="C4" t="s">
        <v>170</v>
      </c>
    </row>
    <row r="5" spans="2:3" x14ac:dyDescent="0.25">
      <c r="B5" s="5" t="s">
        <v>99</v>
      </c>
      <c r="C5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DD7D-6B57-AF48-A826-43749FB9823A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129</v>
      </c>
    </row>
    <row r="3" spans="2:3" x14ac:dyDescent="0.25">
      <c r="B3" s="5" t="s">
        <v>96</v>
      </c>
      <c r="C3" t="s">
        <v>142</v>
      </c>
    </row>
    <row r="4" spans="2:3" x14ac:dyDescent="0.25">
      <c r="B4" s="5" t="s">
        <v>91</v>
      </c>
      <c r="C4" t="s">
        <v>143</v>
      </c>
    </row>
    <row r="5" spans="2:3" x14ac:dyDescent="0.25">
      <c r="B5" s="5" t="s">
        <v>99</v>
      </c>
      <c r="C5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44755-AC93-B145-9E0E-902DA5ECD2ED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83</v>
      </c>
    </row>
    <row r="3" spans="2:3" x14ac:dyDescent="0.25">
      <c r="B3" s="5" t="s">
        <v>96</v>
      </c>
      <c r="C3" t="s">
        <v>125</v>
      </c>
    </row>
    <row r="4" spans="2:3" x14ac:dyDescent="0.25">
      <c r="B4" s="5" t="s">
        <v>91</v>
      </c>
      <c r="C4" t="s">
        <v>143</v>
      </c>
    </row>
    <row r="5" spans="2:3" x14ac:dyDescent="0.25">
      <c r="B5" s="5" t="s">
        <v>99</v>
      </c>
      <c r="C5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AA71F-283D-A84C-A745-ACFF3EB09014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141</v>
      </c>
    </row>
    <row r="3" spans="2:3" x14ac:dyDescent="0.25">
      <c r="B3" s="5" t="s">
        <v>96</v>
      </c>
      <c r="C3" t="s">
        <v>145</v>
      </c>
    </row>
    <row r="4" spans="2:3" x14ac:dyDescent="0.25">
      <c r="B4" s="5" t="s">
        <v>91</v>
      </c>
      <c r="C4" t="s">
        <v>143</v>
      </c>
    </row>
    <row r="5" spans="2:3" x14ac:dyDescent="0.25">
      <c r="B5" s="5" t="s">
        <v>99</v>
      </c>
      <c r="C5" t="s">
        <v>146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D8715-4322-124E-AD47-057ED0FEA06D}">
  <dimension ref="B2:C6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63</v>
      </c>
    </row>
    <row r="3" spans="2:3" x14ac:dyDescent="0.25">
      <c r="B3" s="5" t="s">
        <v>96</v>
      </c>
      <c r="C3" t="s">
        <v>107</v>
      </c>
    </row>
    <row r="4" spans="2:3" x14ac:dyDescent="0.25">
      <c r="B4" s="5" t="s">
        <v>91</v>
      </c>
      <c r="C4" t="s">
        <v>108</v>
      </c>
    </row>
    <row r="5" spans="2:3" x14ac:dyDescent="0.25">
      <c r="B5" s="5" t="s">
        <v>99</v>
      </c>
      <c r="C5" t="s">
        <v>109</v>
      </c>
    </row>
    <row r="6" spans="2:3" x14ac:dyDescent="0.25">
      <c r="B6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ED2D-2973-D343-B078-3FE5FF5654B7}">
  <dimension ref="B2:C6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67</v>
      </c>
    </row>
    <row r="3" spans="2:3" x14ac:dyDescent="0.25">
      <c r="B3" s="5" t="s">
        <v>96</v>
      </c>
      <c r="C3" t="s">
        <v>103</v>
      </c>
    </row>
    <row r="4" spans="2:3" x14ac:dyDescent="0.25">
      <c r="B4" s="5" t="s">
        <v>91</v>
      </c>
      <c r="C4" t="s">
        <v>102</v>
      </c>
    </row>
    <row r="5" spans="2:3" x14ac:dyDescent="0.25">
      <c r="B5" s="5" t="s">
        <v>99</v>
      </c>
      <c r="C5" t="s">
        <v>101</v>
      </c>
    </row>
    <row r="6" spans="2:3" x14ac:dyDescent="0.25">
      <c r="B6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A10E-2CE9-C44A-BA05-CEC3F6A7B9B4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133</v>
      </c>
    </row>
    <row r="3" spans="2:3" x14ac:dyDescent="0.25">
      <c r="B3" s="5" t="s">
        <v>96</v>
      </c>
      <c r="C3" t="s">
        <v>147</v>
      </c>
    </row>
    <row r="4" spans="2:3" x14ac:dyDescent="0.25">
      <c r="B4" s="5" t="s">
        <v>91</v>
      </c>
      <c r="C4" t="s">
        <v>148</v>
      </c>
    </row>
    <row r="5" spans="2:3" x14ac:dyDescent="0.25">
      <c r="B5" s="5" t="s">
        <v>99</v>
      </c>
      <c r="C5" t="s">
        <v>149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921E-ABAD-664F-9F04-2F94181335E8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134</v>
      </c>
    </row>
    <row r="3" spans="2:3" x14ac:dyDescent="0.25">
      <c r="B3" s="5" t="s">
        <v>96</v>
      </c>
      <c r="C3" t="s">
        <v>150</v>
      </c>
    </row>
    <row r="4" spans="2:3" x14ac:dyDescent="0.25">
      <c r="B4" s="5" t="s">
        <v>91</v>
      </c>
      <c r="C4" t="s">
        <v>151</v>
      </c>
    </row>
    <row r="5" spans="2:3" x14ac:dyDescent="0.25">
      <c r="B5" s="5" t="s">
        <v>99</v>
      </c>
      <c r="C5" t="s">
        <v>152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54DB0-2A38-CC43-AFB6-A4D15B1D16A6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135</v>
      </c>
    </row>
    <row r="3" spans="2:3" x14ac:dyDescent="0.25">
      <c r="B3" s="5" t="s">
        <v>96</v>
      </c>
      <c r="C3" t="s">
        <v>153</v>
      </c>
    </row>
    <row r="4" spans="2:3" x14ac:dyDescent="0.25">
      <c r="B4" s="5" t="s">
        <v>91</v>
      </c>
      <c r="C4" t="s">
        <v>154</v>
      </c>
    </row>
    <row r="5" spans="2:3" x14ac:dyDescent="0.25">
      <c r="B5" s="5" t="s">
        <v>99</v>
      </c>
      <c r="C5" t="s">
        <v>155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3BAB-A367-E247-9734-F5A507896F00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136</v>
      </c>
    </row>
    <row r="3" spans="2:3" x14ac:dyDescent="0.25">
      <c r="B3" s="5" t="s">
        <v>96</v>
      </c>
      <c r="C3" t="s">
        <v>162</v>
      </c>
    </row>
    <row r="4" spans="2:3" x14ac:dyDescent="0.25">
      <c r="B4" s="5" t="s">
        <v>91</v>
      </c>
      <c r="C4" t="s">
        <v>163</v>
      </c>
    </row>
    <row r="5" spans="2:3" x14ac:dyDescent="0.25">
      <c r="B5" s="5" t="s">
        <v>99</v>
      </c>
      <c r="C5" t="s">
        <v>164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E589F-D302-9A4C-AA5D-AB6E3600497C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66</v>
      </c>
    </row>
    <row r="3" spans="2:3" x14ac:dyDescent="0.25">
      <c r="B3" s="5" t="s">
        <v>96</v>
      </c>
      <c r="C3" t="s">
        <v>117</v>
      </c>
    </row>
    <row r="4" spans="2:3" x14ac:dyDescent="0.25">
      <c r="B4" s="5" t="s">
        <v>91</v>
      </c>
      <c r="C4" t="s">
        <v>118</v>
      </c>
    </row>
    <row r="5" spans="2:3" x14ac:dyDescent="0.25">
      <c r="B5" s="5" t="s">
        <v>99</v>
      </c>
      <c r="C5" t="s">
        <v>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7D7D5-0456-3948-91A3-88A754874038}">
  <dimension ref="B2:C5"/>
  <sheetViews>
    <sheetView zoomScale="130" zoomScaleNormal="130" workbookViewId="0">
      <selection activeCell="C14" sqref="C14"/>
    </sheetView>
  </sheetViews>
  <sheetFormatPr defaultColWidth="11" defaultRowHeight="15.75" x14ac:dyDescent="0.25"/>
  <cols>
    <col min="2" max="2" width="11.5" customWidth="1"/>
    <col min="3" max="3" width="32" customWidth="1"/>
  </cols>
  <sheetData>
    <row r="2" spans="2:3" x14ac:dyDescent="0.25">
      <c r="B2" s="5" t="s">
        <v>95</v>
      </c>
      <c r="C2" t="s">
        <v>65</v>
      </c>
    </row>
    <row r="3" spans="2:3" x14ac:dyDescent="0.25">
      <c r="B3" s="5" t="s">
        <v>96</v>
      </c>
      <c r="C3" t="s">
        <v>120</v>
      </c>
    </row>
    <row r="4" spans="2:3" x14ac:dyDescent="0.25">
      <c r="B4" s="5" t="s">
        <v>91</v>
      </c>
      <c r="C4" t="s">
        <v>102</v>
      </c>
    </row>
    <row r="5" spans="2:3" x14ac:dyDescent="0.25">
      <c r="B5" s="5" t="s">
        <v>99</v>
      </c>
      <c r="C5" t="s">
        <v>121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C247-8CC8-FC41-B2F1-DFF196B2E853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27.125" customWidth="1"/>
  </cols>
  <sheetData>
    <row r="2" spans="2:3" x14ac:dyDescent="0.25">
      <c r="B2" s="5" t="s">
        <v>95</v>
      </c>
      <c r="C2" t="s">
        <v>68</v>
      </c>
    </row>
    <row r="3" spans="2:3" x14ac:dyDescent="0.25">
      <c r="B3" s="5" t="s">
        <v>96</v>
      </c>
      <c r="C3" t="s">
        <v>110</v>
      </c>
    </row>
    <row r="4" spans="2:3" x14ac:dyDescent="0.25">
      <c r="B4" s="5" t="s">
        <v>91</v>
      </c>
      <c r="C4" t="s">
        <v>111</v>
      </c>
    </row>
    <row r="5" spans="2:3" x14ac:dyDescent="0.25">
      <c r="B5" s="5" t="s">
        <v>99</v>
      </c>
      <c r="C5" t="s">
        <v>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26D4-837A-7D4E-800F-AD80A82B8628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46.625" customWidth="1"/>
  </cols>
  <sheetData>
    <row r="2" spans="2:3" x14ac:dyDescent="0.25">
      <c r="B2" s="5" t="s">
        <v>95</v>
      </c>
      <c r="C2" t="s">
        <v>140</v>
      </c>
    </row>
    <row r="3" spans="2:3" x14ac:dyDescent="0.25">
      <c r="B3" s="5" t="s">
        <v>96</v>
      </c>
      <c r="C3" t="s">
        <v>156</v>
      </c>
    </row>
    <row r="4" spans="2:3" x14ac:dyDescent="0.25">
      <c r="B4" s="5" t="s">
        <v>91</v>
      </c>
      <c r="C4" t="s">
        <v>157</v>
      </c>
    </row>
    <row r="5" spans="2:3" x14ac:dyDescent="0.25">
      <c r="B5" s="5" t="s">
        <v>99</v>
      </c>
      <c r="C5" t="s">
        <v>158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8648-63EE-E146-A556-824FD11B725A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30.625" customWidth="1"/>
  </cols>
  <sheetData>
    <row r="2" spans="2:3" x14ac:dyDescent="0.25">
      <c r="B2" s="5" t="s">
        <v>95</v>
      </c>
      <c r="C2" t="s">
        <v>69</v>
      </c>
    </row>
    <row r="3" spans="2:3" x14ac:dyDescent="0.25">
      <c r="B3" s="5" t="s">
        <v>96</v>
      </c>
      <c r="C3" t="s">
        <v>115</v>
      </c>
    </row>
    <row r="4" spans="2:3" x14ac:dyDescent="0.25">
      <c r="B4" s="5" t="s">
        <v>91</v>
      </c>
      <c r="C4" t="s">
        <v>128</v>
      </c>
    </row>
    <row r="5" spans="2:3" x14ac:dyDescent="0.25">
      <c r="B5" s="5" t="s">
        <v>99</v>
      </c>
      <c r="C5" t="s">
        <v>116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B9B4-8F4E-5D4B-B1A5-8E4FDB848678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27.125" customWidth="1"/>
  </cols>
  <sheetData>
    <row r="2" spans="2:3" x14ac:dyDescent="0.25">
      <c r="B2" s="5" t="s">
        <v>95</v>
      </c>
      <c r="C2" t="s">
        <v>70</v>
      </c>
    </row>
    <row r="3" spans="2:3" x14ac:dyDescent="0.25">
      <c r="B3" s="5" t="s">
        <v>96</v>
      </c>
      <c r="C3" t="s">
        <v>122</v>
      </c>
    </row>
    <row r="4" spans="2:3" x14ac:dyDescent="0.25">
      <c r="B4" s="5" t="s">
        <v>91</v>
      </c>
      <c r="C4" t="s">
        <v>123</v>
      </c>
    </row>
    <row r="5" spans="2:3" x14ac:dyDescent="0.25">
      <c r="B5" s="5" t="s">
        <v>99</v>
      </c>
      <c r="C5" t="s">
        <v>124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FC926-7D51-7843-BABD-6B4598F8197F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46.625" customWidth="1"/>
  </cols>
  <sheetData>
    <row r="2" spans="2:3" x14ac:dyDescent="0.25">
      <c r="B2" s="5" t="s">
        <v>95</v>
      </c>
      <c r="C2" t="s">
        <v>139</v>
      </c>
    </row>
    <row r="3" spans="2:3" x14ac:dyDescent="0.25">
      <c r="B3" s="5" t="s">
        <v>96</v>
      </c>
      <c r="C3" t="s">
        <v>159</v>
      </c>
    </row>
    <row r="4" spans="2:3" x14ac:dyDescent="0.25">
      <c r="B4" s="5" t="s">
        <v>91</v>
      </c>
      <c r="C4" t="s">
        <v>160</v>
      </c>
    </row>
    <row r="5" spans="2:3" x14ac:dyDescent="0.25">
      <c r="B5" s="5" t="s">
        <v>99</v>
      </c>
      <c r="C5" t="s">
        <v>161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5818-12E3-D249-AF08-D73D6ACD578B}">
  <dimension ref="B2:C5"/>
  <sheetViews>
    <sheetView workbookViewId="0">
      <selection activeCell="C10" sqref="C10"/>
    </sheetView>
  </sheetViews>
  <sheetFormatPr defaultColWidth="11" defaultRowHeight="15.75" x14ac:dyDescent="0.25"/>
  <cols>
    <col min="3" max="3" width="27.125" customWidth="1"/>
  </cols>
  <sheetData>
    <row r="2" spans="2:3" x14ac:dyDescent="0.25">
      <c r="B2" s="5" t="s">
        <v>95</v>
      </c>
      <c r="C2" t="s">
        <v>71</v>
      </c>
    </row>
    <row r="3" spans="2:3" x14ac:dyDescent="0.25">
      <c r="B3" s="5" t="s">
        <v>96</v>
      </c>
      <c r="C3" t="s">
        <v>113</v>
      </c>
    </row>
    <row r="4" spans="2:3" x14ac:dyDescent="0.25">
      <c r="B4" s="5" t="s">
        <v>91</v>
      </c>
      <c r="C4" t="s">
        <v>127</v>
      </c>
    </row>
    <row r="5" spans="2:3" x14ac:dyDescent="0.25">
      <c r="B5" s="5" t="s">
        <v>99</v>
      </c>
      <c r="C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Main</vt:lpstr>
      <vt:lpstr>Model</vt:lpstr>
      <vt:lpstr>Mounjaro</vt:lpstr>
      <vt:lpstr>Zepbound</vt:lpstr>
      <vt:lpstr>Trulicity</vt:lpstr>
      <vt:lpstr>Retatrutide</vt:lpstr>
      <vt:lpstr>Foundayo</vt:lpstr>
      <vt:lpstr>Basaglar</vt:lpstr>
      <vt:lpstr>Humalog</vt:lpstr>
      <vt:lpstr>Humulin</vt:lpstr>
      <vt:lpstr>Jardiance</vt:lpstr>
      <vt:lpstr>Verzenio</vt:lpstr>
      <vt:lpstr>Cyramza</vt:lpstr>
      <vt:lpstr>Erbitux</vt:lpstr>
      <vt:lpstr>Retevmo</vt:lpstr>
      <vt:lpstr>Tyvyt</vt:lpstr>
      <vt:lpstr>Jaypirca</vt:lpstr>
      <vt:lpstr>Inluriyo</vt:lpstr>
      <vt:lpstr>Ebglyss</vt:lpstr>
      <vt:lpstr>Olumiant</vt:lpstr>
      <vt:lpstr>Omvoh</vt:lpstr>
      <vt:lpstr>Taltz</vt:lpstr>
      <vt:lpstr>Emgality</vt:lpstr>
      <vt:lpstr>Kisunla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Heier</dc:creator>
  <cp:lastModifiedBy>Sam Heier</cp:lastModifiedBy>
  <dcterms:created xsi:type="dcterms:W3CDTF">2026-05-18T21:29:55Z</dcterms:created>
  <dcterms:modified xsi:type="dcterms:W3CDTF">2026-07-09T17:59:36Z</dcterms:modified>
</cp:coreProperties>
</file>
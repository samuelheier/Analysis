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amheier/Downloads/"/>
    </mc:Choice>
  </mc:AlternateContent>
  <xr:revisionPtr revIDLastSave="0" documentId="8_{1CFD85C5-CBCC-BF41-9C61-2ACCFC93A933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DCF Mode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13" i="1" l="1"/>
  <c r="L114" i="1" s="1"/>
  <c r="L111" i="1"/>
  <c r="L110" i="1"/>
  <c r="Q109" i="1"/>
  <c r="P109" i="1"/>
  <c r="N109" i="1"/>
  <c r="M109" i="1" s="1"/>
  <c r="L109" i="1"/>
  <c r="L105" i="1"/>
  <c r="L104" i="1"/>
  <c r="L102" i="1"/>
  <c r="L101" i="1" s="1"/>
  <c r="P100" i="1"/>
  <c r="Q100" i="1" s="1"/>
  <c r="N100" i="1"/>
  <c r="M100" i="1" s="1"/>
  <c r="I94" i="1"/>
  <c r="I87" i="1"/>
  <c r="I85" i="1"/>
  <c r="I88" i="1" s="1"/>
  <c r="N78" i="1"/>
  <c r="N82" i="1" s="1"/>
  <c r="J61" i="1"/>
  <c r="I61" i="1"/>
  <c r="H61" i="1"/>
  <c r="G61" i="1"/>
  <c r="F61" i="1"/>
  <c r="E61" i="1"/>
  <c r="J60" i="1"/>
  <c r="I60" i="1"/>
  <c r="H60" i="1"/>
  <c r="G60" i="1"/>
  <c r="F60" i="1"/>
  <c r="E60" i="1"/>
  <c r="J59" i="1"/>
  <c r="I59" i="1"/>
  <c r="H59" i="1"/>
  <c r="G59" i="1"/>
  <c r="F59" i="1"/>
  <c r="E59" i="1"/>
  <c r="J58" i="1"/>
  <c r="I58" i="1"/>
  <c r="H58" i="1"/>
  <c r="G58" i="1"/>
  <c r="F58" i="1"/>
  <c r="E58" i="1"/>
  <c r="J57" i="1"/>
  <c r="I57" i="1"/>
  <c r="H57" i="1"/>
  <c r="G57" i="1"/>
  <c r="F57" i="1"/>
  <c r="E57" i="1"/>
  <c r="J56" i="1"/>
  <c r="I56" i="1"/>
  <c r="H56" i="1"/>
  <c r="G56" i="1"/>
  <c r="F56" i="1"/>
  <c r="E56" i="1"/>
  <c r="J55" i="1"/>
  <c r="I55" i="1"/>
  <c r="H55" i="1"/>
  <c r="G55" i="1"/>
  <c r="F55" i="1"/>
  <c r="E55" i="1"/>
  <c r="D55" i="1"/>
  <c r="H54" i="1"/>
  <c r="H62" i="1" s="1"/>
  <c r="E54" i="1"/>
  <c r="E62" i="1" s="1"/>
  <c r="D54" i="1"/>
  <c r="R53" i="1"/>
  <c r="L53" i="1" s="1"/>
  <c r="Q53" i="1"/>
  <c r="N53" i="1"/>
  <c r="K53" i="1"/>
  <c r="J52" i="1"/>
  <c r="J54" i="1" s="1"/>
  <c r="J62" i="1" s="1"/>
  <c r="I52" i="1"/>
  <c r="I54" i="1" s="1"/>
  <c r="I62" i="1" s="1"/>
  <c r="H52" i="1"/>
  <c r="G52" i="1"/>
  <c r="G54" i="1" s="1"/>
  <c r="G62" i="1" s="1"/>
  <c r="F52" i="1"/>
  <c r="F54" i="1" s="1"/>
  <c r="F62" i="1" s="1"/>
  <c r="E52" i="1"/>
  <c r="D52" i="1"/>
  <c r="J51" i="1"/>
  <c r="I51" i="1"/>
  <c r="H51" i="1"/>
  <c r="G51" i="1"/>
  <c r="F51" i="1"/>
  <c r="E51" i="1"/>
  <c r="D51" i="1"/>
  <c r="O50" i="1"/>
  <c r="N50" i="1"/>
  <c r="M50" i="1"/>
  <c r="L50" i="1"/>
  <c r="K49" i="1"/>
  <c r="L49" i="1" s="1"/>
  <c r="I49" i="1"/>
  <c r="H49" i="1" s="1"/>
  <c r="G49" i="1" s="1"/>
  <c r="F49" i="1" s="1"/>
  <c r="E49" i="1" s="1"/>
  <c r="D49" i="1" s="1"/>
  <c r="J46" i="1"/>
  <c r="I46" i="1"/>
  <c r="H46" i="1"/>
  <c r="G46" i="1"/>
  <c r="F46" i="1"/>
  <c r="E46" i="1"/>
  <c r="J44" i="1"/>
  <c r="I44" i="1"/>
  <c r="H44" i="1"/>
  <c r="G44" i="1"/>
  <c r="F44" i="1"/>
  <c r="E44" i="1"/>
  <c r="I43" i="1"/>
  <c r="H43" i="1"/>
  <c r="G43" i="1"/>
  <c r="F43" i="1"/>
  <c r="E43" i="1"/>
  <c r="J40" i="1"/>
  <c r="I40" i="1"/>
  <c r="H40" i="1"/>
  <c r="G40" i="1"/>
  <c r="F40" i="1"/>
  <c r="E40" i="1"/>
  <c r="R40" i="1" s="1"/>
  <c r="D40" i="1"/>
  <c r="J39" i="1"/>
  <c r="I39" i="1"/>
  <c r="H39" i="1"/>
  <c r="G39" i="1"/>
  <c r="Q39" i="1" s="1"/>
  <c r="F39" i="1"/>
  <c r="E39" i="1"/>
  <c r="R39" i="1" s="1"/>
  <c r="D39" i="1"/>
  <c r="R38" i="1"/>
  <c r="J38" i="1"/>
  <c r="I38" i="1"/>
  <c r="H38" i="1"/>
  <c r="G38" i="1"/>
  <c r="F38" i="1"/>
  <c r="E38" i="1"/>
  <c r="Q38" i="1" s="1"/>
  <c r="D38" i="1"/>
  <c r="K37" i="1"/>
  <c r="L37" i="1" s="1"/>
  <c r="J37" i="1"/>
  <c r="I37" i="1"/>
  <c r="H37" i="1"/>
  <c r="G37" i="1"/>
  <c r="F37" i="1"/>
  <c r="E37" i="1"/>
  <c r="D37" i="1"/>
  <c r="R37" i="1" s="1"/>
  <c r="S36" i="1"/>
  <c r="J36" i="1"/>
  <c r="I36" i="1"/>
  <c r="H36" i="1"/>
  <c r="G36" i="1"/>
  <c r="F36" i="1"/>
  <c r="E36" i="1"/>
  <c r="R36" i="1" s="1"/>
  <c r="D36" i="1"/>
  <c r="Q36" i="1" s="1"/>
  <c r="L35" i="1"/>
  <c r="K35" i="1"/>
  <c r="J35" i="1"/>
  <c r="I35" i="1"/>
  <c r="H35" i="1"/>
  <c r="G35" i="1"/>
  <c r="F35" i="1"/>
  <c r="E35" i="1"/>
  <c r="D35" i="1"/>
  <c r="R35" i="1" s="1"/>
  <c r="K23" i="1"/>
  <c r="L23" i="1" s="1"/>
  <c r="M23" i="1" s="1"/>
  <c r="N23" i="1" s="1"/>
  <c r="O23" i="1" s="1"/>
  <c r="I23" i="1"/>
  <c r="H23" i="1" s="1"/>
  <c r="G23" i="1" s="1"/>
  <c r="F23" i="1" s="1"/>
  <c r="E23" i="1" s="1"/>
  <c r="D23" i="1" s="1"/>
  <c r="J19" i="1"/>
  <c r="I19" i="1"/>
  <c r="H19" i="1"/>
  <c r="G19" i="1"/>
  <c r="Q19" i="1" s="1"/>
  <c r="F19" i="1"/>
  <c r="E19" i="1"/>
  <c r="D19" i="1"/>
  <c r="R19" i="1" s="1"/>
  <c r="K19" i="1" s="1"/>
  <c r="J16" i="1"/>
  <c r="I16" i="1"/>
  <c r="H16" i="1"/>
  <c r="G16" i="1"/>
  <c r="F16" i="1"/>
  <c r="E16" i="1"/>
  <c r="R16" i="1" s="1"/>
  <c r="K16" i="1" s="1"/>
  <c r="D16" i="1"/>
  <c r="Q16" i="1" s="1"/>
  <c r="J13" i="1"/>
  <c r="I13" i="1"/>
  <c r="F13" i="1"/>
  <c r="J12" i="1"/>
  <c r="I12" i="1"/>
  <c r="H12" i="1"/>
  <c r="H13" i="1" s="1"/>
  <c r="G12" i="1"/>
  <c r="G13" i="1" s="1"/>
  <c r="F12" i="1"/>
  <c r="E12" i="1"/>
  <c r="E13" i="1" s="1"/>
  <c r="L10" i="1"/>
  <c r="M10" i="1" s="1"/>
  <c r="N10" i="1" s="1"/>
  <c r="O10" i="1" s="1"/>
  <c r="K10" i="1"/>
  <c r="I10" i="1"/>
  <c r="H10" i="1" s="1"/>
  <c r="G10" i="1" s="1"/>
  <c r="F10" i="1" s="1"/>
  <c r="E10" i="1" s="1"/>
  <c r="D10" i="1" s="1"/>
  <c r="I6" i="1"/>
  <c r="I77" i="1" s="1"/>
  <c r="I5" i="1" a="1"/>
  <c r="I5" i="1" s="1"/>
  <c r="I76" i="1" s="1"/>
  <c r="I4" i="1"/>
  <c r="S12" i="1" l="1"/>
  <c r="R12" i="1"/>
  <c r="L19" i="1"/>
  <c r="M37" i="1"/>
  <c r="L16" i="1"/>
  <c r="L36" i="1"/>
  <c r="K36" i="1"/>
  <c r="N36" i="1"/>
  <c r="O36" i="1"/>
  <c r="M36" i="1"/>
  <c r="M49" i="1"/>
  <c r="K70" i="1"/>
  <c r="O38" i="1"/>
  <c r="N38" i="1"/>
  <c r="M38" i="1"/>
  <c r="L38" i="1"/>
  <c r="K38" i="1"/>
  <c r="O39" i="1"/>
  <c r="N39" i="1"/>
  <c r="M39" i="1"/>
  <c r="L39" i="1"/>
  <c r="K39" i="1"/>
  <c r="Q12" i="1"/>
  <c r="K12" i="1" s="1"/>
  <c r="M53" i="1"/>
  <c r="I79" i="1"/>
  <c r="I80" i="1" s="1"/>
  <c r="I90" i="1" s="1"/>
  <c r="M35" i="1"/>
  <c r="Q37" i="1"/>
  <c r="O53" i="1"/>
  <c r="J70" i="1"/>
  <c r="I96" i="1"/>
  <c r="Q40" i="1"/>
  <c r="Q35" i="1"/>
  <c r="O63" i="1" l="1"/>
  <c r="N63" i="1"/>
  <c r="M63" i="1"/>
  <c r="L63" i="1"/>
  <c r="F70" i="1"/>
  <c r="K63" i="1"/>
  <c r="N37" i="1"/>
  <c r="K29" i="1"/>
  <c r="K60" i="1" s="1"/>
  <c r="M19" i="1"/>
  <c r="N35" i="1"/>
  <c r="K11" i="1"/>
  <c r="L12" i="1"/>
  <c r="M12" i="1" s="1"/>
  <c r="N12" i="1" s="1"/>
  <c r="O12" i="1" s="1"/>
  <c r="K28" i="1"/>
  <c r="K59" i="1" s="1"/>
  <c r="K40" i="1"/>
  <c r="K33" i="1" s="1"/>
  <c r="K61" i="1" s="1"/>
  <c r="M40" i="1"/>
  <c r="O40" i="1"/>
  <c r="N40" i="1"/>
  <c r="L40" i="1"/>
  <c r="M16" i="1"/>
  <c r="L70" i="1"/>
  <c r="N49" i="1"/>
  <c r="N19" i="1" l="1"/>
  <c r="N16" i="1"/>
  <c r="K51" i="1"/>
  <c r="K26" i="1"/>
  <c r="K58" i="1" s="1"/>
  <c r="L11" i="1"/>
  <c r="K18" i="1"/>
  <c r="K55" i="1" s="1"/>
  <c r="K24" i="1"/>
  <c r="K56" i="1" s="1"/>
  <c r="K15" i="1"/>
  <c r="K52" i="1" s="1"/>
  <c r="K54" i="1" s="1"/>
  <c r="O35" i="1"/>
  <c r="M70" i="1"/>
  <c r="O49" i="1"/>
  <c r="K25" i="1"/>
  <c r="K57" i="1" s="1"/>
  <c r="O37" i="1"/>
  <c r="O16" i="1" l="1"/>
  <c r="L51" i="1"/>
  <c r="M11" i="1"/>
  <c r="L24" i="1"/>
  <c r="L56" i="1" s="1"/>
  <c r="L26" i="1"/>
  <c r="L58" i="1" s="1"/>
  <c r="L15" i="1"/>
  <c r="L52" i="1" s="1"/>
  <c r="L54" i="1" s="1"/>
  <c r="L25" i="1"/>
  <c r="L57" i="1" s="1"/>
  <c r="L29" i="1"/>
  <c r="L60" i="1" s="1"/>
  <c r="L18" i="1"/>
  <c r="L55" i="1" s="1"/>
  <c r="L28" i="1"/>
  <c r="L59" i="1" s="1"/>
  <c r="K62" i="1"/>
  <c r="L33" i="1"/>
  <c r="L61" i="1" s="1"/>
  <c r="O19" i="1"/>
  <c r="L62" i="1" l="1"/>
  <c r="L65" i="1"/>
  <c r="J71" i="1"/>
  <c r="L64" i="1"/>
  <c r="K64" i="1"/>
  <c r="K65" i="1"/>
  <c r="M51" i="1"/>
  <c r="N11" i="1"/>
  <c r="M29" i="1"/>
  <c r="M60" i="1" s="1"/>
  <c r="M24" i="1"/>
  <c r="M56" i="1" s="1"/>
  <c r="M25" i="1"/>
  <c r="M57" i="1" s="1"/>
  <c r="M28" i="1"/>
  <c r="M59" i="1" s="1"/>
  <c r="M26" i="1"/>
  <c r="M58" i="1" s="1"/>
  <c r="M18" i="1"/>
  <c r="M55" i="1" s="1"/>
  <c r="M33" i="1"/>
  <c r="M61" i="1" s="1"/>
  <c r="M15" i="1"/>
  <c r="M52" i="1" s="1"/>
  <c r="M54" i="1" s="1"/>
  <c r="M62" i="1" s="1"/>
  <c r="M65" i="1" l="1"/>
  <c r="K71" i="1"/>
  <c r="M64" i="1"/>
  <c r="N51" i="1"/>
  <c r="O11" i="1"/>
  <c r="N25" i="1"/>
  <c r="N57" i="1" s="1"/>
  <c r="N29" i="1"/>
  <c r="N60" i="1" s="1"/>
  <c r="N28" i="1"/>
  <c r="N59" i="1" s="1"/>
  <c r="N24" i="1"/>
  <c r="N56" i="1" s="1"/>
  <c r="N26" i="1"/>
  <c r="N58" i="1" s="1"/>
  <c r="N33" i="1"/>
  <c r="N61" i="1" s="1"/>
  <c r="N18" i="1"/>
  <c r="N55" i="1" s="1"/>
  <c r="N15" i="1"/>
  <c r="N52" i="1" s="1"/>
  <c r="N54" i="1" s="1"/>
  <c r="N62" i="1" l="1"/>
  <c r="O51" i="1"/>
  <c r="O29" i="1"/>
  <c r="O60" i="1" s="1"/>
  <c r="O25" i="1"/>
  <c r="O57" i="1" s="1"/>
  <c r="O28" i="1"/>
  <c r="O59" i="1" s="1"/>
  <c r="O33" i="1"/>
  <c r="O61" i="1" s="1"/>
  <c r="O26" i="1"/>
  <c r="O58" i="1" s="1"/>
  <c r="O24" i="1"/>
  <c r="O56" i="1" s="1"/>
  <c r="O15" i="1"/>
  <c r="O52" i="1" s="1"/>
  <c r="O54" i="1" s="1"/>
  <c r="O18" i="1"/>
  <c r="O55" i="1" s="1"/>
  <c r="O62" i="1" l="1"/>
  <c r="L71" i="1"/>
  <c r="N64" i="1"/>
  <c r="N65" i="1"/>
  <c r="F71" i="1" l="1"/>
  <c r="F72" i="1" s="1"/>
  <c r="F73" i="1" s="1"/>
  <c r="M71" i="1"/>
  <c r="O64" i="1"/>
  <c r="F65" i="1" s="1"/>
  <c r="O65" i="1"/>
  <c r="I93" i="1" l="1"/>
  <c r="I95" i="1" s="1"/>
  <c r="I97" i="1" s="1"/>
  <c r="L100" i="1" l="1"/>
  <c r="I9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<sst xmlns="http://schemas.openxmlformats.org/spreadsheetml/2006/main" count="120" uniqueCount="106">
  <si>
    <t>Tri Point Homes DCF</t>
  </si>
  <si>
    <t>Heier's Notes:</t>
  </si>
  <si>
    <t>Ticker</t>
  </si>
  <si>
    <t>Valuation Date:</t>
  </si>
  <si>
    <t>absolute numbers are in millions of $</t>
  </si>
  <si>
    <t>*Geopmetic Average doesn't work if YoY growth is negative</t>
  </si>
  <si>
    <t>Share Price on Valuation Date:</t>
  </si>
  <si>
    <t>**Capex on bloomberg is aquasition of fixed prod assets + aquasition of intangible assets on statement of CF</t>
  </si>
  <si>
    <t>Diluted Shares Outstanding</t>
  </si>
  <si>
    <t>*** Effective tax rate is on bloomberg</t>
  </si>
  <si>
    <t>**** COE and COD are on bloomberg under WACC function</t>
  </si>
  <si>
    <t>Select Operating Data</t>
  </si>
  <si>
    <t>Projected Annual Forecast</t>
  </si>
  <si>
    <t>Revenue</t>
  </si>
  <si>
    <t>Arithmetic Avg</t>
  </si>
  <si>
    <t>Geometric Avg</t>
  </si>
  <si>
    <t>Harmean</t>
  </si>
  <si>
    <t>Revenue Growth Rate (%)</t>
  </si>
  <si>
    <t>Revenue Growth Rate (%) +1</t>
  </si>
  <si>
    <t>EBIT</t>
  </si>
  <si>
    <t>EBIT Margin (%)</t>
  </si>
  <si>
    <t xml:space="preserve">Depreciation &amp; Amortization </t>
  </si>
  <si>
    <t>D&amp;A as a % of revenue</t>
  </si>
  <si>
    <t>Select Balance Sheet And Other Data</t>
  </si>
  <si>
    <t>Accounts Receivable</t>
  </si>
  <si>
    <t>Inventories</t>
  </si>
  <si>
    <t>Prepaid Expenses</t>
  </si>
  <si>
    <t>Accounts Payable and Accruals</t>
  </si>
  <si>
    <t>Accrued Expenses</t>
  </si>
  <si>
    <t>Debt</t>
  </si>
  <si>
    <t>Capital Expenditures</t>
  </si>
  <si>
    <t>Trend</t>
  </si>
  <si>
    <t>Arithmetic Mean</t>
  </si>
  <si>
    <t>Geometric Mean</t>
  </si>
  <si>
    <t>Accounts Receivable as a % of revenue</t>
  </si>
  <si>
    <t>Inventories as a % of revenue</t>
  </si>
  <si>
    <t>Prepaid Expenses as a % of revenue</t>
  </si>
  <si>
    <t>Accounts Payable/Accruals as a % of revenue</t>
  </si>
  <si>
    <t>Accrued Expenses as a % of revenue</t>
  </si>
  <si>
    <t>Capital Expenditures as a % of revenue</t>
  </si>
  <si>
    <t>Accounts Receivable Growth (%)</t>
  </si>
  <si>
    <t>Inventories Growth (%)</t>
  </si>
  <si>
    <t>Prepaid Expenses Growth (%)</t>
  </si>
  <si>
    <t>-</t>
  </si>
  <si>
    <t>Accounts Payable/Accruals Growth (%)</t>
  </si>
  <si>
    <t>Accrued Expenses Growth (%)</t>
  </si>
  <si>
    <t>Capital Expenditures Growth (%)</t>
  </si>
  <si>
    <t>Free Cash Flow Buildup</t>
  </si>
  <si>
    <t>$mm</t>
  </si>
  <si>
    <t>Period</t>
  </si>
  <si>
    <t>Total Revenues</t>
  </si>
  <si>
    <t>Effective Tax rate</t>
  </si>
  <si>
    <t>EBIAT = EBIT(1-T) = NOPAT</t>
  </si>
  <si>
    <t>Depreciation &amp; Amortization</t>
  </si>
  <si>
    <t>Chg in Accounts receivable</t>
  </si>
  <si>
    <t>Chg in Inventories</t>
  </si>
  <si>
    <t>Chg in Prepaid expenses</t>
  </si>
  <si>
    <t>Chg in Accounts payable</t>
  </si>
  <si>
    <t>Chg in Accrued expenses</t>
  </si>
  <si>
    <t>Capital expenditures</t>
  </si>
  <si>
    <t>Unlevered free cash flows</t>
  </si>
  <si>
    <t>Discount Rate (WACC)</t>
  </si>
  <si>
    <t>Present value of free cash flows</t>
  </si>
  <si>
    <t>Sum of present values of FCFs</t>
  </si>
  <si>
    <t>Terminal Value</t>
  </si>
  <si>
    <t>Growth in perpetuity method:</t>
  </si>
  <si>
    <t>Long term growth rate</t>
  </si>
  <si>
    <t>Years to Long-term rate</t>
  </si>
  <si>
    <t>Unlevered Free Cash Flow Growth Rates</t>
  </si>
  <si>
    <t>WACC</t>
  </si>
  <si>
    <t>Free cash flow (t+1)</t>
  </si>
  <si>
    <t>Present Value of Terminal Value</t>
  </si>
  <si>
    <t>Share Price</t>
  </si>
  <si>
    <t>Cost of Debt</t>
  </si>
  <si>
    <t>Average of past 7 years</t>
  </si>
  <si>
    <t>MRP</t>
  </si>
  <si>
    <t>Tax Rate</t>
  </si>
  <si>
    <t>RFR</t>
  </si>
  <si>
    <t>10 year treasury yield as of 11/25</t>
  </si>
  <si>
    <t>After-tax Cost of Debt</t>
  </si>
  <si>
    <t>Beta</t>
  </si>
  <si>
    <t>5 year weekly adjusted Bloomberg</t>
  </si>
  <si>
    <t>Cost of Equity</t>
  </si>
  <si>
    <t xml:space="preserve">capm </t>
  </si>
  <si>
    <t>Total Debt ($)</t>
  </si>
  <si>
    <t>capm = risk-free + beta * market risk premium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</si>
  <si>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</si>
  <si>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</si>
  <si>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</si>
  <si>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</si>
  <si>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</si>
  <si>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</si>
  <si>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</si>
  <si>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</si>
  <si>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ST and LT debt minus cash</t>
  </si>
  <si>
    <t>ST Debt</t>
  </si>
  <si>
    <t>Equity Value</t>
  </si>
  <si>
    <t>LT Debt</t>
  </si>
  <si>
    <t>income statement</t>
  </si>
  <si>
    <t>Cash</t>
  </si>
  <si>
    <t>Equity Value Per Share</t>
  </si>
  <si>
    <t>Upside</t>
  </si>
  <si>
    <t>Sensitivity Analysis</t>
  </si>
  <si>
    <t>ST Revenue growth</t>
  </si>
  <si>
    <t>.</t>
  </si>
  <si>
    <t>ST Rev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</si>
</sst>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#,##0.0_);\(#,##0.0\);@_)"/>
    <numFmt numFmtId="165" formatCode="m/d/yyyy"/>
    <numFmt numFmtId="166" formatCode="_(\$* #,##0.00_);_(\$* \(#,##0.00\);_(\$* \-??_);_(@_)"/>
    <numFmt numFmtId="167" formatCode="#,##0.00_);\(#,##0.00\);@_)"/>
    <numFmt numFmtId="168" formatCode="yyyy\A"/>
    <numFmt numFmtId="169" formatCode="yyyy\P"/>
    <numFmt numFmtId="170" formatCode="\$#,##0.0"/>
    <numFmt numFmtId="171" formatCode="\$#,##0.0_);&quot;($&quot;#,##0.0\)"/>
    <numFmt numFmtId="172" formatCode="\$#,##0.0_);&quot;($&quot;#,##0.0\);@_)"/>
    <numFmt numFmtId="173" formatCode="0.0%_);\(0.0%\);@_)"/>
    <numFmt numFmtId="174" formatCode="\$#,##0.00_);&quot;($&quot;#,##0.00\)"/>
    <numFmt numFmtId="175" formatCode="0.0"/>
    <numFmt numFmtId="176" formatCode="#,##0.0_);\(#,##0.0\);\-_);@_)"/>
    <numFmt numFmtId="177" formatCode="0.00%_);\(0.00%\);@_)"/>
    <numFmt numFmtId="178" formatCode="0.0%"/>
    <numFmt numFmtId="179" formatCode="#,##0.0_);\(#,##0.0\)"/>
    <numFmt numFmtId="180" formatCode="0.000%"/>
    <numFmt numFmtId="181" formatCode="_(\$* #,##0.0_);_(\$* \(#,##0.0\);_(\$* \-??_);_(@_)"/>
    <numFmt numFmtId="182" formatCode="\$#,##0.00_);&quot;($&quot;#,##0.00\);@_)"/>
    <numFmt numFmtId="183" formatCode="_(* #,##0.0_);_(* \(#,##0.0\);_(* \-?_);_(@_)"/>
    <numFmt numFmtId="184" formatCode="\$#,##0.00_);[Red]&quot;($&quot;#,##0.00\)"/>
    <numFmt numFmtId="185" formatCode="\$#,##0.00"/>
  </numFmts>
  <fonts count="24" x14ac:knownFonts="1">
    <font>
      <sz val="10"/>
      <color rgb="FF000000"/>
      <name val="Calibri"/>
      <charset val="1"/>
    </font>
    <font>
      <b/>
      <sz val="15"/>
      <color theme="1"/>
      <name val="Calibri"/>
      <family val="2"/>
      <charset val="1"/>
    </font>
    <font>
      <b/>
      <sz val="18"/>
      <color rgb="FF000000"/>
      <name val="Aptos Narrow"/>
    </font>
    <font>
      <sz val="18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sz val="14"/>
      <color rgb="FF000000"/>
      <name val="Aptos Narrow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i/>
      <sz val="11"/>
      <color rgb="FF000000"/>
      <name val="Calibri"/>
      <family val="2"/>
    </font>
    <font>
      <i/>
      <sz val="11"/>
      <color rgb="FF000000"/>
      <name val="Calibri"/>
      <family val="2"/>
      <charset val="1"/>
    </font>
    <font>
      <i/>
      <sz val="11"/>
      <color rgb="FF0000FF"/>
      <name val="Calibri"/>
      <family val="2"/>
      <charset val="1"/>
    </font>
    <font>
      <sz val="10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i/>
      <sz val="11"/>
      <color rgb="FF000000"/>
      <name val="Calibri"/>
      <family val="2"/>
    </font>
    <font>
      <b/>
      <i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rgb="FF0000FF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0DFE6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A4C2F4"/>
        <bgColor rgb="FFC0C0C0"/>
      </patternFill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6" fontId="9" fillId="0" borderId="0"/>
    <xf numFmtId="9" fontId="9" fillId="0" borderId="0"/>
  </cellStyleXfs>
  <cellXfs count="155">
    <xf numFmtId="0" fontId="0" fillId="0" borderId="0" xfId="0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2" borderId="5" xfId="0" applyFont="1" applyFill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 applyAlignment="1">
      <alignment horizontal="center" vertical="top" readingOrder="1"/>
    </xf>
    <xf numFmtId="0" fontId="7" fillId="0" borderId="0" xfId="0" applyFont="1" applyAlignment="1">
      <alignment horizontal="left" readingOrder="1"/>
    </xf>
    <xf numFmtId="0" fontId="5" fillId="0" borderId="0" xfId="0" applyFont="1" applyAlignment="1">
      <alignment horizontal="left" vertical="top" readingOrder="1"/>
    </xf>
    <xf numFmtId="0" fontId="8" fillId="0" borderId="0" xfId="0" applyFont="1" applyAlignment="1">
      <alignment horizontal="left" vertical="top" readingOrder="1"/>
    </xf>
    <xf numFmtId="15" fontId="8" fillId="0" borderId="0" xfId="0" applyNumberFormat="1" applyFont="1" applyAlignment="1">
      <alignment horizontal="right" vertical="top" readingOrder="1"/>
    </xf>
    <xf numFmtId="165" fontId="5" fillId="0" borderId="0" xfId="0" applyNumberFormat="1" applyFont="1" applyAlignment="1">
      <alignment horizontal="right" vertical="top" readingOrder="1"/>
    </xf>
    <xf numFmtId="166" fontId="5" fillId="0" borderId="0" xfId="1" applyFont="1" applyAlignment="1">
      <alignment horizontal="right" vertical="top" readingOrder="1"/>
    </xf>
    <xf numFmtId="167" fontId="5" fillId="0" borderId="0" xfId="0" applyNumberFormat="1" applyFont="1" applyAlignment="1">
      <alignment horizontal="right" vertical="top" readingOrder="1"/>
    </xf>
    <xf numFmtId="165" fontId="10" fillId="0" borderId="0" xfId="0" applyNumberFormat="1" applyFont="1" applyAlignment="1">
      <alignment horizontal="right" vertical="top" readingOrder="1"/>
    </xf>
    <xf numFmtId="0" fontId="11" fillId="2" borderId="2" xfId="0" applyFont="1" applyFill="1" applyBorder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6" xfId="0" applyNumberFormat="1" applyFont="1" applyBorder="1"/>
    <xf numFmtId="169" fontId="13" fillId="0" borderId="6" xfId="0" applyNumberFormat="1" applyFont="1" applyBorder="1"/>
    <xf numFmtId="10" fontId="7" fillId="0" borderId="0" xfId="0" applyNumberFormat="1" applyFont="1" applyAlignment="1">
      <alignment horizontal="left" readingOrder="1"/>
    </xf>
    <xf numFmtId="170" fontId="14" fillId="3" borderId="0" xfId="0" applyNumberFormat="1" applyFont="1" applyFill="1" applyAlignment="1">
      <alignment horizontal="right" vertical="top" readingOrder="1"/>
    </xf>
    <xf numFmtId="171" fontId="14" fillId="3" borderId="0" xfId="0" applyNumberFormat="1" applyFont="1" applyFill="1"/>
    <xf numFmtId="172" fontId="14" fillId="3" borderId="0" xfId="0" applyNumberFormat="1" applyFont="1" applyFill="1"/>
    <xf numFmtId="172" fontId="5" fillId="0" borderId="0" xfId="0" applyNumberFormat="1" applyFont="1" applyAlignment="1">
      <alignment horizontal="left" readingOrder="1"/>
    </xf>
    <xf numFmtId="0" fontId="13" fillId="0" borderId="0" xfId="0" applyFont="1" applyAlignment="1">
      <alignment horizontal="left" readingOrder="1"/>
    </xf>
    <xf numFmtId="0" fontId="15" fillId="0" borderId="0" xfId="0" applyFont="1" applyAlignment="1">
      <alignment horizontal="left" vertical="top" readingOrder="1"/>
    </xf>
    <xf numFmtId="0" fontId="16" fillId="0" borderId="0" xfId="0" applyFont="1" applyAlignment="1">
      <alignment horizontal="left" vertical="top" readingOrder="1"/>
    </xf>
    <xf numFmtId="10" fontId="5" fillId="0" borderId="0" xfId="0" applyNumberFormat="1" applyFont="1" applyAlignment="1">
      <alignment horizontal="right" vertical="top" readingOrder="1"/>
    </xf>
    <xf numFmtId="173" fontId="14" fillId="3" borderId="0" xfId="0" applyNumberFormat="1" applyFont="1" applyFill="1" applyAlignment="1">
      <alignment horizontal="left" readingOrder="1"/>
    </xf>
    <xf numFmtId="10" fontId="5" fillId="0" borderId="0" xfId="0" applyNumberFormat="1" applyFont="1" applyAlignment="1">
      <alignment horizontal="left" readingOrder="1"/>
    </xf>
    <xf numFmtId="10" fontId="5" fillId="0" borderId="0" xfId="2" applyNumberFormat="1" applyFont="1" applyAlignment="1">
      <alignment horizontal="left" readingOrder="1"/>
    </xf>
    <xf numFmtId="173" fontId="17" fillId="4" borderId="0" xfId="0" applyNumberFormat="1" applyFont="1" applyFill="1" applyAlignment="1">
      <alignment horizontal="left" readingOrder="1"/>
    </xf>
    <xf numFmtId="10" fontId="12" fillId="0" borderId="0" xfId="0" applyNumberFormat="1" applyFont="1" applyAlignment="1">
      <alignment horizontal="left" readingOrder="1"/>
    </xf>
    <xf numFmtId="0" fontId="8" fillId="0" borderId="0" xfId="0" applyFont="1" applyAlignment="1">
      <alignment horizontal="right" vertical="top" readingOrder="1"/>
    </xf>
    <xf numFmtId="174" fontId="5" fillId="0" borderId="0" xfId="0" applyNumberFormat="1" applyFont="1" applyAlignment="1">
      <alignment horizontal="left" readingOrder="1"/>
    </xf>
    <xf numFmtId="0" fontId="5" fillId="0" borderId="0" xfId="0" applyFont="1" applyAlignment="1">
      <alignment horizontal="left"/>
    </xf>
    <xf numFmtId="175" fontId="14" fillId="3" borderId="0" xfId="0" applyNumberFormat="1" applyFont="1" applyFill="1" applyAlignment="1">
      <alignment horizontal="right" vertical="center"/>
    </xf>
    <xf numFmtId="176" fontId="5" fillId="0" borderId="0" xfId="0" applyNumberFormat="1" applyFont="1" applyAlignment="1">
      <alignment horizontal="right" readingOrder="1"/>
    </xf>
    <xf numFmtId="176" fontId="5" fillId="0" borderId="0" xfId="0" applyNumberFormat="1" applyFont="1" applyAlignment="1">
      <alignment horizontal="right"/>
    </xf>
    <xf numFmtId="175" fontId="8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horizontal="left" readingOrder="1"/>
    </xf>
    <xf numFmtId="170" fontId="14" fillId="3" borderId="0" xfId="0" applyNumberFormat="1" applyFont="1" applyFill="1" applyAlignment="1">
      <alignment horizontal="right" vertical="center"/>
    </xf>
    <xf numFmtId="170" fontId="5" fillId="0" borderId="0" xfId="0" applyNumberFormat="1" applyFont="1" applyAlignment="1">
      <alignment horizontal="right" readingOrder="1"/>
    </xf>
    <xf numFmtId="176" fontId="18" fillId="0" borderId="0" xfId="0" applyNumberFormat="1" applyFont="1"/>
    <xf numFmtId="176" fontId="8" fillId="0" borderId="0" xfId="0" applyNumberFormat="1" applyFont="1"/>
    <xf numFmtId="0" fontId="13" fillId="0" borderId="0" xfId="0" applyFont="1"/>
    <xf numFmtId="0" fontId="15" fillId="0" borderId="0" xfId="0" applyFont="1" applyAlignment="1">
      <alignment horizontal="left"/>
    </xf>
    <xf numFmtId="10" fontId="5" fillId="0" borderId="0" xfId="0" applyNumberFormat="1" applyFont="1" applyAlignment="1">
      <alignment horizontal="right"/>
    </xf>
    <xf numFmtId="173" fontId="14" fillId="3" borderId="0" xfId="0" applyNumberFormat="1" applyFont="1" applyFill="1" applyAlignment="1">
      <alignment horizontal="right" readingOrder="1"/>
    </xf>
    <xf numFmtId="0" fontId="5" fillId="0" borderId="0" xfId="0" applyFont="1" applyAlignment="1">
      <alignment horizontal="left" readingOrder="1"/>
    </xf>
    <xf numFmtId="177" fontId="14" fillId="3" borderId="0" xfId="0" applyNumberFormat="1" applyFont="1" applyFill="1" applyAlignment="1">
      <alignment horizontal="right" readingOrder="1"/>
    </xf>
    <xf numFmtId="178" fontId="14" fillId="3" borderId="0" xfId="0" applyNumberFormat="1" applyFont="1" applyFill="1" applyAlignment="1">
      <alignment horizontal="right" readingOrder="1"/>
    </xf>
    <xf numFmtId="178" fontId="5" fillId="0" borderId="0" xfId="0" applyNumberFormat="1" applyFont="1" applyAlignment="1">
      <alignment horizontal="left" readingOrder="1"/>
    </xf>
    <xf numFmtId="0" fontId="15" fillId="5" borderId="0" xfId="0" applyFont="1" applyFill="1" applyAlignment="1">
      <alignment vertical="top"/>
    </xf>
    <xf numFmtId="0" fontId="16" fillId="0" borderId="0" xfId="0" applyFont="1" applyAlignment="1">
      <alignment horizontal="right" vertical="top" readingOrder="1"/>
    </xf>
    <xf numFmtId="0" fontId="19" fillId="0" borderId="0" xfId="0" applyFont="1" applyAlignment="1">
      <alignment horizontal="right" readingOrder="1"/>
    </xf>
    <xf numFmtId="0" fontId="5" fillId="0" borderId="0" xfId="0" applyFont="1" applyAlignment="1">
      <alignment horizontal="right" vertical="top" readingOrder="1"/>
    </xf>
    <xf numFmtId="4" fontId="5" fillId="0" borderId="0" xfId="0" applyNumberFormat="1" applyFont="1" applyAlignment="1">
      <alignment horizontal="right" vertical="top" readingOrder="1"/>
    </xf>
    <xf numFmtId="0" fontId="7" fillId="0" borderId="0" xfId="0" applyFont="1"/>
    <xf numFmtId="0" fontId="15" fillId="0" borderId="0" xfId="0" applyFont="1"/>
    <xf numFmtId="0" fontId="19" fillId="0" borderId="0" xfId="0" applyFont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/>
    <xf numFmtId="0" fontId="13" fillId="0" borderId="1" xfId="0" applyFont="1" applyBorder="1"/>
    <xf numFmtId="0" fontId="12" fillId="0" borderId="1" xfId="0" applyFont="1" applyBorder="1"/>
    <xf numFmtId="0" fontId="7" fillId="0" borderId="1" xfId="0" applyFont="1" applyBorder="1"/>
    <xf numFmtId="0" fontId="7" fillId="0" borderId="6" xfId="0" applyFont="1" applyBorder="1"/>
    <xf numFmtId="0" fontId="5" fillId="0" borderId="1" xfId="0" applyFont="1" applyBorder="1"/>
    <xf numFmtId="170" fontId="5" fillId="0" borderId="0" xfId="0" applyNumberFormat="1" applyFont="1"/>
    <xf numFmtId="171" fontId="5" fillId="0" borderId="0" xfId="0" applyNumberFormat="1" applyFont="1"/>
    <xf numFmtId="172" fontId="5" fillId="0" borderId="0" xfId="0" applyNumberFormat="1" applyFont="1"/>
    <xf numFmtId="178" fontId="14" fillId="3" borderId="0" xfId="0" applyNumberFormat="1" applyFont="1" applyFill="1"/>
    <xf numFmtId="173" fontId="14" fillId="3" borderId="0" xfId="0" applyNumberFormat="1" applyFont="1" applyFill="1"/>
    <xf numFmtId="172" fontId="5" fillId="0" borderId="9" xfId="0" applyNumberFormat="1" applyFont="1" applyBorder="1"/>
    <xf numFmtId="179" fontId="7" fillId="0" borderId="0" xfId="0" applyNumberFormat="1" applyFont="1" applyAlignment="1">
      <alignment horizontal="left"/>
    </xf>
    <xf numFmtId="179" fontId="5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4" fontId="5" fillId="0" borderId="0" xfId="0" applyNumberFormat="1" applyFont="1"/>
    <xf numFmtId="179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/>
    <xf numFmtId="172" fontId="13" fillId="0" borderId="0" xfId="0" applyNumberFormat="1" applyFont="1"/>
    <xf numFmtId="180" fontId="7" fillId="0" borderId="0" xfId="0" applyNumberFormat="1" applyFont="1"/>
    <xf numFmtId="10" fontId="8" fillId="0" borderId="0" xfId="0" applyNumberFormat="1" applyFont="1"/>
    <xf numFmtId="178" fontId="8" fillId="0" borderId="0" xfId="0" applyNumberFormat="1" applyFont="1"/>
    <xf numFmtId="178" fontId="19" fillId="0" borderId="0" xfId="0" applyNumberFormat="1" applyFont="1"/>
    <xf numFmtId="10" fontId="13" fillId="0" borderId="0" xfId="0" applyNumberFormat="1" applyFont="1"/>
    <xf numFmtId="172" fontId="7" fillId="0" borderId="0" xfId="0" applyNumberFormat="1" applyFont="1"/>
    <xf numFmtId="181" fontId="5" fillId="0" borderId="0" xfId="0" applyNumberFormat="1" applyFont="1"/>
    <xf numFmtId="172" fontId="12" fillId="0" borderId="0" xfId="0" applyNumberFormat="1" applyFont="1"/>
    <xf numFmtId="172" fontId="13" fillId="0" borderId="9" xfId="0" applyNumberFormat="1" applyFont="1" applyBorder="1"/>
    <xf numFmtId="10" fontId="5" fillId="0" borderId="0" xfId="0" applyNumberFormat="1" applyFont="1"/>
    <xf numFmtId="0" fontId="20" fillId="0" borderId="0" xfId="0" applyFont="1"/>
    <xf numFmtId="0" fontId="21" fillId="0" borderId="0" xfId="0" applyFont="1"/>
    <xf numFmtId="179" fontId="22" fillId="0" borderId="0" xfId="0" applyNumberFormat="1" applyFont="1" applyAlignment="1">
      <alignment horizontal="right"/>
    </xf>
    <xf numFmtId="179" fontId="18" fillId="0" borderId="0" xfId="0" applyNumberFormat="1" applyFont="1"/>
    <xf numFmtId="0" fontId="18" fillId="0" borderId="0" xfId="0" applyFont="1"/>
    <xf numFmtId="178" fontId="23" fillId="0" borderId="0" xfId="0" applyNumberFormat="1" applyFont="1" applyAlignment="1">
      <alignment horizontal="right"/>
    </xf>
    <xf numFmtId="10" fontId="14" fillId="3" borderId="0" xfId="0" applyNumberFormat="1" applyFont="1" applyFill="1" applyAlignment="1">
      <alignment horizontal="right"/>
    </xf>
    <xf numFmtId="3" fontId="14" fillId="3" borderId="0" xfId="0" applyNumberFormat="1" applyFont="1" applyFill="1"/>
    <xf numFmtId="10" fontId="8" fillId="0" borderId="0" xfId="0" applyNumberFormat="1" applyFont="1" applyAlignment="1">
      <alignment horizontal="right"/>
    </xf>
    <xf numFmtId="178" fontId="18" fillId="0" borderId="0" xfId="0" applyNumberFormat="1" applyFont="1"/>
    <xf numFmtId="169" fontId="13" fillId="0" borderId="0" xfId="0" applyNumberFormat="1" applyFont="1"/>
    <xf numFmtId="179" fontId="7" fillId="0" borderId="0" xfId="0" applyNumberFormat="1" applyFont="1" applyAlignment="1">
      <alignment horizontal="right"/>
    </xf>
    <xf numFmtId="2" fontId="5" fillId="0" borderId="0" xfId="0" applyNumberFormat="1" applyFont="1"/>
    <xf numFmtId="39" fontId="5" fillId="0" borderId="0" xfId="0" applyNumberFormat="1" applyFont="1"/>
    <xf numFmtId="172" fontId="12" fillId="0" borderId="0" xfId="0" applyNumberFormat="1" applyFont="1" applyAlignment="1">
      <alignment horizontal="right"/>
    </xf>
    <xf numFmtId="172" fontId="13" fillId="0" borderId="9" xfId="0" applyNumberFormat="1" applyFont="1" applyBorder="1" applyAlignment="1">
      <alignment horizontal="right"/>
    </xf>
    <xf numFmtId="172" fontId="18" fillId="0" borderId="0" xfId="0" applyNumberFormat="1" applyFont="1"/>
    <xf numFmtId="0" fontId="22" fillId="0" borderId="0" xfId="0" applyFont="1"/>
    <xf numFmtId="182" fontId="5" fillId="0" borderId="0" xfId="0" applyNumberFormat="1" applyFont="1"/>
    <xf numFmtId="167" fontId="5" fillId="0" borderId="0" xfId="0" applyNumberFormat="1" applyFont="1"/>
    <xf numFmtId="10" fontId="7" fillId="0" borderId="0" xfId="0" applyNumberFormat="1" applyFont="1"/>
    <xf numFmtId="178" fontId="5" fillId="0" borderId="0" xfId="0" applyNumberFormat="1" applyFont="1" applyAlignment="1">
      <alignment horizontal="right"/>
    </xf>
    <xf numFmtId="10" fontId="14" fillId="3" borderId="0" xfId="0" applyNumberFormat="1" applyFont="1" applyFill="1"/>
    <xf numFmtId="173" fontId="5" fillId="0" borderId="0" xfId="0" applyNumberFormat="1" applyFont="1"/>
    <xf numFmtId="0" fontId="14" fillId="3" borderId="0" xfId="0" applyFont="1" applyFill="1"/>
    <xf numFmtId="182" fontId="14" fillId="3" borderId="0" xfId="0" applyNumberFormat="1" applyFont="1" applyFill="1"/>
    <xf numFmtId="0" fontId="5" fillId="6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183" fontId="7" fillId="0" borderId="0" xfId="0" applyNumberFormat="1" applyFont="1"/>
    <xf numFmtId="172" fontId="7" fillId="0" borderId="0" xfId="0" applyNumberFormat="1" applyFont="1" applyAlignment="1">
      <alignment horizontal="right"/>
    </xf>
    <xf numFmtId="179" fontId="10" fillId="0" borderId="0" xfId="0" applyNumberFormat="1" applyFont="1" applyAlignment="1">
      <alignment horizontal="right"/>
    </xf>
    <xf numFmtId="166" fontId="14" fillId="3" borderId="0" xfId="0" applyNumberFormat="1" applyFont="1" applyFill="1"/>
    <xf numFmtId="164" fontId="5" fillId="0" borderId="0" xfId="0" applyNumberFormat="1" applyFont="1" applyAlignment="1">
      <alignment horizontal="right"/>
    </xf>
    <xf numFmtId="0" fontId="5" fillId="0" borderId="10" xfId="0" applyFont="1" applyBorder="1"/>
    <xf numFmtId="184" fontId="13" fillId="0" borderId="11" xfId="0" applyNumberFormat="1" applyFont="1" applyBorder="1" applyAlignment="1">
      <alignment horizontal="right"/>
    </xf>
    <xf numFmtId="0" fontId="7" fillId="0" borderId="3" xfId="0" applyFont="1" applyBorder="1" applyAlignment="1">
      <alignment horizontal="left"/>
    </xf>
    <xf numFmtId="175" fontId="7" fillId="0" borderId="0" xfId="0" applyNumberFormat="1" applyFont="1" applyAlignment="1">
      <alignment horizontal="right"/>
    </xf>
    <xf numFmtId="10" fontId="5" fillId="0" borderId="9" xfId="0" applyNumberFormat="1" applyFont="1" applyBorder="1"/>
    <xf numFmtId="184" fontId="12" fillId="0" borderId="0" xfId="0" applyNumberFormat="1" applyFont="1" applyAlignment="1">
      <alignment horizontal="right"/>
    </xf>
    <xf numFmtId="166" fontId="6" fillId="0" borderId="0" xfId="0" applyNumberFormat="1" applyFont="1"/>
    <xf numFmtId="184" fontId="13" fillId="0" borderId="12" xfId="0" applyNumberFormat="1" applyFont="1" applyBorder="1" applyAlignment="1">
      <alignment horizontal="center"/>
    </xf>
    <xf numFmtId="178" fontId="13" fillId="2" borderId="9" xfId="0" applyNumberFormat="1" applyFont="1" applyFill="1" applyBorder="1"/>
    <xf numFmtId="178" fontId="13" fillId="2" borderId="13" xfId="0" applyNumberFormat="1" applyFont="1" applyFill="1" applyBorder="1"/>
    <xf numFmtId="10" fontId="13" fillId="2" borderId="3" xfId="0" applyNumberFormat="1" applyFont="1" applyFill="1" applyBorder="1"/>
    <xf numFmtId="166" fontId="7" fillId="0" borderId="0" xfId="0" applyNumberFormat="1" applyFont="1"/>
    <xf numFmtId="166" fontId="7" fillId="0" borderId="4" xfId="0" applyNumberFormat="1" applyFont="1" applyBorder="1"/>
    <xf numFmtId="184" fontId="12" fillId="0" borderId="0" xfId="0" applyNumberFormat="1" applyFont="1"/>
    <xf numFmtId="185" fontId="18" fillId="0" borderId="0" xfId="0" applyNumberFormat="1" applyFont="1"/>
    <xf numFmtId="10" fontId="13" fillId="2" borderId="7" xfId="0" applyNumberFormat="1" applyFont="1" applyFill="1" applyBorder="1"/>
    <xf numFmtId="166" fontId="7" fillId="0" borderId="1" xfId="0" applyNumberFormat="1" applyFont="1" applyBorder="1"/>
    <xf numFmtId="166" fontId="7" fillId="0" borderId="8" xfId="0" applyNumberFormat="1" applyFont="1" applyBorder="1"/>
    <xf numFmtId="175" fontId="18" fillId="0" borderId="0" xfId="0" applyNumberFormat="1" applyFont="1"/>
    <xf numFmtId="10" fontId="18" fillId="0" borderId="0" xfId="0" applyNumberFormat="1" applyFont="1"/>
    <xf numFmtId="170" fontId="18" fillId="0" borderId="0" xfId="0" applyNumberFormat="1" applyFont="1"/>
    <xf numFmtId="174" fontId="18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F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12</v>
    <v>Price</v>
    <v>0</v>
  </rv>
  <rv s="1">
    <v>12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field" t="s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7"/>
  <sheetViews>
    <sheetView tabSelected="1" zoomScaleNormal="100" workbookViewId="0">
      <selection activeCell="I5" sqref="I5"/>
    </sheetView>
  </sheetViews>
  <sheetFormatPr baseColWidth="10" defaultColWidth="14.3984375" defaultRowHeight="14" x14ac:dyDescent="0.2"/>
  <cols>
    <col min="1" max="2" width="1.796875" customWidth="1"/>
    <col min="3" max="3" width="42" customWidth="1"/>
    <col min="4" max="10" width="14.59765625" customWidth="1"/>
    <col min="11" max="13" width="12.19921875" customWidth="1"/>
    <col min="14" max="14" width="14.19921875" customWidth="1"/>
    <col min="15" max="15" width="12.19921875" customWidth="1"/>
    <col min="16" max="16" width="9.19921875" customWidth="1"/>
    <col min="17" max="17" width="16.796875" customWidth="1"/>
    <col min="18" max="18" width="15.59765625" customWidth="1"/>
    <col min="19" max="19" width="17.19921875" customWidth="1"/>
    <col min="20" max="20" width="10" customWidth="1"/>
    <col min="21" max="29" width="8" customWidth="1"/>
  </cols>
  <sheetData>
    <row r="1" spans="1:29" ht="23.25" customHeight="1" x14ac:dyDescent="0.3">
      <c r="A1" s="4"/>
      <c r="C1" s="5" t="s">
        <v>0</v>
      </c>
      <c r="D1" s="6"/>
      <c r="E1" s="6"/>
      <c r="F1" s="6"/>
      <c r="G1" s="6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2.75" customHeight="1" x14ac:dyDescent="0.2">
      <c r="S2" s="9" t="s">
        <v>1</v>
      </c>
    </row>
    <row r="3" spans="1:29" ht="12.75" customHeight="1" x14ac:dyDescent="0.2">
      <c r="C3" s="10" t="s">
        <v>2</v>
      </c>
      <c r="D3" s="11"/>
      <c r="E3" s="11"/>
      <c r="F3" s="11"/>
      <c r="G3" s="11"/>
      <c r="H3" s="11"/>
      <c r="I3" s="12" t="e">
        <v>#VALUE!</v>
      </c>
      <c r="S3" s="9"/>
    </row>
    <row r="4" spans="1:29" ht="14.25" customHeight="1" x14ac:dyDescent="0.2">
      <c r="A4" s="13"/>
      <c r="B4" s="13"/>
      <c r="C4" s="14" t="s">
        <v>3</v>
      </c>
      <c r="D4" s="15"/>
      <c r="E4" s="16"/>
      <c r="F4" s="16"/>
      <c r="G4" s="16"/>
      <c r="H4" s="16"/>
      <c r="I4" s="17">
        <f ca="1">TODAY()</f>
        <v>46246</v>
      </c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 t="s">
        <v>5</v>
      </c>
      <c r="Y4" s="13"/>
      <c r="Z4" s="13"/>
      <c r="AA4" s="13"/>
      <c r="AB4" s="13"/>
      <c r="AC4" s="13"/>
    </row>
    <row r="5" spans="1:29" ht="14.25" customHeight="1" x14ac:dyDescent="0.2">
      <c r="A5" s="13"/>
      <c r="B5" s="13"/>
      <c r="C5" s="14" t="s">
        <v>6</v>
      </c>
      <c r="D5" s="15"/>
      <c r="E5" s="16"/>
      <c r="F5" s="16"/>
      <c r="G5" s="16"/>
      <c r="H5" s="16"/>
      <c r="I5" s="18" t="e" vm="1">
        <f t="array" ref="I5">_FV(I3,"Price")</f>
        <v>#VALUE!</v>
      </c>
      <c r="J5" s="13"/>
      <c r="K5" s="13"/>
      <c r="L5" s="13"/>
      <c r="M5" s="13"/>
      <c r="N5" s="13"/>
      <c r="O5" s="13"/>
      <c r="P5" s="13"/>
      <c r="Q5" s="13"/>
      <c r="R5" s="13"/>
      <c r="S5" s="13" t="s">
        <v>7</v>
      </c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4.25" customHeight="1" x14ac:dyDescent="0.2">
      <c r="A6" s="13"/>
      <c r="B6" s="13"/>
      <c r="C6" s="14" t="s">
        <v>8</v>
      </c>
      <c r="D6" s="15"/>
      <c r="E6" s="16"/>
      <c r="F6" s="16"/>
      <c r="G6" s="16"/>
      <c r="H6" s="16"/>
      <c r="I6" s="19">
        <f>85.95</f>
        <v>85.95</v>
      </c>
      <c r="J6" s="13"/>
      <c r="K6" s="13"/>
      <c r="L6" s="13"/>
      <c r="M6" s="13"/>
      <c r="N6" s="13"/>
      <c r="O6" s="13"/>
      <c r="P6" s="13"/>
      <c r="Q6" s="13"/>
      <c r="R6" s="13"/>
      <c r="S6" s="13" t="s">
        <v>9</v>
      </c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4.25" customHeight="1" x14ac:dyDescent="0.2">
      <c r="A7" s="13"/>
      <c r="B7" s="13"/>
      <c r="C7" s="15"/>
      <c r="D7" s="15"/>
      <c r="E7" s="16"/>
      <c r="F7" s="16"/>
      <c r="G7" s="16"/>
      <c r="H7" s="16"/>
      <c r="I7" s="20"/>
      <c r="J7" s="13"/>
      <c r="K7" s="13"/>
      <c r="L7" s="13"/>
      <c r="M7" s="13"/>
      <c r="N7" s="13"/>
      <c r="O7" s="13"/>
      <c r="P7" s="13"/>
      <c r="Q7" s="13"/>
      <c r="R7" s="13"/>
      <c r="S7" s="13" t="s">
        <v>10</v>
      </c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8" customHeight="1" x14ac:dyDescent="0.25">
      <c r="A8" s="13"/>
      <c r="B8" s="13"/>
      <c r="C8" s="21" t="s">
        <v>11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4.25" customHeight="1" x14ac:dyDescent="0.2">
      <c r="A9" s="13"/>
      <c r="B9" s="13"/>
      <c r="C9" s="15"/>
      <c r="D9" s="15"/>
      <c r="E9" s="22"/>
      <c r="F9" s="23"/>
      <c r="G9" s="22"/>
      <c r="H9" s="22"/>
      <c r="I9" s="22"/>
      <c r="J9" s="24"/>
      <c r="K9" s="3" t="s">
        <v>12</v>
      </c>
      <c r="L9" s="3"/>
      <c r="M9" s="3"/>
      <c r="N9" s="3"/>
      <c r="O9" s="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4.25" customHeight="1" x14ac:dyDescent="0.2">
      <c r="A10" s="13"/>
      <c r="B10" s="13"/>
      <c r="C10" s="15"/>
      <c r="D10" s="25">
        <f t="shared" ref="D10:I10" si="0">E10-365</f>
        <v>43772</v>
      </c>
      <c r="E10" s="25">
        <f t="shared" si="0"/>
        <v>44137</v>
      </c>
      <c r="F10" s="25">
        <f t="shared" si="0"/>
        <v>44502</v>
      </c>
      <c r="G10" s="25">
        <f t="shared" si="0"/>
        <v>44867</v>
      </c>
      <c r="H10" s="25">
        <f t="shared" si="0"/>
        <v>45232</v>
      </c>
      <c r="I10" s="25">
        <f t="shared" si="0"/>
        <v>45597</v>
      </c>
      <c r="J10" s="25">
        <v>45962</v>
      </c>
      <c r="K10" s="26">
        <f>J10+365</f>
        <v>46327</v>
      </c>
      <c r="L10" s="26">
        <f>K10+365</f>
        <v>46692</v>
      </c>
      <c r="M10" s="26">
        <f>L10+365</f>
        <v>47057</v>
      </c>
      <c r="N10" s="26">
        <f>M10+365</f>
        <v>47422</v>
      </c>
      <c r="O10" s="26">
        <f>N10+365</f>
        <v>47787</v>
      </c>
      <c r="P10" s="13"/>
      <c r="Q10" s="27"/>
      <c r="R10" s="27"/>
      <c r="S10" s="27"/>
      <c r="T10" s="27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4.25" customHeight="1" x14ac:dyDescent="0.2">
      <c r="A11" s="13"/>
      <c r="B11" s="13"/>
      <c r="C11" s="14" t="s">
        <v>13</v>
      </c>
      <c r="D11" s="28">
        <v>3074.4380000000001</v>
      </c>
      <c r="E11" s="29">
        <v>3340.8939999999998</v>
      </c>
      <c r="F11" s="29">
        <v>3833.05</v>
      </c>
      <c r="G11" s="29">
        <v>4035.741</v>
      </c>
      <c r="H11" s="29">
        <v>3978.31</v>
      </c>
      <c r="I11" s="29">
        <v>4481.0469999999996</v>
      </c>
      <c r="J11" s="30">
        <v>3751.9409999999998</v>
      </c>
      <c r="K11" s="31">
        <f>J11*(1+K12)</f>
        <v>3899.6991450185938</v>
      </c>
      <c r="L11" s="31">
        <f>K11*(1+L12)</f>
        <v>4053.2762699783261</v>
      </c>
      <c r="M11" s="31">
        <f>L11*(1+M12)</f>
        <v>4212.9015367135662</v>
      </c>
      <c r="N11" s="31">
        <f>M11*(1+N12)</f>
        <v>4378.8131318614587</v>
      </c>
      <c r="O11" s="31">
        <f>N11*(1+O12)</f>
        <v>4551.2586222747959</v>
      </c>
      <c r="P11" s="13"/>
      <c r="Q11" s="32" t="s">
        <v>14</v>
      </c>
      <c r="R11" s="32" t="s">
        <v>15</v>
      </c>
      <c r="S11" s="32" t="s">
        <v>16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4.25" customHeight="1" x14ac:dyDescent="0.2">
      <c r="A12" s="13"/>
      <c r="B12" s="13"/>
      <c r="C12" s="33" t="s">
        <v>17</v>
      </c>
      <c r="D12" s="34"/>
      <c r="E12" s="35">
        <f t="shared" ref="E12:J12" si="1">(E11/D11)-1</f>
        <v>8.666819756976718E-2</v>
      </c>
      <c r="F12" s="35">
        <f t="shared" si="1"/>
        <v>0.14731266541231203</v>
      </c>
      <c r="G12" s="35">
        <f t="shared" si="1"/>
        <v>5.2879821552027639E-2</v>
      </c>
      <c r="H12" s="35">
        <f t="shared" si="1"/>
        <v>-1.4230596066496792E-2</v>
      </c>
      <c r="I12" s="35">
        <f t="shared" si="1"/>
        <v>0.12636948855167129</v>
      </c>
      <c r="J12" s="35">
        <f t="shared" si="1"/>
        <v>-0.16270884907031768</v>
      </c>
      <c r="K12" s="36">
        <f>$Q$12</f>
        <v>3.9381787991493944E-2</v>
      </c>
      <c r="L12" s="36">
        <f>+K12</f>
        <v>3.9381787991493944E-2</v>
      </c>
      <c r="M12" s="36">
        <f>+L12</f>
        <v>3.9381787991493944E-2</v>
      </c>
      <c r="N12" s="36">
        <f>+M12</f>
        <v>3.9381787991493944E-2</v>
      </c>
      <c r="O12" s="36">
        <f>+N12</f>
        <v>3.9381787991493944E-2</v>
      </c>
      <c r="P12" s="13"/>
      <c r="Q12" s="37">
        <f>AVERAGE(E12:J12)</f>
        <v>3.9381787991493944E-2</v>
      </c>
      <c r="R12" s="37">
        <f>GEOMEAN(E13:J13)-1</f>
        <v>3.3748859707467549E-2</v>
      </c>
      <c r="S12" s="38">
        <f>HARMEAN(E13:J13)-1</f>
        <v>2.7715085443727583E-2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4.25" customHeight="1" x14ac:dyDescent="0.2">
      <c r="A13" s="13"/>
      <c r="B13" s="13"/>
      <c r="C13" s="33" t="s">
        <v>18</v>
      </c>
      <c r="D13" s="34"/>
      <c r="E13" s="35">
        <f t="shared" ref="E13:J13" si="2">E12+1</f>
        <v>1.0866681975697672</v>
      </c>
      <c r="F13" s="35">
        <f t="shared" si="2"/>
        <v>1.147312665412312</v>
      </c>
      <c r="G13" s="35">
        <f t="shared" si="2"/>
        <v>1.0528798215520276</v>
      </c>
      <c r="H13" s="35">
        <f t="shared" si="2"/>
        <v>0.98576940393350321</v>
      </c>
      <c r="I13" s="35">
        <f t="shared" si="2"/>
        <v>1.1263694885516713</v>
      </c>
      <c r="J13" s="35">
        <f t="shared" si="2"/>
        <v>0.83729115092968232</v>
      </c>
      <c r="K13" s="39"/>
      <c r="L13" s="39"/>
      <c r="M13" s="39"/>
      <c r="N13" s="39"/>
      <c r="O13" s="39"/>
      <c r="P13" s="13"/>
      <c r="Q13" s="27"/>
      <c r="R13" s="40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4.25" customHeight="1" x14ac:dyDescent="0.2">
      <c r="A14" s="13"/>
      <c r="B14" s="13"/>
      <c r="C14" s="15"/>
      <c r="D14" s="41"/>
      <c r="E14" s="16"/>
      <c r="F14" s="16"/>
      <c r="G14" s="16"/>
      <c r="H14" s="16"/>
      <c r="I14" s="20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14.25" customHeight="1" x14ac:dyDescent="0.2">
      <c r="A15" s="13"/>
      <c r="B15" s="13"/>
      <c r="C15" s="14" t="s">
        <v>19</v>
      </c>
      <c r="D15" s="28">
        <v>269.84399999999999</v>
      </c>
      <c r="E15" s="30">
        <v>411.29</v>
      </c>
      <c r="F15" s="30">
        <v>570.79600000000005</v>
      </c>
      <c r="G15" s="30">
        <v>714.88499999999999</v>
      </c>
      <c r="H15" s="30">
        <v>544.80799999999999</v>
      </c>
      <c r="I15" s="30">
        <v>580.15599999999995</v>
      </c>
      <c r="J15" s="30">
        <v>389.21</v>
      </c>
      <c r="K15" s="42">
        <f>K16*K11</f>
        <v>494.10547624782339</v>
      </c>
      <c r="L15" s="42">
        <f>L16*L11</f>
        <v>513.56423335885131</v>
      </c>
      <c r="M15" s="42">
        <f>M16*M11</f>
        <v>533.78931111700376</v>
      </c>
      <c r="N15" s="42">
        <f>N16*N11</f>
        <v>554.81088859953911</v>
      </c>
      <c r="O15" s="42">
        <f>O16*O11</f>
        <v>576.66033338973853</v>
      </c>
      <c r="P15" s="13"/>
      <c r="Q15" s="32" t="s">
        <v>14</v>
      </c>
      <c r="R15" s="32" t="s">
        <v>15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4.25" customHeight="1" x14ac:dyDescent="0.2">
      <c r="A16" s="13"/>
      <c r="B16" s="13"/>
      <c r="C16" s="33" t="s">
        <v>20</v>
      </c>
      <c r="D16" s="35">
        <f t="shared" ref="D16:J16" si="3">D15/D11</f>
        <v>8.7770187592008678E-2</v>
      </c>
      <c r="E16" s="35">
        <f t="shared" si="3"/>
        <v>0.1231077669629746</v>
      </c>
      <c r="F16" s="35">
        <f t="shared" si="3"/>
        <v>0.14891431105777383</v>
      </c>
      <c r="G16" s="35">
        <f t="shared" si="3"/>
        <v>0.17713847345506067</v>
      </c>
      <c r="H16" s="35">
        <f t="shared" si="3"/>
        <v>0.13694458199587262</v>
      </c>
      <c r="I16" s="35">
        <f t="shared" si="3"/>
        <v>0.12946884957912738</v>
      </c>
      <c r="J16" s="35">
        <f t="shared" si="3"/>
        <v>0.10373563976619035</v>
      </c>
      <c r="K16" s="36">
        <f>$R$16</f>
        <v>0.12670348605711929</v>
      </c>
      <c r="L16" s="36">
        <f>+K16</f>
        <v>0.12670348605711929</v>
      </c>
      <c r="M16" s="36">
        <f>+L16</f>
        <v>0.12670348605711929</v>
      </c>
      <c r="N16" s="36">
        <f>+M16</f>
        <v>0.12670348605711929</v>
      </c>
      <c r="O16" s="36">
        <f>+N16</f>
        <v>0.12670348605711929</v>
      </c>
      <c r="P16" s="13"/>
      <c r="Q16" s="37">
        <f>AVERAGE(D16:J16)</f>
        <v>0.12958283005842972</v>
      </c>
      <c r="R16" s="37">
        <f>GEOMEAN(D16:J16)</f>
        <v>0.12670348605711929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14.25" customHeight="1" x14ac:dyDescent="0.2">
      <c r="A17" s="13"/>
      <c r="B17" s="13"/>
      <c r="C17" s="15"/>
      <c r="D17" s="41"/>
      <c r="E17" s="16"/>
      <c r="F17" s="16"/>
      <c r="G17" s="16"/>
      <c r="H17" s="16"/>
      <c r="I17" s="20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4.25" customHeight="1" x14ac:dyDescent="0.2">
      <c r="A18" s="13"/>
      <c r="B18" s="13"/>
      <c r="C18" s="14" t="s">
        <v>21</v>
      </c>
      <c r="D18" s="28">
        <v>6.8</v>
      </c>
      <c r="E18" s="30">
        <v>7</v>
      </c>
      <c r="F18" s="30">
        <v>8</v>
      </c>
      <c r="G18" s="30">
        <v>6.6</v>
      </c>
      <c r="H18" s="30">
        <v>6.9</v>
      </c>
      <c r="I18" s="30">
        <v>8.5</v>
      </c>
      <c r="J18" s="30">
        <v>7.5</v>
      </c>
      <c r="K18" s="42">
        <f>K19*K11</f>
        <v>7.5717093679056084</v>
      </c>
      <c r="L18" s="42">
        <f>L19*L11</f>
        <v>7.8698968209656757</v>
      </c>
      <c r="M18" s="42">
        <f>M19*M11</f>
        <v>8.1798274290838791</v>
      </c>
      <c r="N18" s="42">
        <f>N19*N11</f>
        <v>8.5019636587030654</v>
      </c>
      <c r="O18" s="42">
        <f>O19*O11</f>
        <v>8.8367861890214954</v>
      </c>
      <c r="P18" s="13"/>
      <c r="Q18" s="32" t="s">
        <v>14</v>
      </c>
      <c r="R18" s="32" t="s">
        <v>15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4.25" customHeight="1" x14ac:dyDescent="0.2">
      <c r="A19" s="13"/>
      <c r="B19" s="13"/>
      <c r="C19" s="33" t="s">
        <v>22</v>
      </c>
      <c r="D19" s="35">
        <f t="shared" ref="D19:J19" si="4">D18/D11</f>
        <v>2.2117863492449675E-3</v>
      </c>
      <c r="E19" s="35">
        <f t="shared" si="4"/>
        <v>2.0952475594855748E-3</v>
      </c>
      <c r="F19" s="35">
        <f t="shared" si="4"/>
        <v>2.087110786449433E-3</v>
      </c>
      <c r="G19" s="35">
        <f t="shared" si="4"/>
        <v>1.6353874046922238E-3</v>
      </c>
      <c r="H19" s="35">
        <f t="shared" si="4"/>
        <v>1.7344048100826734E-3</v>
      </c>
      <c r="I19" s="35">
        <f t="shared" si="4"/>
        <v>1.8968781179934066E-3</v>
      </c>
      <c r="J19" s="35">
        <f t="shared" si="4"/>
        <v>1.9989653355423232E-3</v>
      </c>
      <c r="K19" s="36">
        <f>$R$19</f>
        <v>1.9416137210424489E-3</v>
      </c>
      <c r="L19" s="36">
        <f>+K19</f>
        <v>1.9416137210424489E-3</v>
      </c>
      <c r="M19" s="36">
        <f>+L19</f>
        <v>1.9416137210424489E-3</v>
      </c>
      <c r="N19" s="36">
        <f>+M19</f>
        <v>1.9416137210424489E-3</v>
      </c>
      <c r="O19" s="36">
        <f>+N19</f>
        <v>1.9416137210424489E-3</v>
      </c>
      <c r="P19" s="13"/>
      <c r="Q19" s="37">
        <f>AVERAGE(D19:J19)</f>
        <v>1.9513971947843717E-3</v>
      </c>
      <c r="R19" s="37">
        <f>GEOMEAN(D19:J19)</f>
        <v>1.9416137210424489E-3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14.25" customHeight="1" x14ac:dyDescent="0.2">
      <c r="A20" s="13"/>
      <c r="B20" s="13"/>
      <c r="C20" s="15"/>
      <c r="D20" s="15"/>
      <c r="E20" s="16"/>
      <c r="F20" s="16"/>
      <c r="G20" s="16"/>
      <c r="H20" s="16"/>
      <c r="I20" s="20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ht="18" customHeight="1" x14ac:dyDescent="0.25">
      <c r="A21" s="13"/>
      <c r="B21" s="13"/>
      <c r="C21" s="21" t="s">
        <v>23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4.25" customHeight="1" x14ac:dyDescent="0.2">
      <c r="A22" s="13"/>
      <c r="B22" s="13"/>
      <c r="C22" s="15"/>
      <c r="D22" s="15"/>
      <c r="E22" s="22"/>
      <c r="F22" s="23"/>
      <c r="G22" s="22"/>
      <c r="H22" s="22"/>
      <c r="I22" s="22"/>
      <c r="J22" s="24"/>
      <c r="K22" s="3" t="s">
        <v>12</v>
      </c>
      <c r="L22" s="3"/>
      <c r="M22" s="3"/>
      <c r="N22" s="3"/>
      <c r="O22" s="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ht="14.25" customHeight="1" x14ac:dyDescent="0.2">
      <c r="A23" s="13"/>
      <c r="B23" s="13"/>
      <c r="C23" s="15"/>
      <c r="D23" s="25">
        <f t="shared" ref="D23:I23" si="5">E23-365</f>
        <v>43772</v>
      </c>
      <c r="E23" s="25">
        <f t="shared" si="5"/>
        <v>44137</v>
      </c>
      <c r="F23" s="25">
        <f t="shared" si="5"/>
        <v>44502</v>
      </c>
      <c r="G23" s="25">
        <f t="shared" si="5"/>
        <v>44867</v>
      </c>
      <c r="H23" s="25">
        <f t="shared" si="5"/>
        <v>45232</v>
      </c>
      <c r="I23" s="25">
        <f t="shared" si="5"/>
        <v>45597</v>
      </c>
      <c r="J23" s="25">
        <v>45962</v>
      </c>
      <c r="K23" s="26">
        <f>J23+365</f>
        <v>46327</v>
      </c>
      <c r="L23" s="26">
        <f>K23+365</f>
        <v>46692</v>
      </c>
      <c r="M23" s="26">
        <f>L23+365</f>
        <v>47057</v>
      </c>
      <c r="N23" s="26">
        <f>M23+365</f>
        <v>47422</v>
      </c>
      <c r="O23" s="26">
        <f>N23+365</f>
        <v>47787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4.25" customHeight="1" x14ac:dyDescent="0.2">
      <c r="A24" s="13"/>
      <c r="B24" s="13"/>
      <c r="C24" s="43" t="s">
        <v>24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5">
        <f>K35*K11</f>
        <v>0</v>
      </c>
      <c r="L24" s="45">
        <f>L35*L11</f>
        <v>0</v>
      </c>
      <c r="M24" s="45">
        <f>M35*M11</f>
        <v>0</v>
      </c>
      <c r="N24" s="45">
        <f>N35*N11</f>
        <v>0</v>
      </c>
      <c r="O24" s="45">
        <f>O35*O11</f>
        <v>0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4.25" customHeight="1" x14ac:dyDescent="0.2">
      <c r="A25" s="13"/>
      <c r="B25" s="13"/>
      <c r="C25" s="43" t="s">
        <v>25</v>
      </c>
      <c r="D25" s="44">
        <v>3345.4</v>
      </c>
      <c r="E25" s="44">
        <v>2989.4</v>
      </c>
      <c r="F25" s="44">
        <v>3136.5</v>
      </c>
      <c r="G25" s="44">
        <v>3608.3</v>
      </c>
      <c r="H25" s="44">
        <v>3412.8</v>
      </c>
      <c r="I25" s="44">
        <v>3412.6</v>
      </c>
      <c r="J25" s="44">
        <v>3371.6</v>
      </c>
      <c r="K25" s="46">
        <f>K36*K11</f>
        <v>3461.446081387825</v>
      </c>
      <c r="L25" s="46">
        <f>L36*L11</f>
        <v>3597.7640171090279</v>
      </c>
      <c r="M25" s="46">
        <f>M36*M11</f>
        <v>3739.4503968742411</v>
      </c>
      <c r="N25" s="46">
        <f>N36*N11</f>
        <v>3886.7166396086504</v>
      </c>
      <c r="O25" s="46">
        <f>O36*O11</f>
        <v>4039.7824902927296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4.25" customHeight="1" x14ac:dyDescent="0.2">
      <c r="A26" s="13"/>
      <c r="B26" s="13"/>
      <c r="C26" s="43" t="s">
        <v>26</v>
      </c>
      <c r="D26" s="44">
        <v>26.9</v>
      </c>
      <c r="E26" s="44">
        <v>19.2</v>
      </c>
      <c r="F26" s="44">
        <v>15.1</v>
      </c>
      <c r="G26" s="44">
        <v>23</v>
      </c>
      <c r="H26" s="44">
        <v>14.2</v>
      </c>
      <c r="I26" s="44">
        <v>15.6</v>
      </c>
      <c r="J26" s="44">
        <v>16.399999999999999</v>
      </c>
      <c r="K26" s="45">
        <f>K37*K11</f>
        <v>13.576136706954886</v>
      </c>
      <c r="L26" s="45">
        <f>L37*L11</f>
        <v>14.110789244491722</v>
      </c>
      <c r="M26" s="45">
        <f>M37*M11</f>
        <v>14.666497354910948</v>
      </c>
      <c r="N26" s="45">
        <f>N37*N11</f>
        <v>15.244090244319857</v>
      </c>
      <c r="O26" s="45">
        <f>O37*O11</f>
        <v>15.844429774444862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4.25" customHeight="1" x14ac:dyDescent="0.2">
      <c r="A27" s="13"/>
      <c r="B27" s="13"/>
      <c r="C27" s="15"/>
      <c r="D27" s="47"/>
      <c r="E27" s="47"/>
      <c r="F27" s="47"/>
      <c r="G27" s="47"/>
      <c r="H27" s="47"/>
      <c r="I27" s="47"/>
      <c r="J27" s="47"/>
      <c r="K27" s="48"/>
      <c r="L27" s="48"/>
      <c r="M27" s="48"/>
      <c r="N27" s="48"/>
      <c r="O27" s="48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4.25" customHeight="1" x14ac:dyDescent="0.2">
      <c r="A28" s="13"/>
      <c r="B28" s="13"/>
      <c r="C28" s="43" t="s">
        <v>27</v>
      </c>
      <c r="D28" s="49">
        <v>339.2</v>
      </c>
      <c r="E28" s="49">
        <v>373.2</v>
      </c>
      <c r="F28" s="49">
        <v>479.2</v>
      </c>
      <c r="G28" s="49">
        <v>479.9</v>
      </c>
      <c r="H28" s="49">
        <v>488.9</v>
      </c>
      <c r="I28" s="49">
        <v>454.2</v>
      </c>
      <c r="J28" s="49">
        <v>420.7</v>
      </c>
      <c r="K28" s="50">
        <f>K38*K11</f>
        <v>446.98708432019811</v>
      </c>
      <c r="L28" s="50">
        <f>L38*L11</f>
        <v>464.59023490983219</v>
      </c>
      <c r="M28" s="50">
        <f>M38*M11</f>
        <v>482.88662904396961</v>
      </c>
      <c r="N28" s="50">
        <f>N38*N11</f>
        <v>501.90356789290632</v>
      </c>
      <c r="O28" s="50">
        <f>O38*O11</f>
        <v>521.66942779583917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4.25" customHeight="1" x14ac:dyDescent="0.2">
      <c r="A29" s="13"/>
      <c r="B29" s="13"/>
      <c r="C29" s="43" t="s">
        <v>28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5">
        <f>K39*K11</f>
        <v>0</v>
      </c>
      <c r="L29" s="45">
        <f>L39*L11</f>
        <v>0</v>
      </c>
      <c r="M29" s="45">
        <f>M39*M11</f>
        <v>0</v>
      </c>
      <c r="N29" s="45">
        <f>N39*N11</f>
        <v>0</v>
      </c>
      <c r="O29" s="45">
        <f>O39*O11</f>
        <v>0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4.25" customHeight="1" x14ac:dyDescent="0.2">
      <c r="A30" s="13"/>
      <c r="B30" s="13"/>
      <c r="C30" s="15"/>
      <c r="D30" s="47"/>
      <c r="E30" s="47"/>
      <c r="F30" s="47"/>
      <c r="G30" s="47"/>
      <c r="H30" s="47"/>
      <c r="I30" s="47"/>
      <c r="J30" s="47"/>
      <c r="K30" s="51"/>
      <c r="L30" s="51"/>
      <c r="M30" s="51"/>
      <c r="N30" s="51"/>
      <c r="O30" s="51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4.25" customHeight="1" x14ac:dyDescent="0.2">
      <c r="A31" s="13"/>
      <c r="B31" s="13"/>
      <c r="C31" s="14" t="s">
        <v>29</v>
      </c>
      <c r="D31" s="44">
        <v>1490.6</v>
      </c>
      <c r="E31" s="44">
        <v>1386.3</v>
      </c>
      <c r="F31" s="44">
        <v>1400.3</v>
      </c>
      <c r="G31" s="44">
        <v>1418.7</v>
      </c>
      <c r="H31" s="44">
        <v>1457.2</v>
      </c>
      <c r="I31" s="44">
        <v>999.6</v>
      </c>
      <c r="J31" s="44">
        <v>1194.8</v>
      </c>
      <c r="K31" s="52"/>
      <c r="L31" s="52"/>
      <c r="M31" s="52"/>
      <c r="N31" s="52"/>
      <c r="O31" s="5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4.25" customHeight="1" x14ac:dyDescent="0.2">
      <c r="A32" s="13"/>
      <c r="B32" s="13"/>
      <c r="C32" s="15"/>
      <c r="D32" s="47"/>
      <c r="E32" s="47"/>
      <c r="F32" s="47"/>
      <c r="G32" s="47"/>
      <c r="H32" s="47"/>
      <c r="I32" s="47"/>
      <c r="J32" s="47"/>
      <c r="K32" s="51"/>
      <c r="L32" s="51"/>
      <c r="M32" s="51"/>
      <c r="N32" s="51"/>
      <c r="O32" s="51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4.25" customHeight="1" x14ac:dyDescent="0.2">
      <c r="A33" s="13"/>
      <c r="B33" s="13"/>
      <c r="C33" s="14" t="s">
        <v>30</v>
      </c>
      <c r="D33" s="44">
        <v>9.3000000000000007</v>
      </c>
      <c r="E33" s="44">
        <v>4.8</v>
      </c>
      <c r="F33" s="44">
        <v>10.5</v>
      </c>
      <c r="G33" s="44">
        <v>9.1</v>
      </c>
      <c r="H33" s="44">
        <v>6.7</v>
      </c>
      <c r="I33" s="44">
        <v>6.4</v>
      </c>
      <c r="J33" s="44">
        <v>6.8</v>
      </c>
      <c r="K33" s="45">
        <f>K40*K11</f>
        <v>8.0114497809326117</v>
      </c>
      <c r="L33" s="45">
        <f>L40*L11</f>
        <v>8.3269549977097999</v>
      </c>
      <c r="M33" s="45">
        <f>M40*M11</f>
        <v>8.6548853740443192</v>
      </c>
      <c r="N33" s="45">
        <f>N40*N11</f>
        <v>8.9957302349356141</v>
      </c>
      <c r="O33" s="45">
        <f>O40*O11</f>
        <v>9.3499981758765198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4.25" customHeight="1" x14ac:dyDescent="0.2">
      <c r="A34" s="13"/>
      <c r="B34" s="13"/>
      <c r="C34" s="15"/>
      <c r="D34" s="15"/>
      <c r="E34" s="16"/>
      <c r="F34" s="16"/>
      <c r="G34" s="16"/>
      <c r="H34" s="16"/>
      <c r="I34" s="20"/>
      <c r="J34" s="13"/>
      <c r="K34" s="13"/>
      <c r="L34" s="13"/>
      <c r="M34" s="13"/>
      <c r="N34" s="13"/>
      <c r="O34" s="13"/>
      <c r="P34" s="53" t="s">
        <v>31</v>
      </c>
      <c r="Q34" s="53" t="s">
        <v>32</v>
      </c>
      <c r="R34" s="53" t="s">
        <v>33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4.25" customHeight="1" x14ac:dyDescent="0.2">
      <c r="A35" s="13"/>
      <c r="B35" s="13"/>
      <c r="C35" s="54" t="s">
        <v>34</v>
      </c>
      <c r="D35" s="55">
        <f t="shared" ref="D35:J35" si="6">D24/D11</f>
        <v>0</v>
      </c>
      <c r="E35" s="55">
        <f t="shared" si="6"/>
        <v>0</v>
      </c>
      <c r="F35" s="55">
        <f t="shared" si="6"/>
        <v>0</v>
      </c>
      <c r="G35" s="55">
        <f t="shared" si="6"/>
        <v>0</v>
      </c>
      <c r="H35" s="55">
        <f t="shared" si="6"/>
        <v>0</v>
      </c>
      <c r="I35" s="55">
        <f t="shared" si="6"/>
        <v>0</v>
      </c>
      <c r="J35" s="55">
        <f t="shared" si="6"/>
        <v>0</v>
      </c>
      <c r="K35" s="56">
        <f>J35*(1+$P$35)</f>
        <v>0</v>
      </c>
      <c r="L35" s="56">
        <f>K35*(1+$P$35)</f>
        <v>0</v>
      </c>
      <c r="M35" s="56">
        <f>L35*(1+$P$35)</f>
        <v>0</v>
      </c>
      <c r="N35" s="56">
        <f>M35*(1+$P$35)</f>
        <v>0</v>
      </c>
      <c r="O35" s="56">
        <f>N35*(1+$P$35)</f>
        <v>0</v>
      </c>
      <c r="P35" s="40"/>
      <c r="Q35" s="37">
        <f>AVERAGE(D35:J35)</f>
        <v>0</v>
      </c>
      <c r="R35" s="37" t="e">
        <f>GEOMEAN(D35:J35)</f>
        <v>#NUM!</v>
      </c>
      <c r="S35" s="57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4.25" customHeight="1" x14ac:dyDescent="0.2">
      <c r="A36" s="13"/>
      <c r="B36" s="13"/>
      <c r="C36" s="54" t="s">
        <v>35</v>
      </c>
      <c r="D36" s="55">
        <f t="shared" ref="D36:J36" si="7">D25/D11</f>
        <v>1.0881338312888404</v>
      </c>
      <c r="E36" s="55">
        <f t="shared" si="7"/>
        <v>0.89479043633231115</v>
      </c>
      <c r="F36" s="55">
        <f t="shared" si="7"/>
        <v>0.81827787271233088</v>
      </c>
      <c r="G36" s="55">
        <f t="shared" si="7"/>
        <v>0.89408611702287144</v>
      </c>
      <c r="H36" s="55">
        <f t="shared" si="7"/>
        <v>0.85785170084784756</v>
      </c>
      <c r="I36" s="55">
        <f t="shared" si="7"/>
        <v>0.76156309005462341</v>
      </c>
      <c r="J36" s="55">
        <f t="shared" si="7"/>
        <v>0.89862820337526628</v>
      </c>
      <c r="K36" s="56">
        <f>$Q$36</f>
        <v>0.88761875023344161</v>
      </c>
      <c r="L36" s="56">
        <f>$Q$36</f>
        <v>0.88761875023344161</v>
      </c>
      <c r="M36" s="56">
        <f>$Q$36</f>
        <v>0.88761875023344161</v>
      </c>
      <c r="N36" s="56">
        <f>$Q$36</f>
        <v>0.88761875023344161</v>
      </c>
      <c r="O36" s="56">
        <f>$Q$36</f>
        <v>0.88761875023344161</v>
      </c>
      <c r="P36" s="27"/>
      <c r="Q36" s="37">
        <f>AVERAGE(D36:J36)</f>
        <v>0.88761875023344161</v>
      </c>
      <c r="R36" s="37">
        <f>GEOMEAN(D36:J36)</f>
        <v>0.88290038822321271</v>
      </c>
      <c r="S36" s="38">
        <f>HARMEAN(D36:J36)</f>
        <v>0.87843437839199612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4.25" customHeight="1" x14ac:dyDescent="0.2">
      <c r="A37" s="13"/>
      <c r="B37" s="13"/>
      <c r="C37" s="54" t="s">
        <v>36</v>
      </c>
      <c r="D37" s="55">
        <f t="shared" ref="D37:J37" si="8">D26/D11</f>
        <v>8.7495665874543563E-3</v>
      </c>
      <c r="E37" s="55">
        <f t="shared" si="8"/>
        <v>5.7469647345890053E-3</v>
      </c>
      <c r="F37" s="55">
        <f t="shared" si="8"/>
        <v>3.9394216094233046E-3</v>
      </c>
      <c r="G37" s="55">
        <f t="shared" si="8"/>
        <v>5.6990773193819916E-3</v>
      </c>
      <c r="H37" s="55">
        <f t="shared" si="8"/>
        <v>3.5693548265469505E-3</v>
      </c>
      <c r="I37" s="55">
        <f t="shared" si="8"/>
        <v>3.4813292518467228E-3</v>
      </c>
      <c r="J37" s="55">
        <f t="shared" si="8"/>
        <v>4.3710708670525464E-3</v>
      </c>
      <c r="K37" s="58">
        <f>I37*(1+$P$37)</f>
        <v>3.4813292518467228E-3</v>
      </c>
      <c r="L37" s="58">
        <f>K37*(1+$P$37)</f>
        <v>3.4813292518467228E-3</v>
      </c>
      <c r="M37" s="58">
        <f>L37*(1+$P$37)</f>
        <v>3.4813292518467228E-3</v>
      </c>
      <c r="N37" s="58">
        <f>M37*(1+$P$37)</f>
        <v>3.4813292518467228E-3</v>
      </c>
      <c r="O37" s="58">
        <f>N37*(1+$P$37)</f>
        <v>3.4813292518467228E-3</v>
      </c>
      <c r="P37" s="40"/>
      <c r="Q37" s="37">
        <f>AVERAGE(D37:I37)</f>
        <v>5.1976190548737216E-3</v>
      </c>
      <c r="R37" s="37">
        <f>GEOMEAN(D37:I37)</f>
        <v>4.9109572223875733E-3</v>
      </c>
      <c r="S37" s="57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4.25" customHeight="1" x14ac:dyDescent="0.2">
      <c r="A38" s="13"/>
      <c r="B38" s="13"/>
      <c r="C38" s="54" t="s">
        <v>37</v>
      </c>
      <c r="D38" s="55">
        <f t="shared" ref="D38:J38" si="9">D28/D11</f>
        <v>0.11032910730351368</v>
      </c>
      <c r="E38" s="55">
        <f t="shared" si="9"/>
        <v>0.1117066270285738</v>
      </c>
      <c r="F38" s="55">
        <f t="shared" si="9"/>
        <v>0.12501793610832104</v>
      </c>
      <c r="G38" s="55">
        <f t="shared" si="9"/>
        <v>0.1189124871987573</v>
      </c>
      <c r="H38" s="55">
        <f t="shared" si="9"/>
        <v>0.12289137849991578</v>
      </c>
      <c r="I38" s="55">
        <f t="shared" si="9"/>
        <v>0.10136024014030651</v>
      </c>
      <c r="J38" s="55">
        <f t="shared" si="9"/>
        <v>0.11212862888835405</v>
      </c>
      <c r="K38" s="56">
        <f>$Q$38</f>
        <v>0.11462091502396318</v>
      </c>
      <c r="L38" s="56">
        <f>$Q$38</f>
        <v>0.11462091502396318</v>
      </c>
      <c r="M38" s="56">
        <f>$Q$38</f>
        <v>0.11462091502396318</v>
      </c>
      <c r="N38" s="56">
        <f>$Q$38</f>
        <v>0.11462091502396318</v>
      </c>
      <c r="O38" s="56">
        <f>$Q$38</f>
        <v>0.11462091502396318</v>
      </c>
      <c r="P38" s="27"/>
      <c r="Q38" s="37">
        <f>AVERAGE(D38:J38)</f>
        <v>0.11462091502396318</v>
      </c>
      <c r="R38" s="37">
        <f>GEOMEAN(D38:J38)</f>
        <v>0.11436584451049754</v>
      </c>
      <c r="S38" s="57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4.25" customHeight="1" x14ac:dyDescent="0.2">
      <c r="A39" s="13"/>
      <c r="B39" s="13"/>
      <c r="C39" s="54" t="s">
        <v>38</v>
      </c>
      <c r="D39" s="55">
        <f t="shared" ref="D39:J39" si="10">D29/D11</f>
        <v>0</v>
      </c>
      <c r="E39" s="55">
        <f t="shared" si="10"/>
        <v>0</v>
      </c>
      <c r="F39" s="55">
        <f t="shared" si="10"/>
        <v>0</v>
      </c>
      <c r="G39" s="55">
        <f t="shared" si="10"/>
        <v>0</v>
      </c>
      <c r="H39" s="55">
        <f t="shared" si="10"/>
        <v>0</v>
      </c>
      <c r="I39" s="55">
        <f t="shared" si="10"/>
        <v>0</v>
      </c>
      <c r="J39" s="55">
        <f t="shared" si="10"/>
        <v>0</v>
      </c>
      <c r="K39" s="56">
        <f>$Q$39</f>
        <v>0</v>
      </c>
      <c r="L39" s="56">
        <f>$Q$39</f>
        <v>0</v>
      </c>
      <c r="M39" s="56">
        <f>$Q$39</f>
        <v>0</v>
      </c>
      <c r="N39" s="56">
        <f>$Q$39</f>
        <v>0</v>
      </c>
      <c r="O39" s="56">
        <f>$Q$39</f>
        <v>0</v>
      </c>
      <c r="P39" s="27"/>
      <c r="Q39" s="37">
        <f>AVERAGE(D39:J39)</f>
        <v>0</v>
      </c>
      <c r="R39" s="37" t="e">
        <f>GEOMEAN(D39:J39)</f>
        <v>#NUM!</v>
      </c>
      <c r="S39" s="57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4.25" customHeight="1" x14ac:dyDescent="0.2">
      <c r="A40" s="13"/>
      <c r="B40" s="13"/>
      <c r="C40" s="33" t="s">
        <v>39</v>
      </c>
      <c r="D40" s="35">
        <f t="shared" ref="D40:J40" si="11">D33/D11</f>
        <v>3.0249430952909119E-3</v>
      </c>
      <c r="E40" s="35">
        <f t="shared" si="11"/>
        <v>1.4367411836472513E-3</v>
      </c>
      <c r="F40" s="35">
        <f t="shared" si="11"/>
        <v>2.739332907214881E-3</v>
      </c>
      <c r="G40" s="35">
        <f t="shared" si="11"/>
        <v>2.2548523307120054E-3</v>
      </c>
      <c r="H40" s="35">
        <f t="shared" si="11"/>
        <v>1.6841322068918713E-3</v>
      </c>
      <c r="I40" s="35">
        <f t="shared" si="11"/>
        <v>1.428237641783271E-3</v>
      </c>
      <c r="J40" s="35">
        <f t="shared" si="11"/>
        <v>1.8123952375583732E-3</v>
      </c>
      <c r="K40" s="59">
        <f>$Q$40</f>
        <v>2.0543763718712236E-3</v>
      </c>
      <c r="L40" s="59">
        <f>$Q$40</f>
        <v>2.0543763718712236E-3</v>
      </c>
      <c r="M40" s="59">
        <f>$Q$40</f>
        <v>2.0543763718712236E-3</v>
      </c>
      <c r="N40" s="59">
        <f>$Q$40</f>
        <v>2.0543763718712236E-3</v>
      </c>
      <c r="O40" s="59">
        <f>$Q$40</f>
        <v>2.0543763718712236E-3</v>
      </c>
      <c r="P40" s="27"/>
      <c r="Q40" s="60">
        <f>AVERAGE(D40:J40)</f>
        <v>2.0543763718712236E-3</v>
      </c>
      <c r="R40" s="37">
        <f>GEOMEAN(D40:J40)</f>
        <v>1.9745573329376714E-3</v>
      </c>
      <c r="S40" s="57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4.25" customHeight="1" x14ac:dyDescent="0.2">
      <c r="A41" s="13"/>
      <c r="B41" s="13"/>
      <c r="C41" s="61" t="s">
        <v>40</v>
      </c>
      <c r="D41" s="62"/>
      <c r="E41" s="35"/>
      <c r="F41" s="35"/>
      <c r="G41" s="35"/>
      <c r="H41" s="35"/>
      <c r="I41" s="35"/>
      <c r="J41" s="35"/>
      <c r="K41" s="63"/>
      <c r="L41" s="63"/>
      <c r="M41" s="63"/>
      <c r="N41" s="63"/>
      <c r="O41" s="6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4.25" customHeight="1" x14ac:dyDescent="0.2">
      <c r="A42" s="13"/>
      <c r="B42" s="13"/>
      <c r="C42" s="61" t="s">
        <v>41</v>
      </c>
      <c r="D42" s="62"/>
      <c r="E42" s="64"/>
      <c r="F42" s="64"/>
      <c r="G42" s="64"/>
      <c r="H42" s="64"/>
      <c r="I42" s="64"/>
      <c r="J42" s="64"/>
      <c r="K42" s="62"/>
      <c r="L42" s="63"/>
      <c r="M42" s="63"/>
      <c r="N42" s="63"/>
      <c r="O42" s="6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4.25" customHeight="1" x14ac:dyDescent="0.2">
      <c r="A43" s="13"/>
      <c r="B43" s="13"/>
      <c r="C43" s="61" t="s">
        <v>42</v>
      </c>
      <c r="D43" s="62"/>
      <c r="E43" s="35">
        <f>((E26/D26)-1)</f>
        <v>-0.28624535315985133</v>
      </c>
      <c r="F43" s="35">
        <f>((F26/E26)-1)</f>
        <v>-0.21354166666666663</v>
      </c>
      <c r="G43" s="35">
        <f>((G26/F26)-1)</f>
        <v>0.52317880794701987</v>
      </c>
      <c r="H43" s="35">
        <f>((H26/G26)-1)</f>
        <v>-0.38260869565217392</v>
      </c>
      <c r="I43" s="35">
        <f>((I26/H26)-1)</f>
        <v>9.8591549295774739E-2</v>
      </c>
      <c r="J43" s="65" t="s">
        <v>43</v>
      </c>
      <c r="K43" s="63"/>
      <c r="L43" s="63"/>
      <c r="M43" s="63"/>
      <c r="N43" s="63"/>
      <c r="O43" s="6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4.25" customHeight="1" x14ac:dyDescent="0.2">
      <c r="A44" s="13"/>
      <c r="B44" s="13"/>
      <c r="C44" s="61" t="s">
        <v>44</v>
      </c>
      <c r="D44" s="62"/>
      <c r="E44" s="35">
        <f t="shared" ref="E44:J44" si="12">((E28/D28)-1)</f>
        <v>0.10023584905660377</v>
      </c>
      <c r="F44" s="35">
        <f t="shared" si="12"/>
        <v>0.28403001071811351</v>
      </c>
      <c r="G44" s="35">
        <f t="shared" si="12"/>
        <v>1.4607679465776791E-3</v>
      </c>
      <c r="H44" s="35">
        <f t="shared" si="12"/>
        <v>1.8753907063971731E-2</v>
      </c>
      <c r="I44" s="35">
        <f t="shared" si="12"/>
        <v>-7.0975659644099021E-2</v>
      </c>
      <c r="J44" s="35">
        <f t="shared" si="12"/>
        <v>-7.3756054601497145E-2</v>
      </c>
      <c r="K44" s="63"/>
      <c r="L44" s="63"/>
      <c r="M44" s="63"/>
      <c r="N44" s="63"/>
      <c r="O44" s="6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4.25" customHeight="1" x14ac:dyDescent="0.2">
      <c r="A45" s="13"/>
      <c r="B45" s="13"/>
      <c r="C45" s="61" t="s">
        <v>45</v>
      </c>
      <c r="D45" s="62"/>
      <c r="E45" s="35"/>
      <c r="F45" s="35"/>
      <c r="G45" s="35"/>
      <c r="H45" s="35"/>
      <c r="I45" s="35"/>
      <c r="J45" s="35"/>
      <c r="K45" s="63"/>
      <c r="L45" s="63"/>
      <c r="M45" s="63"/>
      <c r="N45" s="63"/>
      <c r="O45" s="6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4.25" customHeight="1" x14ac:dyDescent="0.2">
      <c r="A46" s="13"/>
      <c r="B46" s="13"/>
      <c r="C46" s="61" t="s">
        <v>46</v>
      </c>
      <c r="D46" s="62"/>
      <c r="E46" s="35">
        <f t="shared" ref="E46:J46" si="13">((E33/D33)-1)</f>
        <v>-0.4838709677419355</v>
      </c>
      <c r="F46" s="35">
        <f t="shared" si="13"/>
        <v>1.1875</v>
      </c>
      <c r="G46" s="35">
        <f t="shared" si="13"/>
        <v>-0.13333333333333341</v>
      </c>
      <c r="H46" s="35">
        <f t="shared" si="13"/>
        <v>-0.26373626373626369</v>
      </c>
      <c r="I46" s="35">
        <f t="shared" si="13"/>
        <v>-4.4776119402985093E-2</v>
      </c>
      <c r="J46" s="35">
        <f t="shared" si="13"/>
        <v>6.25E-2</v>
      </c>
      <c r="K46" s="63"/>
      <c r="L46" s="63"/>
      <c r="M46" s="63"/>
      <c r="N46" s="63"/>
      <c r="O46" s="6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8" customHeight="1" x14ac:dyDescent="0.25">
      <c r="A47" s="66"/>
      <c r="B47" s="66"/>
      <c r="C47" s="21" t="s">
        <v>47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</row>
    <row r="48" spans="1:29" ht="14.25" customHeight="1" x14ac:dyDescent="0.2">
      <c r="A48" s="66"/>
      <c r="B48" s="66"/>
      <c r="C48" s="67" t="s">
        <v>48</v>
      </c>
      <c r="D48" s="68"/>
      <c r="E48" s="22"/>
      <c r="F48" s="69"/>
      <c r="G48" s="22"/>
      <c r="H48" s="22"/>
      <c r="I48" s="22"/>
      <c r="J48" s="70"/>
      <c r="K48" s="3" t="s">
        <v>12</v>
      </c>
      <c r="L48" s="3"/>
      <c r="M48" s="3"/>
      <c r="N48" s="3"/>
      <c r="O48" s="3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 spans="1:29" ht="14.25" customHeight="1" x14ac:dyDescent="0.2">
      <c r="A49" s="66"/>
      <c r="B49" s="66"/>
      <c r="C49" s="71"/>
      <c r="D49" s="25">
        <f t="shared" ref="D49:I49" si="14">E49-365</f>
        <v>43772</v>
      </c>
      <c r="E49" s="25">
        <f t="shared" si="14"/>
        <v>44137</v>
      </c>
      <c r="F49" s="25">
        <f t="shared" si="14"/>
        <v>44502</v>
      </c>
      <c r="G49" s="25">
        <f t="shared" si="14"/>
        <v>44867</v>
      </c>
      <c r="H49" s="25">
        <f t="shared" si="14"/>
        <v>45232</v>
      </c>
      <c r="I49" s="25">
        <f t="shared" si="14"/>
        <v>45597</v>
      </c>
      <c r="J49" s="25">
        <v>45962</v>
      </c>
      <c r="K49" s="26">
        <f>J49+365</f>
        <v>46327</v>
      </c>
      <c r="L49" s="26">
        <f>K49+365</f>
        <v>46692</v>
      </c>
      <c r="M49" s="26">
        <f>L49+365</f>
        <v>47057</v>
      </c>
      <c r="N49" s="26">
        <f>M49+365</f>
        <v>47422</v>
      </c>
      <c r="O49" s="26">
        <f>N49+365</f>
        <v>47787</v>
      </c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spans="1:29" ht="14.25" customHeight="1" x14ac:dyDescent="0.2">
      <c r="A50" s="66"/>
      <c r="B50" s="66"/>
      <c r="C50" s="72" t="s">
        <v>49</v>
      </c>
      <c r="D50" s="73"/>
      <c r="E50" s="74"/>
      <c r="F50" s="75"/>
      <c r="G50" s="75"/>
      <c r="H50" s="75"/>
      <c r="I50" s="75"/>
      <c r="J50" s="75"/>
      <c r="K50" s="76">
        <v>1</v>
      </c>
      <c r="L50" s="76">
        <f>K50+1</f>
        <v>2</v>
      </c>
      <c r="M50" s="76">
        <f>L50+1</f>
        <v>3</v>
      </c>
      <c r="N50" s="76">
        <f>M50+1</f>
        <v>4</v>
      </c>
      <c r="O50" s="76">
        <f>N50+1</f>
        <v>5</v>
      </c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spans="1:29" ht="14.25" customHeight="1" x14ac:dyDescent="0.2">
      <c r="A51" s="66"/>
      <c r="B51" s="66"/>
      <c r="C51" s="66" t="s">
        <v>50</v>
      </c>
      <c r="D51" s="77">
        <f t="shared" ref="D51:O51" si="15">D11</f>
        <v>3074.4380000000001</v>
      </c>
      <c r="E51" s="78">
        <f t="shared" si="15"/>
        <v>3340.8939999999998</v>
      </c>
      <c r="F51" s="78">
        <f t="shared" si="15"/>
        <v>3833.05</v>
      </c>
      <c r="G51" s="78">
        <f t="shared" si="15"/>
        <v>4035.741</v>
      </c>
      <c r="H51" s="78">
        <f t="shared" si="15"/>
        <v>3978.31</v>
      </c>
      <c r="I51" s="78">
        <f t="shared" si="15"/>
        <v>4481.0469999999996</v>
      </c>
      <c r="J51" s="79">
        <f t="shared" si="15"/>
        <v>3751.9409999999998</v>
      </c>
      <c r="K51" s="79">
        <f t="shared" si="15"/>
        <v>3899.6991450185938</v>
      </c>
      <c r="L51" s="79">
        <f t="shared" si="15"/>
        <v>4053.2762699783261</v>
      </c>
      <c r="M51" s="79">
        <f t="shared" si="15"/>
        <v>4212.9015367135662</v>
      </c>
      <c r="N51" s="79">
        <f t="shared" si="15"/>
        <v>4378.8131318614587</v>
      </c>
      <c r="O51" s="79">
        <f t="shared" si="15"/>
        <v>4551.2586222747959</v>
      </c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spans="1:29" ht="14.25" customHeight="1" x14ac:dyDescent="0.2">
      <c r="A52" s="66"/>
      <c r="B52" s="66"/>
      <c r="C52" s="66" t="s">
        <v>19</v>
      </c>
      <c r="D52" s="77">
        <f t="shared" ref="D52:O52" si="16">D15</f>
        <v>269.84399999999999</v>
      </c>
      <c r="E52" s="79">
        <f t="shared" si="16"/>
        <v>411.29</v>
      </c>
      <c r="F52" s="79">
        <f t="shared" si="16"/>
        <v>570.79600000000005</v>
      </c>
      <c r="G52" s="79">
        <f t="shared" si="16"/>
        <v>714.88499999999999</v>
      </c>
      <c r="H52" s="79">
        <f t="shared" si="16"/>
        <v>544.80799999999999</v>
      </c>
      <c r="I52" s="79">
        <f t="shared" si="16"/>
        <v>580.15599999999995</v>
      </c>
      <c r="J52" s="79">
        <f t="shared" si="16"/>
        <v>389.21</v>
      </c>
      <c r="K52" s="79">
        <f t="shared" si="16"/>
        <v>494.10547624782339</v>
      </c>
      <c r="L52" s="79">
        <f t="shared" si="16"/>
        <v>513.56423335885131</v>
      </c>
      <c r="M52" s="79">
        <f t="shared" si="16"/>
        <v>533.78931111700376</v>
      </c>
      <c r="N52" s="79">
        <f t="shared" si="16"/>
        <v>554.81088859953911</v>
      </c>
      <c r="O52" s="79">
        <f t="shared" si="16"/>
        <v>576.66033338973853</v>
      </c>
      <c r="P52" s="66"/>
      <c r="Q52" s="53" t="s">
        <v>32</v>
      </c>
      <c r="R52" s="53" t="s">
        <v>33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spans="1:29" ht="14.25" customHeight="1" x14ac:dyDescent="0.2">
      <c r="A53" s="66"/>
      <c r="B53" s="66"/>
      <c r="C53" s="10" t="s">
        <v>51</v>
      </c>
      <c r="D53" s="80">
        <v>0.25800000000000001</v>
      </c>
      <c r="E53" s="80">
        <v>0.2361</v>
      </c>
      <c r="F53" s="80">
        <v>0.25009999999999999</v>
      </c>
      <c r="G53" s="80">
        <v>0.23369999999999999</v>
      </c>
      <c r="H53" s="80">
        <v>0.23050000000000001</v>
      </c>
      <c r="I53" s="80">
        <v>0.26250000000000001</v>
      </c>
      <c r="J53" s="80">
        <v>0.27</v>
      </c>
      <c r="K53" s="81">
        <f>$R$53</f>
        <v>0.248284895459154</v>
      </c>
      <c r="L53" s="81">
        <f>$R$53</f>
        <v>0.248284895459154</v>
      </c>
      <c r="M53" s="81">
        <f>$R$53</f>
        <v>0.248284895459154</v>
      </c>
      <c r="N53" s="81">
        <f>$R$53</f>
        <v>0.248284895459154</v>
      </c>
      <c r="O53" s="81">
        <f>$R$53</f>
        <v>0.248284895459154</v>
      </c>
      <c r="P53" s="66"/>
      <c r="Q53" s="37">
        <f>AVERAGE(D53:J53)</f>
        <v>0.24869999999999998</v>
      </c>
      <c r="R53" s="37">
        <f>GEOMEAN(D53:J53)</f>
        <v>0.248284895459154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spans="1:29" ht="14.25" customHeight="1" x14ac:dyDescent="0.2">
      <c r="A54" s="66"/>
      <c r="B54" s="66"/>
      <c r="C54" s="71" t="s">
        <v>52</v>
      </c>
      <c r="D54" s="77">
        <f t="shared" ref="D54:O54" si="17">D52*(1-D53)</f>
        <v>200.22424799999999</v>
      </c>
      <c r="E54" s="77">
        <f t="shared" si="17"/>
        <v>314.18443100000002</v>
      </c>
      <c r="F54" s="77">
        <f t="shared" si="17"/>
        <v>428.03992040000003</v>
      </c>
      <c r="G54" s="77">
        <f t="shared" si="17"/>
        <v>547.81637549999994</v>
      </c>
      <c r="H54" s="77">
        <f t="shared" si="17"/>
        <v>419.22975599999995</v>
      </c>
      <c r="I54" s="77">
        <f t="shared" si="17"/>
        <v>427.86505</v>
      </c>
      <c r="J54" s="77">
        <f t="shared" si="17"/>
        <v>284.12329999999997</v>
      </c>
      <c r="K54" s="82">
        <f t="shared" si="17"/>
        <v>371.42654973183704</v>
      </c>
      <c r="L54" s="82">
        <f t="shared" si="17"/>
        <v>386.05399136778834</v>
      </c>
      <c r="M54" s="82">
        <f t="shared" si="17"/>
        <v>401.25748780910465</v>
      </c>
      <c r="N54" s="82">
        <f t="shared" si="17"/>
        <v>417.05972512400223</v>
      </c>
      <c r="O54" s="82">
        <f t="shared" si="17"/>
        <v>433.4842827986264</v>
      </c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spans="1:29" ht="14.25" customHeight="1" x14ac:dyDescent="0.2">
      <c r="A55" s="66"/>
      <c r="B55" s="66"/>
      <c r="C55" s="83" t="s">
        <v>53</v>
      </c>
      <c r="D55" s="84">
        <f t="shared" ref="D55:O55" si="18">D18</f>
        <v>6.8</v>
      </c>
      <c r="E55" s="84">
        <f t="shared" si="18"/>
        <v>7</v>
      </c>
      <c r="F55" s="84">
        <f t="shared" si="18"/>
        <v>8</v>
      </c>
      <c r="G55" s="84">
        <f t="shared" si="18"/>
        <v>6.6</v>
      </c>
      <c r="H55" s="84">
        <f t="shared" si="18"/>
        <v>6.9</v>
      </c>
      <c r="I55" s="84">
        <f t="shared" si="18"/>
        <v>8.5</v>
      </c>
      <c r="J55" s="84">
        <f t="shared" si="18"/>
        <v>7.5</v>
      </c>
      <c r="K55" s="84">
        <f t="shared" si="18"/>
        <v>7.5717093679056084</v>
      </c>
      <c r="L55" s="84">
        <f t="shared" si="18"/>
        <v>7.8698968209656757</v>
      </c>
      <c r="M55" s="84">
        <f t="shared" si="18"/>
        <v>8.1798274290838791</v>
      </c>
      <c r="N55" s="84">
        <f t="shared" si="18"/>
        <v>8.5019636587030654</v>
      </c>
      <c r="O55" s="84">
        <f t="shared" si="18"/>
        <v>8.8367861890214954</v>
      </c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spans="1:29" ht="14.25" customHeight="1" x14ac:dyDescent="0.2">
      <c r="A56" s="66"/>
      <c r="B56" s="66"/>
      <c r="C56" s="85" t="s">
        <v>54</v>
      </c>
      <c r="D56" s="43"/>
      <c r="E56" s="86">
        <f t="shared" ref="E56:O56" si="19">(E24-D24)*-1</f>
        <v>0</v>
      </c>
      <c r="F56" s="86">
        <f t="shared" si="19"/>
        <v>0</v>
      </c>
      <c r="G56" s="86">
        <f t="shared" si="19"/>
        <v>0</v>
      </c>
      <c r="H56" s="86">
        <f t="shared" si="19"/>
        <v>0</v>
      </c>
      <c r="I56" s="86">
        <f t="shared" si="19"/>
        <v>0</v>
      </c>
      <c r="J56" s="86">
        <f t="shared" si="19"/>
        <v>0</v>
      </c>
      <c r="K56" s="86">
        <f t="shared" si="19"/>
        <v>0</v>
      </c>
      <c r="L56" s="86">
        <f t="shared" si="19"/>
        <v>0</v>
      </c>
      <c r="M56" s="86">
        <f t="shared" si="19"/>
        <v>0</v>
      </c>
      <c r="N56" s="86">
        <f t="shared" si="19"/>
        <v>0</v>
      </c>
      <c r="O56" s="86">
        <f t="shared" si="19"/>
        <v>0</v>
      </c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spans="1:29" ht="14.25" customHeight="1" x14ac:dyDescent="0.2">
      <c r="A57" s="66"/>
      <c r="B57" s="66"/>
      <c r="C57" s="85" t="s">
        <v>55</v>
      </c>
      <c r="D57" s="43"/>
      <c r="E57" s="86">
        <f t="shared" ref="E57:O57" si="20">(E25-D25)*-1</f>
        <v>356</v>
      </c>
      <c r="F57" s="86">
        <f t="shared" si="20"/>
        <v>-147.09999999999991</v>
      </c>
      <c r="G57" s="86">
        <f t="shared" si="20"/>
        <v>-471.80000000000018</v>
      </c>
      <c r="H57" s="86">
        <f t="shared" si="20"/>
        <v>195.5</v>
      </c>
      <c r="I57" s="86">
        <f t="shared" si="20"/>
        <v>0.20000000000027285</v>
      </c>
      <c r="J57" s="86">
        <f t="shared" si="20"/>
        <v>41</v>
      </c>
      <c r="K57" s="86">
        <f t="shared" si="20"/>
        <v>-89.846081387825052</v>
      </c>
      <c r="L57" s="86">
        <f t="shared" si="20"/>
        <v>-136.31793572120296</v>
      </c>
      <c r="M57" s="86">
        <f t="shared" si="20"/>
        <v>-141.68637976521313</v>
      </c>
      <c r="N57" s="86">
        <f t="shared" si="20"/>
        <v>-147.26624273440939</v>
      </c>
      <c r="O57" s="86">
        <f t="shared" si="20"/>
        <v>-153.06585068407912</v>
      </c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spans="1:29" ht="14.25" customHeight="1" x14ac:dyDescent="0.2">
      <c r="A58" s="66"/>
      <c r="B58" s="66"/>
      <c r="C58" s="85" t="s">
        <v>56</v>
      </c>
      <c r="D58" s="43"/>
      <c r="E58" s="86">
        <f t="shared" ref="E58:O58" si="21">(E26-D26)*-1</f>
        <v>7.6999999999999993</v>
      </c>
      <c r="F58" s="86">
        <f t="shared" si="21"/>
        <v>4.0999999999999996</v>
      </c>
      <c r="G58" s="86">
        <f t="shared" si="21"/>
        <v>-7.9</v>
      </c>
      <c r="H58" s="86">
        <f t="shared" si="21"/>
        <v>8.8000000000000007</v>
      </c>
      <c r="I58" s="86">
        <f t="shared" si="21"/>
        <v>-1.4000000000000004</v>
      </c>
      <c r="J58" s="86">
        <f t="shared" si="21"/>
        <v>-0.79999999999999893</v>
      </c>
      <c r="K58" s="86">
        <f t="shared" si="21"/>
        <v>2.8238632930451129</v>
      </c>
      <c r="L58" s="86">
        <f t="shared" si="21"/>
        <v>-0.53465253753683584</v>
      </c>
      <c r="M58" s="86">
        <f t="shared" si="21"/>
        <v>-0.55570811041922674</v>
      </c>
      <c r="N58" s="86">
        <f t="shared" si="21"/>
        <v>-0.57759288940890841</v>
      </c>
      <c r="O58" s="86">
        <f t="shared" si="21"/>
        <v>-0.60033953012500518</v>
      </c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 spans="1:29" ht="14.25" customHeight="1" x14ac:dyDescent="0.2">
      <c r="A59" s="66"/>
      <c r="B59" s="66"/>
      <c r="C59" s="85" t="s">
        <v>57</v>
      </c>
      <c r="D59" s="43"/>
      <c r="E59" s="86">
        <f t="shared" ref="E59:O59" si="22">(E28-D28)</f>
        <v>34</v>
      </c>
      <c r="F59" s="86">
        <f t="shared" si="22"/>
        <v>106</v>
      </c>
      <c r="G59" s="86">
        <f t="shared" si="22"/>
        <v>0.69999999999998863</v>
      </c>
      <c r="H59" s="86">
        <f t="shared" si="22"/>
        <v>9</v>
      </c>
      <c r="I59" s="86">
        <f t="shared" si="22"/>
        <v>-34.699999999999989</v>
      </c>
      <c r="J59" s="86">
        <f t="shared" si="22"/>
        <v>-33.5</v>
      </c>
      <c r="K59" s="86">
        <f t="shared" si="22"/>
        <v>26.287084320198119</v>
      </c>
      <c r="L59" s="86">
        <f t="shared" si="22"/>
        <v>17.603150589634083</v>
      </c>
      <c r="M59" s="86">
        <f t="shared" si="22"/>
        <v>18.296394134137415</v>
      </c>
      <c r="N59" s="86">
        <f t="shared" si="22"/>
        <v>19.016938848936718</v>
      </c>
      <c r="O59" s="86">
        <f t="shared" si="22"/>
        <v>19.765859902932846</v>
      </c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spans="1:29" ht="14.25" customHeight="1" x14ac:dyDescent="0.2">
      <c r="A60" s="66"/>
      <c r="B60" s="66"/>
      <c r="C60" s="85" t="s">
        <v>58</v>
      </c>
      <c r="D60" s="43"/>
      <c r="E60" s="86">
        <f t="shared" ref="E60:O60" si="23">(E29-D29)</f>
        <v>0</v>
      </c>
      <c r="F60" s="86">
        <f t="shared" si="23"/>
        <v>0</v>
      </c>
      <c r="G60" s="86">
        <f t="shared" si="23"/>
        <v>0</v>
      </c>
      <c r="H60" s="86">
        <f t="shared" si="23"/>
        <v>0</v>
      </c>
      <c r="I60" s="86">
        <f t="shared" si="23"/>
        <v>0</v>
      </c>
      <c r="J60" s="86">
        <f t="shared" si="23"/>
        <v>0</v>
      </c>
      <c r="K60" s="86">
        <f t="shared" si="23"/>
        <v>0</v>
      </c>
      <c r="L60" s="86">
        <f t="shared" si="23"/>
        <v>0</v>
      </c>
      <c r="M60" s="86">
        <f t="shared" si="23"/>
        <v>0</v>
      </c>
      <c r="N60" s="86">
        <f t="shared" si="23"/>
        <v>0</v>
      </c>
      <c r="O60" s="86">
        <f t="shared" si="23"/>
        <v>0</v>
      </c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spans="1:29" ht="14.25" customHeight="1" x14ac:dyDescent="0.2">
      <c r="A61" s="66"/>
      <c r="B61" s="66"/>
      <c r="C61" s="83" t="s">
        <v>59</v>
      </c>
      <c r="D61" s="87"/>
      <c r="E61" s="88">
        <f t="shared" ref="E61:O61" si="24">E33*-1</f>
        <v>-4.8</v>
      </c>
      <c r="F61" s="88">
        <f t="shared" si="24"/>
        <v>-10.5</v>
      </c>
      <c r="G61" s="88">
        <f t="shared" si="24"/>
        <v>-9.1</v>
      </c>
      <c r="H61" s="88">
        <f t="shared" si="24"/>
        <v>-6.7</v>
      </c>
      <c r="I61" s="88">
        <f t="shared" si="24"/>
        <v>-6.4</v>
      </c>
      <c r="J61" s="88">
        <f t="shared" si="24"/>
        <v>-6.8</v>
      </c>
      <c r="K61" s="88">
        <f t="shared" si="24"/>
        <v>-8.0114497809326117</v>
      </c>
      <c r="L61" s="88">
        <f t="shared" si="24"/>
        <v>-8.3269549977097999</v>
      </c>
      <c r="M61" s="88">
        <f t="shared" si="24"/>
        <v>-8.6548853740443192</v>
      </c>
      <c r="N61" s="88">
        <f t="shared" si="24"/>
        <v>-8.9957302349356141</v>
      </c>
      <c r="O61" s="88">
        <f t="shared" si="24"/>
        <v>-9.3499981758765198</v>
      </c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spans="1:29" ht="14.25" customHeight="1" x14ac:dyDescent="0.2">
      <c r="A62" s="66"/>
      <c r="B62" s="66"/>
      <c r="C62" s="53" t="s">
        <v>60</v>
      </c>
      <c r="D62" s="53"/>
      <c r="E62" s="89">
        <f t="shared" ref="E62:O62" si="25">SUM(E54:E61)</f>
        <v>714.08443100000011</v>
      </c>
      <c r="F62" s="89">
        <f t="shared" si="25"/>
        <v>388.53992040000014</v>
      </c>
      <c r="G62" s="89">
        <f t="shared" si="25"/>
        <v>66.316375499999765</v>
      </c>
      <c r="H62" s="89">
        <f t="shared" si="25"/>
        <v>632.72975599999984</v>
      </c>
      <c r="I62" s="89">
        <f t="shared" si="25"/>
        <v>394.06505000000033</v>
      </c>
      <c r="J62" s="89">
        <f t="shared" si="25"/>
        <v>291.52329999999995</v>
      </c>
      <c r="K62" s="89">
        <f t="shared" si="25"/>
        <v>310.25167554422825</v>
      </c>
      <c r="L62" s="89">
        <f t="shared" si="25"/>
        <v>266.34749552193853</v>
      </c>
      <c r="M62" s="89">
        <f t="shared" si="25"/>
        <v>276.83673612264926</v>
      </c>
      <c r="N62" s="89">
        <f t="shared" si="25"/>
        <v>287.73906177288814</v>
      </c>
      <c r="O62" s="89">
        <f t="shared" si="25"/>
        <v>299.07074050050011</v>
      </c>
      <c r="P62" s="66"/>
      <c r="Q62" s="90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 spans="1:29" ht="14.25" customHeight="1" x14ac:dyDescent="0.2">
      <c r="A63" s="66"/>
      <c r="B63" s="66"/>
      <c r="C63" s="43" t="s">
        <v>61</v>
      </c>
      <c r="D63" s="85"/>
      <c r="E63" s="91"/>
      <c r="F63" s="91"/>
      <c r="G63" s="92"/>
      <c r="H63" s="92"/>
      <c r="I63" s="93"/>
      <c r="J63" s="93"/>
      <c r="K63" s="94">
        <f>$I$90</f>
        <v>7.9572637372920904E-2</v>
      </c>
      <c r="L63" s="94">
        <f>$I$90</f>
        <v>7.9572637372920904E-2</v>
      </c>
      <c r="M63" s="94">
        <f>$I$90</f>
        <v>7.9572637372920904E-2</v>
      </c>
      <c r="N63" s="94">
        <f>$I$90</f>
        <v>7.9572637372920904E-2</v>
      </c>
      <c r="O63" s="94">
        <f>$I$90</f>
        <v>7.9572637372920904E-2</v>
      </c>
      <c r="P63" s="66"/>
      <c r="Q63" s="90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 spans="1:29" ht="14.25" customHeight="1" x14ac:dyDescent="0.2">
      <c r="A64" s="66"/>
      <c r="B64" s="66"/>
      <c r="C64" s="43" t="s">
        <v>62</v>
      </c>
      <c r="D64" s="85"/>
      <c r="E64" s="95"/>
      <c r="F64" s="95"/>
      <c r="G64" s="95"/>
      <c r="H64" s="95"/>
      <c r="I64" s="95"/>
      <c r="J64" s="95"/>
      <c r="K64" s="96">
        <f>K62/(1+K63)^K50</f>
        <v>287.38378947729558</v>
      </c>
      <c r="L64" s="96">
        <f>L62/(1+L63)^L50</f>
        <v>228.53087395524767</v>
      </c>
      <c r="M64" s="96">
        <f>M62/(1+M63)^M50</f>
        <v>220.0230166641517</v>
      </c>
      <c r="N64" s="96">
        <f>N62/(1+N63)^N50</f>
        <v>211.83189397627476</v>
      </c>
      <c r="O64" s="96">
        <f>O62/(1+O63)^O50</f>
        <v>203.94571434347122</v>
      </c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 spans="1:29" ht="14.25" customHeight="1" x14ac:dyDescent="0.2">
      <c r="A65" s="66"/>
      <c r="B65" s="66"/>
      <c r="C65" s="53" t="s">
        <v>63</v>
      </c>
      <c r="D65" s="71"/>
      <c r="E65" s="97"/>
      <c r="F65" s="98">
        <f>SUM(K64:O64)</f>
        <v>1151.7152884164409</v>
      </c>
      <c r="G65" s="97"/>
      <c r="H65" s="97"/>
      <c r="I65" s="66"/>
      <c r="J65" s="66"/>
      <c r="K65" s="99">
        <f>K62/J62-1</f>
        <v>6.4243151556765188E-2</v>
      </c>
      <c r="L65" s="99">
        <f>L62/K62-1</f>
        <v>-0.1415115001241336</v>
      </c>
      <c r="M65" s="99">
        <f>M62/L62-1</f>
        <v>3.9381787991495276E-2</v>
      </c>
      <c r="N65" s="99">
        <f>N62/M62-1</f>
        <v>3.938178799149239E-2</v>
      </c>
      <c r="O65" s="99">
        <f>O62/N62-1</f>
        <v>3.9381787991496386E-2</v>
      </c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 spans="1:29" ht="14.25" customHeight="1" x14ac:dyDescent="0.2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 spans="1:29" ht="18" customHeight="1" x14ac:dyDescent="0.25">
      <c r="A67" s="66"/>
      <c r="B67" s="66"/>
      <c r="C67" s="21" t="s">
        <v>64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 spans="1:29" ht="14.25" customHeight="1" x14ac:dyDescent="0.2">
      <c r="A68" s="66"/>
      <c r="B68" s="66"/>
      <c r="C68" s="100" t="s">
        <v>65</v>
      </c>
      <c r="D68" s="101"/>
      <c r="E68" s="102"/>
      <c r="F68" s="102"/>
      <c r="G68" s="103"/>
      <c r="H68" s="103"/>
      <c r="I68" s="104"/>
      <c r="J68" s="104"/>
      <c r="K68" s="104"/>
      <c r="L68" s="103"/>
      <c r="M68" s="104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 spans="1:29" ht="14.25" customHeight="1" x14ac:dyDescent="0.2">
      <c r="A69" s="66"/>
      <c r="B69" s="66"/>
      <c r="C69" s="10" t="s">
        <v>66</v>
      </c>
      <c r="D69" s="66"/>
      <c r="E69" s="105"/>
      <c r="F69" s="106">
        <v>0.01</v>
      </c>
      <c r="G69" s="10" t="s">
        <v>67</v>
      </c>
      <c r="H69" s="107">
        <v>8</v>
      </c>
      <c r="I69" s="2" t="s">
        <v>68</v>
      </c>
      <c r="J69" s="2"/>
      <c r="K69" s="2"/>
      <c r="L69" s="2"/>
      <c r="M69" s="2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 spans="1:29" ht="14.25" customHeight="1" x14ac:dyDescent="0.2">
      <c r="A70" s="66"/>
      <c r="B70" s="66"/>
      <c r="C70" s="10" t="s">
        <v>69</v>
      </c>
      <c r="D70" s="66"/>
      <c r="E70" s="108"/>
      <c r="F70" s="55">
        <f>I90</f>
        <v>7.9572637372920904E-2</v>
      </c>
      <c r="G70" s="109"/>
      <c r="H70" s="109"/>
      <c r="I70" s="53">
        <v>2021</v>
      </c>
      <c r="J70" s="110">
        <f>K49</f>
        <v>46327</v>
      </c>
      <c r="K70" s="110">
        <f>L49</f>
        <v>46692</v>
      </c>
      <c r="L70" s="110">
        <f>M49</f>
        <v>47057</v>
      </c>
      <c r="M70" s="110">
        <f>N49</f>
        <v>47422</v>
      </c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 spans="1:29" ht="14.25" customHeight="1" x14ac:dyDescent="0.2">
      <c r="A71" s="66"/>
      <c r="B71" s="66"/>
      <c r="C71" s="10" t="s">
        <v>70</v>
      </c>
      <c r="D71" s="66"/>
      <c r="E71" s="111"/>
      <c r="F71" s="84">
        <f>O62*(1+F69)</f>
        <v>302.06144790550513</v>
      </c>
      <c r="G71" s="111"/>
      <c r="H71" s="103"/>
      <c r="I71" s="104"/>
      <c r="J71" s="112">
        <f>L62/K62-1</f>
        <v>-0.1415115001241336</v>
      </c>
      <c r="K71" s="112">
        <f>M62/L62-1</f>
        <v>3.9381787991495276E-2</v>
      </c>
      <c r="L71" s="113">
        <f>N62/M62-1</f>
        <v>3.938178799149239E-2</v>
      </c>
      <c r="M71" s="112">
        <f>O62/N62-1</f>
        <v>3.9381787991496386E-2</v>
      </c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 spans="1:29" ht="14.25" customHeight="1" x14ac:dyDescent="0.2">
      <c r="A72" s="66"/>
      <c r="B72" s="66"/>
      <c r="C72" s="10" t="s">
        <v>64</v>
      </c>
      <c r="D72" s="66"/>
      <c r="E72" s="111"/>
      <c r="F72" s="84">
        <f>F71/(F70-F69)</f>
        <v>4341.6702213889857</v>
      </c>
      <c r="G72" s="83"/>
      <c r="H72" s="103"/>
      <c r="I72" s="104"/>
      <c r="J72" s="104"/>
      <c r="K72" s="104"/>
      <c r="L72" s="103"/>
      <c r="M72" s="104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 spans="1:29" ht="14.25" customHeight="1" x14ac:dyDescent="0.2">
      <c r="A73" s="66"/>
      <c r="B73" s="66"/>
      <c r="C73" s="53" t="s">
        <v>71</v>
      </c>
      <c r="D73" s="71"/>
      <c r="E73" s="114"/>
      <c r="F73" s="115">
        <f>F72/(1+F70)^O50</f>
        <v>2960.7210429984302</v>
      </c>
      <c r="G73" s="114"/>
      <c r="H73" s="116"/>
      <c r="I73" s="104"/>
      <c r="J73" s="104"/>
      <c r="K73" s="104"/>
      <c r="L73" s="116"/>
      <c r="M73" s="104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 spans="1:29" ht="14.25" customHeight="1" x14ac:dyDescent="0.2">
      <c r="A74" s="66"/>
      <c r="B74" s="66"/>
      <c r="C74" s="66"/>
      <c r="D74" s="66"/>
      <c r="E74" s="117"/>
      <c r="F74" s="117"/>
      <c r="G74" s="117"/>
      <c r="H74" s="104"/>
      <c r="I74" s="104"/>
      <c r="J74" s="104"/>
      <c r="K74" s="104"/>
      <c r="L74" s="104"/>
      <c r="M74" s="104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 spans="1:29" ht="18" customHeight="1" x14ac:dyDescent="0.25">
      <c r="A75" s="66"/>
      <c r="B75" s="66"/>
      <c r="C75" s="21" t="s">
        <v>69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 spans="1:29" ht="14.25" customHeight="1" x14ac:dyDescent="0.2">
      <c r="A76" s="66"/>
      <c r="B76" s="66"/>
      <c r="C76" s="10" t="s">
        <v>72</v>
      </c>
      <c r="D76" s="66"/>
      <c r="E76" s="66"/>
      <c r="F76" s="66"/>
      <c r="G76" s="66"/>
      <c r="H76" s="66"/>
      <c r="I76" s="118" t="e" vm="2">
        <f>I5</f>
        <v>#VALUE!</v>
      </c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 spans="1:29" ht="14.25" customHeight="1" x14ac:dyDescent="0.2">
      <c r="A77" s="66"/>
      <c r="B77" s="66"/>
      <c r="C77" s="10" t="s">
        <v>8</v>
      </c>
      <c r="D77" s="66"/>
      <c r="E77" s="66"/>
      <c r="F77" s="66"/>
      <c r="G77" s="66"/>
      <c r="H77" s="66"/>
      <c r="I77" s="119">
        <f>I6</f>
        <v>85.95</v>
      </c>
      <c r="J77" s="66"/>
      <c r="K77" s="66"/>
      <c r="L77" s="66"/>
      <c r="M77" s="66"/>
      <c r="N77" s="120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 spans="1:29" ht="14.25" customHeight="1" x14ac:dyDescent="0.2">
      <c r="A78" s="66"/>
      <c r="B78" s="66"/>
      <c r="C78" s="10" t="s">
        <v>73</v>
      </c>
      <c r="D78" s="66"/>
      <c r="E78" s="66"/>
      <c r="F78" s="66"/>
      <c r="G78" s="66"/>
      <c r="H78" s="66"/>
      <c r="I78" s="106">
        <v>5.9299999999999999E-2</v>
      </c>
      <c r="J78" s="10" t="s">
        <v>74</v>
      </c>
      <c r="K78" s="66"/>
      <c r="L78" s="66"/>
      <c r="M78" s="10" t="s">
        <v>75</v>
      </c>
      <c r="N78" s="99">
        <f>0.1004-0.0412</f>
        <v>5.9200000000000003E-2</v>
      </c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 spans="1:29" ht="14.25" customHeight="1" x14ac:dyDescent="0.2">
      <c r="A79" s="66"/>
      <c r="B79" s="66"/>
      <c r="C79" s="10" t="s">
        <v>76</v>
      </c>
      <c r="D79" s="66"/>
      <c r="E79" s="66"/>
      <c r="F79" s="66"/>
      <c r="G79" s="66"/>
      <c r="H79" s="66"/>
      <c r="I79" s="121">
        <f>R53</f>
        <v>0.248284895459154</v>
      </c>
      <c r="J79" s="66"/>
      <c r="K79" s="66"/>
      <c r="L79" s="66"/>
      <c r="M79" s="10" t="s">
        <v>77</v>
      </c>
      <c r="N79" s="122">
        <v>4.1200000000000001E-2</v>
      </c>
      <c r="O79" s="10" t="s">
        <v>78</v>
      </c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 spans="1:29" ht="14.25" customHeight="1" x14ac:dyDescent="0.2">
      <c r="A80" s="66"/>
      <c r="B80" s="66"/>
      <c r="C80" s="10" t="s">
        <v>79</v>
      </c>
      <c r="D80" s="66"/>
      <c r="E80" s="66"/>
      <c r="F80" s="66"/>
      <c r="G80" s="66"/>
      <c r="H80" s="66"/>
      <c r="I80" s="123">
        <f>I78*(1-I79)</f>
        <v>4.4576705699272169E-2</v>
      </c>
      <c r="J80" s="66"/>
      <c r="K80" s="66"/>
      <c r="L80" s="66"/>
      <c r="M80" s="10" t="s">
        <v>80</v>
      </c>
      <c r="N80" s="124">
        <v>0.85</v>
      </c>
      <c r="O80" s="10" t="s">
        <v>81</v>
      </c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 spans="1:29" ht="14.25" customHeight="1" x14ac:dyDescent="0.2">
      <c r="A81" s="66"/>
      <c r="B81" s="66"/>
      <c r="C81" s="10" t="s">
        <v>82</v>
      </c>
      <c r="D81" s="66"/>
      <c r="E81" s="66"/>
      <c r="F81" s="66"/>
      <c r="G81" s="66"/>
      <c r="H81" s="66"/>
      <c r="I81" s="106">
        <v>9.1499999999999998E-2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 spans="1:29" ht="14.25" customHeight="1" x14ac:dyDescent="0.2">
      <c r="A82" s="66"/>
      <c r="B82" s="66"/>
      <c r="C82" s="66"/>
      <c r="D82" s="66"/>
      <c r="E82" s="117"/>
      <c r="F82" s="117"/>
      <c r="G82" s="66"/>
      <c r="H82" s="117"/>
      <c r="I82" s="66"/>
      <c r="J82" s="66"/>
      <c r="K82" s="66"/>
      <c r="L82" s="66"/>
      <c r="M82" s="10" t="s">
        <v>83</v>
      </c>
      <c r="N82" s="99">
        <f>N79+N80*(N78)</f>
        <v>9.1520000000000004E-2</v>
      </c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 spans="1:29" ht="14.25" customHeight="1" x14ac:dyDescent="0.2">
      <c r="A83" s="66"/>
      <c r="B83" s="66"/>
      <c r="C83" s="10" t="s">
        <v>84</v>
      </c>
      <c r="D83" s="66"/>
      <c r="E83" s="66"/>
      <c r="F83" s="66"/>
      <c r="G83" s="66"/>
      <c r="H83" s="66"/>
      <c r="I83" s="125">
        <v>995.57</v>
      </c>
      <c r="J83" s="66"/>
      <c r="K83" s="66"/>
      <c r="L83" s="66"/>
      <c r="M83" s="126" t="s">
        <v>85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 spans="1:29" ht="14.25" customHeight="1" x14ac:dyDescent="0.2">
      <c r="A84" s="66"/>
      <c r="B84" s="66"/>
      <c r="C84" s="10" t="s">
        <v>86</v>
      </c>
      <c r="D84" s="66"/>
      <c r="E84" s="66"/>
      <c r="F84" s="66"/>
      <c r="G84" s="66"/>
      <c r="H84" s="66"/>
      <c r="I84" s="125">
        <v>2921.09</v>
      </c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 spans="1:29" ht="14.25" customHeight="1" x14ac:dyDescent="0.2">
      <c r="A85" s="66"/>
      <c r="B85" s="66"/>
      <c r="C85" s="43" t="s">
        <v>87</v>
      </c>
      <c r="D85" s="127"/>
      <c r="E85" s="66"/>
      <c r="F85" s="66"/>
      <c r="G85" s="66"/>
      <c r="H85" s="66"/>
      <c r="I85" s="82">
        <f>SUM(I83:I84)</f>
        <v>3916.6600000000003</v>
      </c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</row>
    <row r="86" spans="1:29" ht="14.25" customHeight="1" x14ac:dyDescent="0.2">
      <c r="A86" s="66"/>
      <c r="B86" s="66"/>
      <c r="C86" s="127"/>
      <c r="D86" s="127"/>
      <c r="E86" s="66"/>
      <c r="F86" s="66"/>
      <c r="G86" s="66"/>
      <c r="H86" s="66"/>
      <c r="I86" s="128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</row>
    <row r="87" spans="1:29" ht="14.25" customHeight="1" x14ac:dyDescent="0.2">
      <c r="A87" s="66"/>
      <c r="B87" s="66"/>
      <c r="C87" s="10" t="s">
        <v>88</v>
      </c>
      <c r="D87" s="66"/>
      <c r="E87" s="66"/>
      <c r="F87" s="66"/>
      <c r="G87" s="66"/>
      <c r="H87" s="66"/>
      <c r="I87" s="123">
        <f>I83/I85</f>
        <v>0.2541885177676898</v>
      </c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</row>
    <row r="88" spans="1:29" ht="14.25" customHeight="1" x14ac:dyDescent="0.2">
      <c r="A88" s="66"/>
      <c r="B88" s="66"/>
      <c r="C88" s="10" t="s">
        <v>89</v>
      </c>
      <c r="D88" s="66"/>
      <c r="E88" s="66"/>
      <c r="F88" s="66"/>
      <c r="G88" s="66"/>
      <c r="H88" s="66"/>
      <c r="I88" s="123">
        <f>I84/I85</f>
        <v>0.7458114822323102</v>
      </c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 spans="1:29" ht="14.25" customHeight="1" x14ac:dyDescent="0.2">
      <c r="A89" s="66"/>
      <c r="B89" s="66"/>
      <c r="C89" s="127"/>
      <c r="D89" s="127"/>
      <c r="E89" s="66"/>
      <c r="F89" s="66"/>
      <c r="G89" s="66"/>
      <c r="H89" s="66"/>
      <c r="I89" s="128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 spans="1:29" ht="14.25" customHeight="1" x14ac:dyDescent="0.2">
      <c r="A90" s="66"/>
      <c r="B90" s="66"/>
      <c r="C90" s="53" t="s">
        <v>90</v>
      </c>
      <c r="D90" s="71"/>
      <c r="E90" s="71"/>
      <c r="F90" s="71"/>
      <c r="G90" s="71"/>
      <c r="H90" s="71"/>
      <c r="I90" s="94">
        <f>I87*I80+I88*I81</f>
        <v>7.9572637372920904E-2</v>
      </c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 spans="1:29" ht="14.25" customHeight="1" x14ac:dyDescent="0.2">
      <c r="A91" s="66"/>
      <c r="B91" s="66"/>
      <c r="C91" s="66"/>
      <c r="D91" s="66"/>
      <c r="E91" s="117"/>
      <c r="F91" s="117"/>
      <c r="G91" s="117"/>
      <c r="H91" s="117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 spans="1:29" ht="18" customHeight="1" x14ac:dyDescent="0.25">
      <c r="A92" s="66"/>
      <c r="B92" s="66"/>
      <c r="C92" s="21" t="s">
        <v>91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 spans="1:29" ht="14.25" customHeight="1" x14ac:dyDescent="0.2">
      <c r="A93" s="66"/>
      <c r="B93" s="66"/>
      <c r="C93" s="10" t="s">
        <v>92</v>
      </c>
      <c r="D93" s="66"/>
      <c r="E93" s="129"/>
      <c r="F93" s="129"/>
      <c r="G93" s="129"/>
      <c r="H93" s="129"/>
      <c r="I93" s="79">
        <f>F73+F65</f>
        <v>4112.4363314148713</v>
      </c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 spans="1:29" ht="14.25" customHeight="1" x14ac:dyDescent="0.2">
      <c r="A94" s="66"/>
      <c r="B94" s="66"/>
      <c r="C94" s="10" t="s">
        <v>93</v>
      </c>
      <c r="D94" s="66"/>
      <c r="E94" s="130"/>
      <c r="F94" s="130"/>
      <c r="G94" s="130"/>
      <c r="H94" s="130"/>
      <c r="I94" s="86">
        <f>(N94+N95)-N96</f>
        <v>203.56999999999994</v>
      </c>
      <c r="J94" s="43" t="s">
        <v>94</v>
      </c>
      <c r="K94" s="129"/>
      <c r="L94" s="66"/>
      <c r="M94" s="10" t="s">
        <v>95</v>
      </c>
      <c r="N94" s="131">
        <v>349.04</v>
      </c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 spans="1:29" ht="14.25" customHeight="1" x14ac:dyDescent="0.2">
      <c r="A95" s="66"/>
      <c r="B95" s="66"/>
      <c r="C95" s="53" t="s">
        <v>96</v>
      </c>
      <c r="D95" s="71"/>
      <c r="E95" s="66"/>
      <c r="F95" s="66"/>
      <c r="G95" s="66"/>
      <c r="H95" s="66"/>
      <c r="I95" s="98">
        <f>I93-I94</f>
        <v>3908.8663314148716</v>
      </c>
      <c r="J95" s="85"/>
      <c r="K95" s="130"/>
      <c r="L95" s="66"/>
      <c r="M95" s="10" t="s">
        <v>97</v>
      </c>
      <c r="N95" s="131">
        <v>646.53</v>
      </c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 spans="1:29" ht="14.25" customHeight="1" x14ac:dyDescent="0.2">
      <c r="A96" s="66"/>
      <c r="B96" s="66"/>
      <c r="C96" s="10" t="s">
        <v>8</v>
      </c>
      <c r="D96" s="66"/>
      <c r="E96" s="66"/>
      <c r="F96" s="66"/>
      <c r="G96" s="66"/>
      <c r="H96" s="66"/>
      <c r="I96" s="132">
        <f>I6</f>
        <v>85.95</v>
      </c>
      <c r="J96" s="43" t="s">
        <v>98</v>
      </c>
      <c r="K96" s="114"/>
      <c r="L96" s="66"/>
      <c r="M96" s="10" t="s">
        <v>99</v>
      </c>
      <c r="N96" s="131">
        <v>792</v>
      </c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 spans="1:29" ht="14.25" customHeight="1" x14ac:dyDescent="0.2">
      <c r="A97" s="66"/>
      <c r="B97" s="66"/>
      <c r="C97" s="133" t="s">
        <v>100</v>
      </c>
      <c r="D97" s="75"/>
      <c r="E97" s="75"/>
      <c r="F97" s="75"/>
      <c r="G97" s="75"/>
      <c r="H97" s="75"/>
      <c r="I97" s="134">
        <f>I95/I96</f>
        <v>45.478375001918224</v>
      </c>
      <c r="J97" s="135"/>
      <c r="K97" s="13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 spans="1:29" ht="14.25" customHeight="1" x14ac:dyDescent="0.2">
      <c r="A98" s="66"/>
      <c r="B98" s="66"/>
      <c r="C98" s="66"/>
      <c r="D98" s="66"/>
      <c r="E98" s="66"/>
      <c r="F98" s="66"/>
      <c r="G98" s="66"/>
      <c r="H98" s="10" t="s">
        <v>101</v>
      </c>
      <c r="I98" s="137" t="e" vm="2">
        <f>I97/I5-1</f>
        <v>#VALUE!</v>
      </c>
      <c r="J98" s="127"/>
      <c r="K98" s="138"/>
      <c r="L98" s="2" t="s">
        <v>102</v>
      </c>
      <c r="M98" s="2"/>
      <c r="N98" s="2"/>
      <c r="O98" s="2"/>
      <c r="P98" s="2"/>
      <c r="Q98" s="2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 spans="1:29" ht="14.25" customHeight="1" x14ac:dyDescent="0.2">
      <c r="A99" s="117"/>
      <c r="B99" s="117"/>
      <c r="C99" s="66"/>
      <c r="D99" s="66"/>
      <c r="E99" s="117"/>
      <c r="F99" s="117"/>
      <c r="G99" s="117"/>
      <c r="H99" s="117"/>
      <c r="I99" s="117"/>
      <c r="J99" s="117"/>
      <c r="K99" s="117"/>
      <c r="L99" s="2" t="s">
        <v>103</v>
      </c>
      <c r="M99" s="2"/>
      <c r="N99" s="2"/>
      <c r="O99" s="2"/>
      <c r="P99" s="2"/>
      <c r="Q99" s="2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</row>
    <row r="100" spans="1:29" ht="14.25" customHeight="1" x14ac:dyDescent="0.2">
      <c r="C100" s="66"/>
      <c r="D100" s="66"/>
      <c r="E100" s="139"/>
      <c r="F100" s="139"/>
      <c r="L100" s="140">
        <f>+I97</f>
        <v>45.478375001918224</v>
      </c>
      <c r="M100" s="141">
        <f>N100-0.005</f>
        <v>2.9381787991493945E-2</v>
      </c>
      <c r="N100" s="141">
        <f>+O100-0.005</f>
        <v>3.4381787991493946E-2</v>
      </c>
      <c r="O100" s="141">
        <v>3.9381787991493944E-2</v>
      </c>
      <c r="P100" s="141">
        <f>O100+0.005</f>
        <v>4.4381787991493941E-2</v>
      </c>
      <c r="Q100" s="142">
        <f>P100+0.005</f>
        <v>4.9381787991493939E-2</v>
      </c>
    </row>
    <row r="101" spans="1:29" ht="14.25" customHeight="1" x14ac:dyDescent="0.2">
      <c r="C101" s="66"/>
      <c r="D101" s="66"/>
      <c r="E101" s="139"/>
      <c r="F101" s="139"/>
      <c r="H101" s="139"/>
      <c r="K101" s="1" t="s">
        <v>69</v>
      </c>
      <c r="L101" s="143">
        <f>L102-0.005</f>
        <v>6.9572637372920895E-2</v>
      </c>
      <c r="M101" s="144">
        <f t="dataTable" ref="M101:Q105" dt2D="1" dtr="1" r1="K12" r2="F70"/>
        <v>56.643249001930386</v>
      </c>
      <c r="N101" s="144">
        <v>54.949116865059182</v>
      </c>
      <c r="O101" s="144">
        <v>53.176855024220643</v>
      </c>
      <c r="P101" s="144">
        <v>51.324676923240347</v>
      </c>
      <c r="Q101" s="145">
        <v>49.390772518693161</v>
      </c>
    </row>
    <row r="102" spans="1:29" ht="14.25" customHeight="1" x14ac:dyDescent="0.2">
      <c r="C102" s="104"/>
      <c r="D102" s="104"/>
      <c r="E102" s="139"/>
      <c r="F102" s="139"/>
      <c r="K102" s="1"/>
      <c r="L102" s="143">
        <f>L103-0.005</f>
        <v>7.45726373729209E-2</v>
      </c>
      <c r="M102" s="144">
        <v>52.242182968071361</v>
      </c>
      <c r="N102" s="144">
        <v>50.665433022385216</v>
      </c>
      <c r="O102" s="144">
        <v>49.017222516967315</v>
      </c>
      <c r="P102" s="144">
        <v>47.295925553029477</v>
      </c>
      <c r="Q102" s="145">
        <v>45.49989490840796</v>
      </c>
    </row>
    <row r="103" spans="1:29" ht="14.25" customHeight="1" x14ac:dyDescent="0.2">
      <c r="C103" s="104"/>
      <c r="D103" s="104"/>
      <c r="E103" s="66"/>
      <c r="F103" s="66"/>
      <c r="K103" s="1"/>
      <c r="L103" s="143">
        <v>7.9572637372920904E-2</v>
      </c>
      <c r="M103" s="144">
        <v>48.497933549323271</v>
      </c>
      <c r="N103" s="144">
        <v>47.021047636063528</v>
      </c>
      <c r="O103" s="146">
        <v>45.478375001918224</v>
      </c>
      <c r="P103" s="144">
        <v>43.86842642892163</v>
      </c>
      <c r="Q103" s="145">
        <v>42.189693216670065</v>
      </c>
    </row>
    <row r="104" spans="1:29" ht="14.25" customHeight="1" x14ac:dyDescent="0.2">
      <c r="C104" s="104"/>
      <c r="D104" s="104"/>
      <c r="K104" s="1"/>
      <c r="L104" s="143">
        <f>L103+0.005</f>
        <v>8.4572637372920909E-2</v>
      </c>
      <c r="M104" s="144">
        <v>45.27766178883676</v>
      </c>
      <c r="N104" s="144">
        <v>43.886664738081947</v>
      </c>
      <c r="O104" s="144">
        <v>42.434760797074262</v>
      </c>
      <c r="P104" s="144">
        <v>40.92057830128617</v>
      </c>
      <c r="Q104" s="145">
        <v>39.342727687065377</v>
      </c>
    </row>
    <row r="105" spans="1:29" ht="14.25" customHeight="1" x14ac:dyDescent="0.2">
      <c r="C105" s="104"/>
      <c r="D105" s="147"/>
      <c r="K105" s="1"/>
      <c r="L105" s="148">
        <f>L104+0.005</f>
        <v>8.9572637372920913E-2</v>
      </c>
      <c r="M105" s="149">
        <v>42.481941469872744</v>
      </c>
      <c r="N105" s="149">
        <v>41.165509939029654</v>
      </c>
      <c r="O105" s="149">
        <v>39.79240800561783</v>
      </c>
      <c r="P105" s="149">
        <v>38.361366060638048</v>
      </c>
      <c r="Q105" s="150">
        <v>36.871097970539985</v>
      </c>
    </row>
    <row r="106" spans="1:29" ht="12.75" customHeight="1" x14ac:dyDescent="0.2">
      <c r="C106" s="104"/>
      <c r="D106" s="104"/>
      <c r="R106" s="11" t="s">
        <v>104</v>
      </c>
    </row>
    <row r="107" spans="1:29" ht="12.75" customHeight="1" x14ac:dyDescent="0.2">
      <c r="C107" s="104"/>
      <c r="D107" s="147"/>
    </row>
    <row r="108" spans="1:29" ht="12.75" customHeight="1" x14ac:dyDescent="0.2">
      <c r="C108" s="104"/>
      <c r="D108" s="151"/>
      <c r="O108" s="53" t="s">
        <v>105</v>
      </c>
    </row>
    <row r="109" spans="1:29" ht="12.75" customHeight="1" x14ac:dyDescent="0.2">
      <c r="C109" s="104"/>
      <c r="D109" s="147"/>
      <c r="L109" s="140">
        <f>+I106</f>
        <v>0</v>
      </c>
      <c r="M109" s="141">
        <f>N109-0.005</f>
        <v>2.9381787991493945E-2</v>
      </c>
      <c r="N109" s="141">
        <f>+O109-0.005</f>
        <v>3.4381787991493946E-2</v>
      </c>
      <c r="O109" s="141">
        <v>3.9381787991493944E-2</v>
      </c>
      <c r="P109" s="141">
        <f>O109+0.005</f>
        <v>4.4381787991493941E-2</v>
      </c>
      <c r="Q109" s="142">
        <f>P109+0.005</f>
        <v>4.9381787991493939E-2</v>
      </c>
    </row>
    <row r="110" spans="1:29" ht="12.75" customHeight="1" x14ac:dyDescent="0.2">
      <c r="L110" s="143">
        <f>L111-0.005</f>
        <v>6.9572637372920895E-2</v>
      </c>
      <c r="M110" s="144">
        <v>56.643249001930386</v>
      </c>
      <c r="N110" s="144">
        <v>54.949116865059182</v>
      </c>
      <c r="O110" s="144">
        <v>53.176855024220643</v>
      </c>
      <c r="P110" s="144">
        <v>51.324676923240347</v>
      </c>
      <c r="Q110" s="145">
        <v>49.390772518693161</v>
      </c>
    </row>
    <row r="111" spans="1:29" ht="12.75" customHeight="1" x14ac:dyDescent="0.2">
      <c r="L111" s="143">
        <f>L112-0.005</f>
        <v>7.45726373729209E-2</v>
      </c>
      <c r="M111" s="144">
        <v>52.242182968071361</v>
      </c>
      <c r="N111" s="144">
        <v>50.665433022385216</v>
      </c>
      <c r="O111" s="144">
        <v>49.017222516967315</v>
      </c>
      <c r="P111" s="144">
        <v>47.295925553029477</v>
      </c>
      <c r="Q111" s="145">
        <v>45.49989490840796</v>
      </c>
    </row>
    <row r="112" spans="1:29" ht="12.75" customHeight="1" x14ac:dyDescent="0.2">
      <c r="L112" s="143">
        <v>7.9572637372920904E-2</v>
      </c>
      <c r="M112" s="144">
        <v>48.497933549323271</v>
      </c>
      <c r="N112" s="144">
        <v>47.021047636063528</v>
      </c>
      <c r="O112" s="146">
        <v>45.478375001918224</v>
      </c>
      <c r="P112" s="144">
        <v>43.86842642892163</v>
      </c>
      <c r="Q112" s="145">
        <v>42.189693216670065</v>
      </c>
    </row>
    <row r="113" spans="3:17" ht="12.75" customHeight="1" x14ac:dyDescent="0.2">
      <c r="L113" s="143">
        <f>L112+0.005</f>
        <v>8.4572637372920909E-2</v>
      </c>
      <c r="M113" s="144">
        <v>45.27766178883676</v>
      </c>
      <c r="N113" s="144">
        <v>43.886664738081947</v>
      </c>
      <c r="O113" s="144">
        <v>42.434760797074262</v>
      </c>
      <c r="P113" s="144">
        <v>40.92057830128617</v>
      </c>
      <c r="Q113" s="145">
        <v>39.342727687065377</v>
      </c>
    </row>
    <row r="114" spans="3:17" ht="12.75" customHeight="1" x14ac:dyDescent="0.2">
      <c r="L114" s="148">
        <f>L113+0.005</f>
        <v>8.9572637372920913E-2</v>
      </c>
      <c r="M114" s="149">
        <v>42.481941469872744</v>
      </c>
      <c r="N114" s="149">
        <v>41.165509939029654</v>
      </c>
      <c r="O114" s="149">
        <v>39.79240800561783</v>
      </c>
      <c r="P114" s="149">
        <v>38.361366060638048</v>
      </c>
      <c r="Q114" s="150">
        <v>36.871097970539985</v>
      </c>
    </row>
    <row r="115" spans="3:17" ht="12.75" customHeight="1" x14ac:dyDescent="0.2"/>
    <row r="116" spans="3:17" ht="12.75" customHeight="1" x14ac:dyDescent="0.2"/>
    <row r="117" spans="3:17" ht="12.75" customHeight="1" x14ac:dyDescent="0.2"/>
    <row r="118" spans="3:17" ht="12.75" customHeight="1" x14ac:dyDescent="0.2">
      <c r="D118" s="104"/>
      <c r="E118" s="104"/>
      <c r="F118" s="104"/>
      <c r="G118" s="104"/>
      <c r="H118" s="104"/>
      <c r="I118" s="104"/>
      <c r="J118" s="104"/>
    </row>
    <row r="119" spans="3:17" ht="12.75" customHeight="1" x14ac:dyDescent="0.2">
      <c r="C119" s="104"/>
      <c r="D119" s="104"/>
      <c r="E119" s="104"/>
      <c r="F119" s="104"/>
      <c r="G119" s="104"/>
      <c r="H119" s="104"/>
      <c r="I119" s="104"/>
      <c r="J119" s="104"/>
    </row>
    <row r="120" spans="3:17" ht="12.75" customHeight="1" x14ac:dyDescent="0.2">
      <c r="E120" s="152"/>
      <c r="F120" s="152"/>
      <c r="G120" s="152"/>
      <c r="H120" s="152"/>
      <c r="I120" s="152"/>
      <c r="J120" s="152"/>
    </row>
    <row r="121" spans="3:17" ht="12.75" customHeight="1" x14ac:dyDescent="0.2"/>
    <row r="122" spans="3:17" ht="12.75" customHeight="1" x14ac:dyDescent="0.2">
      <c r="E122" s="104"/>
    </row>
    <row r="123" spans="3:17" ht="12.75" customHeight="1" x14ac:dyDescent="0.2">
      <c r="E123" s="152"/>
    </row>
    <row r="124" spans="3:17" ht="12.75" customHeight="1" x14ac:dyDescent="0.2"/>
    <row r="125" spans="3:17" ht="12.75" customHeight="1" x14ac:dyDescent="0.2"/>
    <row r="126" spans="3:17" ht="12.75" customHeight="1" x14ac:dyDescent="0.2"/>
    <row r="127" spans="3:17" ht="12.75" customHeight="1" x14ac:dyDescent="0.2"/>
    <row r="128" spans="3:17" ht="12.75" customHeight="1" x14ac:dyDescent="0.2"/>
    <row r="129" spans="3:15" ht="12.75" customHeight="1" x14ac:dyDescent="0.2"/>
    <row r="130" spans="3:15" ht="12.75" customHeight="1" x14ac:dyDescent="0.2"/>
    <row r="131" spans="3:15" ht="12.75" customHeight="1" x14ac:dyDescent="0.2"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</row>
    <row r="132" spans="3:15" ht="12.75" customHeight="1" x14ac:dyDescent="0.2">
      <c r="C132" s="104"/>
      <c r="D132" s="153"/>
      <c r="E132" s="116"/>
      <c r="F132" s="116"/>
      <c r="G132" s="116"/>
      <c r="H132" s="116"/>
      <c r="I132" s="116"/>
      <c r="J132" s="116"/>
      <c r="K132" s="154"/>
      <c r="L132" s="154"/>
      <c r="M132" s="154"/>
      <c r="N132" s="154"/>
      <c r="O132" s="154"/>
    </row>
    <row r="133" spans="3:15" ht="12.75" customHeight="1" x14ac:dyDescent="0.2"/>
    <row r="134" spans="3:15" ht="12.75" customHeight="1" x14ac:dyDescent="0.2"/>
    <row r="135" spans="3:15" ht="12.75" customHeight="1" x14ac:dyDescent="0.2"/>
    <row r="136" spans="3:15" ht="12.75" customHeight="1" x14ac:dyDescent="0.2"/>
    <row r="137" spans="3:15" ht="12.75" customHeight="1" x14ac:dyDescent="0.2"/>
    <row r="138" spans="3:15" ht="12.75" customHeight="1" x14ac:dyDescent="0.2"/>
    <row r="139" spans="3:15" ht="12.75" customHeight="1" x14ac:dyDescent="0.2"/>
    <row r="140" spans="3:15" ht="12.75" customHeight="1" x14ac:dyDescent="0.2"/>
    <row r="141" spans="3:15" ht="12.75" customHeight="1" x14ac:dyDescent="0.2"/>
    <row r="142" spans="3:15" ht="12.75" customHeight="1" x14ac:dyDescent="0.2"/>
    <row r="143" spans="3:15" ht="12.75" customHeight="1" x14ac:dyDescent="0.2"/>
    <row r="144" spans="3:15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</sheetData>
  <mergeCells count="7">
    <mergeCell ref="L99:Q99"/>
    <mergeCell ref="K101:K105"/>
    <mergeCell ref="K9:O9"/>
    <mergeCell ref="K22:O22"/>
    <mergeCell ref="K48:O48"/>
    <mergeCell ref="I69:M69"/>
    <mergeCell ref="L98:Q98"/>
  </mergeCells>
  <conditionalFormatting sqref="M101:Q10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0:Q1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 Street Prep, LLC</dc:creator>
  <dc:description/>
  <cp:lastModifiedBy>Sam Heier</cp:lastModifiedBy>
  <cp:revision>0</cp:revision>
  <dcterms:created xsi:type="dcterms:W3CDTF">2006-10-30T23:26:47Z</dcterms:created>
  <dcterms:modified xsi:type="dcterms:W3CDTF">2026-08-13T03:01:29Z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1b0b552e-fe71-4692-9a0a-515971af59e0</vt:lpwstr>
  </property>
</Properties>
</file>
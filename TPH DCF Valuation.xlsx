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13_ncr:1_{1261EF3A-9EF0-E74F-B6FC-320377B6986B}" xr6:coauthVersionLast="47" xr6:coauthVersionMax="47" xr10:uidLastSave="{00000000-0000-0000-0000-000000000000}"/>
  <bookViews>
    <workbookView xWindow="0" yWindow="500" windowWidth="34440" windowHeight="19500" tabRatio="500" xr2:uid="{00000000-000D-0000-FFFF-FFFF00000000}"/>
  </bookViews>
  <sheets>
    <sheet name="DCF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9" i="1" l="1"/>
  <c r="K38" i="1"/>
  <c r="K37" i="1"/>
  <c r="K36" i="1"/>
  <c r="K35" i="1"/>
  <c r="K34" i="1"/>
  <c r="K11" i="1"/>
  <c r="L103" i="1"/>
  <c r="L104" i="1" s="1"/>
  <c r="L101" i="1"/>
  <c r="L100" i="1"/>
  <c r="P99" i="1"/>
  <c r="Q99" i="1" s="1"/>
  <c r="N99" i="1"/>
  <c r="M99" i="1" s="1"/>
  <c r="I95" i="1"/>
  <c r="I93" i="1"/>
  <c r="I84" i="1"/>
  <c r="I86" i="1" s="1"/>
  <c r="I78" i="1"/>
  <c r="I79" i="1" s="1"/>
  <c r="N77" i="1"/>
  <c r="N81" i="1" s="1"/>
  <c r="I75" i="1"/>
  <c r="J69" i="1"/>
  <c r="G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D54" i="1"/>
  <c r="I53" i="1"/>
  <c r="H53" i="1"/>
  <c r="H61" i="1" s="1"/>
  <c r="G53" i="1"/>
  <c r="R52" i="1"/>
  <c r="L52" i="1" s="1"/>
  <c r="Q52" i="1"/>
  <c r="O52" i="1"/>
  <c r="N52" i="1"/>
  <c r="M52" i="1"/>
  <c r="J51" i="1"/>
  <c r="J53" i="1" s="1"/>
  <c r="I51" i="1"/>
  <c r="H51" i="1"/>
  <c r="G51" i="1"/>
  <c r="F51" i="1"/>
  <c r="F53" i="1" s="1"/>
  <c r="F61" i="1" s="1"/>
  <c r="E51" i="1"/>
  <c r="E53" i="1" s="1"/>
  <c r="E61" i="1" s="1"/>
  <c r="D51" i="1"/>
  <c r="D53" i="1" s="1"/>
  <c r="J50" i="1"/>
  <c r="I50" i="1"/>
  <c r="H50" i="1"/>
  <c r="G50" i="1"/>
  <c r="F50" i="1"/>
  <c r="E50" i="1"/>
  <c r="D50" i="1"/>
  <c r="L49" i="1"/>
  <c r="M49" i="1" s="1"/>
  <c r="N49" i="1" s="1"/>
  <c r="O49" i="1" s="1"/>
  <c r="K48" i="1"/>
  <c r="L48" i="1" s="1"/>
  <c r="I48" i="1"/>
  <c r="H48" i="1"/>
  <c r="G48" i="1"/>
  <c r="F48" i="1" s="1"/>
  <c r="E48" i="1" s="1"/>
  <c r="D48" i="1" s="1"/>
  <c r="J45" i="1"/>
  <c r="I45" i="1"/>
  <c r="H45" i="1"/>
  <c r="G45" i="1"/>
  <c r="F45" i="1"/>
  <c r="E45" i="1"/>
  <c r="J43" i="1"/>
  <c r="I43" i="1"/>
  <c r="H43" i="1"/>
  <c r="G43" i="1"/>
  <c r="F43" i="1"/>
  <c r="E43" i="1"/>
  <c r="I42" i="1"/>
  <c r="H42" i="1"/>
  <c r="G42" i="1"/>
  <c r="F42" i="1"/>
  <c r="E42" i="1"/>
  <c r="J39" i="1"/>
  <c r="I39" i="1"/>
  <c r="H39" i="1"/>
  <c r="G39" i="1"/>
  <c r="F39" i="1"/>
  <c r="E39" i="1"/>
  <c r="D39" i="1"/>
  <c r="O38" i="1"/>
  <c r="N38" i="1"/>
  <c r="M38" i="1"/>
  <c r="L38" i="1"/>
  <c r="J38" i="1"/>
  <c r="I38" i="1"/>
  <c r="H38" i="1"/>
  <c r="G38" i="1"/>
  <c r="F38" i="1"/>
  <c r="E38" i="1"/>
  <c r="D38" i="1"/>
  <c r="J37" i="1"/>
  <c r="I37" i="1"/>
  <c r="R37" i="1" s="1"/>
  <c r="H37" i="1"/>
  <c r="G37" i="1"/>
  <c r="F37" i="1"/>
  <c r="E37" i="1"/>
  <c r="D37" i="1"/>
  <c r="S36" i="1"/>
  <c r="R36" i="1"/>
  <c r="Q36" i="1"/>
  <c r="J36" i="1"/>
  <c r="I36" i="1"/>
  <c r="H36" i="1"/>
  <c r="G36" i="1"/>
  <c r="F36" i="1"/>
  <c r="E36" i="1"/>
  <c r="D36" i="1"/>
  <c r="J35" i="1"/>
  <c r="I35" i="1"/>
  <c r="H35" i="1"/>
  <c r="G35" i="1"/>
  <c r="Q35" i="1" s="1"/>
  <c r="F35" i="1"/>
  <c r="E35" i="1"/>
  <c r="D35" i="1"/>
  <c r="J34" i="1"/>
  <c r="I34" i="1"/>
  <c r="H34" i="1"/>
  <c r="G34" i="1"/>
  <c r="F34" i="1"/>
  <c r="E34" i="1"/>
  <c r="D34" i="1"/>
  <c r="L22" i="1"/>
  <c r="M22" i="1" s="1"/>
  <c r="N22" i="1" s="1"/>
  <c r="O22" i="1" s="1"/>
  <c r="K22" i="1"/>
  <c r="I22" i="1"/>
  <c r="H22" i="1"/>
  <c r="G22" i="1"/>
  <c r="F22" i="1"/>
  <c r="E22" i="1"/>
  <c r="D22" i="1"/>
  <c r="S18" i="1"/>
  <c r="J18" i="1"/>
  <c r="I18" i="1"/>
  <c r="H18" i="1"/>
  <c r="G18" i="1"/>
  <c r="F18" i="1"/>
  <c r="E18" i="1"/>
  <c r="D18" i="1"/>
  <c r="Q15" i="1"/>
  <c r="J15" i="1"/>
  <c r="I15" i="1"/>
  <c r="H15" i="1"/>
  <c r="G15" i="1"/>
  <c r="F15" i="1"/>
  <c r="S15" i="1" s="1"/>
  <c r="E15" i="1"/>
  <c r="D15" i="1"/>
  <c r="G12" i="1"/>
  <c r="F12" i="1"/>
  <c r="E12" i="1"/>
  <c r="J11" i="1"/>
  <c r="J12" i="1" s="1"/>
  <c r="I11" i="1"/>
  <c r="I12" i="1" s="1"/>
  <c r="H11" i="1"/>
  <c r="H12" i="1" s="1"/>
  <c r="G11" i="1"/>
  <c r="F11" i="1"/>
  <c r="E11" i="1"/>
  <c r="K9" i="1"/>
  <c r="L9" i="1" s="1"/>
  <c r="M9" i="1" s="1"/>
  <c r="N9" i="1" s="1"/>
  <c r="O9" i="1" s="1"/>
  <c r="I9" i="1"/>
  <c r="H9" i="1"/>
  <c r="G9" i="1"/>
  <c r="F9" i="1" s="1"/>
  <c r="E9" i="1" s="1"/>
  <c r="D9" i="1" s="1"/>
  <c r="I5" i="1"/>
  <c r="I76" i="1" s="1"/>
  <c r="I3" i="1"/>
  <c r="R11" i="1" l="1"/>
  <c r="S11" i="1"/>
  <c r="L34" i="1"/>
  <c r="M35" i="1"/>
  <c r="L35" i="1"/>
  <c r="O35" i="1"/>
  <c r="N35" i="1"/>
  <c r="I61" i="1"/>
  <c r="R15" i="1"/>
  <c r="K15" i="1" s="1"/>
  <c r="Q37" i="1"/>
  <c r="R39" i="1"/>
  <c r="S39" i="1"/>
  <c r="Q39" i="1"/>
  <c r="L36" i="1"/>
  <c r="S37" i="1"/>
  <c r="M48" i="1"/>
  <c r="K69" i="1"/>
  <c r="R18" i="1"/>
  <c r="K18" i="1" s="1"/>
  <c r="Q18" i="1"/>
  <c r="Q11" i="1"/>
  <c r="S35" i="1"/>
  <c r="R35" i="1"/>
  <c r="J61" i="1"/>
  <c r="K52" i="1"/>
  <c r="I87" i="1"/>
  <c r="I89" i="1" s="1"/>
  <c r="N62" i="1" l="1"/>
  <c r="L62" i="1"/>
  <c r="O62" i="1"/>
  <c r="M62" i="1"/>
  <c r="F69" i="1"/>
  <c r="K62" i="1"/>
  <c r="L15" i="1"/>
  <c r="L39" i="1"/>
  <c r="O39" i="1"/>
  <c r="N39" i="1"/>
  <c r="M39" i="1"/>
  <c r="O37" i="1"/>
  <c r="M37" i="1"/>
  <c r="L37" i="1"/>
  <c r="N37" i="1"/>
  <c r="K27" i="1"/>
  <c r="K58" i="1" s="1"/>
  <c r="L69" i="1"/>
  <c r="N48" i="1"/>
  <c r="M36" i="1"/>
  <c r="L11" i="1"/>
  <c r="M11" i="1" s="1"/>
  <c r="N11" i="1" s="1"/>
  <c r="O11" i="1" s="1"/>
  <c r="K10" i="1"/>
  <c r="K17" i="1"/>
  <c r="K54" i="1" s="1"/>
  <c r="L18" i="1"/>
  <c r="M34" i="1"/>
  <c r="K32" i="1" l="1"/>
  <c r="K60" i="1" s="1"/>
  <c r="N34" i="1"/>
  <c r="M18" i="1"/>
  <c r="M69" i="1"/>
  <c r="O48" i="1"/>
  <c r="K50" i="1"/>
  <c r="L10" i="1"/>
  <c r="L14" i="1" s="1"/>
  <c r="L51" i="1" s="1"/>
  <c r="L53" i="1" s="1"/>
  <c r="K28" i="1"/>
  <c r="K59" i="1" s="1"/>
  <c r="K25" i="1"/>
  <c r="K57" i="1" s="1"/>
  <c r="K23" i="1"/>
  <c r="K55" i="1" s="1"/>
  <c r="N36" i="1"/>
  <c r="K14" i="1"/>
  <c r="K51" i="1" s="1"/>
  <c r="K53" i="1" s="1"/>
  <c r="M15" i="1"/>
  <c r="K24" i="1"/>
  <c r="K56" i="1" s="1"/>
  <c r="K61" i="1" l="1"/>
  <c r="L27" i="1"/>
  <c r="L58" i="1" s="1"/>
  <c r="L32" i="1"/>
  <c r="L60" i="1" s="1"/>
  <c r="L17" i="1"/>
  <c r="L54" i="1" s="1"/>
  <c r="N15" i="1"/>
  <c r="O36" i="1"/>
  <c r="L50" i="1"/>
  <c r="M10" i="1"/>
  <c r="L28" i="1"/>
  <c r="L59" i="1" s="1"/>
  <c r="L25" i="1"/>
  <c r="L57" i="1" s="1"/>
  <c r="L23" i="1"/>
  <c r="L55" i="1" s="1"/>
  <c r="L24" i="1"/>
  <c r="L56" i="1" s="1"/>
  <c r="K63" i="1"/>
  <c r="K64" i="1"/>
  <c r="N18" i="1"/>
  <c r="O34" i="1"/>
  <c r="L61" i="1" l="1"/>
  <c r="L64" i="1" s="1"/>
  <c r="M50" i="1"/>
  <c r="N10" i="1"/>
  <c r="M28" i="1"/>
  <c r="M59" i="1" s="1"/>
  <c r="M24" i="1"/>
  <c r="M56" i="1" s="1"/>
  <c r="M23" i="1"/>
  <c r="M55" i="1" s="1"/>
  <c r="M32" i="1"/>
  <c r="M60" i="1" s="1"/>
  <c r="M27" i="1"/>
  <c r="M58" i="1" s="1"/>
  <c r="M25" i="1"/>
  <c r="M57" i="1" s="1"/>
  <c r="O18" i="1"/>
  <c r="N17" i="1"/>
  <c r="N54" i="1" s="1"/>
  <c r="M17" i="1"/>
  <c r="M54" i="1" s="1"/>
  <c r="N14" i="1"/>
  <c r="N51" i="1" s="1"/>
  <c r="N53" i="1" s="1"/>
  <c r="O15" i="1"/>
  <c r="M14" i="1"/>
  <c r="M51" i="1" s="1"/>
  <c r="M53" i="1" s="1"/>
  <c r="L63" i="1" l="1"/>
  <c r="J70" i="1"/>
  <c r="M61" i="1"/>
  <c r="O10" i="1"/>
  <c r="O17" i="1" s="1"/>
  <c r="O54" i="1" s="1"/>
  <c r="N50" i="1"/>
  <c r="N28" i="1"/>
  <c r="N59" i="1" s="1"/>
  <c r="N24" i="1"/>
  <c r="N56" i="1" s="1"/>
  <c r="N32" i="1"/>
  <c r="N60" i="1" s="1"/>
  <c r="N27" i="1"/>
  <c r="N58" i="1" s="1"/>
  <c r="N25" i="1"/>
  <c r="N57" i="1" s="1"/>
  <c r="N23" i="1"/>
  <c r="N55" i="1" s="1"/>
  <c r="O14" i="1"/>
  <c r="O51" i="1" s="1"/>
  <c r="O53" i="1" s="1"/>
  <c r="N61" i="1" l="1"/>
  <c r="N63" i="1" s="1"/>
  <c r="N64" i="1"/>
  <c r="L70" i="1"/>
  <c r="O28" i="1"/>
  <c r="O59" i="1" s="1"/>
  <c r="O50" i="1"/>
  <c r="O24" i="1"/>
  <c r="O56" i="1" s="1"/>
  <c r="O61" i="1" s="1"/>
  <c r="O32" i="1"/>
  <c r="O60" i="1" s="1"/>
  <c r="O27" i="1"/>
  <c r="O58" i="1" s="1"/>
  <c r="O25" i="1"/>
  <c r="O57" i="1" s="1"/>
  <c r="O23" i="1"/>
  <c r="O55" i="1" s="1"/>
  <c r="M64" i="1"/>
  <c r="M63" i="1"/>
  <c r="K70" i="1"/>
  <c r="F70" i="1" l="1"/>
  <c r="F71" i="1" s="1"/>
  <c r="F72" i="1" s="1"/>
  <c r="M70" i="1"/>
  <c r="O63" i="1"/>
  <c r="O64" i="1"/>
  <c r="F64" i="1"/>
  <c r="I92" i="1" l="1"/>
  <c r="I94" i="1" s="1"/>
  <c r="I96" i="1" s="1"/>
  <c r="I97" i="1" l="1"/>
  <c r="L99" i="1"/>
</calcChain>
</file>

<file path=xl/sharedStrings.xml><?xml version="1.0" encoding="utf-8"?>
<sst xmlns="http://schemas.openxmlformats.org/spreadsheetml/2006/main" count="117" uniqueCount="100">
  <si>
    <t>Tri Point Homes DCF</t>
  </si>
  <si>
    <t>Heier's Notes:</t>
  </si>
  <si>
    <t>Valuation Date:</t>
  </si>
  <si>
    <t>*Geopmetic Average doesn't work if YoY growth is negative</t>
  </si>
  <si>
    <t>Share Price on Valuation Date:</t>
  </si>
  <si>
    <t>**Capex on bloomberg is aquasition of fixed prod assets + aquasition of intangible assets on statement of CF</t>
  </si>
  <si>
    <t>Diluted Shares Outstanding</t>
  </si>
  <si>
    <t>*** Effective tax rate is on bloomberg</t>
  </si>
  <si>
    <t>**** COE and COD are on bloomberg under WACC function</t>
  </si>
  <si>
    <t>Select Operating Data</t>
  </si>
  <si>
    <t>Projected Annual Forecast</t>
  </si>
  <si>
    <t>Revenue</t>
  </si>
  <si>
    <t>Arithmetic Avg</t>
  </si>
  <si>
    <t>Geometric Avg</t>
  </si>
  <si>
    <t>Harmean</t>
  </si>
  <si>
    <t>Revenue Growth Rate (%)</t>
  </si>
  <si>
    <t>Revenue Growth Rate (%) +1</t>
  </si>
  <si>
    <t>EBIT</t>
  </si>
  <si>
    <t>EBIT Margin (%)</t>
  </si>
  <si>
    <t xml:space="preserve">Depreciation &amp; Amortization </t>
  </si>
  <si>
    <t>D&amp;A as a % of revenue</t>
  </si>
  <si>
    <t>Select Balance Sheet And Other Data</t>
  </si>
  <si>
    <t>Accounts Receivable</t>
  </si>
  <si>
    <t>Inventories</t>
  </si>
  <si>
    <t>Prepaid Expenses</t>
  </si>
  <si>
    <t>Accounts Payable and Accruals</t>
  </si>
  <si>
    <t>Accrued Expenses</t>
  </si>
  <si>
    <t>Debt</t>
  </si>
  <si>
    <t>Capital Expenditures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</si>
  <si>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</si>
  <si>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</si>
  <si>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</si>
  <si>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</si>
  <si>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</si>
  <si>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</si>
  <si>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</si>
  <si>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</si>
  <si>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</si>
  <si>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-</t>
  </si>
  <si>
    <t>Accounts Payable/Accruals Growth (%)</t>
  </si>
  <si>
    <t>Accrued Expenses Growth (%)</t>
  </si>
  <si>
    <t>Capital Expenditures Growth (%)</t>
  </si>
  <si>
    <t>Free Cash Flow Buildup</t>
  </si>
  <si>
    <t>$mm</t>
  </si>
  <si>
    <t>Period</t>
  </si>
  <si>
    <t>Total Revenues</t>
  </si>
  <si>
    <t>Arithmetic Mean</t>
  </si>
  <si>
    <t>Geometric Mean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</si>
  <si>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</si>
  <si>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</si>
  <si>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</si>
  <si>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</si>
  <si>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</si>
  <si>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</si>
  <si>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</si>
  <si>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</si>
  <si>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</si>
  <si>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</si>
  <si>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</si>
  <si>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</si>
  <si>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</si>
  <si>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</si>
  <si>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</si>
  <si>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</si>
  <si>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Unlevered Free Cash Flow Growth Rates</t>
  </si>
  <si>
    <t>WACC</t>
  </si>
  <si>
    <t>Free cash flow (t+1)</t>
  </si>
  <si>
    <t>Present Value of Terminal Value</t>
  </si>
  <si>
    <t>Share Price</t>
  </si>
  <si>
    <t>Cost of Debt</t>
  </si>
  <si>
    <t>MRP</t>
  </si>
  <si>
    <t>Tax Rate</t>
  </si>
  <si>
    <t>RFR</t>
  </si>
  <si>
    <t>10 year treasury yield as of 11/25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</si>
  <si>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</si>
  <si>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</si>
  <si>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</si>
  <si>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</si>
  <si>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</si>
  <si>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</si>
  <si>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</si>
  <si>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</si>
  <si>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</si>
  <si>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</si>
  <si>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</si>
  <si>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</si>
  <si>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</si>
  <si>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</si>
  <si>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</si>
  <si>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</si>
  <si>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</si>
  <si>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</si>
  <si>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</si>
  <si>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income statement</t>
  </si>
  <si>
    <t>Cash</t>
  </si>
  <si>
    <t>Equity Value Per Share</t>
  </si>
  <si>
    <t>Upside</t>
  </si>
  <si>
    <t>Sensitivity Analysis</t>
  </si>
  <si>
    <t>ST Revenue growth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</si>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</sst>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m/d/yyyy"/>
    <numFmt numFmtId="165" formatCode="_(\$* #,##0.00_);_(\$* \(#,##0.00\);_(\$* \-??_);_(@_)"/>
    <numFmt numFmtId="166" formatCode="#,##0.00_);\(#,##0.00\);@_)"/>
    <numFmt numFmtId="167" formatCode="yyyy\A"/>
    <numFmt numFmtId="168" formatCode="yyyy\P"/>
    <numFmt numFmtId="169" formatCode="\$#,##0.0"/>
    <numFmt numFmtId="170" formatCode="\$#,##0.0_);&quot;($&quot;#,##0.0\)"/>
    <numFmt numFmtId="171" formatCode="\$#,##0.0_);&quot;($&quot;#,##0.0\);@_)"/>
    <numFmt numFmtId="172" formatCode="0.0%_);\(0.0%\);@_)"/>
    <numFmt numFmtId="173" formatCode="\$#,##0.00_);&quot;($&quot;#,##0.00\)"/>
    <numFmt numFmtId="174" formatCode="0.0"/>
    <numFmt numFmtId="175" formatCode="#,##0.0_);\(#,##0.0\);\-_);@_)"/>
    <numFmt numFmtId="176" formatCode="0.00%_);\(0.00%\);@_)"/>
    <numFmt numFmtId="177" formatCode="0.0%"/>
    <numFmt numFmtId="178" formatCode="#,##0.0_);\(#,##0.0\)"/>
    <numFmt numFmtId="179" formatCode="#,##0.0_);\(#,##0.0\);@_)"/>
    <numFmt numFmtId="180" formatCode="0.000%"/>
    <numFmt numFmtId="181" formatCode="_(\$* #,##0.0_);_(\$* \(#,##0.0\);_(\$* \-??_);_(@_)"/>
    <numFmt numFmtId="182" formatCode="\$#,##0.00_);&quot;($&quot;#,##0.00\);@_)"/>
    <numFmt numFmtId="183" formatCode="_(* #,##0.0_);_(* \(#,##0.0\);_(* \-?_);_(@_)"/>
    <numFmt numFmtId="184" formatCode="\$#,##0.00_);[Red]&quot;($&quot;#,##0.00\)"/>
    <numFmt numFmtId="185" formatCode="\$#,##0.00"/>
  </numFmts>
  <fonts count="23" x14ac:knownFonts="1">
    <font>
      <sz val="10"/>
      <color rgb="FF000000"/>
      <name val="Calibri"/>
      <charset val="1"/>
    </font>
    <font>
      <b/>
      <sz val="15"/>
      <color theme="1"/>
      <name val="Calibri"/>
      <family val="2"/>
      <charset val="1"/>
    </font>
    <font>
      <b/>
      <sz val="18"/>
      <color rgb="FF000000"/>
      <name val="Aptos Narrow"/>
    </font>
    <font>
      <sz val="18"/>
      <color theme="1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008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Aptos Narrow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FF"/>
      <name val="Calibri"/>
      <family val="2"/>
      <charset val="1"/>
    </font>
    <font>
      <i/>
      <sz val="11"/>
      <color rgb="FF000000"/>
      <name val="Calibri"/>
      <family val="2"/>
      <charset val="1"/>
    </font>
    <font>
      <i/>
      <sz val="11"/>
      <color rgb="FF0000FF"/>
      <name val="Calibri"/>
      <family val="2"/>
      <charset val="1"/>
    </font>
    <font>
      <sz val="10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0E6F5"/>
        <bgColor rgb="FFD0DFE6"/>
      </patternFill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D0DFE6"/>
        <bgColor rgb="FFC0E6F5"/>
      </patternFill>
    </fill>
    <fill>
      <patternFill patternType="solid">
        <fgColor rgb="FFFFFFFF"/>
        <bgColor rgb="FFFFFFCC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65" fontId="7" fillId="0" borderId="0"/>
    <xf numFmtId="9" fontId="7" fillId="0" borderId="0"/>
  </cellStyleXfs>
  <cellXfs count="151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/>
    <xf numFmtId="0" fontId="3" fillId="0" borderId="1" xfId="0" applyFont="1" applyBorder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readingOrder="1"/>
    </xf>
    <xf numFmtId="0" fontId="6" fillId="0" borderId="0" xfId="0" applyFont="1" applyAlignment="1">
      <alignment horizontal="left" vertical="top" readingOrder="1"/>
    </xf>
    <xf numFmtId="15" fontId="6" fillId="0" borderId="0" xfId="0" applyNumberFormat="1" applyFont="1" applyAlignment="1">
      <alignment horizontal="right" vertical="top" readingOrder="1"/>
    </xf>
    <xf numFmtId="164" fontId="6" fillId="0" borderId="0" xfId="0" applyNumberFormat="1" applyFont="1" applyAlignment="1">
      <alignment horizontal="right" vertical="top" readingOrder="1"/>
    </xf>
    <xf numFmtId="166" fontId="6" fillId="0" borderId="0" xfId="0" applyNumberFormat="1" applyFont="1" applyAlignment="1">
      <alignment horizontal="right" vertical="top" readingOrder="1"/>
    </xf>
    <xf numFmtId="164" fontId="8" fillId="0" borderId="0" xfId="0" applyNumberFormat="1" applyFont="1" applyAlignment="1">
      <alignment horizontal="right" vertical="top" readingOrder="1"/>
    </xf>
    <xf numFmtId="0" fontId="9" fillId="2" borderId="0" xfId="0" applyFont="1" applyFill="1"/>
    <xf numFmtId="0" fontId="10" fillId="2" borderId="2" xfId="0" applyFont="1" applyFill="1" applyBorder="1"/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167" fontId="12" fillId="0" borderId="6" xfId="0" applyNumberFormat="1" applyFont="1" applyBorder="1"/>
    <xf numFmtId="168" fontId="12" fillId="0" borderId="6" xfId="0" applyNumberFormat="1" applyFont="1" applyBorder="1"/>
    <xf numFmtId="10" fontId="5" fillId="0" borderId="0" xfId="0" applyNumberFormat="1" applyFont="1" applyAlignment="1">
      <alignment horizontal="left" readingOrder="1"/>
    </xf>
    <xf numFmtId="169" fontId="13" fillId="3" borderId="0" xfId="0" applyNumberFormat="1" applyFont="1" applyFill="1" applyAlignment="1">
      <alignment horizontal="right" vertical="top" readingOrder="1"/>
    </xf>
    <xf numFmtId="170" fontId="13" fillId="3" borderId="0" xfId="0" applyNumberFormat="1" applyFont="1" applyFill="1"/>
    <xf numFmtId="171" fontId="13" fillId="3" borderId="0" xfId="0" applyNumberFormat="1" applyFont="1" applyFill="1"/>
    <xf numFmtId="171" fontId="6" fillId="0" borderId="0" xfId="0" applyNumberFormat="1" applyFont="1" applyAlignment="1">
      <alignment horizontal="left" readingOrder="1"/>
    </xf>
    <xf numFmtId="0" fontId="12" fillId="0" borderId="0" xfId="0" applyFont="1" applyAlignment="1">
      <alignment horizontal="center" readingOrder="1"/>
    </xf>
    <xf numFmtId="0" fontId="14" fillId="0" borderId="0" xfId="0" applyFont="1" applyAlignment="1">
      <alignment horizontal="left" vertical="top" readingOrder="1"/>
    </xf>
    <xf numFmtId="10" fontId="6" fillId="0" borderId="0" xfId="0" applyNumberFormat="1" applyFont="1" applyAlignment="1">
      <alignment horizontal="right" vertical="top" readingOrder="1"/>
    </xf>
    <xf numFmtId="172" fontId="13" fillId="3" borderId="0" xfId="0" applyNumberFormat="1" applyFont="1" applyFill="1" applyAlignment="1">
      <alignment horizontal="left" readingOrder="1"/>
    </xf>
    <xf numFmtId="10" fontId="6" fillId="0" borderId="0" xfId="0" applyNumberFormat="1" applyFont="1" applyAlignment="1">
      <alignment horizontal="center" readingOrder="1"/>
    </xf>
    <xf numFmtId="10" fontId="6" fillId="0" borderId="0" xfId="2" applyNumberFormat="1" applyFont="1" applyAlignment="1">
      <alignment horizontal="center" readingOrder="1"/>
    </xf>
    <xf numFmtId="172" fontId="15" fillId="4" borderId="0" xfId="0" applyNumberFormat="1" applyFont="1" applyFill="1" applyAlignment="1">
      <alignment horizontal="left" readingOrder="1"/>
    </xf>
    <xf numFmtId="10" fontId="5" fillId="0" borderId="0" xfId="0" applyNumberFormat="1" applyFont="1" applyAlignment="1">
      <alignment horizontal="center" readingOrder="1"/>
    </xf>
    <xf numFmtId="10" fontId="11" fillId="0" borderId="0" xfId="0" applyNumberFormat="1" applyFont="1" applyAlignment="1">
      <alignment horizontal="center" readingOrder="1"/>
    </xf>
    <xf numFmtId="0" fontId="5" fillId="0" borderId="0" xfId="0" applyFont="1" applyAlignment="1">
      <alignment horizontal="center" readingOrder="1"/>
    </xf>
    <xf numFmtId="0" fontId="6" fillId="0" borderId="0" xfId="0" applyFont="1" applyAlignment="1">
      <alignment horizontal="right" vertical="top" readingOrder="1"/>
    </xf>
    <xf numFmtId="173" fontId="6" fillId="0" borderId="0" xfId="0" applyNumberFormat="1" applyFont="1" applyAlignment="1">
      <alignment horizontal="left" readingOrder="1"/>
    </xf>
    <xf numFmtId="0" fontId="6" fillId="0" borderId="0" xfId="0" applyFont="1" applyAlignment="1">
      <alignment horizontal="left"/>
    </xf>
    <xf numFmtId="174" fontId="13" fillId="3" borderId="0" xfId="0" applyNumberFormat="1" applyFont="1" applyFill="1" applyAlignment="1">
      <alignment horizontal="right" vertical="center"/>
    </xf>
    <xf numFmtId="175" fontId="6" fillId="0" borderId="0" xfId="0" applyNumberFormat="1" applyFont="1" applyAlignment="1">
      <alignment horizontal="right" readingOrder="1"/>
    </xf>
    <xf numFmtId="175" fontId="6" fillId="0" borderId="0" xfId="0" applyNumberFormat="1" applyFont="1" applyAlignment="1">
      <alignment horizontal="right"/>
    </xf>
    <xf numFmtId="174" fontId="6" fillId="0" borderId="0" xfId="0" applyNumberFormat="1" applyFont="1" applyAlignment="1">
      <alignment horizontal="right" vertical="center"/>
    </xf>
    <xf numFmtId="175" fontId="5" fillId="0" borderId="0" xfId="0" applyNumberFormat="1" applyFont="1" applyAlignment="1">
      <alignment horizontal="left" readingOrder="1"/>
    </xf>
    <xf numFmtId="169" fontId="13" fillId="3" borderId="0" xfId="0" applyNumberFormat="1" applyFont="1" applyFill="1" applyAlignment="1">
      <alignment horizontal="right" vertical="center"/>
    </xf>
    <xf numFmtId="169" fontId="6" fillId="0" borderId="0" xfId="0" applyNumberFormat="1" applyFont="1" applyAlignment="1">
      <alignment horizontal="right" readingOrder="1"/>
    </xf>
    <xf numFmtId="175" fontId="16" fillId="0" borderId="0" xfId="0" applyNumberFormat="1" applyFont="1"/>
    <xf numFmtId="175" fontId="6" fillId="0" borderId="0" xfId="0" applyNumberFormat="1" applyFont="1"/>
    <xf numFmtId="0" fontId="12" fillId="0" borderId="0" xfId="0" applyFont="1"/>
    <xf numFmtId="0" fontId="14" fillId="0" borderId="0" xfId="0" applyFont="1" applyAlignment="1">
      <alignment horizontal="left"/>
    </xf>
    <xf numFmtId="10" fontId="6" fillId="0" borderId="0" xfId="0" applyNumberFormat="1" applyFont="1" applyAlignment="1">
      <alignment horizontal="right"/>
    </xf>
    <xf numFmtId="10" fontId="11" fillId="0" borderId="0" xfId="0" applyNumberFormat="1" applyFont="1" applyAlignment="1">
      <alignment horizontal="left" readingOrder="1"/>
    </xf>
    <xf numFmtId="0" fontId="6" fillId="0" borderId="0" xfId="0" applyFont="1" applyAlignment="1">
      <alignment horizontal="center" readingOrder="1"/>
    </xf>
    <xf numFmtId="176" fontId="13" fillId="3" borderId="0" xfId="0" applyNumberFormat="1" applyFont="1" applyFill="1" applyAlignment="1">
      <alignment horizontal="right" readingOrder="1"/>
    </xf>
    <xf numFmtId="0" fontId="14" fillId="0" borderId="0" xfId="0" applyFont="1" applyAlignment="1">
      <alignment horizontal="right" vertical="top" readingOrder="1"/>
    </xf>
    <xf numFmtId="0" fontId="17" fillId="0" borderId="0" xfId="0" applyFont="1" applyAlignment="1">
      <alignment horizontal="right" readingOrder="1"/>
    </xf>
    <xf numFmtId="4" fontId="6" fillId="0" borderId="0" xfId="0" applyNumberFormat="1" applyFont="1" applyAlignment="1">
      <alignment horizontal="right" vertical="top" readingOrder="1"/>
    </xf>
    <xf numFmtId="0" fontId="5" fillId="0" borderId="0" xfId="0" applyFont="1"/>
    <xf numFmtId="0" fontId="14" fillId="0" borderId="0" xfId="0" applyFont="1"/>
    <xf numFmtId="0" fontId="17" fillId="0" borderId="0" xfId="0" applyFont="1"/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0" xfId="0" applyFont="1"/>
    <xf numFmtId="0" fontId="12" fillId="0" borderId="1" xfId="0" applyFont="1" applyBorder="1"/>
    <xf numFmtId="0" fontId="11" fillId="0" borderId="1" xfId="0" applyFont="1" applyBorder="1"/>
    <xf numFmtId="0" fontId="5" fillId="0" borderId="1" xfId="0" applyFont="1" applyBorder="1"/>
    <xf numFmtId="0" fontId="5" fillId="0" borderId="6" xfId="0" applyFont="1" applyBorder="1"/>
    <xf numFmtId="0" fontId="6" fillId="0" borderId="1" xfId="0" applyFont="1" applyBorder="1"/>
    <xf numFmtId="169" fontId="6" fillId="0" borderId="0" xfId="0" applyNumberFormat="1" applyFont="1"/>
    <xf numFmtId="170" fontId="6" fillId="0" borderId="0" xfId="0" applyNumberFormat="1" applyFont="1"/>
    <xf numFmtId="171" fontId="6" fillId="0" borderId="0" xfId="0" applyNumberFormat="1" applyFont="1"/>
    <xf numFmtId="0" fontId="6" fillId="0" borderId="0" xfId="0" applyFont="1"/>
    <xf numFmtId="177" fontId="13" fillId="3" borderId="0" xfId="0" applyNumberFormat="1" applyFont="1" applyFill="1"/>
    <xf numFmtId="172" fontId="13" fillId="3" borderId="0" xfId="0" applyNumberFormat="1" applyFont="1" applyFill="1"/>
    <xf numFmtId="10" fontId="6" fillId="0" borderId="0" xfId="0" applyNumberFormat="1" applyFont="1" applyAlignment="1">
      <alignment horizontal="left" readingOrder="1"/>
    </xf>
    <xf numFmtId="171" fontId="6" fillId="0" borderId="9" xfId="0" applyNumberFormat="1" applyFont="1" applyBorder="1"/>
    <xf numFmtId="178" fontId="5" fillId="0" borderId="0" xfId="0" applyNumberFormat="1" applyFont="1" applyAlignment="1">
      <alignment horizontal="left"/>
    </xf>
    <xf numFmtId="178" fontId="6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179" fontId="6" fillId="0" borderId="0" xfId="0" applyNumberFormat="1" applyFont="1"/>
    <xf numFmtId="178" fontId="6" fillId="0" borderId="1" xfId="0" applyNumberFormat="1" applyFont="1" applyBorder="1" applyAlignment="1">
      <alignment horizontal="left"/>
    </xf>
    <xf numFmtId="179" fontId="6" fillId="0" borderId="1" xfId="0" applyNumberFormat="1" applyFont="1" applyBorder="1"/>
    <xf numFmtId="171" fontId="12" fillId="0" borderId="0" xfId="0" applyNumberFormat="1" applyFont="1"/>
    <xf numFmtId="180" fontId="5" fillId="0" borderId="0" xfId="0" applyNumberFormat="1" applyFont="1"/>
    <xf numFmtId="10" fontId="6" fillId="0" borderId="0" xfId="0" applyNumberFormat="1" applyFont="1"/>
    <xf numFmtId="177" fontId="6" fillId="0" borderId="0" xfId="0" applyNumberFormat="1" applyFont="1"/>
    <xf numFmtId="177" fontId="17" fillId="0" borderId="0" xfId="0" applyNumberFormat="1" applyFont="1"/>
    <xf numFmtId="10" fontId="12" fillId="0" borderId="0" xfId="0" applyNumberFormat="1" applyFont="1"/>
    <xf numFmtId="171" fontId="5" fillId="0" borderId="0" xfId="0" applyNumberFormat="1" applyFont="1"/>
    <xf numFmtId="181" fontId="6" fillId="0" borderId="0" xfId="0" applyNumberFormat="1" applyFont="1"/>
    <xf numFmtId="171" fontId="11" fillId="0" borderId="0" xfId="0" applyNumberFormat="1" applyFont="1"/>
    <xf numFmtId="171" fontId="12" fillId="0" borderId="9" xfId="0" applyNumberFormat="1" applyFont="1" applyBorder="1"/>
    <xf numFmtId="0" fontId="18" fillId="0" borderId="0" xfId="0" applyFont="1"/>
    <xf numFmtId="0" fontId="19" fillId="0" borderId="0" xfId="0" applyFont="1"/>
    <xf numFmtId="178" fontId="20" fillId="0" borderId="0" xfId="0" applyNumberFormat="1" applyFont="1" applyAlignment="1">
      <alignment horizontal="right"/>
    </xf>
    <xf numFmtId="178" fontId="16" fillId="0" borderId="0" xfId="0" applyNumberFormat="1" applyFont="1"/>
    <xf numFmtId="0" fontId="16" fillId="0" borderId="0" xfId="0" applyFont="1"/>
    <xf numFmtId="177" fontId="13" fillId="0" borderId="0" xfId="0" applyNumberFormat="1" applyFont="1" applyAlignment="1">
      <alignment horizontal="right"/>
    </xf>
    <xf numFmtId="10" fontId="13" fillId="3" borderId="0" xfId="0" applyNumberFormat="1" applyFont="1" applyFill="1" applyAlignment="1">
      <alignment horizontal="right"/>
    </xf>
    <xf numFmtId="177" fontId="16" fillId="0" borderId="0" xfId="0" applyNumberFormat="1" applyFont="1"/>
    <xf numFmtId="168" fontId="12" fillId="0" borderId="0" xfId="0" applyNumberFormat="1" applyFont="1"/>
    <xf numFmtId="178" fontId="5" fillId="0" borderId="0" xfId="0" applyNumberFormat="1" applyFont="1" applyAlignment="1">
      <alignment horizontal="right"/>
    </xf>
    <xf numFmtId="2" fontId="6" fillId="0" borderId="0" xfId="0" applyNumberFormat="1" applyFont="1"/>
    <xf numFmtId="39" fontId="6" fillId="0" borderId="0" xfId="0" applyNumberFormat="1" applyFont="1"/>
    <xf numFmtId="171" fontId="11" fillId="0" borderId="0" xfId="0" applyNumberFormat="1" applyFont="1" applyAlignment="1">
      <alignment horizontal="right"/>
    </xf>
    <xf numFmtId="171" fontId="12" fillId="0" borderId="9" xfId="0" applyNumberFormat="1" applyFont="1" applyBorder="1" applyAlignment="1">
      <alignment horizontal="right"/>
    </xf>
    <xf numFmtId="171" fontId="16" fillId="0" borderId="0" xfId="0" applyNumberFormat="1" applyFont="1"/>
    <xf numFmtId="0" fontId="20" fillId="0" borderId="0" xfId="0" applyFont="1"/>
    <xf numFmtId="182" fontId="6" fillId="0" borderId="0" xfId="0" applyNumberFormat="1" applyFont="1"/>
    <xf numFmtId="166" fontId="6" fillId="0" borderId="0" xfId="0" applyNumberFormat="1" applyFont="1"/>
    <xf numFmtId="10" fontId="5" fillId="0" borderId="0" xfId="0" applyNumberFormat="1" applyFont="1"/>
    <xf numFmtId="177" fontId="6" fillId="0" borderId="0" xfId="0" applyNumberFormat="1" applyFont="1" applyAlignment="1">
      <alignment horizontal="right"/>
    </xf>
    <xf numFmtId="10" fontId="13" fillId="3" borderId="0" xfId="0" applyNumberFormat="1" applyFont="1" applyFill="1"/>
    <xf numFmtId="172" fontId="6" fillId="0" borderId="0" xfId="0" applyNumberFormat="1" applyFont="1"/>
    <xf numFmtId="0" fontId="13" fillId="3" borderId="0" xfId="0" applyFont="1" applyFill="1"/>
    <xf numFmtId="182" fontId="13" fillId="3" borderId="0" xfId="0" applyNumberFormat="1" applyFont="1" applyFill="1"/>
    <xf numFmtId="0" fontId="6" fillId="6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183" fontId="5" fillId="0" borderId="0" xfId="0" applyNumberFormat="1" applyFont="1"/>
    <xf numFmtId="171" fontId="5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165" fontId="13" fillId="3" borderId="0" xfId="0" applyNumberFormat="1" applyFont="1" applyFill="1"/>
    <xf numFmtId="179" fontId="6" fillId="0" borderId="0" xfId="0" applyNumberFormat="1" applyFont="1" applyAlignment="1">
      <alignment horizontal="right"/>
    </xf>
    <xf numFmtId="0" fontId="6" fillId="0" borderId="10" xfId="0" applyFont="1" applyBorder="1"/>
    <xf numFmtId="184" fontId="12" fillId="0" borderId="11" xfId="0" applyNumberFormat="1" applyFont="1" applyBorder="1" applyAlignment="1">
      <alignment horizontal="right"/>
    </xf>
    <xf numFmtId="0" fontId="5" fillId="0" borderId="3" xfId="0" applyFont="1" applyBorder="1" applyAlignment="1">
      <alignment horizontal="left"/>
    </xf>
    <xf numFmtId="174" fontId="5" fillId="0" borderId="0" xfId="0" applyNumberFormat="1" applyFont="1" applyAlignment="1">
      <alignment horizontal="right"/>
    </xf>
    <xf numFmtId="10" fontId="6" fillId="0" borderId="9" xfId="0" applyNumberFormat="1" applyFont="1" applyBorder="1"/>
    <xf numFmtId="184" fontId="11" fillId="0" borderId="0" xfId="0" applyNumberFormat="1" applyFont="1" applyAlignment="1">
      <alignment horizontal="right"/>
    </xf>
    <xf numFmtId="165" fontId="21" fillId="0" borderId="0" xfId="0" applyNumberFormat="1" applyFont="1"/>
    <xf numFmtId="184" fontId="12" fillId="0" borderId="12" xfId="0" applyNumberFormat="1" applyFont="1" applyBorder="1" applyAlignment="1">
      <alignment horizontal="center"/>
    </xf>
    <xf numFmtId="177" fontId="12" fillId="5" borderId="9" xfId="0" applyNumberFormat="1" applyFont="1" applyFill="1" applyBorder="1"/>
    <xf numFmtId="177" fontId="12" fillId="5" borderId="13" xfId="0" applyNumberFormat="1" applyFont="1" applyFill="1" applyBorder="1"/>
    <xf numFmtId="10" fontId="12" fillId="5" borderId="3" xfId="0" applyNumberFormat="1" applyFont="1" applyFill="1" applyBorder="1"/>
    <xf numFmtId="165" fontId="5" fillId="0" borderId="0" xfId="0" applyNumberFormat="1" applyFont="1"/>
    <xf numFmtId="165" fontId="5" fillId="0" borderId="4" xfId="0" applyNumberFormat="1" applyFont="1" applyBorder="1"/>
    <xf numFmtId="184" fontId="11" fillId="0" borderId="0" xfId="0" applyNumberFormat="1" applyFont="1"/>
    <xf numFmtId="185" fontId="16" fillId="0" borderId="0" xfId="0" applyNumberFormat="1" applyFont="1"/>
    <xf numFmtId="10" fontId="12" fillId="5" borderId="7" xfId="0" applyNumberFormat="1" applyFont="1" applyFill="1" applyBorder="1"/>
    <xf numFmtId="165" fontId="5" fillId="0" borderId="1" xfId="0" applyNumberFormat="1" applyFont="1" applyBorder="1"/>
    <xf numFmtId="165" fontId="5" fillId="0" borderId="8" xfId="0" applyNumberFormat="1" applyFont="1" applyBorder="1"/>
    <xf numFmtId="0" fontId="21" fillId="0" borderId="0" xfId="0" applyFont="1"/>
    <xf numFmtId="174" fontId="16" fillId="0" borderId="0" xfId="0" applyNumberFormat="1" applyFont="1"/>
    <xf numFmtId="10" fontId="16" fillId="0" borderId="0" xfId="0" applyNumberFormat="1" applyFont="1"/>
    <xf numFmtId="169" fontId="16" fillId="0" borderId="0" xfId="0" applyNumberFormat="1" applyFont="1"/>
    <xf numFmtId="173" fontId="16" fillId="0" borderId="0" xfId="0" applyNumberFormat="1" applyFont="1"/>
    <xf numFmtId="165" fontId="22" fillId="0" borderId="0" xfId="1" applyFont="1" applyAlignment="1">
      <alignment horizontal="right" vertical="top" readingOrder="1"/>
    </xf>
    <xf numFmtId="0" fontId="14" fillId="0" borderId="0" xfId="0" applyFont="1" applyAlignment="1">
      <alignment vertical="top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0E6F5"/>
      <rgbColor rgb="FF660066"/>
      <rgbColor rgb="FFFF8080"/>
      <rgbColor rgb="FF0066CC"/>
      <rgbColor rgb="FFD0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6"/>
  <sheetViews>
    <sheetView tabSelected="1" zoomScaleNormal="100" workbookViewId="0">
      <selection activeCell="C40" sqref="C40:C45"/>
    </sheetView>
  </sheetViews>
  <sheetFormatPr baseColWidth="10" defaultColWidth="14.3984375" defaultRowHeight="14" x14ac:dyDescent="0.2"/>
  <cols>
    <col min="1" max="2" width="1.796875" customWidth="1"/>
    <col min="3" max="3" width="42" customWidth="1"/>
    <col min="4" max="10" width="14.59765625" customWidth="1"/>
    <col min="11" max="13" width="12.19921875" customWidth="1"/>
    <col min="14" max="14" width="14.19921875" customWidth="1"/>
    <col min="15" max="15" width="12.19921875" customWidth="1"/>
    <col min="16" max="16" width="9.19921875" customWidth="1"/>
    <col min="17" max="17" width="16.796875" customWidth="1"/>
    <col min="18" max="18" width="15.59765625" customWidth="1"/>
    <col min="19" max="19" width="17.19921875" customWidth="1"/>
    <col min="20" max="20" width="10" customWidth="1"/>
    <col min="21" max="29" width="8" customWidth="1"/>
  </cols>
  <sheetData>
    <row r="1" spans="1:29" ht="23.25" customHeight="1" x14ac:dyDescent="0.3">
      <c r="A1" s="1"/>
      <c r="C1" s="2" t="s">
        <v>0</v>
      </c>
      <c r="D1" s="3"/>
      <c r="E1" s="3"/>
      <c r="F1" s="3"/>
      <c r="G1" s="3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2.75" customHeight="1" x14ac:dyDescent="0.2">
      <c r="S2" s="6" t="s">
        <v>1</v>
      </c>
    </row>
    <row r="3" spans="1:29" ht="14.25" customHeight="1" x14ac:dyDescent="0.2">
      <c r="A3" s="7"/>
      <c r="B3" s="7"/>
      <c r="C3" s="8" t="s">
        <v>2</v>
      </c>
      <c r="D3" s="8"/>
      <c r="E3" s="9"/>
      <c r="F3" s="9"/>
      <c r="G3" s="9"/>
      <c r="H3" s="9"/>
      <c r="I3" s="10">
        <f ca="1">TODAY()</f>
        <v>46247</v>
      </c>
      <c r="J3" s="7"/>
      <c r="K3" s="7"/>
      <c r="L3" s="7"/>
      <c r="M3" s="7"/>
      <c r="N3" s="7"/>
      <c r="O3" s="7"/>
      <c r="P3" s="7"/>
      <c r="Q3" s="7"/>
      <c r="R3" s="7"/>
      <c r="S3" s="7" t="s">
        <v>3</v>
      </c>
      <c r="Y3" s="7"/>
      <c r="Z3" s="7"/>
      <c r="AA3" s="7"/>
      <c r="AB3" s="7"/>
      <c r="AC3" s="7"/>
    </row>
    <row r="4" spans="1:29" ht="14.25" customHeight="1" x14ac:dyDescent="0.2">
      <c r="A4" s="7"/>
      <c r="B4" s="7"/>
      <c r="C4" s="8" t="s">
        <v>4</v>
      </c>
      <c r="D4" s="8"/>
      <c r="E4" s="9"/>
      <c r="F4" s="9"/>
      <c r="G4" s="9"/>
      <c r="H4" s="9"/>
      <c r="I4" s="145">
        <v>33.99</v>
      </c>
      <c r="J4" s="7"/>
      <c r="K4" s="7"/>
      <c r="L4" s="7"/>
      <c r="M4" s="7"/>
      <c r="N4" s="7"/>
      <c r="O4" s="7"/>
      <c r="P4" s="7"/>
      <c r="Q4" s="7"/>
      <c r="R4" s="7"/>
      <c r="S4" s="7" t="s">
        <v>5</v>
      </c>
      <c r="T4" s="7"/>
      <c r="U4" s="7"/>
      <c r="V4" s="7"/>
      <c r="W4" s="7"/>
      <c r="X4" s="7"/>
      <c r="Y4" s="7"/>
      <c r="Z4" s="7"/>
      <c r="AA4" s="7"/>
      <c r="AB4" s="7"/>
      <c r="AC4" s="7"/>
    </row>
    <row r="5" spans="1:29" ht="14.25" customHeight="1" x14ac:dyDescent="0.2">
      <c r="A5" s="7"/>
      <c r="B5" s="7"/>
      <c r="C5" s="8" t="s">
        <v>6</v>
      </c>
      <c r="D5" s="8"/>
      <c r="E5" s="9"/>
      <c r="F5" s="9"/>
      <c r="G5" s="9"/>
      <c r="H5" s="9"/>
      <c r="I5" s="11">
        <f>85.95</f>
        <v>85.95</v>
      </c>
      <c r="J5" s="7"/>
      <c r="K5" s="7"/>
      <c r="L5" s="7"/>
      <c r="M5" s="7"/>
      <c r="N5" s="7"/>
      <c r="O5" s="7"/>
      <c r="P5" s="7"/>
      <c r="Q5" s="7"/>
      <c r="R5" s="7"/>
      <c r="S5" s="7" t="s">
        <v>7</v>
      </c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29" ht="14.25" customHeight="1" x14ac:dyDescent="0.2">
      <c r="A6" s="7"/>
      <c r="B6" s="7"/>
      <c r="C6" s="8"/>
      <c r="D6" s="8"/>
      <c r="E6" s="9"/>
      <c r="F6" s="9"/>
      <c r="G6" s="9"/>
      <c r="H6" s="9"/>
      <c r="I6" s="12"/>
      <c r="J6" s="7"/>
      <c r="K6" s="7"/>
      <c r="L6" s="7"/>
      <c r="M6" s="7"/>
      <c r="N6" s="7"/>
      <c r="O6" s="7"/>
      <c r="P6" s="7"/>
      <c r="Q6" s="7"/>
      <c r="R6" s="7"/>
      <c r="S6" s="7" t="s">
        <v>8</v>
      </c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 ht="18" customHeight="1" x14ac:dyDescent="0.25">
      <c r="A7" s="7"/>
      <c r="B7" s="7"/>
      <c r="C7" s="13" t="s">
        <v>9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 ht="14.25" customHeight="1" x14ac:dyDescent="0.2">
      <c r="A8" s="7"/>
      <c r="B8" s="7"/>
      <c r="C8" s="8"/>
      <c r="D8" s="8"/>
      <c r="E8" s="15"/>
      <c r="F8" s="16"/>
      <c r="G8" s="15"/>
      <c r="H8" s="15"/>
      <c r="I8" s="15"/>
      <c r="J8" s="17"/>
      <c r="K8" s="149" t="s">
        <v>10</v>
      </c>
      <c r="L8" s="149"/>
      <c r="M8" s="149"/>
      <c r="N8" s="149"/>
      <c r="O8" s="149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spans="1:29" ht="14.25" customHeight="1" x14ac:dyDescent="0.2">
      <c r="A9" s="7"/>
      <c r="B9" s="7"/>
      <c r="C9" s="8"/>
      <c r="D9" s="18">
        <f t="shared" ref="D9:I9" si="0">E9-365</f>
        <v>43772</v>
      </c>
      <c r="E9" s="18">
        <f t="shared" si="0"/>
        <v>44137</v>
      </c>
      <c r="F9" s="18">
        <f t="shared" si="0"/>
        <v>44502</v>
      </c>
      <c r="G9" s="18">
        <f t="shared" si="0"/>
        <v>44867</v>
      </c>
      <c r="H9" s="18">
        <f t="shared" si="0"/>
        <v>45232</v>
      </c>
      <c r="I9" s="18">
        <f t="shared" si="0"/>
        <v>45597</v>
      </c>
      <c r="J9" s="18">
        <v>45962</v>
      </c>
      <c r="K9" s="19">
        <f>J9+365</f>
        <v>46327</v>
      </c>
      <c r="L9" s="19">
        <f>K9+365</f>
        <v>46692</v>
      </c>
      <c r="M9" s="19">
        <f>L9+365</f>
        <v>47057</v>
      </c>
      <c r="N9" s="19">
        <f>M9+365</f>
        <v>47422</v>
      </c>
      <c r="O9" s="19">
        <f>N9+365</f>
        <v>47787</v>
      </c>
      <c r="P9" s="7"/>
      <c r="Q9" s="20"/>
      <c r="R9" s="20"/>
      <c r="S9" s="20"/>
      <c r="T9" s="20"/>
      <c r="U9" s="7"/>
      <c r="V9" s="7"/>
      <c r="W9" s="7"/>
      <c r="X9" s="7"/>
      <c r="Y9" s="7"/>
      <c r="Z9" s="7"/>
      <c r="AA9" s="7"/>
      <c r="AB9" s="7"/>
      <c r="AC9" s="7"/>
    </row>
    <row r="10" spans="1:29" ht="14.25" customHeight="1" x14ac:dyDescent="0.2">
      <c r="A10" s="7"/>
      <c r="B10" s="7"/>
      <c r="C10" s="8" t="s">
        <v>11</v>
      </c>
      <c r="D10" s="21">
        <v>3074.4380000000001</v>
      </c>
      <c r="E10" s="22">
        <v>3340.8939999999998</v>
      </c>
      <c r="F10" s="22">
        <v>3833.05</v>
      </c>
      <c r="G10" s="22">
        <v>4035.741</v>
      </c>
      <c r="H10" s="22">
        <v>3978.31</v>
      </c>
      <c r="I10" s="22">
        <v>4481.0469999999996</v>
      </c>
      <c r="J10" s="23">
        <v>3751.9409999999998</v>
      </c>
      <c r="K10" s="24">
        <f>J10*(1+K11)</f>
        <v>3878.5647304396953</v>
      </c>
      <c r="L10" s="24">
        <f>K10*(1+L11)</f>
        <v>4009.4618673936361</v>
      </c>
      <c r="M10" s="24">
        <f>L10*(1+M11)</f>
        <v>4144.776633458745</v>
      </c>
      <c r="N10" s="24">
        <f>M10*(1+N11)</f>
        <v>4284.6581185801342</v>
      </c>
      <c r="O10" s="24">
        <f>N10*(1+O11)</f>
        <v>4429.2604443185573</v>
      </c>
      <c r="P10" s="7"/>
      <c r="Q10" s="25" t="s">
        <v>12</v>
      </c>
      <c r="R10" s="25" t="s">
        <v>13</v>
      </c>
      <c r="S10" s="25" t="s">
        <v>14</v>
      </c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 spans="1:29" ht="14.25" customHeight="1" x14ac:dyDescent="0.2">
      <c r="A11" s="7"/>
      <c r="B11" s="7"/>
      <c r="C11" s="26" t="s">
        <v>15</v>
      </c>
      <c r="D11" s="26"/>
      <c r="E11" s="27">
        <f t="shared" ref="E11:J11" si="1">(E10/D10)-1</f>
        <v>8.666819756976718E-2</v>
      </c>
      <c r="F11" s="27">
        <f t="shared" si="1"/>
        <v>0.14731266541231203</v>
      </c>
      <c r="G11" s="27">
        <f t="shared" si="1"/>
        <v>5.2879821552027639E-2</v>
      </c>
      <c r="H11" s="27">
        <f t="shared" si="1"/>
        <v>-1.4230596066496792E-2</v>
      </c>
      <c r="I11" s="27">
        <f t="shared" si="1"/>
        <v>0.12636948855167129</v>
      </c>
      <c r="J11" s="27">
        <f t="shared" si="1"/>
        <v>-0.16270884907031768</v>
      </c>
      <c r="K11" s="28">
        <f>$R$11</f>
        <v>3.3748859707467549E-2</v>
      </c>
      <c r="L11" s="28">
        <f>+K11</f>
        <v>3.3748859707467549E-2</v>
      </c>
      <c r="M11" s="28">
        <f>+L11</f>
        <v>3.3748859707467549E-2</v>
      </c>
      <c r="N11" s="28">
        <f>+M11</f>
        <v>3.3748859707467549E-2</v>
      </c>
      <c r="O11" s="28">
        <f>+N11</f>
        <v>3.3748859707467549E-2</v>
      </c>
      <c r="P11" s="7"/>
      <c r="Q11" s="29">
        <f>AVERAGE(E11:J11)</f>
        <v>3.9381787991493944E-2</v>
      </c>
      <c r="R11" s="29">
        <f>GEOMEAN(E12:J12)-1</f>
        <v>3.3748859707467549E-2</v>
      </c>
      <c r="S11" s="30">
        <f>HARMEAN(E12:J12)-1</f>
        <v>2.7715085443727583E-2</v>
      </c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 spans="1:29" ht="14.25" customHeight="1" x14ac:dyDescent="0.2">
      <c r="A12" s="7"/>
      <c r="B12" s="7"/>
      <c r="C12" s="26" t="s">
        <v>16</v>
      </c>
      <c r="D12" s="26"/>
      <c r="E12" s="27">
        <f t="shared" ref="E12:J12" si="2">E11+1</f>
        <v>1.0866681975697672</v>
      </c>
      <c r="F12" s="27">
        <f t="shared" si="2"/>
        <v>1.147312665412312</v>
      </c>
      <c r="G12" s="27">
        <f t="shared" si="2"/>
        <v>1.0528798215520276</v>
      </c>
      <c r="H12" s="27">
        <f t="shared" si="2"/>
        <v>0.98576940393350321</v>
      </c>
      <c r="I12" s="27">
        <f t="shared" si="2"/>
        <v>1.1263694885516713</v>
      </c>
      <c r="J12" s="27">
        <f t="shared" si="2"/>
        <v>0.83729115092968232</v>
      </c>
      <c r="K12" s="31"/>
      <c r="L12" s="31"/>
      <c r="M12" s="31"/>
      <c r="N12" s="31"/>
      <c r="O12" s="31"/>
      <c r="P12" s="7"/>
      <c r="Q12" s="32"/>
      <c r="R12" s="33"/>
      <c r="S12" s="34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29" ht="14.25" customHeight="1" x14ac:dyDescent="0.2">
      <c r="A13" s="7"/>
      <c r="B13" s="7"/>
      <c r="C13" s="8"/>
      <c r="D13" s="35"/>
      <c r="E13" s="9"/>
      <c r="F13" s="9"/>
      <c r="G13" s="9"/>
      <c r="H13" s="9"/>
      <c r="I13" s="12"/>
      <c r="J13" s="7"/>
      <c r="K13" s="7"/>
      <c r="L13" s="7"/>
      <c r="M13" s="7"/>
      <c r="N13" s="7"/>
      <c r="O13" s="7"/>
      <c r="P13" s="7"/>
      <c r="Q13" s="34"/>
      <c r="R13" s="34"/>
      <c r="S13" s="34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 spans="1:29" ht="14.25" customHeight="1" x14ac:dyDescent="0.2">
      <c r="A14" s="7"/>
      <c r="B14" s="7"/>
      <c r="C14" s="8" t="s">
        <v>17</v>
      </c>
      <c r="D14" s="21">
        <v>269.84399999999999</v>
      </c>
      <c r="E14" s="23">
        <v>411.29</v>
      </c>
      <c r="F14" s="23">
        <v>570.79600000000005</v>
      </c>
      <c r="G14" s="23">
        <v>714.88499999999999</v>
      </c>
      <c r="H14" s="23">
        <v>544.80799999999999</v>
      </c>
      <c r="I14" s="23">
        <v>580.15599999999995</v>
      </c>
      <c r="J14" s="23">
        <v>389.21</v>
      </c>
      <c r="K14" s="36">
        <f>K15*K10</f>
        <v>491.42767224490058</v>
      </c>
      <c r="L14" s="36">
        <f>L15*L10</f>
        <v>508.01279581186105</v>
      </c>
      <c r="M14" s="36">
        <f>M15*M10</f>
        <v>525.15764838731388</v>
      </c>
      <c r="N14" s="36">
        <f>N15*N10</f>
        <v>542.88112018704101</v>
      </c>
      <c r="O14" s="36">
        <f>O15*O10</f>
        <v>561.2027389500663</v>
      </c>
      <c r="P14" s="7"/>
      <c r="Q14" s="25" t="s">
        <v>12</v>
      </c>
      <c r="R14" s="25" t="s">
        <v>13</v>
      </c>
      <c r="S14" s="25" t="s">
        <v>14</v>
      </c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 spans="1:29" ht="14.25" customHeight="1" x14ac:dyDescent="0.2">
      <c r="A15" s="7"/>
      <c r="B15" s="7"/>
      <c r="C15" s="26" t="s">
        <v>18</v>
      </c>
      <c r="D15" s="27">
        <f t="shared" ref="D15:J15" si="3">D14/D10</f>
        <v>8.7770187592008678E-2</v>
      </c>
      <c r="E15" s="27">
        <f t="shared" si="3"/>
        <v>0.1231077669629746</v>
      </c>
      <c r="F15" s="27">
        <f t="shared" si="3"/>
        <v>0.14891431105777383</v>
      </c>
      <c r="G15" s="27">
        <f t="shared" si="3"/>
        <v>0.17713847345506067</v>
      </c>
      <c r="H15" s="27">
        <f t="shared" si="3"/>
        <v>0.13694458199587262</v>
      </c>
      <c r="I15" s="27">
        <f t="shared" si="3"/>
        <v>0.12946884957912738</v>
      </c>
      <c r="J15" s="27">
        <f t="shared" si="3"/>
        <v>0.10373563976619035</v>
      </c>
      <c r="K15" s="28">
        <f>$R$15</f>
        <v>0.12670348605711929</v>
      </c>
      <c r="L15" s="28">
        <f>+K15</f>
        <v>0.12670348605711929</v>
      </c>
      <c r="M15" s="28">
        <f>+L15</f>
        <v>0.12670348605711929</v>
      </c>
      <c r="N15" s="28">
        <f>+M15</f>
        <v>0.12670348605711929</v>
      </c>
      <c r="O15" s="28">
        <f>+N15</f>
        <v>0.12670348605711929</v>
      </c>
      <c r="P15" s="7"/>
      <c r="Q15" s="29">
        <f>AVERAGE(D15:J15)</f>
        <v>0.12958283005842972</v>
      </c>
      <c r="R15" s="29">
        <f>GEOMEAN(D15:J15)</f>
        <v>0.12670348605711929</v>
      </c>
      <c r="S15" s="30">
        <f>HARMEAN(E15:J15)</f>
        <v>0.13289179392705106</v>
      </c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 spans="1:29" ht="14.25" customHeight="1" x14ac:dyDescent="0.2">
      <c r="A16" s="7"/>
      <c r="B16" s="7"/>
      <c r="C16" s="8"/>
      <c r="D16" s="35"/>
      <c r="E16" s="9"/>
      <c r="F16" s="9"/>
      <c r="G16" s="9"/>
      <c r="H16" s="9"/>
      <c r="I16" s="12"/>
      <c r="J16" s="7"/>
      <c r="K16" s="7"/>
      <c r="L16" s="7"/>
      <c r="M16" s="7"/>
      <c r="N16" s="7"/>
      <c r="O16" s="7"/>
      <c r="P16" s="7"/>
      <c r="Q16" s="34"/>
      <c r="R16" s="34"/>
      <c r="S16" s="34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 spans="1:29" ht="14.25" customHeight="1" x14ac:dyDescent="0.2">
      <c r="A17" s="7"/>
      <c r="B17" s="7"/>
      <c r="C17" s="8" t="s">
        <v>19</v>
      </c>
      <c r="D17" s="21">
        <v>6.8</v>
      </c>
      <c r="E17" s="23">
        <v>7</v>
      </c>
      <c r="F17" s="23">
        <v>8</v>
      </c>
      <c r="G17" s="23">
        <v>6.6</v>
      </c>
      <c r="H17" s="23">
        <v>6.9</v>
      </c>
      <c r="I17" s="23">
        <v>8.5</v>
      </c>
      <c r="J17" s="23">
        <v>7.5</v>
      </c>
      <c r="K17" s="36">
        <f>K18*K10</f>
        <v>7.5306744985730196</v>
      </c>
      <c r="L17" s="36">
        <f>L18*L10</f>
        <v>7.7848261757279635</v>
      </c>
      <c r="M17" s="36">
        <f>M18*M10</f>
        <v>8.0475551821796287</v>
      </c>
      <c r="N17" s="36">
        <f>N18*N10</f>
        <v>8.319150993011112</v>
      </c>
      <c r="O17" s="36">
        <f>O18*O10</f>
        <v>8.5999128527594841</v>
      </c>
      <c r="P17" s="7"/>
      <c r="Q17" s="25" t="s">
        <v>12</v>
      </c>
      <c r="R17" s="25" t="s">
        <v>13</v>
      </c>
      <c r="S17" s="25" t="s">
        <v>14</v>
      </c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spans="1:29" ht="14.25" customHeight="1" x14ac:dyDescent="0.2">
      <c r="A18" s="7"/>
      <c r="B18" s="7"/>
      <c r="C18" s="26" t="s">
        <v>20</v>
      </c>
      <c r="D18" s="27">
        <f t="shared" ref="D18:J18" si="4">D17/D10</f>
        <v>2.2117863492449675E-3</v>
      </c>
      <c r="E18" s="27">
        <f t="shared" si="4"/>
        <v>2.0952475594855748E-3</v>
      </c>
      <c r="F18" s="27">
        <f t="shared" si="4"/>
        <v>2.087110786449433E-3</v>
      </c>
      <c r="G18" s="27">
        <f t="shared" si="4"/>
        <v>1.6353874046922238E-3</v>
      </c>
      <c r="H18" s="27">
        <f t="shared" si="4"/>
        <v>1.7344048100826734E-3</v>
      </c>
      <c r="I18" s="27">
        <f t="shared" si="4"/>
        <v>1.8968781179934066E-3</v>
      </c>
      <c r="J18" s="27">
        <f t="shared" si="4"/>
        <v>1.9989653355423232E-3</v>
      </c>
      <c r="K18" s="28">
        <f>$R$18</f>
        <v>1.9416137210424489E-3</v>
      </c>
      <c r="L18" s="28">
        <f>+K18</f>
        <v>1.9416137210424489E-3</v>
      </c>
      <c r="M18" s="28">
        <f>+L18</f>
        <v>1.9416137210424489E-3</v>
      </c>
      <c r="N18" s="28">
        <f>+M18</f>
        <v>1.9416137210424489E-3</v>
      </c>
      <c r="O18" s="28">
        <f>+N18</f>
        <v>1.9416137210424489E-3</v>
      </c>
      <c r="P18" s="7"/>
      <c r="Q18" s="29">
        <f>AVERAGE(D18:J18)</f>
        <v>1.9513971947843717E-3</v>
      </c>
      <c r="R18" s="29">
        <f>GEOMEAN(D18:J18)</f>
        <v>1.9416137210424489E-3</v>
      </c>
      <c r="S18" s="30">
        <f>HARMEAN(E18:J18)</f>
        <v>1.8916195344405083E-3</v>
      </c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 spans="1:29" ht="14.25" customHeight="1" x14ac:dyDescent="0.2">
      <c r="A19" s="7"/>
      <c r="B19" s="7"/>
      <c r="C19" s="8"/>
      <c r="D19" s="8"/>
      <c r="E19" s="9"/>
      <c r="F19" s="9"/>
      <c r="G19" s="9"/>
      <c r="H19" s="9"/>
      <c r="I19" s="12"/>
      <c r="J19" s="7"/>
      <c r="K19" s="7"/>
      <c r="L19" s="7"/>
      <c r="M19" s="7"/>
      <c r="N19" s="7"/>
      <c r="O19" s="7"/>
      <c r="P19" s="7"/>
      <c r="Q19" s="34"/>
      <c r="R19" s="34"/>
      <c r="S19" s="34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 spans="1:29" ht="18" customHeight="1" x14ac:dyDescent="0.25">
      <c r="A20" s="7"/>
      <c r="B20" s="7"/>
      <c r="C20" s="14" t="s">
        <v>21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7"/>
      <c r="Q20" s="34"/>
      <c r="R20" s="34"/>
      <c r="S20" s="34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 spans="1:29" ht="14.25" customHeight="1" x14ac:dyDescent="0.2">
      <c r="A21" s="7"/>
      <c r="B21" s="7"/>
      <c r="C21" s="8"/>
      <c r="D21" s="8"/>
      <c r="E21" s="15"/>
      <c r="F21" s="16"/>
      <c r="G21" s="15"/>
      <c r="H21" s="15"/>
      <c r="I21" s="15"/>
      <c r="J21" s="17"/>
      <c r="K21" s="150" t="s">
        <v>10</v>
      </c>
      <c r="L21" s="150"/>
      <c r="M21" s="150"/>
      <c r="N21" s="150"/>
      <c r="O21" s="150"/>
      <c r="P21" s="7"/>
      <c r="Q21" s="34"/>
      <c r="R21" s="34"/>
      <c r="S21" s="34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 spans="1:29" ht="14.25" customHeight="1" x14ac:dyDescent="0.2">
      <c r="A22" s="7"/>
      <c r="B22" s="7"/>
      <c r="C22" s="8"/>
      <c r="D22" s="18">
        <f t="shared" ref="D22:I22" si="5">E22-365</f>
        <v>43772</v>
      </c>
      <c r="E22" s="18">
        <f t="shared" si="5"/>
        <v>44137</v>
      </c>
      <c r="F22" s="18">
        <f t="shared" si="5"/>
        <v>44502</v>
      </c>
      <c r="G22" s="18">
        <f t="shared" si="5"/>
        <v>44867</v>
      </c>
      <c r="H22" s="18">
        <f t="shared" si="5"/>
        <v>45232</v>
      </c>
      <c r="I22" s="18">
        <f t="shared" si="5"/>
        <v>45597</v>
      </c>
      <c r="J22" s="18">
        <v>45962</v>
      </c>
      <c r="K22" s="19">
        <f>J22+365</f>
        <v>46327</v>
      </c>
      <c r="L22" s="19">
        <f>K22+365</f>
        <v>46692</v>
      </c>
      <c r="M22" s="19">
        <f>L22+365</f>
        <v>47057</v>
      </c>
      <c r="N22" s="19">
        <f>M22+365</f>
        <v>47422</v>
      </c>
      <c r="O22" s="19">
        <f>N22+365</f>
        <v>47787</v>
      </c>
      <c r="P22" s="7"/>
      <c r="Q22" s="34"/>
      <c r="R22" s="34"/>
      <c r="S22" s="34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 spans="1:29" ht="14.25" customHeight="1" x14ac:dyDescent="0.2">
      <c r="A23" s="7"/>
      <c r="B23" s="7"/>
      <c r="C23" s="37" t="s">
        <v>22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9">
        <f>K34*K10</f>
        <v>0</v>
      </c>
      <c r="L23" s="39">
        <f>L34*L10</f>
        <v>0</v>
      </c>
      <c r="M23" s="39">
        <f>M34*M10</f>
        <v>0</v>
      </c>
      <c r="N23" s="39">
        <f>N34*N10</f>
        <v>0</v>
      </c>
      <c r="O23" s="39">
        <f>O34*O10</f>
        <v>0</v>
      </c>
      <c r="P23" s="7"/>
      <c r="Q23" s="34"/>
      <c r="R23" s="34"/>
      <c r="S23" s="34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 spans="1:29" ht="14.25" customHeight="1" x14ac:dyDescent="0.2">
      <c r="A24" s="7"/>
      <c r="B24" s="7"/>
      <c r="C24" s="37" t="s">
        <v>23</v>
      </c>
      <c r="D24" s="38">
        <v>3345.4</v>
      </c>
      <c r="E24" s="38">
        <v>2989.4</v>
      </c>
      <c r="F24" s="38">
        <v>3136.5</v>
      </c>
      <c r="G24" s="38">
        <v>3608.3</v>
      </c>
      <c r="H24" s="38">
        <v>3412.8</v>
      </c>
      <c r="I24" s="38">
        <v>3412.6</v>
      </c>
      <c r="J24" s="38">
        <v>3371.6</v>
      </c>
      <c r="K24" s="40">
        <f>K35*K10</f>
        <v>3424.3863062540672</v>
      </c>
      <c r="L24" s="40">
        <f>L35*L10</f>
        <v>3558.8735318445802</v>
      </c>
      <c r="M24" s="40">
        <f>M35*M10</f>
        <v>3678.9814553874226</v>
      </c>
      <c r="N24" s="40">
        <f>N35*N10</f>
        <v>3803.1428843916678</v>
      </c>
      <c r="O24" s="40">
        <f>O35*O10</f>
        <v>3931.494620044456</v>
      </c>
      <c r="P24" s="7"/>
      <c r="Q24" s="34"/>
      <c r="R24" s="34"/>
      <c r="S24" s="34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 spans="1:29" ht="14.25" customHeight="1" x14ac:dyDescent="0.2">
      <c r="A25" s="7"/>
      <c r="B25" s="7"/>
      <c r="C25" s="37" t="s">
        <v>24</v>
      </c>
      <c r="D25" s="38">
        <v>26.9</v>
      </c>
      <c r="E25" s="38">
        <v>19.2</v>
      </c>
      <c r="F25" s="38">
        <v>15.1</v>
      </c>
      <c r="G25" s="38">
        <v>23</v>
      </c>
      <c r="H25" s="38">
        <v>14.2</v>
      </c>
      <c r="I25" s="38">
        <v>15.6</v>
      </c>
      <c r="J25" s="38">
        <v>16.399999999999999</v>
      </c>
      <c r="K25" s="39">
        <f>K36*K10</f>
        <v>18.733189361207476</v>
      </c>
      <c r="L25" s="39">
        <f>L36*L10</f>
        <v>19.365413140832292</v>
      </c>
      <c r="M25" s="39">
        <f>M36*M10</f>
        <v>20.018973752099388</v>
      </c>
      <c r="N25" s="39">
        <f>N36*N10</f>
        <v>20.694591288746469</v>
      </c>
      <c r="O25" s="39">
        <f>O36*O10</f>
        <v>21.393010146853754</v>
      </c>
      <c r="P25" s="7"/>
      <c r="Q25" s="34"/>
      <c r="R25" s="34"/>
      <c r="S25" s="34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 spans="1:29" ht="14.25" customHeight="1" x14ac:dyDescent="0.2">
      <c r="A26" s="7"/>
      <c r="B26" s="7"/>
      <c r="C26" s="8"/>
      <c r="D26" s="41"/>
      <c r="E26" s="41"/>
      <c r="F26" s="41"/>
      <c r="G26" s="41"/>
      <c r="H26" s="41"/>
      <c r="I26" s="41"/>
      <c r="J26" s="41"/>
      <c r="K26" s="42"/>
      <c r="L26" s="42"/>
      <c r="M26" s="42"/>
      <c r="N26" s="42"/>
      <c r="O26" s="42"/>
      <c r="P26" s="7"/>
      <c r="Q26" s="34"/>
      <c r="R26" s="34"/>
      <c r="S26" s="34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 spans="1:29" ht="14.25" customHeight="1" x14ac:dyDescent="0.2">
      <c r="A27" s="7"/>
      <c r="B27" s="7"/>
      <c r="C27" s="37" t="s">
        <v>25</v>
      </c>
      <c r="D27" s="43">
        <v>339.2</v>
      </c>
      <c r="E27" s="43">
        <v>373.2</v>
      </c>
      <c r="F27" s="43">
        <v>479.2</v>
      </c>
      <c r="G27" s="43">
        <v>479.9</v>
      </c>
      <c r="H27" s="43">
        <v>488.9</v>
      </c>
      <c r="I27" s="43">
        <v>454.2</v>
      </c>
      <c r="J27" s="43">
        <v>420.7</v>
      </c>
      <c r="K27" s="44">
        <f>K37*K10</f>
        <v>443.57533088536599</v>
      </c>
      <c r="L27" s="44">
        <f>L37*L10</f>
        <v>459.56818799434672</v>
      </c>
      <c r="M27" s="44">
        <f>M37*M10</f>
        <v>475.07809029698302</v>
      </c>
      <c r="N27" s="44">
        <f>N37*N10</f>
        <v>491.11143411650755</v>
      </c>
      <c r="O27" s="44">
        <f>O37*O10</f>
        <v>507.68588500723877</v>
      </c>
      <c r="P27" s="7"/>
      <c r="Q27" s="34"/>
      <c r="R27" s="34"/>
      <c r="S27" s="34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 spans="1:29" ht="14.25" customHeight="1" x14ac:dyDescent="0.2">
      <c r="A28" s="7"/>
      <c r="B28" s="7"/>
      <c r="C28" s="37" t="s">
        <v>26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9">
        <f>K38*K10</f>
        <v>0</v>
      </c>
      <c r="L28" s="39">
        <f>L38*L10</f>
        <v>0</v>
      </c>
      <c r="M28" s="39">
        <f>M38*M10</f>
        <v>0</v>
      </c>
      <c r="N28" s="39">
        <f>N38*N10</f>
        <v>0</v>
      </c>
      <c r="O28" s="39">
        <f>O38*O10</f>
        <v>0</v>
      </c>
      <c r="P28" s="7"/>
      <c r="Q28" s="34"/>
      <c r="R28" s="34"/>
      <c r="S28" s="34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 spans="1:29" ht="14.25" customHeight="1" x14ac:dyDescent="0.2">
      <c r="A29" s="7"/>
      <c r="B29" s="7"/>
      <c r="C29" s="8"/>
      <c r="D29" s="41"/>
      <c r="E29" s="41"/>
      <c r="F29" s="41"/>
      <c r="G29" s="41"/>
      <c r="H29" s="41"/>
      <c r="I29" s="41"/>
      <c r="J29" s="41"/>
      <c r="K29" s="45"/>
      <c r="L29" s="45"/>
      <c r="M29" s="45"/>
      <c r="N29" s="45"/>
      <c r="O29" s="45"/>
      <c r="P29" s="7"/>
      <c r="Q29" s="34"/>
      <c r="R29" s="34"/>
      <c r="S29" s="34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 spans="1:29" ht="14.25" customHeight="1" x14ac:dyDescent="0.2">
      <c r="A30" s="7"/>
      <c r="B30" s="7"/>
      <c r="C30" s="8" t="s">
        <v>27</v>
      </c>
      <c r="D30" s="38">
        <v>1490.6</v>
      </c>
      <c r="E30" s="38">
        <v>1386.3</v>
      </c>
      <c r="F30" s="38">
        <v>1400.3</v>
      </c>
      <c r="G30" s="38">
        <v>1418.7</v>
      </c>
      <c r="H30" s="38">
        <v>1457.2</v>
      </c>
      <c r="I30" s="38">
        <v>999.6</v>
      </c>
      <c r="J30" s="38">
        <v>1194.8</v>
      </c>
      <c r="K30" s="46"/>
      <c r="L30" s="46"/>
      <c r="M30" s="46"/>
      <c r="N30" s="46"/>
      <c r="O30" s="46"/>
      <c r="P30" s="7"/>
      <c r="Q30" s="34"/>
      <c r="R30" s="34"/>
      <c r="S30" s="34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29" ht="14.25" customHeight="1" x14ac:dyDescent="0.2">
      <c r="A31" s="7"/>
      <c r="B31" s="7"/>
      <c r="C31" s="8"/>
      <c r="D31" s="41"/>
      <c r="E31" s="41"/>
      <c r="F31" s="41"/>
      <c r="G31" s="41"/>
      <c r="H31" s="41"/>
      <c r="I31" s="41"/>
      <c r="J31" s="41"/>
      <c r="K31" s="45"/>
      <c r="L31" s="45"/>
      <c r="M31" s="45"/>
      <c r="N31" s="45"/>
      <c r="O31" s="45"/>
      <c r="P31" s="7"/>
      <c r="Q31" s="34"/>
      <c r="R31" s="34"/>
      <c r="S31" s="34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spans="1:29" ht="14.25" customHeight="1" x14ac:dyDescent="0.2">
      <c r="A32" s="7"/>
      <c r="B32" s="7"/>
      <c r="C32" s="8" t="s">
        <v>28</v>
      </c>
      <c r="D32" s="38">
        <v>9.3000000000000007</v>
      </c>
      <c r="E32" s="38">
        <v>4.8</v>
      </c>
      <c r="F32" s="38">
        <v>10.5</v>
      </c>
      <c r="G32" s="38">
        <v>9.1</v>
      </c>
      <c r="H32" s="38">
        <v>6.7</v>
      </c>
      <c r="I32" s="38">
        <v>6.4</v>
      </c>
      <c r="J32" s="38">
        <v>6.8</v>
      </c>
      <c r="K32" s="39">
        <f>K39*K10</f>
        <v>7.6584484297631228</v>
      </c>
      <c r="L32" s="39">
        <f>L39*L10</f>
        <v>8.2369437242921588</v>
      </c>
      <c r="M32" s="39">
        <f>M39*M10</f>
        <v>8.5149311824616003</v>
      </c>
      <c r="N32" s="39">
        <f>N39*N10</f>
        <v>8.8023004003572396</v>
      </c>
      <c r="O32" s="39">
        <f>O39*O10</f>
        <v>9.0993680016718823</v>
      </c>
      <c r="P32" s="7"/>
      <c r="Q32" s="34"/>
      <c r="R32" s="34"/>
      <c r="S32" s="34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spans="1:29" ht="14.25" customHeight="1" x14ac:dyDescent="0.2">
      <c r="A33" s="7"/>
      <c r="B33" s="7"/>
      <c r="C33" s="8"/>
      <c r="D33" s="8"/>
      <c r="E33" s="9"/>
      <c r="F33" s="9"/>
      <c r="G33" s="9"/>
      <c r="H33" s="9"/>
      <c r="I33" s="12"/>
      <c r="J33" s="7"/>
      <c r="K33" s="7"/>
      <c r="L33" s="7"/>
      <c r="M33" s="7"/>
      <c r="N33" s="7"/>
      <c r="O33" s="7"/>
      <c r="P33" s="47"/>
      <c r="Q33" s="25" t="s">
        <v>12</v>
      </c>
      <c r="R33" s="25" t="s">
        <v>13</v>
      </c>
      <c r="S33" s="25" t="s">
        <v>14</v>
      </c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spans="1:29" ht="14.25" customHeight="1" x14ac:dyDescent="0.2">
      <c r="A34" s="7"/>
      <c r="B34" s="7"/>
      <c r="C34" s="48" t="s">
        <v>29</v>
      </c>
      <c r="D34" s="49">
        <f t="shared" ref="D34:J34" si="6">D23/D10</f>
        <v>0</v>
      </c>
      <c r="E34" s="49">
        <f t="shared" si="6"/>
        <v>0</v>
      </c>
      <c r="F34" s="49">
        <f t="shared" si="6"/>
        <v>0</v>
      </c>
      <c r="G34" s="49">
        <f t="shared" si="6"/>
        <v>0</v>
      </c>
      <c r="H34" s="49">
        <f t="shared" si="6"/>
        <v>0</v>
      </c>
      <c r="I34" s="49">
        <f t="shared" si="6"/>
        <v>0</v>
      </c>
      <c r="J34" s="49">
        <f t="shared" si="6"/>
        <v>0</v>
      </c>
      <c r="K34" s="52">
        <f>J34*(1+$Q$34)</f>
        <v>0</v>
      </c>
      <c r="L34" s="52">
        <f>K34*(1+$P$34)</f>
        <v>0</v>
      </c>
      <c r="M34" s="52">
        <f>L34*(1+$P$34)</f>
        <v>0</v>
      </c>
      <c r="N34" s="52">
        <f>M34*(1+$P$34)</f>
        <v>0</v>
      </c>
      <c r="O34" s="52">
        <f>N34*(1+$P$34)</f>
        <v>0</v>
      </c>
      <c r="P34" s="50"/>
      <c r="Q34" s="29"/>
      <c r="R34" s="29"/>
      <c r="S34" s="51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spans="1:29" ht="14.25" customHeight="1" x14ac:dyDescent="0.2">
      <c r="A35" s="7"/>
      <c r="B35" s="7"/>
      <c r="C35" s="48" t="s">
        <v>30</v>
      </c>
      <c r="D35" s="49">
        <f t="shared" ref="D35:J35" si="7">D24/D10</f>
        <v>1.0881338312888404</v>
      </c>
      <c r="E35" s="49">
        <f t="shared" si="7"/>
        <v>0.89479043633231115</v>
      </c>
      <c r="F35" s="49">
        <f t="shared" si="7"/>
        <v>0.81827787271233088</v>
      </c>
      <c r="G35" s="49">
        <f t="shared" si="7"/>
        <v>0.89408611702287144</v>
      </c>
      <c r="H35" s="49">
        <f t="shared" si="7"/>
        <v>0.85785170084784756</v>
      </c>
      <c r="I35" s="49">
        <f t="shared" si="7"/>
        <v>0.76156309005462341</v>
      </c>
      <c r="J35" s="49">
        <f t="shared" si="7"/>
        <v>0.89862820337526628</v>
      </c>
      <c r="K35" s="52">
        <f>$R$35</f>
        <v>0.88290038822321271</v>
      </c>
      <c r="L35" s="52">
        <f>$Q$35</f>
        <v>0.88761875023344161</v>
      </c>
      <c r="M35" s="52">
        <f>$Q$35</f>
        <v>0.88761875023344161</v>
      </c>
      <c r="N35" s="52">
        <f>$Q$35</f>
        <v>0.88761875023344161</v>
      </c>
      <c r="O35" s="52">
        <f>$Q$35</f>
        <v>0.88761875023344161</v>
      </c>
      <c r="P35" s="20"/>
      <c r="Q35" s="29">
        <f>AVERAGE(D35:J35)</f>
        <v>0.88761875023344161</v>
      </c>
      <c r="R35" s="29">
        <f>GEOMEAN(D35:J35)</f>
        <v>0.88290038822321271</v>
      </c>
      <c r="S35" s="30">
        <f>HARMEAN(D35:J35)</f>
        <v>0.87843437839199612</v>
      </c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spans="1:29" ht="14.25" customHeight="1" x14ac:dyDescent="0.2">
      <c r="A36" s="7"/>
      <c r="B36" s="7"/>
      <c r="C36" s="48" t="s">
        <v>31</v>
      </c>
      <c r="D36" s="49">
        <f t="shared" ref="D36:J36" si="8">D25/D10</f>
        <v>8.7495665874543563E-3</v>
      </c>
      <c r="E36" s="49">
        <f t="shared" si="8"/>
        <v>5.7469647345890053E-3</v>
      </c>
      <c r="F36" s="49">
        <f t="shared" si="8"/>
        <v>3.9394216094233046E-3</v>
      </c>
      <c r="G36" s="49">
        <f t="shared" si="8"/>
        <v>5.6990773193819916E-3</v>
      </c>
      <c r="H36" s="49">
        <f t="shared" si="8"/>
        <v>3.5693548265469505E-3</v>
      </c>
      <c r="I36" s="49">
        <f t="shared" si="8"/>
        <v>3.4813292518467228E-3</v>
      </c>
      <c r="J36" s="49">
        <f t="shared" si="8"/>
        <v>4.3710708670525464E-3</v>
      </c>
      <c r="K36" s="52">
        <f>R36</f>
        <v>4.8299282500523797E-3</v>
      </c>
      <c r="L36" s="52">
        <f>K36*(1+$P$36)</f>
        <v>4.8299282500523797E-3</v>
      </c>
      <c r="M36" s="52">
        <f>L36*(1+$P$36)</f>
        <v>4.8299282500523797E-3</v>
      </c>
      <c r="N36" s="52">
        <f>M36*(1+$P$36)</f>
        <v>4.8299282500523797E-3</v>
      </c>
      <c r="O36" s="52">
        <f>N36*(1+$P$36)</f>
        <v>4.8299282500523797E-3</v>
      </c>
      <c r="P36" s="50"/>
      <c r="Q36" s="29">
        <f>AVERAGE(D36:J36)</f>
        <v>5.0795407423278394E-3</v>
      </c>
      <c r="R36" s="29">
        <f>GEOMEAN(D36:J36)</f>
        <v>4.8299282500523797E-3</v>
      </c>
      <c r="S36" s="30">
        <f>HARMEAN(D36:J36)</f>
        <v>4.6241436244663803E-3</v>
      </c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spans="1:29" ht="14.25" customHeight="1" x14ac:dyDescent="0.2">
      <c r="A37" s="7"/>
      <c r="B37" s="7"/>
      <c r="C37" s="48" t="s">
        <v>32</v>
      </c>
      <c r="D37" s="49">
        <f t="shared" ref="D37:J37" si="9">D27/D10</f>
        <v>0.11032910730351368</v>
      </c>
      <c r="E37" s="49">
        <f t="shared" si="9"/>
        <v>0.1117066270285738</v>
      </c>
      <c r="F37" s="49">
        <f t="shared" si="9"/>
        <v>0.12501793610832104</v>
      </c>
      <c r="G37" s="49">
        <f t="shared" si="9"/>
        <v>0.1189124871987573</v>
      </c>
      <c r="H37" s="49">
        <f t="shared" si="9"/>
        <v>0.12289137849991578</v>
      </c>
      <c r="I37" s="49">
        <f t="shared" si="9"/>
        <v>0.10136024014030651</v>
      </c>
      <c r="J37" s="49">
        <f t="shared" si="9"/>
        <v>0.11212862888835405</v>
      </c>
      <c r="K37" s="52">
        <f>$R$37</f>
        <v>0.11436584451049754</v>
      </c>
      <c r="L37" s="52">
        <f>$Q$37</f>
        <v>0.11462091502396318</v>
      </c>
      <c r="M37" s="52">
        <f>$Q$37</f>
        <v>0.11462091502396318</v>
      </c>
      <c r="N37" s="52">
        <f>$Q$37</f>
        <v>0.11462091502396318</v>
      </c>
      <c r="O37" s="52">
        <f>$Q$37</f>
        <v>0.11462091502396318</v>
      </c>
      <c r="P37" s="20"/>
      <c r="Q37" s="29">
        <f>AVERAGE(D37:J37)</f>
        <v>0.11462091502396318</v>
      </c>
      <c r="R37" s="29">
        <f>GEOMEAN(D37:J37)</f>
        <v>0.11436584451049754</v>
      </c>
      <c r="S37" s="30">
        <f>HARMEAN(D37:J37)</f>
        <v>0.11410759958861835</v>
      </c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spans="1:29" ht="14.25" customHeight="1" x14ac:dyDescent="0.2">
      <c r="A38" s="7"/>
      <c r="B38" s="7"/>
      <c r="C38" s="48" t="s">
        <v>33</v>
      </c>
      <c r="D38" s="49">
        <f t="shared" ref="D38:J38" si="10">D28/D10</f>
        <v>0</v>
      </c>
      <c r="E38" s="49">
        <f t="shared" si="10"/>
        <v>0</v>
      </c>
      <c r="F38" s="49">
        <f t="shared" si="10"/>
        <v>0</v>
      </c>
      <c r="G38" s="49">
        <f t="shared" si="10"/>
        <v>0</v>
      </c>
      <c r="H38" s="49">
        <f t="shared" si="10"/>
        <v>0</v>
      </c>
      <c r="I38" s="49">
        <f t="shared" si="10"/>
        <v>0</v>
      </c>
      <c r="J38" s="49">
        <f t="shared" si="10"/>
        <v>0</v>
      </c>
      <c r="K38" s="52">
        <f>$R$38</f>
        <v>0</v>
      </c>
      <c r="L38" s="52">
        <f>$Q$38</f>
        <v>0</v>
      </c>
      <c r="M38" s="52">
        <f>$Q$38</f>
        <v>0</v>
      </c>
      <c r="N38" s="52">
        <f>$Q$38</f>
        <v>0</v>
      </c>
      <c r="O38" s="52">
        <f>$Q$38</f>
        <v>0</v>
      </c>
      <c r="P38" s="20"/>
      <c r="Q38" s="29"/>
      <c r="R38" s="29"/>
      <c r="S38" s="30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spans="1:29" ht="14.25" customHeight="1" x14ac:dyDescent="0.2">
      <c r="A39" s="7"/>
      <c r="B39" s="7"/>
      <c r="C39" s="26" t="s">
        <v>34</v>
      </c>
      <c r="D39" s="27">
        <f t="shared" ref="D39:J39" si="11">D32/D10</f>
        <v>3.0249430952909119E-3</v>
      </c>
      <c r="E39" s="27">
        <f t="shared" si="11"/>
        <v>1.4367411836472513E-3</v>
      </c>
      <c r="F39" s="27">
        <f t="shared" si="11"/>
        <v>2.739332907214881E-3</v>
      </c>
      <c r="G39" s="27">
        <f t="shared" si="11"/>
        <v>2.2548523307120054E-3</v>
      </c>
      <c r="H39" s="27">
        <f t="shared" si="11"/>
        <v>1.6841322068918713E-3</v>
      </c>
      <c r="I39" s="27">
        <f t="shared" si="11"/>
        <v>1.428237641783271E-3</v>
      </c>
      <c r="J39" s="27">
        <f t="shared" si="11"/>
        <v>1.8123952375583732E-3</v>
      </c>
      <c r="K39" s="52">
        <f>$R$39</f>
        <v>1.9745573329376714E-3</v>
      </c>
      <c r="L39" s="52">
        <f>$Q$39</f>
        <v>2.0543763718712236E-3</v>
      </c>
      <c r="M39" s="52">
        <f>$Q$39</f>
        <v>2.0543763718712236E-3</v>
      </c>
      <c r="N39" s="52">
        <f>$Q$39</f>
        <v>2.0543763718712236E-3</v>
      </c>
      <c r="O39" s="52">
        <f>$Q$39</f>
        <v>2.0543763718712236E-3</v>
      </c>
      <c r="P39" s="20"/>
      <c r="Q39" s="29">
        <f>AVERAGE(D39:J39)</f>
        <v>2.0543763718712236E-3</v>
      </c>
      <c r="R39" s="29">
        <f>GEOMEAN(D39:J39)</f>
        <v>1.9745573329376714E-3</v>
      </c>
      <c r="S39" s="30">
        <f>HARMEAN(D39:J39)</f>
        <v>1.9017388114567749E-3</v>
      </c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spans="1:29" ht="14.25" customHeight="1" x14ac:dyDescent="0.2">
      <c r="A40" s="7"/>
      <c r="B40" s="7"/>
      <c r="C40" s="146" t="s">
        <v>35</v>
      </c>
      <c r="D40" s="53"/>
      <c r="E40" s="27"/>
      <c r="F40" s="27"/>
      <c r="G40" s="27"/>
      <c r="H40" s="27"/>
      <c r="I40" s="27"/>
      <c r="J40" s="27"/>
      <c r="K40" s="54"/>
      <c r="L40" s="54"/>
      <c r="M40" s="54"/>
      <c r="N40" s="54"/>
      <c r="O40" s="54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spans="1:29" ht="14.25" customHeight="1" x14ac:dyDescent="0.2">
      <c r="A41" s="7"/>
      <c r="B41" s="7"/>
      <c r="C41" s="146" t="s">
        <v>36</v>
      </c>
      <c r="D41" s="53"/>
      <c r="E41" s="35"/>
      <c r="F41" s="35"/>
      <c r="G41" s="35"/>
      <c r="H41" s="35"/>
      <c r="I41" s="35"/>
      <c r="J41" s="35"/>
      <c r="K41" s="53"/>
      <c r="L41" s="54"/>
      <c r="M41" s="54"/>
      <c r="N41" s="54"/>
      <c r="O41" s="54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spans="1:29" ht="14.25" customHeight="1" x14ac:dyDescent="0.2">
      <c r="A42" s="7"/>
      <c r="B42" s="7"/>
      <c r="C42" s="146" t="s">
        <v>37</v>
      </c>
      <c r="D42" s="53"/>
      <c r="E42" s="27">
        <f>((E25/D25)-1)</f>
        <v>-0.28624535315985133</v>
      </c>
      <c r="F42" s="27">
        <f>((F25/E25)-1)</f>
        <v>-0.21354166666666663</v>
      </c>
      <c r="G42" s="27">
        <f>((G25/F25)-1)</f>
        <v>0.52317880794701987</v>
      </c>
      <c r="H42" s="27">
        <f>((H25/G25)-1)</f>
        <v>-0.38260869565217392</v>
      </c>
      <c r="I42" s="27">
        <f>((I25/H25)-1)</f>
        <v>9.8591549295774739E-2</v>
      </c>
      <c r="J42" s="55" t="s">
        <v>38</v>
      </c>
      <c r="K42" s="54"/>
      <c r="L42" s="54"/>
      <c r="M42" s="54"/>
      <c r="N42" s="54"/>
      <c r="O42" s="54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spans="1:29" ht="14.25" customHeight="1" x14ac:dyDescent="0.2">
      <c r="A43" s="7"/>
      <c r="B43" s="7"/>
      <c r="C43" s="146" t="s">
        <v>39</v>
      </c>
      <c r="D43" s="53"/>
      <c r="E43" s="27">
        <f t="shared" ref="E43:J43" si="12">((E27/D27)-1)</f>
        <v>0.10023584905660377</v>
      </c>
      <c r="F43" s="27">
        <f t="shared" si="12"/>
        <v>0.28403001071811351</v>
      </c>
      <c r="G43" s="27">
        <f t="shared" si="12"/>
        <v>1.4607679465776791E-3</v>
      </c>
      <c r="H43" s="27">
        <f t="shared" si="12"/>
        <v>1.8753907063971731E-2</v>
      </c>
      <c r="I43" s="27">
        <f t="shared" si="12"/>
        <v>-7.0975659644099021E-2</v>
      </c>
      <c r="J43" s="27">
        <f t="shared" si="12"/>
        <v>-7.3756054601497145E-2</v>
      </c>
      <c r="K43" s="54"/>
      <c r="L43" s="54"/>
      <c r="M43" s="54"/>
      <c r="N43" s="54"/>
      <c r="O43" s="54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spans="1:29" ht="14.25" customHeight="1" x14ac:dyDescent="0.2">
      <c r="A44" s="7"/>
      <c r="B44" s="7"/>
      <c r="C44" s="146" t="s">
        <v>40</v>
      </c>
      <c r="D44" s="53"/>
      <c r="E44" s="27"/>
      <c r="F44" s="27"/>
      <c r="G44" s="27"/>
      <c r="H44" s="27"/>
      <c r="I44" s="27"/>
      <c r="J44" s="27"/>
      <c r="K44" s="54"/>
      <c r="L44" s="54"/>
      <c r="M44" s="54"/>
      <c r="N44" s="54"/>
      <c r="O44" s="54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 spans="1:29" ht="14.25" customHeight="1" x14ac:dyDescent="0.2">
      <c r="A45" s="7"/>
      <c r="B45" s="7"/>
      <c r="C45" s="146" t="s">
        <v>41</v>
      </c>
      <c r="D45" s="53"/>
      <c r="E45" s="27">
        <f t="shared" ref="E45:J45" si="13">((E32/D32)-1)</f>
        <v>-0.4838709677419355</v>
      </c>
      <c r="F45" s="27">
        <f t="shared" si="13"/>
        <v>1.1875</v>
      </c>
      <c r="G45" s="27">
        <f t="shared" si="13"/>
        <v>-0.13333333333333341</v>
      </c>
      <c r="H45" s="27">
        <f t="shared" si="13"/>
        <v>-0.26373626373626369</v>
      </c>
      <c r="I45" s="27">
        <f t="shared" si="13"/>
        <v>-4.4776119402985093E-2</v>
      </c>
      <c r="J45" s="27">
        <f t="shared" si="13"/>
        <v>6.25E-2</v>
      </c>
      <c r="K45" s="54"/>
      <c r="L45" s="54"/>
      <c r="M45" s="54"/>
      <c r="N45" s="54"/>
      <c r="O45" s="54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spans="1:29" ht="18" customHeight="1" x14ac:dyDescent="0.25">
      <c r="A46" s="56"/>
      <c r="B46" s="56"/>
      <c r="C46" s="14" t="s">
        <v>42</v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 spans="1:29" ht="14.25" customHeight="1" x14ac:dyDescent="0.2">
      <c r="A47" s="56"/>
      <c r="B47" s="56"/>
      <c r="C47" s="57" t="s">
        <v>43</v>
      </c>
      <c r="D47" s="58"/>
      <c r="E47" s="15"/>
      <c r="F47" s="59"/>
      <c r="G47" s="15"/>
      <c r="H47" s="15"/>
      <c r="I47" s="15"/>
      <c r="J47" s="60"/>
      <c r="K47" s="149" t="s">
        <v>10</v>
      </c>
      <c r="L47" s="149"/>
      <c r="M47" s="149"/>
      <c r="N47" s="149"/>
      <c r="O47" s="149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 spans="1:29" ht="14.25" customHeight="1" x14ac:dyDescent="0.2">
      <c r="A48" s="56"/>
      <c r="B48" s="56"/>
      <c r="C48" s="61"/>
      <c r="D48" s="18">
        <f t="shared" ref="D48:I48" si="14">E48-365</f>
        <v>43772</v>
      </c>
      <c r="E48" s="18">
        <f t="shared" si="14"/>
        <v>44137</v>
      </c>
      <c r="F48" s="18">
        <f t="shared" si="14"/>
        <v>44502</v>
      </c>
      <c r="G48" s="18">
        <f t="shared" si="14"/>
        <v>44867</v>
      </c>
      <c r="H48" s="18">
        <f t="shared" si="14"/>
        <v>45232</v>
      </c>
      <c r="I48" s="18">
        <f t="shared" si="14"/>
        <v>45597</v>
      </c>
      <c r="J48" s="18">
        <v>45962</v>
      </c>
      <c r="K48" s="19">
        <f>J48+365</f>
        <v>46327</v>
      </c>
      <c r="L48" s="19">
        <f>K48+365</f>
        <v>46692</v>
      </c>
      <c r="M48" s="19">
        <f>L48+365</f>
        <v>47057</v>
      </c>
      <c r="N48" s="19">
        <f>M48+365</f>
        <v>47422</v>
      </c>
      <c r="O48" s="19">
        <f>N48+365</f>
        <v>47787</v>
      </c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 spans="1:29" ht="14.25" customHeight="1" x14ac:dyDescent="0.2">
      <c r="A49" s="56"/>
      <c r="B49" s="56"/>
      <c r="C49" s="62" t="s">
        <v>44</v>
      </c>
      <c r="D49" s="63"/>
      <c r="E49" s="64"/>
      <c r="F49" s="65"/>
      <c r="G49" s="65"/>
      <c r="H49" s="65"/>
      <c r="I49" s="65"/>
      <c r="J49" s="65"/>
      <c r="K49" s="66">
        <v>1</v>
      </c>
      <c r="L49" s="66">
        <f>K49+1</f>
        <v>2</v>
      </c>
      <c r="M49" s="66">
        <f>L49+1</f>
        <v>3</v>
      </c>
      <c r="N49" s="66">
        <f>M49+1</f>
        <v>4</v>
      </c>
      <c r="O49" s="66">
        <f>N49+1</f>
        <v>5</v>
      </c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 spans="1:29" ht="14.25" customHeight="1" x14ac:dyDescent="0.2">
      <c r="A50" s="56"/>
      <c r="B50" s="56"/>
      <c r="C50" s="56" t="s">
        <v>45</v>
      </c>
      <c r="D50" s="67">
        <f t="shared" ref="D50:O50" si="15">D10</f>
        <v>3074.4380000000001</v>
      </c>
      <c r="E50" s="68">
        <f t="shared" si="15"/>
        <v>3340.8939999999998</v>
      </c>
      <c r="F50" s="68">
        <f t="shared" si="15"/>
        <v>3833.05</v>
      </c>
      <c r="G50" s="68">
        <f t="shared" si="15"/>
        <v>4035.741</v>
      </c>
      <c r="H50" s="68">
        <f t="shared" si="15"/>
        <v>3978.31</v>
      </c>
      <c r="I50" s="68">
        <f t="shared" si="15"/>
        <v>4481.0469999999996</v>
      </c>
      <c r="J50" s="69">
        <f t="shared" si="15"/>
        <v>3751.9409999999998</v>
      </c>
      <c r="K50" s="69">
        <f t="shared" si="15"/>
        <v>3878.5647304396953</v>
      </c>
      <c r="L50" s="69">
        <f t="shared" si="15"/>
        <v>4009.4618673936361</v>
      </c>
      <c r="M50" s="69">
        <f t="shared" si="15"/>
        <v>4144.776633458745</v>
      </c>
      <c r="N50" s="69">
        <f t="shared" si="15"/>
        <v>4284.6581185801342</v>
      </c>
      <c r="O50" s="69">
        <f t="shared" si="15"/>
        <v>4429.2604443185573</v>
      </c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 spans="1:29" ht="14.25" customHeight="1" x14ac:dyDescent="0.2">
      <c r="A51" s="56"/>
      <c r="B51" s="56"/>
      <c r="C51" s="56" t="s">
        <v>17</v>
      </c>
      <c r="D51" s="67">
        <f t="shared" ref="D51:O51" si="16">D14</f>
        <v>269.84399999999999</v>
      </c>
      <c r="E51" s="69">
        <f t="shared" si="16"/>
        <v>411.29</v>
      </c>
      <c r="F51" s="69">
        <f t="shared" si="16"/>
        <v>570.79600000000005</v>
      </c>
      <c r="G51" s="69">
        <f t="shared" si="16"/>
        <v>714.88499999999999</v>
      </c>
      <c r="H51" s="69">
        <f t="shared" si="16"/>
        <v>544.80799999999999</v>
      </c>
      <c r="I51" s="69">
        <f t="shared" si="16"/>
        <v>580.15599999999995</v>
      </c>
      <c r="J51" s="69">
        <f t="shared" si="16"/>
        <v>389.21</v>
      </c>
      <c r="K51" s="69">
        <f t="shared" si="16"/>
        <v>491.42767224490058</v>
      </c>
      <c r="L51" s="69">
        <f t="shared" si="16"/>
        <v>508.01279581186105</v>
      </c>
      <c r="M51" s="69">
        <f t="shared" si="16"/>
        <v>525.15764838731388</v>
      </c>
      <c r="N51" s="69">
        <f t="shared" si="16"/>
        <v>542.88112018704101</v>
      </c>
      <c r="O51" s="69">
        <f t="shared" si="16"/>
        <v>561.2027389500663</v>
      </c>
      <c r="P51" s="56"/>
      <c r="Q51" s="47" t="s">
        <v>46</v>
      </c>
      <c r="R51" s="47" t="s">
        <v>47</v>
      </c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 spans="1:29" ht="14.25" customHeight="1" x14ac:dyDescent="0.2">
      <c r="A52" s="56"/>
      <c r="B52" s="56"/>
      <c r="C52" s="70" t="s">
        <v>48</v>
      </c>
      <c r="D52" s="71">
        <v>0.25800000000000001</v>
      </c>
      <c r="E52" s="71">
        <v>0.2361</v>
      </c>
      <c r="F52" s="71">
        <v>0.25009999999999999</v>
      </c>
      <c r="G52" s="71">
        <v>0.23369999999999999</v>
      </c>
      <c r="H52" s="71">
        <v>0.23050000000000001</v>
      </c>
      <c r="I52" s="71">
        <v>0.26250000000000001</v>
      </c>
      <c r="J52" s="71">
        <v>0.27</v>
      </c>
      <c r="K52" s="72">
        <f>$R$52</f>
        <v>0.248284895459154</v>
      </c>
      <c r="L52" s="72">
        <f>$R$52</f>
        <v>0.248284895459154</v>
      </c>
      <c r="M52" s="72">
        <f>$R$52</f>
        <v>0.248284895459154</v>
      </c>
      <c r="N52" s="72">
        <f>$R$52</f>
        <v>0.248284895459154</v>
      </c>
      <c r="O52" s="72">
        <f>$R$52</f>
        <v>0.248284895459154</v>
      </c>
      <c r="P52" s="56"/>
      <c r="Q52" s="73">
        <f>AVERAGE(D52:J52)</f>
        <v>0.24869999999999998</v>
      </c>
      <c r="R52" s="73">
        <f>GEOMEAN(D52:J52)</f>
        <v>0.248284895459154</v>
      </c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 spans="1:29" ht="14.25" customHeight="1" x14ac:dyDescent="0.2">
      <c r="A53" s="56"/>
      <c r="B53" s="56"/>
      <c r="C53" s="61" t="s">
        <v>49</v>
      </c>
      <c r="D53" s="67">
        <f t="shared" ref="D53:O53" si="17">D51*(1-D52)</f>
        <v>200.22424799999999</v>
      </c>
      <c r="E53" s="67">
        <f t="shared" si="17"/>
        <v>314.18443100000002</v>
      </c>
      <c r="F53" s="67">
        <f t="shared" si="17"/>
        <v>428.03992040000003</v>
      </c>
      <c r="G53" s="67">
        <f t="shared" si="17"/>
        <v>547.81637549999994</v>
      </c>
      <c r="H53" s="67">
        <f t="shared" si="17"/>
        <v>419.22975599999995</v>
      </c>
      <c r="I53" s="67">
        <f t="shared" si="17"/>
        <v>427.86505</v>
      </c>
      <c r="J53" s="67">
        <f t="shared" si="17"/>
        <v>284.12329999999997</v>
      </c>
      <c r="K53" s="74">
        <f t="shared" si="17"/>
        <v>369.41360401584006</v>
      </c>
      <c r="L53" s="74">
        <f t="shared" si="17"/>
        <v>381.88089191180057</v>
      </c>
      <c r="M53" s="74">
        <f t="shared" si="17"/>
        <v>394.76893655789451</v>
      </c>
      <c r="N53" s="74">
        <f t="shared" si="17"/>
        <v>408.09193801465312</v>
      </c>
      <c r="O53" s="74">
        <f t="shared" si="17"/>
        <v>421.86457557845819</v>
      </c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 spans="1:29" ht="14.25" customHeight="1" x14ac:dyDescent="0.2">
      <c r="A54" s="56"/>
      <c r="B54" s="56"/>
      <c r="C54" s="75" t="s">
        <v>50</v>
      </c>
      <c r="D54" s="76">
        <f t="shared" ref="D54:O54" si="18">D17</f>
        <v>6.8</v>
      </c>
      <c r="E54" s="76">
        <f t="shared" si="18"/>
        <v>7</v>
      </c>
      <c r="F54" s="76">
        <f t="shared" si="18"/>
        <v>8</v>
      </c>
      <c r="G54" s="76">
        <f t="shared" si="18"/>
        <v>6.6</v>
      </c>
      <c r="H54" s="76">
        <f t="shared" si="18"/>
        <v>6.9</v>
      </c>
      <c r="I54" s="76">
        <f t="shared" si="18"/>
        <v>8.5</v>
      </c>
      <c r="J54" s="76">
        <f t="shared" si="18"/>
        <v>7.5</v>
      </c>
      <c r="K54" s="76">
        <f t="shared" si="18"/>
        <v>7.5306744985730196</v>
      </c>
      <c r="L54" s="76">
        <f t="shared" si="18"/>
        <v>7.7848261757279635</v>
      </c>
      <c r="M54" s="76">
        <f t="shared" si="18"/>
        <v>8.0475551821796287</v>
      </c>
      <c r="N54" s="76">
        <f t="shared" si="18"/>
        <v>8.319150993011112</v>
      </c>
      <c r="O54" s="76">
        <f t="shared" si="18"/>
        <v>8.5999128527594841</v>
      </c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 spans="1:29" ht="14.25" customHeight="1" x14ac:dyDescent="0.2">
      <c r="A55" s="56"/>
      <c r="B55" s="56"/>
      <c r="C55" s="77" t="s">
        <v>51</v>
      </c>
      <c r="D55" s="37"/>
      <c r="E55" s="78">
        <f t="shared" ref="E55:O55" si="19">(E23-D23)*-1</f>
        <v>0</v>
      </c>
      <c r="F55" s="78">
        <f t="shared" si="19"/>
        <v>0</v>
      </c>
      <c r="G55" s="78">
        <f t="shared" si="19"/>
        <v>0</v>
      </c>
      <c r="H55" s="78">
        <f t="shared" si="19"/>
        <v>0</v>
      </c>
      <c r="I55" s="78">
        <f t="shared" si="19"/>
        <v>0</v>
      </c>
      <c r="J55" s="78">
        <f t="shared" si="19"/>
        <v>0</v>
      </c>
      <c r="K55" s="78">
        <f t="shared" si="19"/>
        <v>0</v>
      </c>
      <c r="L55" s="78">
        <f t="shared" si="19"/>
        <v>0</v>
      </c>
      <c r="M55" s="78">
        <f t="shared" si="19"/>
        <v>0</v>
      </c>
      <c r="N55" s="78">
        <f t="shared" si="19"/>
        <v>0</v>
      </c>
      <c r="O55" s="78">
        <f t="shared" si="19"/>
        <v>0</v>
      </c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 spans="1:29" ht="14.25" customHeight="1" x14ac:dyDescent="0.2">
      <c r="A56" s="56"/>
      <c r="B56" s="56"/>
      <c r="C56" s="77" t="s">
        <v>52</v>
      </c>
      <c r="D56" s="37"/>
      <c r="E56" s="78">
        <f t="shared" ref="E56:O56" si="20">(E24-D24)*-1</f>
        <v>356</v>
      </c>
      <c r="F56" s="78">
        <f t="shared" si="20"/>
        <v>-147.09999999999991</v>
      </c>
      <c r="G56" s="78">
        <f t="shared" si="20"/>
        <v>-471.80000000000018</v>
      </c>
      <c r="H56" s="78">
        <f t="shared" si="20"/>
        <v>195.5</v>
      </c>
      <c r="I56" s="78">
        <f t="shared" si="20"/>
        <v>0.20000000000027285</v>
      </c>
      <c r="J56" s="78">
        <f t="shared" si="20"/>
        <v>41</v>
      </c>
      <c r="K56" s="78">
        <f t="shared" si="20"/>
        <v>-52.786306254067313</v>
      </c>
      <c r="L56" s="78">
        <f t="shared" si="20"/>
        <v>-134.48722559051294</v>
      </c>
      <c r="M56" s="78">
        <f t="shared" si="20"/>
        <v>-120.1079235428424</v>
      </c>
      <c r="N56" s="78">
        <f t="shared" si="20"/>
        <v>-124.16142900424529</v>
      </c>
      <c r="O56" s="78">
        <f t="shared" si="20"/>
        <v>-128.35173565278819</v>
      </c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 spans="1:29" ht="14.25" customHeight="1" x14ac:dyDescent="0.2">
      <c r="A57" s="56"/>
      <c r="B57" s="56"/>
      <c r="C57" s="77" t="s">
        <v>53</v>
      </c>
      <c r="D57" s="37"/>
      <c r="E57" s="78">
        <f t="shared" ref="E57:O57" si="21">(E25-D25)*-1</f>
        <v>7.6999999999999993</v>
      </c>
      <c r="F57" s="78">
        <f t="shared" si="21"/>
        <v>4.0999999999999996</v>
      </c>
      <c r="G57" s="78">
        <f t="shared" si="21"/>
        <v>-7.9</v>
      </c>
      <c r="H57" s="78">
        <f t="shared" si="21"/>
        <v>8.8000000000000007</v>
      </c>
      <c r="I57" s="78">
        <f t="shared" si="21"/>
        <v>-1.4000000000000004</v>
      </c>
      <c r="J57" s="78">
        <f t="shared" si="21"/>
        <v>-0.79999999999999893</v>
      </c>
      <c r="K57" s="78">
        <f t="shared" si="21"/>
        <v>-2.3331893612074772</v>
      </c>
      <c r="L57" s="78">
        <f t="shared" si="21"/>
        <v>-0.63222377962481602</v>
      </c>
      <c r="M57" s="78">
        <f t="shared" si="21"/>
        <v>-0.65356061126709619</v>
      </c>
      <c r="N57" s="78">
        <f t="shared" si="21"/>
        <v>-0.67561753664708135</v>
      </c>
      <c r="O57" s="78">
        <f t="shared" si="21"/>
        <v>-0.69841885810728499</v>
      </c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 spans="1:29" ht="14.25" customHeight="1" x14ac:dyDescent="0.2">
      <c r="A58" s="56"/>
      <c r="B58" s="56"/>
      <c r="C58" s="77" t="s">
        <v>54</v>
      </c>
      <c r="D58" s="37"/>
      <c r="E58" s="78">
        <f t="shared" ref="E58:O58" si="22">(E27-D27)</f>
        <v>34</v>
      </c>
      <c r="F58" s="78">
        <f t="shared" si="22"/>
        <v>106</v>
      </c>
      <c r="G58" s="78">
        <f t="shared" si="22"/>
        <v>0.69999999999998863</v>
      </c>
      <c r="H58" s="78">
        <f t="shared" si="22"/>
        <v>9</v>
      </c>
      <c r="I58" s="78">
        <f t="shared" si="22"/>
        <v>-34.699999999999989</v>
      </c>
      <c r="J58" s="78">
        <f t="shared" si="22"/>
        <v>-33.5</v>
      </c>
      <c r="K58" s="78">
        <f t="shared" si="22"/>
        <v>22.875330885365997</v>
      </c>
      <c r="L58" s="78">
        <f t="shared" si="22"/>
        <v>15.992857108980729</v>
      </c>
      <c r="M58" s="78">
        <f t="shared" si="22"/>
        <v>15.509902302636306</v>
      </c>
      <c r="N58" s="78">
        <f t="shared" si="22"/>
        <v>16.033343819524532</v>
      </c>
      <c r="O58" s="78">
        <f t="shared" si="22"/>
        <v>16.574450890731214</v>
      </c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 spans="1:29" ht="14.25" customHeight="1" x14ac:dyDescent="0.2">
      <c r="A59" s="56"/>
      <c r="B59" s="56"/>
      <c r="C59" s="77" t="s">
        <v>55</v>
      </c>
      <c r="D59" s="37"/>
      <c r="E59" s="78">
        <f t="shared" ref="E59:O59" si="23">(E28-D28)</f>
        <v>0</v>
      </c>
      <c r="F59" s="78">
        <f t="shared" si="23"/>
        <v>0</v>
      </c>
      <c r="G59" s="78">
        <f t="shared" si="23"/>
        <v>0</v>
      </c>
      <c r="H59" s="78">
        <f t="shared" si="23"/>
        <v>0</v>
      </c>
      <c r="I59" s="78">
        <f t="shared" si="23"/>
        <v>0</v>
      </c>
      <c r="J59" s="78">
        <f t="shared" si="23"/>
        <v>0</v>
      </c>
      <c r="K59" s="78">
        <f t="shared" si="23"/>
        <v>0</v>
      </c>
      <c r="L59" s="78">
        <f t="shared" si="23"/>
        <v>0</v>
      </c>
      <c r="M59" s="78">
        <f t="shared" si="23"/>
        <v>0</v>
      </c>
      <c r="N59" s="78">
        <f t="shared" si="23"/>
        <v>0</v>
      </c>
      <c r="O59" s="78">
        <f t="shared" si="23"/>
        <v>0</v>
      </c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 spans="1:29" ht="14.25" customHeight="1" x14ac:dyDescent="0.2">
      <c r="A60" s="56"/>
      <c r="B60" s="56"/>
      <c r="C60" s="75" t="s">
        <v>56</v>
      </c>
      <c r="D60" s="79"/>
      <c r="E60" s="80">
        <f t="shared" ref="E60:O60" si="24">E32*-1</f>
        <v>-4.8</v>
      </c>
      <c r="F60" s="80">
        <f t="shared" si="24"/>
        <v>-10.5</v>
      </c>
      <c r="G60" s="80">
        <f t="shared" si="24"/>
        <v>-9.1</v>
      </c>
      <c r="H60" s="80">
        <f t="shared" si="24"/>
        <v>-6.7</v>
      </c>
      <c r="I60" s="80">
        <f t="shared" si="24"/>
        <v>-6.4</v>
      </c>
      <c r="J60" s="80">
        <f t="shared" si="24"/>
        <v>-6.8</v>
      </c>
      <c r="K60" s="80">
        <f t="shared" si="24"/>
        <v>-7.6584484297631228</v>
      </c>
      <c r="L60" s="80">
        <f t="shared" si="24"/>
        <v>-8.2369437242921588</v>
      </c>
      <c r="M60" s="80">
        <f t="shared" si="24"/>
        <v>-8.5149311824616003</v>
      </c>
      <c r="N60" s="80">
        <f t="shared" si="24"/>
        <v>-8.8023004003572396</v>
      </c>
      <c r="O60" s="80">
        <f t="shared" si="24"/>
        <v>-9.0993680016718823</v>
      </c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 spans="1:29" ht="14.25" customHeight="1" x14ac:dyDescent="0.2">
      <c r="A61" s="56"/>
      <c r="B61" s="56"/>
      <c r="C61" s="47" t="s">
        <v>57</v>
      </c>
      <c r="D61" s="47"/>
      <c r="E61" s="81">
        <f t="shared" ref="E61:O61" si="25">SUM(E53:E60)</f>
        <v>714.08443100000011</v>
      </c>
      <c r="F61" s="81">
        <f t="shared" si="25"/>
        <v>388.53992040000014</v>
      </c>
      <c r="G61" s="81">
        <f t="shared" si="25"/>
        <v>66.316375499999765</v>
      </c>
      <c r="H61" s="81">
        <f t="shared" si="25"/>
        <v>632.72975599999984</v>
      </c>
      <c r="I61" s="81">
        <f t="shared" si="25"/>
        <v>394.06505000000033</v>
      </c>
      <c r="J61" s="81">
        <f t="shared" si="25"/>
        <v>291.52329999999995</v>
      </c>
      <c r="K61" s="81">
        <f t="shared" si="25"/>
        <v>337.04166535474121</v>
      </c>
      <c r="L61" s="81">
        <f t="shared" si="25"/>
        <v>262.30218210207943</v>
      </c>
      <c r="M61" s="81">
        <f t="shared" si="25"/>
        <v>289.04997870613931</v>
      </c>
      <c r="N61" s="81">
        <f t="shared" si="25"/>
        <v>298.80508588593915</v>
      </c>
      <c r="O61" s="81">
        <f t="shared" si="25"/>
        <v>308.88941680938149</v>
      </c>
      <c r="P61" s="56"/>
      <c r="Q61" s="82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 spans="1:29" ht="14.25" customHeight="1" x14ac:dyDescent="0.2">
      <c r="A62" s="56"/>
      <c r="B62" s="56"/>
      <c r="C62" s="37" t="s">
        <v>58</v>
      </c>
      <c r="D62" s="77"/>
      <c r="E62" s="83"/>
      <c r="F62" s="83"/>
      <c r="G62" s="84"/>
      <c r="H62" s="84"/>
      <c r="I62" s="85"/>
      <c r="J62" s="85"/>
      <c r="K62" s="86">
        <f>$I$89</f>
        <v>7.9572637372920904E-2</v>
      </c>
      <c r="L62" s="86">
        <f>$I$89</f>
        <v>7.9572637372920904E-2</v>
      </c>
      <c r="M62" s="86">
        <f>$I$89</f>
        <v>7.9572637372920904E-2</v>
      </c>
      <c r="N62" s="86">
        <f>$I$89</f>
        <v>7.9572637372920904E-2</v>
      </c>
      <c r="O62" s="86">
        <f>$I$89</f>
        <v>7.9572637372920904E-2</v>
      </c>
      <c r="P62" s="56"/>
      <c r="Q62" s="82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 spans="1:29" ht="14.25" customHeight="1" x14ac:dyDescent="0.2">
      <c r="A63" s="56"/>
      <c r="B63" s="56"/>
      <c r="C63" s="37" t="s">
        <v>59</v>
      </c>
      <c r="D63" s="77"/>
      <c r="E63" s="87"/>
      <c r="F63" s="87"/>
      <c r="G63" s="87"/>
      <c r="H63" s="87"/>
      <c r="I63" s="87"/>
      <c r="J63" s="87"/>
      <c r="K63" s="88">
        <f>K61/(1+K62)^K49</f>
        <v>312.19915519062533</v>
      </c>
      <c r="L63" s="88">
        <f>L61/(1+L62)^L49</f>
        <v>225.05992331067085</v>
      </c>
      <c r="M63" s="88">
        <f>M61/(1+M62)^M49</f>
        <v>229.72980093746443</v>
      </c>
      <c r="N63" s="88">
        <f>N61/(1+N62)^N49</f>
        <v>219.97863926769074</v>
      </c>
      <c r="O63" s="88">
        <f>O61/(1+O62)^O49</f>
        <v>210.64137755134956</v>
      </c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 spans="1:29" ht="14.25" customHeight="1" x14ac:dyDescent="0.2">
      <c r="A64" s="56"/>
      <c r="B64" s="56"/>
      <c r="C64" s="47" t="s">
        <v>60</v>
      </c>
      <c r="D64" s="61"/>
      <c r="E64" s="89"/>
      <c r="F64" s="90">
        <f>SUM(K63:O63)</f>
        <v>1197.608896257801</v>
      </c>
      <c r="G64" s="89"/>
      <c r="H64" s="89"/>
      <c r="I64" s="56"/>
      <c r="J64" s="56"/>
      <c r="K64" s="83">
        <f>K61/J61-1</f>
        <v>0.15613971629280154</v>
      </c>
      <c r="L64" s="83">
        <f>L61/K61-1</f>
        <v>-0.22175146557621417</v>
      </c>
      <c r="M64" s="83">
        <f>M61/L61-1</f>
        <v>0.10197321421310379</v>
      </c>
      <c r="N64" s="83">
        <f>N61/M61-1</f>
        <v>3.3748859707467105E-2</v>
      </c>
      <c r="O64" s="83">
        <f>O61/N61-1</f>
        <v>3.3748859707467549E-2</v>
      </c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 spans="1:29" ht="14.25" customHeight="1" x14ac:dyDescent="0.2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 spans="1:29" ht="18" customHeight="1" x14ac:dyDescent="0.25">
      <c r="A66" s="56"/>
      <c r="B66" s="56"/>
      <c r="C66" s="14" t="s">
        <v>61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 spans="1:29" ht="14.25" customHeight="1" x14ac:dyDescent="0.2">
      <c r="A67" s="56"/>
      <c r="B67" s="56"/>
      <c r="C67" s="91" t="s">
        <v>62</v>
      </c>
      <c r="D67" s="92"/>
      <c r="E67" s="93"/>
      <c r="F67" s="93"/>
      <c r="G67" s="94"/>
      <c r="H67" s="94"/>
      <c r="I67" s="95"/>
      <c r="J67" s="95"/>
      <c r="K67" s="95"/>
      <c r="L67" s="94"/>
      <c r="M67" s="95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 spans="1:29" ht="14.25" customHeight="1" x14ac:dyDescent="0.2">
      <c r="A68" s="56"/>
      <c r="B68" s="56"/>
      <c r="C68" s="70" t="s">
        <v>63</v>
      </c>
      <c r="D68" s="56"/>
      <c r="E68" s="96"/>
      <c r="F68" s="97">
        <v>0.01</v>
      </c>
      <c r="G68" s="70"/>
      <c r="I68" s="147" t="s">
        <v>64</v>
      </c>
      <c r="J68" s="147"/>
      <c r="K68" s="147"/>
      <c r="L68" s="147"/>
      <c r="M68" s="147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 spans="1:29" ht="14.25" customHeight="1" x14ac:dyDescent="0.2">
      <c r="A69" s="56"/>
      <c r="B69" s="56"/>
      <c r="C69" s="70" t="s">
        <v>65</v>
      </c>
      <c r="D69" s="56"/>
      <c r="E69" s="49"/>
      <c r="F69" s="49">
        <f>I89</f>
        <v>7.9572637372920904E-2</v>
      </c>
      <c r="G69" s="98"/>
      <c r="H69" s="98"/>
      <c r="I69" s="47">
        <v>2021</v>
      </c>
      <c r="J69" s="99">
        <f>K48</f>
        <v>46327</v>
      </c>
      <c r="K69" s="99">
        <f>L48</f>
        <v>46692</v>
      </c>
      <c r="L69" s="99">
        <f>M48</f>
        <v>47057</v>
      </c>
      <c r="M69" s="99">
        <f>N48</f>
        <v>47422</v>
      </c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 spans="1:29" ht="14.25" customHeight="1" x14ac:dyDescent="0.2">
      <c r="A70" s="56"/>
      <c r="B70" s="56"/>
      <c r="C70" s="70" t="s">
        <v>66</v>
      </c>
      <c r="D70" s="56"/>
      <c r="E70" s="100"/>
      <c r="F70" s="76">
        <f>O61*(1+F68)</f>
        <v>311.9783109774753</v>
      </c>
      <c r="G70" s="100"/>
      <c r="H70" s="94"/>
      <c r="I70" s="95"/>
      <c r="J70" s="101">
        <f>L61/K61-1</f>
        <v>-0.22175146557621417</v>
      </c>
      <c r="K70" s="101">
        <f>M61/L61-1</f>
        <v>0.10197321421310379</v>
      </c>
      <c r="L70" s="102">
        <f>N61/M61-1</f>
        <v>3.3748859707467105E-2</v>
      </c>
      <c r="M70" s="101">
        <f>O61/N61-1</f>
        <v>3.3748859707467549E-2</v>
      </c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 spans="1:29" ht="14.25" customHeight="1" x14ac:dyDescent="0.2">
      <c r="A71" s="56"/>
      <c r="B71" s="56"/>
      <c r="C71" s="70" t="s">
        <v>61</v>
      </c>
      <c r="D71" s="56"/>
      <c r="E71" s="100"/>
      <c r="F71" s="76">
        <f>F70/(F69-F68)</f>
        <v>4484.2099244451474</v>
      </c>
      <c r="G71" s="75"/>
      <c r="H71" s="94"/>
      <c r="I71" s="95"/>
      <c r="J71" s="95"/>
      <c r="K71" s="95"/>
      <c r="L71" s="94"/>
      <c r="M71" s="95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 spans="1:29" ht="14.25" customHeight="1" x14ac:dyDescent="0.2">
      <c r="A72" s="56"/>
      <c r="B72" s="56"/>
      <c r="C72" s="47" t="s">
        <v>67</v>
      </c>
      <c r="D72" s="61"/>
      <c r="E72" s="103"/>
      <c r="F72" s="104">
        <f>F71/(1+F69)^O49</f>
        <v>3057.9233353839886</v>
      </c>
      <c r="G72" s="103"/>
      <c r="H72" s="105"/>
      <c r="I72" s="95"/>
      <c r="J72" s="95"/>
      <c r="K72" s="95"/>
      <c r="L72" s="105"/>
      <c r="M72" s="95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 spans="1:29" ht="14.25" customHeight="1" x14ac:dyDescent="0.2">
      <c r="A73" s="56"/>
      <c r="B73" s="56"/>
      <c r="C73" s="56"/>
      <c r="D73" s="56"/>
      <c r="E73" s="106"/>
      <c r="F73" s="106"/>
      <c r="G73" s="106"/>
      <c r="H73" s="95"/>
      <c r="I73" s="95"/>
      <c r="J73" s="95"/>
      <c r="K73" s="95"/>
      <c r="L73" s="95"/>
      <c r="M73" s="95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 spans="1:29" ht="18" customHeight="1" x14ac:dyDescent="0.25">
      <c r="A74" s="56"/>
      <c r="B74" s="56"/>
      <c r="C74" s="14" t="s">
        <v>65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 spans="1:29" ht="14.25" customHeight="1" x14ac:dyDescent="0.2">
      <c r="A75" s="56"/>
      <c r="B75" s="56"/>
      <c r="C75" s="70" t="s">
        <v>68</v>
      </c>
      <c r="D75" s="56"/>
      <c r="E75" s="56"/>
      <c r="F75" s="56"/>
      <c r="G75" s="56"/>
      <c r="H75" s="56"/>
      <c r="I75" s="107">
        <f>I4</f>
        <v>33.99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 spans="1:29" ht="14.25" customHeight="1" x14ac:dyDescent="0.2">
      <c r="A76" s="56"/>
      <c r="B76" s="56"/>
      <c r="C76" s="70" t="s">
        <v>6</v>
      </c>
      <c r="D76" s="56"/>
      <c r="E76" s="56"/>
      <c r="F76" s="56"/>
      <c r="G76" s="56"/>
      <c r="H76" s="56"/>
      <c r="I76" s="108">
        <f>I5</f>
        <v>85.95</v>
      </c>
      <c r="J76" s="56"/>
      <c r="K76" s="56"/>
      <c r="L76" s="56"/>
      <c r="M76" s="56"/>
      <c r="N76" s="109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 spans="1:29" ht="14.25" customHeight="1" x14ac:dyDescent="0.2">
      <c r="A77" s="56"/>
      <c r="B77" s="56"/>
      <c r="C77" s="70" t="s">
        <v>69</v>
      </c>
      <c r="D77" s="56"/>
      <c r="E77" s="56"/>
      <c r="F77" s="56"/>
      <c r="G77" s="56"/>
      <c r="H77" s="56"/>
      <c r="I77" s="97">
        <v>5.9299999999999999E-2</v>
      </c>
      <c r="J77" s="70"/>
      <c r="K77" s="56"/>
      <c r="L77" s="56"/>
      <c r="M77" s="70" t="s">
        <v>70</v>
      </c>
      <c r="N77" s="83">
        <f>0.1004-0.0412</f>
        <v>5.9200000000000003E-2</v>
      </c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 spans="1:29" ht="14.25" customHeight="1" x14ac:dyDescent="0.2">
      <c r="A78" s="56"/>
      <c r="B78" s="56"/>
      <c r="C78" s="70" t="s">
        <v>71</v>
      </c>
      <c r="D78" s="56"/>
      <c r="E78" s="56"/>
      <c r="F78" s="56"/>
      <c r="G78" s="56"/>
      <c r="H78" s="56"/>
      <c r="I78" s="110">
        <f>R52</f>
        <v>0.248284895459154</v>
      </c>
      <c r="J78" s="56"/>
      <c r="K78" s="56"/>
      <c r="L78" s="56"/>
      <c r="M78" s="70" t="s">
        <v>72</v>
      </c>
      <c r="N78" s="111">
        <v>4.1200000000000001E-2</v>
      </c>
      <c r="O78" s="70" t="s">
        <v>73</v>
      </c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 spans="1:29" ht="14.25" customHeight="1" x14ac:dyDescent="0.2">
      <c r="A79" s="56"/>
      <c r="B79" s="56"/>
      <c r="C79" s="70" t="s">
        <v>74</v>
      </c>
      <c r="D79" s="56"/>
      <c r="E79" s="56"/>
      <c r="F79" s="56"/>
      <c r="G79" s="56"/>
      <c r="H79" s="56"/>
      <c r="I79" s="112">
        <f>I77*(1-I78)</f>
        <v>4.4576705699272169E-2</v>
      </c>
      <c r="J79" s="56"/>
      <c r="K79" s="56"/>
      <c r="L79" s="56"/>
      <c r="M79" s="70" t="s">
        <v>75</v>
      </c>
      <c r="N79" s="113">
        <v>0.85</v>
      </c>
      <c r="O79" s="70" t="s">
        <v>76</v>
      </c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 spans="1:29" ht="14.25" customHeight="1" x14ac:dyDescent="0.2">
      <c r="A80" s="56"/>
      <c r="B80" s="56"/>
      <c r="C80" s="70" t="s">
        <v>77</v>
      </c>
      <c r="D80" s="56"/>
      <c r="E80" s="56"/>
      <c r="F80" s="56"/>
      <c r="G80" s="56"/>
      <c r="H80" s="56"/>
      <c r="I80" s="97">
        <v>9.1499999999999998E-2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 spans="1:29" ht="14.25" customHeight="1" x14ac:dyDescent="0.2">
      <c r="A81" s="56"/>
      <c r="B81" s="56"/>
      <c r="C81" s="56"/>
      <c r="D81" s="56"/>
      <c r="E81" s="106"/>
      <c r="F81" s="106"/>
      <c r="G81" s="56"/>
      <c r="H81" s="106"/>
      <c r="I81" s="56"/>
      <c r="J81" s="56"/>
      <c r="K81" s="56"/>
      <c r="L81" s="56"/>
      <c r="M81" s="70" t="s">
        <v>78</v>
      </c>
      <c r="N81" s="83">
        <f>N78+N79*(N77)</f>
        <v>9.1520000000000004E-2</v>
      </c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 spans="1:29" ht="14.25" customHeight="1" x14ac:dyDescent="0.2">
      <c r="A82" s="56"/>
      <c r="B82" s="56"/>
      <c r="C82" s="70" t="s">
        <v>79</v>
      </c>
      <c r="D82" s="56"/>
      <c r="E82" s="56"/>
      <c r="F82" s="56"/>
      <c r="G82" s="56"/>
      <c r="H82" s="56"/>
      <c r="I82" s="114">
        <v>995.57</v>
      </c>
      <c r="J82" s="56"/>
      <c r="K82" s="56"/>
      <c r="L82" s="56"/>
      <c r="M82" s="115" t="s">
        <v>80</v>
      </c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 spans="1:29" ht="14.25" customHeight="1" x14ac:dyDescent="0.2">
      <c r="A83" s="56"/>
      <c r="B83" s="56"/>
      <c r="C83" s="70" t="s">
        <v>81</v>
      </c>
      <c r="D83" s="56"/>
      <c r="E83" s="56"/>
      <c r="F83" s="56"/>
      <c r="G83" s="56"/>
      <c r="H83" s="56"/>
      <c r="I83" s="114">
        <v>2921.09</v>
      </c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 spans="1:29" ht="14.25" customHeight="1" x14ac:dyDescent="0.2">
      <c r="A84" s="56"/>
      <c r="B84" s="56"/>
      <c r="C84" s="37" t="s">
        <v>82</v>
      </c>
      <c r="D84" s="116"/>
      <c r="E84" s="56"/>
      <c r="F84" s="56"/>
      <c r="G84" s="56"/>
      <c r="H84" s="56"/>
      <c r="I84" s="74">
        <f>SUM(I82:I83)</f>
        <v>3916.6600000000003</v>
      </c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 spans="1:29" ht="14.25" customHeight="1" x14ac:dyDescent="0.2">
      <c r="A85" s="56"/>
      <c r="B85" s="56"/>
      <c r="C85" s="116"/>
      <c r="D85" s="116"/>
      <c r="E85" s="56"/>
      <c r="F85" s="56"/>
      <c r="G85" s="56"/>
      <c r="H85" s="56"/>
      <c r="I85" s="117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 spans="1:29" ht="14.25" customHeight="1" x14ac:dyDescent="0.2">
      <c r="A86" s="56"/>
      <c r="B86" s="56"/>
      <c r="C86" s="70" t="s">
        <v>83</v>
      </c>
      <c r="D86" s="56"/>
      <c r="E86" s="56"/>
      <c r="F86" s="56"/>
      <c r="G86" s="56"/>
      <c r="H86" s="56"/>
      <c r="I86" s="112">
        <f>I82/I84</f>
        <v>0.2541885177676898</v>
      </c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 spans="1:29" ht="14.25" customHeight="1" x14ac:dyDescent="0.2">
      <c r="A87" s="56"/>
      <c r="B87" s="56"/>
      <c r="C87" s="70" t="s">
        <v>84</v>
      </c>
      <c r="D87" s="56"/>
      <c r="E87" s="56"/>
      <c r="F87" s="56"/>
      <c r="G87" s="56"/>
      <c r="H87" s="56"/>
      <c r="I87" s="112">
        <f>I83/I84</f>
        <v>0.7458114822323102</v>
      </c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 spans="1:29" ht="14.25" customHeight="1" x14ac:dyDescent="0.2">
      <c r="A88" s="56"/>
      <c r="B88" s="56"/>
      <c r="C88" s="116"/>
      <c r="D88" s="116"/>
      <c r="E88" s="56"/>
      <c r="F88" s="56"/>
      <c r="G88" s="56"/>
      <c r="H88" s="56"/>
      <c r="I88" s="117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 spans="1:29" ht="14.25" customHeight="1" x14ac:dyDescent="0.2">
      <c r="A89" s="56"/>
      <c r="B89" s="56"/>
      <c r="C89" s="47" t="s">
        <v>85</v>
      </c>
      <c r="D89" s="61"/>
      <c r="E89" s="61"/>
      <c r="F89" s="61"/>
      <c r="G89" s="61"/>
      <c r="H89" s="61"/>
      <c r="I89" s="86">
        <f>I86*I79+I87*I80</f>
        <v>7.9572637372920904E-2</v>
      </c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 spans="1:29" ht="14.25" customHeight="1" x14ac:dyDescent="0.2">
      <c r="A90" s="56"/>
      <c r="B90" s="56"/>
      <c r="C90" s="56"/>
      <c r="D90" s="56"/>
      <c r="E90" s="106"/>
      <c r="F90" s="106"/>
      <c r="G90" s="106"/>
      <c r="H90" s="10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 spans="1:29" ht="18" customHeight="1" x14ac:dyDescent="0.25">
      <c r="A91" s="56"/>
      <c r="B91" s="56"/>
      <c r="C91" s="14" t="s">
        <v>86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 spans="1:29" ht="14.25" customHeight="1" x14ac:dyDescent="0.2">
      <c r="A92" s="56"/>
      <c r="B92" s="56"/>
      <c r="C92" s="70" t="s">
        <v>87</v>
      </c>
      <c r="D92" s="56"/>
      <c r="E92" s="118"/>
      <c r="F92" s="118"/>
      <c r="G92" s="118"/>
      <c r="H92" s="118"/>
      <c r="I92" s="69">
        <f>F72+F64</f>
        <v>4255.5322316417896</v>
      </c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 spans="1:29" ht="14.25" customHeight="1" x14ac:dyDescent="0.2">
      <c r="A93" s="56"/>
      <c r="B93" s="56"/>
      <c r="C93" s="70" t="s">
        <v>88</v>
      </c>
      <c r="D93" s="56"/>
      <c r="E93" s="119"/>
      <c r="F93" s="119"/>
      <c r="G93" s="119"/>
      <c r="H93" s="119"/>
      <c r="I93" s="78">
        <f>(N93+N94)-N95</f>
        <v>203.56999999999994</v>
      </c>
      <c r="J93" s="37" t="s">
        <v>89</v>
      </c>
      <c r="K93" s="118"/>
      <c r="L93" s="56"/>
      <c r="M93" s="70" t="s">
        <v>90</v>
      </c>
      <c r="N93" s="120">
        <v>349.04</v>
      </c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 spans="1:29" ht="14.25" customHeight="1" x14ac:dyDescent="0.2">
      <c r="A94" s="56"/>
      <c r="B94" s="56"/>
      <c r="C94" s="47" t="s">
        <v>91</v>
      </c>
      <c r="D94" s="61"/>
      <c r="E94" s="56"/>
      <c r="F94" s="56"/>
      <c r="G94" s="56"/>
      <c r="H94" s="56"/>
      <c r="I94" s="90">
        <f>I92-I93</f>
        <v>4051.9622316417899</v>
      </c>
      <c r="J94" s="77"/>
      <c r="K94" s="119"/>
      <c r="L94" s="56"/>
      <c r="M94" s="70" t="s">
        <v>92</v>
      </c>
      <c r="N94" s="120">
        <v>646.53</v>
      </c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 spans="1:29" ht="14.25" customHeight="1" x14ac:dyDescent="0.2">
      <c r="A95" s="56"/>
      <c r="B95" s="56"/>
      <c r="C95" s="70" t="s">
        <v>6</v>
      </c>
      <c r="D95" s="56"/>
      <c r="E95" s="56"/>
      <c r="F95" s="56"/>
      <c r="G95" s="56"/>
      <c r="H95" s="56"/>
      <c r="I95" s="121">
        <f>I5</f>
        <v>85.95</v>
      </c>
      <c r="J95" s="37" t="s">
        <v>93</v>
      </c>
      <c r="K95" s="103"/>
      <c r="L95" s="56"/>
      <c r="M95" s="70" t="s">
        <v>94</v>
      </c>
      <c r="N95" s="120">
        <v>792</v>
      </c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 spans="1:29" ht="14.25" customHeight="1" x14ac:dyDescent="0.2">
      <c r="A96" s="56"/>
      <c r="B96" s="56"/>
      <c r="C96" s="122" t="s">
        <v>95</v>
      </c>
      <c r="D96" s="65"/>
      <c r="E96" s="65"/>
      <c r="F96" s="65"/>
      <c r="G96" s="65"/>
      <c r="H96" s="65"/>
      <c r="I96" s="123">
        <f>I94/I95</f>
        <v>47.143248768374519</v>
      </c>
      <c r="J96" s="124"/>
      <c r="K96" s="125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 spans="1:29" ht="14.25" customHeight="1" x14ac:dyDescent="0.2">
      <c r="A97" s="56"/>
      <c r="B97" s="56"/>
      <c r="C97" s="56"/>
      <c r="D97" s="56"/>
      <c r="E97" s="56"/>
      <c r="F97" s="56"/>
      <c r="G97" s="56"/>
      <c r="H97" s="70" t="s">
        <v>96</v>
      </c>
      <c r="I97" s="126">
        <f>I96/I4-1</f>
        <v>0.3869740737974261</v>
      </c>
      <c r="J97" s="116"/>
      <c r="K97" s="127"/>
      <c r="L97" s="147" t="s">
        <v>97</v>
      </c>
      <c r="M97" s="147"/>
      <c r="N97" s="147"/>
      <c r="O97" s="147"/>
      <c r="P97" s="147"/>
      <c r="Q97" s="147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 spans="1:29" ht="14.25" customHeight="1" x14ac:dyDescent="0.2">
      <c r="A98" s="106"/>
      <c r="B98" s="106"/>
      <c r="C98" s="56"/>
      <c r="D98" s="56"/>
      <c r="E98" s="106"/>
      <c r="F98" s="106"/>
      <c r="G98" s="106"/>
      <c r="H98" s="106"/>
      <c r="I98" s="106"/>
      <c r="J98" s="106"/>
      <c r="K98" s="106"/>
      <c r="L98" s="147" t="s">
        <v>98</v>
      </c>
      <c r="M98" s="147"/>
      <c r="N98" s="147"/>
      <c r="O98" s="147"/>
      <c r="P98" s="147"/>
      <c r="Q98" s="147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</row>
    <row r="99" spans="1:29" ht="14.25" customHeight="1" x14ac:dyDescent="0.2">
      <c r="C99" s="56"/>
      <c r="D99" s="56"/>
      <c r="E99" s="128"/>
      <c r="F99" s="128"/>
      <c r="L99" s="129">
        <f>+I96</f>
        <v>47.143248768374519</v>
      </c>
      <c r="M99" s="130">
        <f>N99-0.005</f>
        <v>2.9381787991493904E-2</v>
      </c>
      <c r="N99" s="130">
        <f>+O99-0.005</f>
        <v>3.4381787991493905E-2</v>
      </c>
      <c r="O99" s="130">
        <v>3.9381787991493902E-2</v>
      </c>
      <c r="P99" s="130">
        <f>O99+0.005</f>
        <v>4.43817879914939E-2</v>
      </c>
      <c r="Q99" s="131">
        <f>P99+0.005</f>
        <v>4.9381787991493897E-2</v>
      </c>
    </row>
    <row r="100" spans="1:29" ht="14.25" customHeight="1" x14ac:dyDescent="0.2">
      <c r="C100" s="56"/>
      <c r="D100" s="56"/>
      <c r="E100" s="128"/>
      <c r="F100" s="128"/>
      <c r="H100" s="128"/>
      <c r="K100" s="148" t="s">
        <v>65</v>
      </c>
      <c r="L100" s="132">
        <f>L101-0.005</f>
        <v>6.9572637372920895E-2</v>
      </c>
      <c r="M100" s="133">
        <v>56.6432490019304</v>
      </c>
      <c r="N100" s="133">
        <v>54.949116865059203</v>
      </c>
      <c r="O100" s="133">
        <v>53.1768550242207</v>
      </c>
      <c r="P100" s="133">
        <v>51.324676923240403</v>
      </c>
      <c r="Q100" s="134">
        <v>49.390772518693197</v>
      </c>
    </row>
    <row r="101" spans="1:29" ht="14.25" customHeight="1" x14ac:dyDescent="0.2">
      <c r="C101" s="95"/>
      <c r="D101" s="95"/>
      <c r="E101" s="128"/>
      <c r="F101" s="128"/>
      <c r="K101" s="148"/>
      <c r="L101" s="132">
        <f>L102-0.005</f>
        <v>7.45726373729209E-2</v>
      </c>
      <c r="M101" s="133">
        <v>52.242182968071397</v>
      </c>
      <c r="N101" s="133">
        <v>50.665433022385201</v>
      </c>
      <c r="O101" s="133">
        <v>49.017222516967301</v>
      </c>
      <c r="P101" s="133">
        <v>47.295925553029498</v>
      </c>
      <c r="Q101" s="134">
        <v>45.499894908408002</v>
      </c>
    </row>
    <row r="102" spans="1:29" ht="14.25" customHeight="1" x14ac:dyDescent="0.2">
      <c r="C102" s="95"/>
      <c r="D102" s="95"/>
      <c r="E102" s="56"/>
      <c r="F102" s="56"/>
      <c r="K102" s="148"/>
      <c r="L102" s="132">
        <v>7.9572637372920904E-2</v>
      </c>
      <c r="M102" s="133">
        <v>48.497933549323299</v>
      </c>
      <c r="N102" s="133">
        <v>47.021047636063599</v>
      </c>
      <c r="O102" s="135">
        <v>45.478375001918202</v>
      </c>
      <c r="P102" s="133">
        <v>43.868426428921602</v>
      </c>
      <c r="Q102" s="134">
        <v>42.189693216670101</v>
      </c>
    </row>
    <row r="103" spans="1:29" ht="14.25" customHeight="1" x14ac:dyDescent="0.2">
      <c r="C103" s="95"/>
      <c r="D103" s="95"/>
      <c r="K103" s="148"/>
      <c r="L103" s="132">
        <f>L102+0.005</f>
        <v>8.4572637372920909E-2</v>
      </c>
      <c r="M103" s="133">
        <v>45.277661788836802</v>
      </c>
      <c r="N103" s="133">
        <v>43.886664738081997</v>
      </c>
      <c r="O103" s="133">
        <v>42.434760797074297</v>
      </c>
      <c r="P103" s="133">
        <v>40.920578301286199</v>
      </c>
      <c r="Q103" s="134">
        <v>39.342727687065398</v>
      </c>
    </row>
    <row r="104" spans="1:29" ht="14.25" customHeight="1" x14ac:dyDescent="0.2">
      <c r="C104" s="95"/>
      <c r="D104" s="136"/>
      <c r="K104" s="148"/>
      <c r="L104" s="137">
        <f>L103+0.005</f>
        <v>8.9572637372920913E-2</v>
      </c>
      <c r="M104" s="138">
        <v>42.481941469872801</v>
      </c>
      <c r="N104" s="138">
        <v>41.165509939029697</v>
      </c>
      <c r="O104" s="138">
        <v>39.792408005617801</v>
      </c>
      <c r="P104" s="138">
        <v>38.361366060638098</v>
      </c>
      <c r="Q104" s="139">
        <v>36.871097970539999</v>
      </c>
    </row>
    <row r="105" spans="1:29" ht="12.75" customHeight="1" x14ac:dyDescent="0.2">
      <c r="C105" s="95"/>
      <c r="D105" s="95"/>
      <c r="R105" s="140" t="s">
        <v>99</v>
      </c>
    </row>
    <row r="106" spans="1:29" ht="12.75" customHeight="1" x14ac:dyDescent="0.2">
      <c r="C106" s="95"/>
      <c r="D106" s="136"/>
    </row>
    <row r="107" spans="1:29" ht="12.75" customHeight="1" x14ac:dyDescent="0.2">
      <c r="C107" s="95"/>
      <c r="D107" s="141"/>
    </row>
    <row r="108" spans="1:29" ht="12.75" customHeight="1" x14ac:dyDescent="0.2">
      <c r="C108" s="95"/>
      <c r="D108" s="136"/>
    </row>
    <row r="109" spans="1:29" ht="12.75" customHeight="1" x14ac:dyDescent="0.2"/>
    <row r="110" spans="1:29" ht="12.75" customHeight="1" x14ac:dyDescent="0.2"/>
    <row r="111" spans="1:29" ht="12.75" customHeight="1" x14ac:dyDescent="0.2"/>
    <row r="112" spans="1:29" ht="12.75" customHeight="1" x14ac:dyDescent="0.2"/>
    <row r="113" spans="3:10" ht="12.75" customHeight="1" x14ac:dyDescent="0.2"/>
    <row r="114" spans="3:10" ht="12.75" customHeight="1" x14ac:dyDescent="0.2"/>
    <row r="115" spans="3:10" ht="12.75" customHeight="1" x14ac:dyDescent="0.2"/>
    <row r="116" spans="3:10" ht="12.75" customHeight="1" x14ac:dyDescent="0.2"/>
    <row r="117" spans="3:10" ht="12.75" customHeight="1" x14ac:dyDescent="0.2">
      <c r="D117" s="95"/>
      <c r="E117" s="95"/>
      <c r="F117" s="95"/>
      <c r="G117" s="95"/>
      <c r="H117" s="95"/>
      <c r="I117" s="95"/>
      <c r="J117" s="95"/>
    </row>
    <row r="118" spans="3:10" ht="12.75" customHeight="1" x14ac:dyDescent="0.2">
      <c r="C118" s="95"/>
      <c r="D118" s="95"/>
      <c r="E118" s="95"/>
      <c r="F118" s="95"/>
      <c r="G118" s="95"/>
      <c r="H118" s="95"/>
      <c r="I118" s="95"/>
      <c r="J118" s="95"/>
    </row>
    <row r="119" spans="3:10" ht="12.75" customHeight="1" x14ac:dyDescent="0.2">
      <c r="E119" s="142"/>
      <c r="F119" s="142"/>
      <c r="G119" s="142"/>
      <c r="H119" s="142"/>
      <c r="I119" s="142"/>
      <c r="J119" s="142"/>
    </row>
    <row r="120" spans="3:10" ht="12.75" customHeight="1" x14ac:dyDescent="0.2"/>
    <row r="121" spans="3:10" ht="12.75" customHeight="1" x14ac:dyDescent="0.2">
      <c r="E121" s="95"/>
    </row>
    <row r="122" spans="3:10" ht="12.75" customHeight="1" x14ac:dyDescent="0.2">
      <c r="E122" s="142"/>
    </row>
    <row r="123" spans="3:10" ht="12.75" customHeight="1" x14ac:dyDescent="0.2"/>
    <row r="124" spans="3:10" ht="12.75" customHeight="1" x14ac:dyDescent="0.2"/>
    <row r="125" spans="3:10" ht="12.75" customHeight="1" x14ac:dyDescent="0.2"/>
    <row r="126" spans="3:10" ht="12.75" customHeight="1" x14ac:dyDescent="0.2"/>
    <row r="127" spans="3:10" ht="12.75" customHeight="1" x14ac:dyDescent="0.2"/>
    <row r="128" spans="3:10" ht="12.75" customHeight="1" x14ac:dyDescent="0.2"/>
    <row r="129" spans="3:15" ht="12.75" customHeight="1" x14ac:dyDescent="0.2"/>
    <row r="130" spans="3:15" ht="12.75" customHeight="1" x14ac:dyDescent="0.2"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</row>
    <row r="131" spans="3:15" ht="12.75" customHeight="1" x14ac:dyDescent="0.2">
      <c r="C131" s="95"/>
      <c r="D131" s="143"/>
      <c r="E131" s="105"/>
      <c r="F131" s="105"/>
      <c r="G131" s="105"/>
      <c r="H131" s="105"/>
      <c r="I131" s="105"/>
      <c r="J131" s="105"/>
      <c r="K131" s="144"/>
      <c r="L131" s="144"/>
      <c r="M131" s="144"/>
      <c r="N131" s="144"/>
      <c r="O131" s="144"/>
    </row>
    <row r="132" spans="3:15" ht="12.75" customHeight="1" x14ac:dyDescent="0.2"/>
    <row r="133" spans="3:15" ht="12.75" customHeight="1" x14ac:dyDescent="0.2"/>
    <row r="134" spans="3:15" ht="12.75" customHeight="1" x14ac:dyDescent="0.2"/>
    <row r="135" spans="3:15" ht="12.75" customHeight="1" x14ac:dyDescent="0.2"/>
    <row r="136" spans="3:15" ht="12.75" customHeight="1" x14ac:dyDescent="0.2"/>
    <row r="137" spans="3:15" ht="12.75" customHeight="1" x14ac:dyDescent="0.2"/>
    <row r="138" spans="3:15" ht="12.75" customHeight="1" x14ac:dyDescent="0.2"/>
    <row r="139" spans="3:15" ht="12.75" customHeight="1" x14ac:dyDescent="0.2"/>
    <row r="140" spans="3:15" ht="12.75" customHeight="1" x14ac:dyDescent="0.2"/>
    <row r="141" spans="3:15" ht="12.75" customHeight="1" x14ac:dyDescent="0.2"/>
    <row r="142" spans="3:15" ht="12.75" customHeight="1" x14ac:dyDescent="0.2"/>
    <row r="143" spans="3:15" ht="12.75" customHeight="1" x14ac:dyDescent="0.2"/>
    <row r="144" spans="3:15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  <row r="1003" ht="12.75" customHeight="1" x14ac:dyDescent="0.2"/>
    <row r="1004" ht="12.75" customHeight="1" x14ac:dyDescent="0.2"/>
    <row r="1005" ht="12.75" customHeight="1" x14ac:dyDescent="0.2"/>
    <row r="1006" ht="12.75" customHeight="1" x14ac:dyDescent="0.2"/>
  </sheetData>
  <mergeCells count="7">
    <mergeCell ref="L98:Q98"/>
    <mergeCell ref="K100:K104"/>
    <mergeCell ref="K8:O8"/>
    <mergeCell ref="K21:O21"/>
    <mergeCell ref="K47:O47"/>
    <mergeCell ref="I68:M68"/>
    <mergeCell ref="L97:Q97"/>
  </mergeCells>
  <conditionalFormatting sqref="M100:Q1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 Street Prep, LLC</dc:creator>
  <dc:description/>
  <cp:lastModifiedBy>Sam Heier</cp:lastModifiedBy>
  <cp:revision>0</cp:revision>
  <dcterms:created xsi:type="dcterms:W3CDTF">2006-10-30T23:26:47Z</dcterms:created>
  <dcterms:modified xsi:type="dcterms:W3CDTF">2026-08-14T00:14:11Z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1b0b552e-fe71-4692-9a0a-515971af59e0</vt:lpwstr>
  </property>
</Properties>
</file>
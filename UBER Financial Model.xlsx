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Models\"/>
    </mc:Choice>
  </mc:AlternateContent>
  <xr:revisionPtr revIDLastSave="0" documentId="8_{864A43FE-A1E4-44F7-ADF1-2FF985C879A0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Main" sheetId="1" r:id="rId1"/>
    <sheet name="10QIS" sheetId="2" r:id="rId2"/>
    <sheet name="IS" sheetId="3" r:id="rId3"/>
    <sheet name="BS" sheetId="4" r:id="rId4"/>
    <sheet name="CFS" sheetId="5" r:id="rId5"/>
    <sheet name="DCF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6" i="3" l="1"/>
  <c r="K94" i="6"/>
  <c r="K80" i="6"/>
  <c r="E79" i="6"/>
  <c r="E77" i="6"/>
  <c r="E78" i="6" s="1"/>
  <c r="E74" i="6"/>
  <c r="G55" i="6"/>
  <c r="F55" i="6"/>
  <c r="E55" i="6"/>
  <c r="D55" i="6"/>
  <c r="I51" i="6"/>
  <c r="J51" i="6" s="1"/>
  <c r="K51" i="6" s="1"/>
  <c r="L51" i="6" s="1"/>
  <c r="G39" i="6"/>
  <c r="F39" i="6"/>
  <c r="E39" i="6"/>
  <c r="D39" i="6"/>
  <c r="G30" i="6"/>
  <c r="F30" i="6"/>
  <c r="E30" i="6"/>
  <c r="D30" i="6"/>
  <c r="C30" i="6"/>
  <c r="G28" i="6"/>
  <c r="F28" i="6"/>
  <c r="E28" i="6"/>
  <c r="D28" i="6"/>
  <c r="C28" i="6"/>
  <c r="G26" i="6"/>
  <c r="F26" i="6"/>
  <c r="E26" i="6"/>
  <c r="D26" i="6"/>
  <c r="C26" i="6"/>
  <c r="G25" i="6"/>
  <c r="F25" i="6"/>
  <c r="E25" i="6"/>
  <c r="D25" i="6"/>
  <c r="C25" i="6"/>
  <c r="G23" i="6"/>
  <c r="F23" i="6"/>
  <c r="E23" i="6"/>
  <c r="D23" i="6"/>
  <c r="C23" i="6"/>
  <c r="G21" i="6"/>
  <c r="F21" i="6"/>
  <c r="E21" i="6"/>
  <c r="D21" i="6"/>
  <c r="C21" i="6"/>
  <c r="L16" i="6"/>
  <c r="K16" i="6"/>
  <c r="J16" i="6"/>
  <c r="I16" i="6"/>
  <c r="H16" i="6"/>
  <c r="F6" i="6"/>
  <c r="F4" i="6"/>
  <c r="F7" i="6" s="1"/>
  <c r="C72" i="6" s="1"/>
  <c r="H37" i="5"/>
  <c r="G37" i="5"/>
  <c r="F37" i="5"/>
  <c r="E37" i="5"/>
  <c r="D37" i="5"/>
  <c r="C37" i="5"/>
  <c r="H28" i="5"/>
  <c r="G28" i="5"/>
  <c r="F28" i="5"/>
  <c r="E28" i="5"/>
  <c r="D28" i="5"/>
  <c r="C28" i="5"/>
  <c r="H18" i="5"/>
  <c r="H40" i="5" s="1"/>
  <c r="G18" i="5"/>
  <c r="G40" i="5" s="1"/>
  <c r="F18" i="5"/>
  <c r="F40" i="5" s="1"/>
  <c r="E18" i="5"/>
  <c r="E40" i="5" s="1"/>
  <c r="D18" i="5"/>
  <c r="D40" i="5" s="1"/>
  <c r="C18" i="5"/>
  <c r="C40" i="5" s="1"/>
  <c r="C42" i="5" s="1"/>
  <c r="D41" i="5" s="1"/>
  <c r="D42" i="5" s="1"/>
  <c r="E41" i="5" s="1"/>
  <c r="E42" i="5" s="1"/>
  <c r="F41" i="5" s="1"/>
  <c r="F42" i="5" s="1"/>
  <c r="G41" i="5" s="1"/>
  <c r="G42" i="5" s="1"/>
  <c r="H41" i="5" s="1"/>
  <c r="H42" i="5" s="1"/>
  <c r="H36" i="4"/>
  <c r="H38" i="4" s="1"/>
  <c r="G36" i="4"/>
  <c r="G38" i="4" s="1"/>
  <c r="F36" i="4"/>
  <c r="F38" i="4" s="1"/>
  <c r="E36" i="4"/>
  <c r="E38" i="4" s="1"/>
  <c r="D36" i="4"/>
  <c r="D38" i="4" s="1"/>
  <c r="C36" i="4"/>
  <c r="C38" i="4" s="1"/>
  <c r="H26" i="4"/>
  <c r="H31" i="4" s="1"/>
  <c r="H39" i="4" s="1"/>
  <c r="G26" i="4"/>
  <c r="G31" i="4" s="1"/>
  <c r="G39" i="4" s="1"/>
  <c r="F26" i="4"/>
  <c r="F31" i="4" s="1"/>
  <c r="F39" i="4" s="1"/>
  <c r="E26" i="4"/>
  <c r="E31" i="4" s="1"/>
  <c r="E39" i="4" s="1"/>
  <c r="D26" i="4"/>
  <c r="D31" i="4" s="1"/>
  <c r="D39" i="4" s="1"/>
  <c r="C26" i="4"/>
  <c r="C31" i="4" s="1"/>
  <c r="C39" i="4" s="1"/>
  <c r="H8" i="4"/>
  <c r="H19" i="4" s="1"/>
  <c r="H40" i="4" s="1"/>
  <c r="G8" i="4"/>
  <c r="G19" i="4" s="1"/>
  <c r="G40" i="4" s="1"/>
  <c r="F8" i="4"/>
  <c r="F19" i="4" s="1"/>
  <c r="F40" i="4" s="1"/>
  <c r="E8" i="4"/>
  <c r="E19" i="4" s="1"/>
  <c r="E40" i="4" s="1"/>
  <c r="D8" i="4"/>
  <c r="D19" i="4" s="1"/>
  <c r="D40" i="4" s="1"/>
  <c r="C8" i="4"/>
  <c r="C19" i="4" s="1"/>
  <c r="C40" i="4" s="1"/>
  <c r="H28" i="3"/>
  <c r="I28" i="3" s="1"/>
  <c r="J28" i="3" s="1"/>
  <c r="K28" i="3" s="1"/>
  <c r="L28" i="3" s="1"/>
  <c r="C28" i="3"/>
  <c r="I11" i="3"/>
  <c r="J11" i="3" s="1"/>
  <c r="K11" i="3" s="1"/>
  <c r="L11" i="3" s="1"/>
  <c r="I8" i="3"/>
  <c r="J8" i="3" s="1"/>
  <c r="K8" i="3" s="1"/>
  <c r="L8" i="3" s="1"/>
  <c r="L2" i="3"/>
  <c r="K2" i="3"/>
  <c r="J2" i="3"/>
  <c r="I2" i="3"/>
  <c r="H2" i="3"/>
  <c r="G2" i="3"/>
  <c r="F2" i="3"/>
  <c r="E2" i="3"/>
  <c r="D2" i="3"/>
  <c r="C2" i="3"/>
  <c r="X31" i="2"/>
  <c r="W31" i="2"/>
  <c r="U31" i="2"/>
  <c r="T31" i="2"/>
  <c r="S31" i="2"/>
  <c r="Q31" i="2"/>
  <c r="P31" i="2"/>
  <c r="O31" i="2"/>
  <c r="M31" i="2"/>
  <c r="L31" i="2"/>
  <c r="K31" i="2"/>
  <c r="I31" i="2"/>
  <c r="H31" i="2"/>
  <c r="G31" i="2"/>
  <c r="E31" i="2"/>
  <c r="D31" i="2"/>
  <c r="C31" i="2"/>
  <c r="X30" i="2"/>
  <c r="W30" i="2"/>
  <c r="U30" i="2"/>
  <c r="T30" i="2"/>
  <c r="S30" i="2"/>
  <c r="Q30" i="2"/>
  <c r="P30" i="2"/>
  <c r="O30" i="2"/>
  <c r="M30" i="2"/>
  <c r="L30" i="2"/>
  <c r="K30" i="2"/>
  <c r="I30" i="2"/>
  <c r="H30" i="2"/>
  <c r="G30" i="2"/>
  <c r="E30" i="2"/>
  <c r="D30" i="2"/>
  <c r="C30" i="2"/>
  <c r="X27" i="2"/>
  <c r="W27" i="2"/>
  <c r="U27" i="2"/>
  <c r="T27" i="2"/>
  <c r="S27" i="2"/>
  <c r="Q27" i="2"/>
  <c r="P27" i="2"/>
  <c r="O27" i="2"/>
  <c r="M27" i="2"/>
  <c r="L27" i="2"/>
  <c r="K27" i="2"/>
  <c r="I27" i="2"/>
  <c r="H27" i="2"/>
  <c r="G27" i="2"/>
  <c r="X26" i="2"/>
  <c r="W26" i="2"/>
  <c r="U26" i="2"/>
  <c r="T26" i="2"/>
  <c r="S26" i="2"/>
  <c r="Q26" i="2"/>
  <c r="P26" i="2"/>
  <c r="O26" i="2"/>
  <c r="M26" i="2"/>
  <c r="L26" i="2"/>
  <c r="K26" i="2"/>
  <c r="I26" i="2"/>
  <c r="H26" i="2"/>
  <c r="G26" i="2"/>
  <c r="X25" i="2"/>
  <c r="W25" i="2"/>
  <c r="U25" i="2"/>
  <c r="T25" i="2"/>
  <c r="S25" i="2"/>
  <c r="Q25" i="2"/>
  <c r="P25" i="2"/>
  <c r="O25" i="2"/>
  <c r="M25" i="2"/>
  <c r="L25" i="2"/>
  <c r="K25" i="2"/>
  <c r="I25" i="2"/>
  <c r="H25" i="2"/>
  <c r="G25" i="2"/>
  <c r="X24" i="2"/>
  <c r="W24" i="2"/>
  <c r="U24" i="2"/>
  <c r="T24" i="2"/>
  <c r="S24" i="2"/>
  <c r="Q24" i="2"/>
  <c r="P24" i="2"/>
  <c r="O24" i="2"/>
  <c r="M24" i="2"/>
  <c r="L24" i="2"/>
  <c r="K24" i="2"/>
  <c r="I24" i="2"/>
  <c r="H24" i="2"/>
  <c r="G24" i="2"/>
  <c r="V21" i="2"/>
  <c r="G28" i="3" s="1"/>
  <c r="R21" i="2"/>
  <c r="F28" i="3" s="1"/>
  <c r="N21" i="2"/>
  <c r="E28" i="3" s="1"/>
  <c r="J21" i="2"/>
  <c r="D28" i="3" s="1"/>
  <c r="V18" i="2"/>
  <c r="R18" i="2"/>
  <c r="N18" i="2"/>
  <c r="J18" i="2"/>
  <c r="F18" i="2"/>
  <c r="V17" i="2"/>
  <c r="R17" i="2"/>
  <c r="N17" i="2"/>
  <c r="J17" i="2"/>
  <c r="F17" i="2"/>
  <c r="V16" i="2"/>
  <c r="R16" i="2"/>
  <c r="N16" i="2"/>
  <c r="J16" i="2"/>
  <c r="F16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V13" i="2"/>
  <c r="R13" i="2"/>
  <c r="N13" i="2"/>
  <c r="J13" i="2"/>
  <c r="F13" i="2"/>
  <c r="V12" i="2"/>
  <c r="R12" i="2"/>
  <c r="N12" i="2"/>
  <c r="J12" i="2"/>
  <c r="F12" i="2"/>
  <c r="X11" i="2"/>
  <c r="X29" i="2" s="1"/>
  <c r="W11" i="2"/>
  <c r="W29" i="2" s="1"/>
  <c r="V11" i="2"/>
  <c r="U11" i="2"/>
  <c r="U29" i="2" s="1"/>
  <c r="T11" i="2"/>
  <c r="T29" i="2" s="1"/>
  <c r="S11" i="2"/>
  <c r="R11" i="2"/>
  <c r="Q11" i="2"/>
  <c r="Q29" i="2" s="1"/>
  <c r="P11" i="2"/>
  <c r="P29" i="2" s="1"/>
  <c r="O11" i="2"/>
  <c r="N11" i="2"/>
  <c r="M11" i="2"/>
  <c r="M29" i="2" s="1"/>
  <c r="L11" i="2"/>
  <c r="L29" i="2" s="1"/>
  <c r="K11" i="2"/>
  <c r="J11" i="2"/>
  <c r="I11" i="2"/>
  <c r="I29" i="2" s="1"/>
  <c r="H11" i="2"/>
  <c r="H29" i="2" s="1"/>
  <c r="G11" i="2"/>
  <c r="F11" i="2"/>
  <c r="E11" i="2"/>
  <c r="E29" i="2" s="1"/>
  <c r="D11" i="2"/>
  <c r="D29" i="2" s="1"/>
  <c r="C11" i="2"/>
  <c r="X10" i="2"/>
  <c r="W10" i="2"/>
  <c r="U10" i="2"/>
  <c r="T10" i="2"/>
  <c r="S10" i="2"/>
  <c r="Q10" i="2"/>
  <c r="P10" i="2"/>
  <c r="O10" i="2"/>
  <c r="M10" i="2"/>
  <c r="L10" i="2"/>
  <c r="K10" i="2"/>
  <c r="I10" i="2"/>
  <c r="H10" i="2"/>
  <c r="G10" i="2"/>
  <c r="E10" i="2"/>
  <c r="D10" i="2"/>
  <c r="C10" i="2"/>
  <c r="V9" i="2"/>
  <c r="G18" i="3" s="1"/>
  <c r="R9" i="2"/>
  <c r="F18" i="3" s="1"/>
  <c r="N9" i="2"/>
  <c r="E18" i="3" s="1"/>
  <c r="J9" i="2"/>
  <c r="D18" i="3" s="1"/>
  <c r="F9" i="2"/>
  <c r="C18" i="3" s="1"/>
  <c r="V8" i="2"/>
  <c r="R8" i="2"/>
  <c r="N8" i="2"/>
  <c r="J8" i="2"/>
  <c r="F8" i="2"/>
  <c r="V7" i="2"/>
  <c r="R7" i="2"/>
  <c r="N7" i="2"/>
  <c r="J7" i="2"/>
  <c r="F7" i="2"/>
  <c r="V6" i="2"/>
  <c r="R6" i="2"/>
  <c r="N6" i="2"/>
  <c r="J6" i="2"/>
  <c r="F6" i="2"/>
  <c r="V5" i="2"/>
  <c r="R5" i="2"/>
  <c r="N5" i="2"/>
  <c r="J5" i="2"/>
  <c r="F5" i="2"/>
  <c r="C7" i="1"/>
  <c r="C5" i="1"/>
  <c r="E82" i="6" l="1"/>
  <c r="C8" i="1"/>
  <c r="K93" i="6"/>
  <c r="F92" i="6" s="1"/>
  <c r="E81" i="6"/>
  <c r="C14" i="3"/>
  <c r="F24" i="2"/>
  <c r="D14" i="3"/>
  <c r="D3" i="3" s="1"/>
  <c r="J24" i="2"/>
  <c r="E14" i="3"/>
  <c r="E3" i="3" s="1"/>
  <c r="N24" i="2"/>
  <c r="F14" i="3"/>
  <c r="F3" i="3" s="1"/>
  <c r="R24" i="2"/>
  <c r="H14" i="3"/>
  <c r="G14" i="3"/>
  <c r="G3" i="3" s="1"/>
  <c r="V24" i="2"/>
  <c r="C15" i="3"/>
  <c r="F25" i="2"/>
  <c r="D15" i="3"/>
  <c r="D4" i="3" s="1"/>
  <c r="J25" i="2"/>
  <c r="E15" i="3"/>
  <c r="E4" i="3" s="1"/>
  <c r="N25" i="2"/>
  <c r="F15" i="3"/>
  <c r="F4" i="3" s="1"/>
  <c r="R25" i="2"/>
  <c r="H15" i="3"/>
  <c r="I15" i="3" s="1"/>
  <c r="J15" i="3" s="1"/>
  <c r="K15" i="3" s="1"/>
  <c r="L15" i="3" s="1"/>
  <c r="G15" i="3"/>
  <c r="G4" i="3" s="1"/>
  <c r="V25" i="2"/>
  <c r="C16" i="3"/>
  <c r="F26" i="2"/>
  <c r="D16" i="3"/>
  <c r="D5" i="3" s="1"/>
  <c r="J26" i="2"/>
  <c r="E16" i="3"/>
  <c r="E5" i="3" s="1"/>
  <c r="N26" i="2"/>
  <c r="F16" i="3"/>
  <c r="F5" i="3" s="1"/>
  <c r="R26" i="2"/>
  <c r="H16" i="3"/>
  <c r="I16" i="3" s="1"/>
  <c r="J16" i="3" s="1"/>
  <c r="K16" i="3" s="1"/>
  <c r="L16" i="3" s="1"/>
  <c r="G16" i="3"/>
  <c r="G5" i="3" s="1"/>
  <c r="V26" i="2"/>
  <c r="C17" i="3"/>
  <c r="F27" i="2"/>
  <c r="F10" i="2"/>
  <c r="D17" i="3"/>
  <c r="J27" i="2"/>
  <c r="J10" i="2"/>
  <c r="E17" i="3"/>
  <c r="N27" i="2"/>
  <c r="N10" i="2"/>
  <c r="F17" i="3"/>
  <c r="R27" i="2"/>
  <c r="R10" i="2"/>
  <c r="G17" i="3"/>
  <c r="V27" i="2"/>
  <c r="V10" i="2"/>
  <c r="C28" i="2"/>
  <c r="C15" i="2"/>
  <c r="D28" i="2"/>
  <c r="D15" i="2"/>
  <c r="E28" i="2"/>
  <c r="E15" i="2"/>
  <c r="G28" i="2"/>
  <c r="G15" i="2"/>
  <c r="H28" i="2"/>
  <c r="H15" i="2"/>
  <c r="I28" i="2"/>
  <c r="I15" i="2"/>
  <c r="K28" i="2"/>
  <c r="K15" i="2"/>
  <c r="L28" i="2"/>
  <c r="L15" i="2"/>
  <c r="M28" i="2"/>
  <c r="M15" i="2"/>
  <c r="O28" i="2"/>
  <c r="O15" i="2"/>
  <c r="P28" i="2"/>
  <c r="P15" i="2"/>
  <c r="Q28" i="2"/>
  <c r="Q15" i="2"/>
  <c r="S28" i="2"/>
  <c r="S15" i="2"/>
  <c r="T28" i="2"/>
  <c r="T15" i="2"/>
  <c r="U28" i="2"/>
  <c r="U15" i="2"/>
  <c r="W28" i="2"/>
  <c r="W15" i="2"/>
  <c r="X28" i="2"/>
  <c r="X15" i="2"/>
  <c r="C20" i="3"/>
  <c r="C8" i="3" s="1"/>
  <c r="C29" i="2"/>
  <c r="F29" i="2"/>
  <c r="D20" i="3"/>
  <c r="D8" i="3" s="1"/>
  <c r="G29" i="2"/>
  <c r="J29" i="2"/>
  <c r="E20" i="3"/>
  <c r="E8" i="3" s="1"/>
  <c r="K29" i="2"/>
  <c r="N29" i="2"/>
  <c r="F20" i="3"/>
  <c r="F8" i="3" s="1"/>
  <c r="O29" i="2"/>
  <c r="R29" i="2"/>
  <c r="G20" i="3"/>
  <c r="G8" i="3" s="1"/>
  <c r="S29" i="2"/>
  <c r="V29" i="2"/>
  <c r="C21" i="3"/>
  <c r="C9" i="3" s="1"/>
  <c r="F30" i="2"/>
  <c r="D21" i="3"/>
  <c r="D9" i="3" s="1"/>
  <c r="J30" i="2"/>
  <c r="E21" i="3"/>
  <c r="E9" i="3" s="1"/>
  <c r="N30" i="2"/>
  <c r="F21" i="3"/>
  <c r="F9" i="3" s="1"/>
  <c r="R30" i="2"/>
  <c r="G21" i="3"/>
  <c r="G9" i="3" s="1"/>
  <c r="H9" i="3" s="1"/>
  <c r="I9" i="3" s="1"/>
  <c r="V30" i="2"/>
  <c r="C23" i="3"/>
  <c r="C22" i="3"/>
  <c r="F31" i="2"/>
  <c r="D23" i="3"/>
  <c r="D22" i="3"/>
  <c r="J31" i="2"/>
  <c r="E23" i="3"/>
  <c r="E22" i="3"/>
  <c r="N31" i="2"/>
  <c r="F23" i="3"/>
  <c r="F22" i="3"/>
  <c r="R31" i="2"/>
  <c r="G23" i="3"/>
  <c r="G22" i="3"/>
  <c r="V31" i="2"/>
  <c r="C25" i="3"/>
  <c r="D25" i="3"/>
  <c r="E25" i="3"/>
  <c r="F25" i="3"/>
  <c r="G25" i="3"/>
  <c r="L48" i="6"/>
  <c r="K48" i="6"/>
  <c r="J48" i="6"/>
  <c r="I48" i="6"/>
  <c r="H48" i="6"/>
  <c r="F94" i="6"/>
  <c r="E75" i="6"/>
  <c r="D54" i="6"/>
  <c r="D38" i="6"/>
  <c r="E54" i="6"/>
  <c r="E38" i="6"/>
  <c r="F54" i="6"/>
  <c r="F38" i="6"/>
  <c r="G54" i="6"/>
  <c r="G38" i="6"/>
  <c r="D56" i="6"/>
  <c r="D40" i="6"/>
  <c r="E56" i="6"/>
  <c r="E40" i="6"/>
  <c r="F56" i="6"/>
  <c r="F40" i="6"/>
  <c r="G56" i="6"/>
  <c r="G40" i="6"/>
  <c r="D57" i="6"/>
  <c r="D41" i="6"/>
  <c r="E57" i="6"/>
  <c r="E41" i="6"/>
  <c r="F57" i="6"/>
  <c r="F41" i="6"/>
  <c r="G57" i="6"/>
  <c r="G41" i="6"/>
  <c r="D58" i="6"/>
  <c r="D42" i="6"/>
  <c r="E58" i="6"/>
  <c r="E42" i="6"/>
  <c r="F58" i="6"/>
  <c r="F42" i="6"/>
  <c r="G58" i="6"/>
  <c r="G42" i="6"/>
  <c r="C59" i="6"/>
  <c r="D59" i="6"/>
  <c r="D43" i="6"/>
  <c r="E59" i="6"/>
  <c r="E43" i="6"/>
  <c r="F59" i="6"/>
  <c r="F43" i="6"/>
  <c r="G59" i="6"/>
  <c r="G43" i="6"/>
  <c r="G15" i="6" l="1"/>
  <c r="G10" i="3"/>
  <c r="F15" i="6"/>
  <c r="F10" i="3"/>
  <c r="E15" i="6"/>
  <c r="E10" i="3"/>
  <c r="D15" i="6"/>
  <c r="D10" i="3"/>
  <c r="C15" i="6"/>
  <c r="C10" i="3"/>
  <c r="X32" i="2"/>
  <c r="X19" i="2"/>
  <c r="X20" i="2" s="1"/>
  <c r="W32" i="2"/>
  <c r="W19" i="2"/>
  <c r="W20" i="2" s="1"/>
  <c r="U32" i="2"/>
  <c r="U19" i="2"/>
  <c r="U20" i="2" s="1"/>
  <c r="T32" i="2"/>
  <c r="T19" i="2"/>
  <c r="T20" i="2" s="1"/>
  <c r="S32" i="2"/>
  <c r="S19" i="2"/>
  <c r="S20" i="2" s="1"/>
  <c r="Q32" i="2"/>
  <c r="Q19" i="2"/>
  <c r="Q20" i="2" s="1"/>
  <c r="P32" i="2"/>
  <c r="P19" i="2"/>
  <c r="P20" i="2" s="1"/>
  <c r="O32" i="2"/>
  <c r="O19" i="2"/>
  <c r="O20" i="2" s="1"/>
  <c r="M32" i="2"/>
  <c r="M19" i="2"/>
  <c r="M20" i="2" s="1"/>
  <c r="L32" i="2"/>
  <c r="L19" i="2"/>
  <c r="L20" i="2" s="1"/>
  <c r="K32" i="2"/>
  <c r="K19" i="2"/>
  <c r="K20" i="2" s="1"/>
  <c r="I32" i="2"/>
  <c r="I19" i="2"/>
  <c r="I20" i="2" s="1"/>
  <c r="H32" i="2"/>
  <c r="H19" i="2"/>
  <c r="H20" i="2" s="1"/>
  <c r="G32" i="2"/>
  <c r="G19" i="2"/>
  <c r="G20" i="2" s="1"/>
  <c r="E32" i="2"/>
  <c r="E19" i="2"/>
  <c r="E20" i="2" s="1"/>
  <c r="D32" i="2"/>
  <c r="D19" i="2"/>
  <c r="D20" i="2" s="1"/>
  <c r="C32" i="2"/>
  <c r="C19" i="2"/>
  <c r="C20" i="2" s="1"/>
  <c r="V28" i="2"/>
  <c r="V15" i="2"/>
  <c r="G11" i="6"/>
  <c r="G19" i="3"/>
  <c r="G6" i="3"/>
  <c r="R28" i="2"/>
  <c r="R15" i="2"/>
  <c r="F11" i="6"/>
  <c r="F19" i="3"/>
  <c r="F6" i="3"/>
  <c r="N28" i="2"/>
  <c r="N15" i="2"/>
  <c r="E11" i="6"/>
  <c r="E19" i="3"/>
  <c r="E6" i="3"/>
  <c r="J28" i="2"/>
  <c r="J15" i="2"/>
  <c r="D11" i="6"/>
  <c r="D19" i="3"/>
  <c r="D6" i="3"/>
  <c r="F28" i="2"/>
  <c r="F15" i="2"/>
  <c r="C11" i="6"/>
  <c r="C19" i="3"/>
  <c r="H17" i="3"/>
  <c r="I14" i="3"/>
  <c r="E83" i="6"/>
  <c r="E85" i="6" s="1"/>
  <c r="E86" i="6"/>
  <c r="E88" i="6" l="1"/>
  <c r="I17" i="3"/>
  <c r="J14" i="3"/>
  <c r="H11" i="6"/>
  <c r="H22" i="3"/>
  <c r="H21" i="3"/>
  <c r="H20" i="3"/>
  <c r="H6" i="3"/>
  <c r="C24" i="3"/>
  <c r="C7" i="3"/>
  <c r="C49" i="6"/>
  <c r="C33" i="6"/>
  <c r="C32" i="6"/>
  <c r="C34" i="6"/>
  <c r="C35" i="6"/>
  <c r="C36" i="6"/>
  <c r="C37" i="6"/>
  <c r="F19" i="2"/>
  <c r="F20" i="2" s="1"/>
  <c r="F32" i="2"/>
  <c r="D24" i="3"/>
  <c r="D7" i="3"/>
  <c r="D49" i="6"/>
  <c r="D33" i="6"/>
  <c r="D32" i="6"/>
  <c r="D34" i="6"/>
  <c r="D35" i="6"/>
  <c r="D36" i="6"/>
  <c r="D37" i="6"/>
  <c r="J19" i="2"/>
  <c r="J20" i="2" s="1"/>
  <c r="J32" i="2"/>
  <c r="E24" i="3"/>
  <c r="E7" i="3"/>
  <c r="E49" i="6"/>
  <c r="E33" i="6"/>
  <c r="E32" i="6"/>
  <c r="E34" i="6"/>
  <c r="E35" i="6"/>
  <c r="E36" i="6"/>
  <c r="E37" i="6"/>
  <c r="N19" i="2"/>
  <c r="N20" i="2" s="1"/>
  <c r="N32" i="2"/>
  <c r="F24" i="3"/>
  <c r="F7" i="3"/>
  <c r="F49" i="6"/>
  <c r="F33" i="6"/>
  <c r="F32" i="6"/>
  <c r="F34" i="6"/>
  <c r="F35" i="6"/>
  <c r="F36" i="6"/>
  <c r="F37" i="6"/>
  <c r="R19" i="2"/>
  <c r="R20" i="2" s="1"/>
  <c r="R32" i="2"/>
  <c r="G24" i="3"/>
  <c r="G7" i="3"/>
  <c r="H7" i="3" s="1"/>
  <c r="G49" i="6"/>
  <c r="G33" i="6"/>
  <c r="G32" i="6"/>
  <c r="G34" i="6"/>
  <c r="G35" i="6"/>
  <c r="G36" i="6"/>
  <c r="G37" i="6"/>
  <c r="V19" i="2"/>
  <c r="V20" i="2" s="1"/>
  <c r="V32" i="2"/>
  <c r="C53" i="6"/>
  <c r="C16" i="6"/>
  <c r="D53" i="6"/>
  <c r="D16" i="6"/>
  <c r="E53" i="6"/>
  <c r="E16" i="6"/>
  <c r="F53" i="6"/>
  <c r="F16" i="6"/>
  <c r="G53" i="6"/>
  <c r="G16" i="6"/>
  <c r="O16" i="6" l="1"/>
  <c r="N16" i="6"/>
  <c r="I7" i="3"/>
  <c r="J7" i="3" s="1"/>
  <c r="K7" i="3" s="1"/>
  <c r="L7" i="3" s="1"/>
  <c r="H19" i="3"/>
  <c r="G13" i="6"/>
  <c r="G50" i="6" s="1"/>
  <c r="G26" i="3"/>
  <c r="G27" i="3" s="1"/>
  <c r="G11" i="3"/>
  <c r="G51" i="6" s="1"/>
  <c r="F13" i="6"/>
  <c r="F50" i="6" s="1"/>
  <c r="F26" i="3"/>
  <c r="F27" i="3" s="1"/>
  <c r="F11" i="3"/>
  <c r="F51" i="6" s="1"/>
  <c r="E13" i="6"/>
  <c r="E50" i="6" s="1"/>
  <c r="E26" i="3"/>
  <c r="E27" i="3" s="1"/>
  <c r="E11" i="3"/>
  <c r="E51" i="6" s="1"/>
  <c r="O37" i="6"/>
  <c r="N37" i="6"/>
  <c r="O36" i="6"/>
  <c r="H36" i="6" s="1"/>
  <c r="H26" i="6" s="1"/>
  <c r="H58" i="6" s="1"/>
  <c r="N36" i="6"/>
  <c r="O35" i="6"/>
  <c r="N35" i="6"/>
  <c r="O34" i="6"/>
  <c r="N34" i="6"/>
  <c r="O32" i="6"/>
  <c r="N32" i="6"/>
  <c r="O33" i="6"/>
  <c r="N33" i="6"/>
  <c r="D13" i="6"/>
  <c r="D50" i="6" s="1"/>
  <c r="D26" i="3"/>
  <c r="D27" i="3" s="1"/>
  <c r="D11" i="3"/>
  <c r="D51" i="6" s="1"/>
  <c r="C13" i="6"/>
  <c r="C50" i="6" s="1"/>
  <c r="C26" i="3"/>
  <c r="C27" i="3" s="1"/>
  <c r="C11" i="3"/>
  <c r="C51" i="6" s="1"/>
  <c r="H49" i="6"/>
  <c r="H15" i="6"/>
  <c r="H53" i="6" s="1"/>
  <c r="J17" i="3"/>
  <c r="K14" i="3"/>
  <c r="I11" i="6"/>
  <c r="I22" i="3"/>
  <c r="I21" i="3"/>
  <c r="I20" i="3"/>
  <c r="I19" i="3"/>
  <c r="I24" i="3" s="1"/>
  <c r="I18" i="3"/>
  <c r="I6" i="3"/>
  <c r="C68" i="6"/>
  <c r="L61" i="6"/>
  <c r="K61" i="6"/>
  <c r="J61" i="6"/>
  <c r="I61" i="6"/>
  <c r="H61" i="6"/>
  <c r="I13" i="6" l="1"/>
  <c r="I50" i="6" s="1"/>
  <c r="I52" i="6" s="1"/>
  <c r="I26" i="3"/>
  <c r="I27" i="3" s="1"/>
  <c r="I49" i="6"/>
  <c r="I15" i="6"/>
  <c r="I53" i="6" s="1"/>
  <c r="K17" i="3"/>
  <c r="L14" i="3"/>
  <c r="L17" i="3" s="1"/>
  <c r="J11" i="6"/>
  <c r="J22" i="3"/>
  <c r="J21" i="3"/>
  <c r="J20" i="3"/>
  <c r="J19" i="3"/>
  <c r="J24" i="3" s="1"/>
  <c r="J18" i="3"/>
  <c r="J6" i="3"/>
  <c r="C52" i="6"/>
  <c r="C60" i="6" s="1"/>
  <c r="D52" i="6"/>
  <c r="D60" i="6" s="1"/>
  <c r="L33" i="6"/>
  <c r="K33" i="6"/>
  <c r="J33" i="6"/>
  <c r="J22" i="6" s="1"/>
  <c r="I33" i="6"/>
  <c r="I22" i="6" s="1"/>
  <c r="H33" i="6"/>
  <c r="H22" i="6" s="1"/>
  <c r="H55" i="6" s="1"/>
  <c r="L32" i="6"/>
  <c r="K32" i="6"/>
  <c r="J32" i="6"/>
  <c r="J21" i="6" s="1"/>
  <c r="I32" i="6"/>
  <c r="I21" i="6" s="1"/>
  <c r="H32" i="6"/>
  <c r="H21" i="6" s="1"/>
  <c r="H54" i="6" s="1"/>
  <c r="L34" i="6"/>
  <c r="K34" i="6"/>
  <c r="J34" i="6"/>
  <c r="J23" i="6" s="1"/>
  <c r="I34" i="6"/>
  <c r="I23" i="6" s="1"/>
  <c r="H34" i="6"/>
  <c r="H23" i="6" s="1"/>
  <c r="H56" i="6" s="1"/>
  <c r="L35" i="6"/>
  <c r="K35" i="6"/>
  <c r="J35" i="6"/>
  <c r="J25" i="6" s="1"/>
  <c r="I35" i="6"/>
  <c r="I25" i="6" s="1"/>
  <c r="H35" i="6"/>
  <c r="H25" i="6" s="1"/>
  <c r="H57" i="6" s="1"/>
  <c r="L36" i="6"/>
  <c r="K36" i="6"/>
  <c r="J36" i="6"/>
  <c r="J26" i="6" s="1"/>
  <c r="I36" i="6"/>
  <c r="I26" i="6" s="1"/>
  <c r="I58" i="6" s="1"/>
  <c r="L37" i="6"/>
  <c r="K37" i="6"/>
  <c r="J37" i="6"/>
  <c r="J30" i="6" s="1"/>
  <c r="J59" i="6" s="1"/>
  <c r="I37" i="6"/>
  <c r="I30" i="6" s="1"/>
  <c r="I59" i="6" s="1"/>
  <c r="H37" i="6"/>
  <c r="H30" i="6" s="1"/>
  <c r="H59" i="6" s="1"/>
  <c r="E52" i="6"/>
  <c r="E60" i="6" s="1"/>
  <c r="F52" i="6"/>
  <c r="F60" i="6" s="1"/>
  <c r="G52" i="6"/>
  <c r="G60" i="6" s="1"/>
  <c r="H24" i="3"/>
  <c r="H18" i="3"/>
  <c r="H13" i="6" l="1"/>
  <c r="H50" i="6" s="1"/>
  <c r="H52" i="6" s="1"/>
  <c r="H60" i="6" s="1"/>
  <c r="H26" i="3"/>
  <c r="H27" i="3" s="1"/>
  <c r="J58" i="6"/>
  <c r="I57" i="6"/>
  <c r="J57" i="6"/>
  <c r="I56" i="6"/>
  <c r="J56" i="6"/>
  <c r="I54" i="6"/>
  <c r="J54" i="6"/>
  <c r="I55" i="6"/>
  <c r="J55" i="6"/>
  <c r="J13" i="6"/>
  <c r="J50" i="6" s="1"/>
  <c r="J52" i="6" s="1"/>
  <c r="J26" i="3"/>
  <c r="J27" i="3" s="1"/>
  <c r="J49" i="6"/>
  <c r="J15" i="6"/>
  <c r="J53" i="6" s="1"/>
  <c r="L11" i="6"/>
  <c r="L22" i="3"/>
  <c r="L21" i="3"/>
  <c r="L20" i="3"/>
  <c r="L19" i="3"/>
  <c r="L24" i="3" s="1"/>
  <c r="L18" i="3"/>
  <c r="K11" i="6"/>
  <c r="K22" i="3"/>
  <c r="K21" i="3"/>
  <c r="K20" i="3"/>
  <c r="K19" i="3"/>
  <c r="K24" i="3" s="1"/>
  <c r="K18" i="3"/>
  <c r="K6" i="3"/>
  <c r="I60" i="6"/>
  <c r="I63" i="6" l="1"/>
  <c r="I62" i="6"/>
  <c r="K13" i="6"/>
  <c r="K50" i="6" s="1"/>
  <c r="K52" i="6" s="1"/>
  <c r="K26" i="3"/>
  <c r="K27" i="3" s="1"/>
  <c r="K49" i="6"/>
  <c r="K15" i="6"/>
  <c r="K53" i="6" s="1"/>
  <c r="K30" i="6"/>
  <c r="K59" i="6" s="1"/>
  <c r="K26" i="6"/>
  <c r="K58" i="6" s="1"/>
  <c r="K25" i="6"/>
  <c r="K57" i="6" s="1"/>
  <c r="K23" i="6"/>
  <c r="K56" i="6" s="1"/>
  <c r="K21" i="6"/>
  <c r="K54" i="6" s="1"/>
  <c r="K22" i="6"/>
  <c r="K55" i="6" s="1"/>
  <c r="L13" i="6"/>
  <c r="L50" i="6" s="1"/>
  <c r="L52" i="6" s="1"/>
  <c r="L26" i="3"/>
  <c r="L27" i="3" s="1"/>
  <c r="L49" i="6"/>
  <c r="L15" i="6"/>
  <c r="L53" i="6" s="1"/>
  <c r="L30" i="6"/>
  <c r="L59" i="6" s="1"/>
  <c r="L26" i="6"/>
  <c r="L58" i="6" s="1"/>
  <c r="L25" i="6"/>
  <c r="L57" i="6" s="1"/>
  <c r="L23" i="6"/>
  <c r="L56" i="6" s="1"/>
  <c r="L21" i="6"/>
  <c r="L54" i="6" s="1"/>
  <c r="L22" i="6"/>
  <c r="L55" i="6" s="1"/>
  <c r="J60" i="6"/>
  <c r="H63" i="6"/>
  <c r="H62" i="6"/>
  <c r="J63" i="6" l="1"/>
  <c r="J62" i="6"/>
  <c r="L60" i="6"/>
  <c r="K60" i="6"/>
  <c r="K63" i="6" l="1"/>
  <c r="K62" i="6"/>
  <c r="C69" i="6"/>
  <c r="C70" i="6" s="1"/>
  <c r="C71" i="6" s="1"/>
  <c r="L63" i="6"/>
  <c r="L62" i="6"/>
  <c r="C63" i="6"/>
  <c r="F91" i="6" l="1"/>
  <c r="F93" i="6" s="1"/>
  <c r="F95" i="6" s="1"/>
  <c r="F9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2" authorId="0" shapeId="0" xr:uid="{00000000-0006-0000-0500-000001000000}">
      <text>
        <r>
          <rPr>
            <sz val="10"/>
            <rFont val="Arial"/>
            <family val="2"/>
          </rPr>
          <t>New: Terminal Value (C70) represents the value of all cash flows beyond FY30 as of FY30's year-end (the Gordon Growth formula already prices those future flows to that point), so — unlike the explicit-period FCFs above — it should be discounted using the full year-end period (stub + 4 years), not a mid-year-shifted one. Using L48 here (now mid-year) would understate the discounting on the terminal value.</t>
        </r>
      </text>
    </comment>
  </commentList>
</comments>
</file>

<file path=xl/sharedStrings.xml><?xml version="1.0" encoding="utf-8"?>
<sst xmlns="http://schemas.openxmlformats.org/spreadsheetml/2006/main" count="310" uniqueCount="240">
  <si>
    <t>UBER</t>
  </si>
  <si>
    <t>Statements as of 6/30/26</t>
  </si>
  <si>
    <t xml:space="preserve">Price </t>
  </si>
  <si>
    <t>Shares</t>
  </si>
  <si>
    <t>Market Cap</t>
  </si>
  <si>
    <t>Cash</t>
  </si>
  <si>
    <t>Debt</t>
  </si>
  <si>
    <t>EV</t>
  </si>
  <si>
    <t>Founder/exec chairman:</t>
  </si>
  <si>
    <t xml:space="preserve">CEO: </t>
  </si>
  <si>
    <t xml:space="preserve">CFO: </t>
  </si>
  <si>
    <t>Uber Technologies, Inc. (UBER)</t>
  </si>
  <si>
    <t>Historic Quarterly IS by Product</t>
  </si>
  <si>
    <t>Q1'21</t>
  </si>
  <si>
    <t>Q2'21</t>
  </si>
  <si>
    <t>Q3'21</t>
  </si>
  <si>
    <t>Q4'21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</si>
  <si>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</si>
  <si>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</si>
  <si>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</si>
  <si>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</si>
  <si>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</si>
  <si>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</si>
  <si>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</si>
  <si>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</si>
  <si>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</si>
  <si>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</si>
  <si>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</si>
  <si>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</si>
  <si>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</si>
  <si>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</si>
  <si>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</si>
  <si>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</si>
  <si>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</si>
  <si>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</si>
  <si>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Mobility</t>
  </si>
  <si>
    <t>Delivery</t>
  </si>
  <si>
    <t>Freight</t>
  </si>
  <si>
    <t>Total Revenue</t>
  </si>
  <si>
    <t>COGS</t>
  </si>
  <si>
    <t>Gross Margin</t>
  </si>
  <si>
    <t>SG&amp;A</t>
  </si>
  <si>
    <t>R&amp;D</t>
  </si>
  <si>
    <t>Depreciation &amp; Amortization</t>
  </si>
  <si>
    <t>Other expenses (Income)</t>
  </si>
  <si>
    <t>Pre Tax Income</t>
  </si>
  <si>
    <t>Loss from Equity Method Investments (Gain)</t>
  </si>
  <si>
    <t>Taxes</t>
  </si>
  <si>
    <t>Net income (Loss) from non controlling interest</t>
  </si>
  <si>
    <t>Net Income (Loss)</t>
  </si>
  <si>
    <t>EPS</t>
  </si>
  <si>
    <t>Historic Drivers</t>
  </si>
  <si>
    <t>Historic Mobility Revenue Growth Rate</t>
  </si>
  <si>
    <t>Historic Delivery Revenue Growth Rate</t>
  </si>
  <si>
    <t>Historic Freight Revenue Growth Rate</t>
  </si>
  <si>
    <t>Historic Revenue Growth Rate</t>
  </si>
  <si>
    <t>Historic Gross Margin %</t>
  </si>
  <si>
    <t>Historic SG&amp;A %</t>
  </si>
  <si>
    <t>Historic R&amp;D %</t>
  </si>
  <si>
    <t>Historic Depreciation &amp; Amortization %</t>
  </si>
  <si>
    <t>Historic Tax rate</t>
  </si>
  <si>
    <t xml:space="preserve"> IS Assumptions</t>
  </si>
  <si>
    <t>Mobility Revenue Growth Rate</t>
  </si>
  <si>
    <t>Delivery  Revenue Growth Rate</t>
  </si>
  <si>
    <t>Freight  Revenue Growth Rate</t>
  </si>
  <si>
    <t>Total Revenue Growth Rate</t>
  </si>
  <si>
    <t>Gross Margin %</t>
  </si>
  <si>
    <t>SG&amp;A %</t>
  </si>
  <si>
    <t>R&amp;D %</t>
  </si>
  <si>
    <t>Depreciation &amp; Amortization %</t>
  </si>
  <si>
    <t>Tax rate</t>
  </si>
  <si>
    <t>Annual Income Statement</t>
  </si>
  <si>
    <t>FY'21</t>
  </si>
  <si>
    <t>FY'22</t>
  </si>
  <si>
    <t>FY'23</t>
  </si>
  <si>
    <t>FY'24</t>
  </si>
  <si>
    <t>FY'25</t>
  </si>
  <si>
    <t>FY'26</t>
  </si>
  <si>
    <t>FY'27</t>
  </si>
  <si>
    <t>FY'28</t>
  </si>
  <si>
    <t>FY'29</t>
  </si>
  <si>
    <t>FY'30</t>
  </si>
  <si>
    <t>Other expenses</t>
  </si>
  <si>
    <t>Balance Sheet</t>
  </si>
  <si>
    <t>Cash and cash equivalents</t>
  </si>
  <si>
    <t>Short-term investments</t>
  </si>
  <si>
    <t>Restricted cash and cash equivalents</t>
  </si>
  <si>
    <t>Accounts receivable, net</t>
  </si>
  <si>
    <t>Prepaid expenses and other current assets</t>
  </si>
  <si>
    <t>Total current assets</t>
  </si>
  <si>
    <t>Restricted cash and cash equivalents (noncurrent)</t>
  </si>
  <si>
    <t>Restricted investments</t>
  </si>
  <si>
    <t>Investments</t>
  </si>
  <si>
    <t>Equity method investments</t>
  </si>
  <si>
    <t>Property and equipment, net</t>
  </si>
  <si>
    <t>Operating lease right-of-use assets</t>
  </si>
  <si>
    <t>Intangible assets, net</t>
  </si>
  <si>
    <t>Goodwill</t>
  </si>
  <si>
    <t>Deferred tax assets</t>
  </si>
  <si>
    <t>Other assets</t>
  </si>
  <si>
    <t>Total assets</t>
  </si>
  <si>
    <t>Accounts payable</t>
  </si>
  <si>
    <t>Short-term insurance reserves</t>
  </si>
  <si>
    <t>Operating lease liabilities, current</t>
  </si>
  <si>
    <t>Short-term debt</t>
  </si>
  <si>
    <t>Accrued and other current liabilities</t>
  </si>
  <si>
    <t>Total current liabilities</t>
  </si>
  <si>
    <t>Long-term insurance reserves</t>
  </si>
  <si>
    <t>Long-term debt, net of current portion</t>
  </si>
  <si>
    <t>Operating lease liabilities, non-current</t>
  </si>
  <si>
    <t>Other long-term liabilities</t>
  </si>
  <si>
    <t>Total liabilities</t>
  </si>
  <si>
    <t>Redeemable non-controlling interests</t>
  </si>
  <si>
    <t>Additional paid-in capital</t>
  </si>
  <si>
    <t>Accumulated other comprehensive loss</t>
  </si>
  <si>
    <t>Accumulated deficit</t>
  </si>
  <si>
    <t>Total Uber Technologies, Inc. stockholders' equity</t>
  </si>
  <si>
    <t>Non-redeemable non-controlling interests</t>
  </si>
  <si>
    <t>Total equity</t>
  </si>
  <si>
    <t>Total liabilities, redeemable non-controlling interests and equity</t>
  </si>
  <si>
    <t>Check (Assets less Liab. &amp; Equity)</t>
  </si>
  <si>
    <t>Cash Flow Statement</t>
  </si>
  <si>
    <t>FY'26 (1/2)</t>
  </si>
  <si>
    <t>Net income including non-controlling interests</t>
  </si>
  <si>
    <t>Depreciation and amortization</t>
  </si>
  <si>
    <t>Stock-based compensation</t>
  </si>
  <si>
    <t>Deferred income taxes</t>
  </si>
  <si>
    <t>Accretion of discounts on marketable debt securities, net</t>
  </si>
  <si>
    <t>Unrealized (gain) loss on debt and equity securities, net</t>
  </si>
  <si>
    <t>Unrealized foreign currency transactions</t>
  </si>
  <si>
    <t>Other</t>
  </si>
  <si>
    <t>Accounts receivable</t>
  </si>
  <si>
    <t>Prepaid expenses and other assets</t>
  </si>
  <si>
    <t>Accrued insurance reserves</t>
  </si>
  <si>
    <t>Accrued expenses and other liabilities</t>
  </si>
  <si>
    <t>Operating lease liabilities</t>
  </si>
  <si>
    <t>Net cash provided by operating activities</t>
  </si>
  <si>
    <t>Purchases of property and equipment</t>
  </si>
  <si>
    <t>Purchases of non-marketable equity securities</t>
  </si>
  <si>
    <t>Purchases of marketable securities</t>
  </si>
  <si>
    <t>Proceeds from maturities and sales of marketable securities</t>
  </si>
  <si>
    <t>Proceeds from sale of equity method investments</t>
  </si>
  <si>
    <t>Acquisition of businesses, net of cash acquired</t>
  </si>
  <si>
    <t>Purchase of total return swaps</t>
  </si>
  <si>
    <t>Other investing activities</t>
  </si>
  <si>
    <t>Net cash used in investing activities</t>
  </si>
  <si>
    <t>Proceeds from the issuance of common stock under the Employee Stock Purchase Plan</t>
  </si>
  <si>
    <t>Issuance of term loan and notes, net of issuance costs</t>
  </si>
  <si>
    <t>Principal repayment on term loan and notes</t>
  </si>
  <si>
    <t>Principal payments on finance leases</t>
  </si>
  <si>
    <t>Repurchases of common stock</t>
  </si>
  <si>
    <t>Redemption of non-controlling interests</t>
  </si>
  <si>
    <t>Other financing activities</t>
  </si>
  <si>
    <t>Net cash used in financing activities</t>
  </si>
  <si>
    <t>Effect of exchange rate changes on cash and cash equivalents, and restricted cash and cash equivalents</t>
  </si>
  <si>
    <t>Net increase in cash and cash equivalents, and restricted cash and cash equivalents</t>
  </si>
  <si>
    <t>Beginning of period</t>
  </si>
  <si>
    <t>End of period</t>
  </si>
  <si>
    <t>Valuation Date:</t>
  </si>
  <si>
    <t>Share Price on Valuation Date:</t>
  </si>
  <si>
    <t>Diluted Shares Outstanding</t>
  </si>
  <si>
    <t>Stub Period to FY26 Year-End (yrs)</t>
  </si>
  <si>
    <t>Select Operating Data</t>
  </si>
  <si>
    <t>Projected Annual Forecast</t>
  </si>
  <si>
    <t>Revenue</t>
  </si>
  <si>
    <t>EBIT</t>
  </si>
  <si>
    <t xml:space="preserve">Depreciation &amp; Amortization </t>
  </si>
  <si>
    <t>Arithmetic Avg</t>
  </si>
  <si>
    <t>Geometric Avg</t>
  </si>
  <si>
    <t>Select Balance Sheet And Other Data</t>
  </si>
  <si>
    <t>Accounts Receivable</t>
  </si>
  <si>
    <t>Inventories</t>
  </si>
  <si>
    <t>Prepaid Expenses</t>
  </si>
  <si>
    <t>Accounts Payable and Accruals</t>
  </si>
  <si>
    <t>Accrued Expenses</t>
  </si>
  <si>
    <t>Capital Expenditures</t>
  </si>
  <si>
    <t>Arithmetic Mean</t>
  </si>
  <si>
    <t>Geometric Mean</t>
  </si>
  <si>
    <t>Accounts Receivable as a % of revenue</t>
  </si>
  <si>
    <t>Inventories as a % of revenue</t>
  </si>
  <si>
    <t>Prepaid Expenses as a % of revenue</t>
  </si>
  <si>
    <t>Accounts Payable/Accruals as a % of revenue</t>
  </si>
  <si>
    <t>Accrued Expenses as a % of revenue</t>
  </si>
  <si>
    <t>Capital Expenditures as a % of revenue</t>
  </si>
  <si>
    <t>Accounts Receivable Growth (%)</t>
  </si>
  <si>
    <t>Inventories Growth (%)</t>
  </si>
  <si>
    <t>Prepaid Expenses Growth (%)</t>
  </si>
  <si>
    <t>Accounts Payable/Accruals Growth (%)</t>
  </si>
  <si>
    <t>Accrued Expenses Growth (%)</t>
  </si>
  <si>
    <t>Capital Expenditures Growth (%)</t>
  </si>
  <si>
    <t>Free Cash Flow Buildup</t>
  </si>
  <si>
    <t>$mm</t>
  </si>
  <si>
    <t>Period</t>
  </si>
  <si>
    <t>Total Revenues</t>
  </si>
  <si>
    <t>Effective Tax rate</t>
  </si>
  <si>
    <t>EBIAT = EBIT(1-T) = NOPAT</t>
  </si>
  <si>
    <t>Chg in Accounts receivable</t>
  </si>
  <si>
    <t>Chg in Inventories</t>
  </si>
  <si>
    <t>Chg in Prepaid expenses</t>
  </si>
  <si>
    <t>Chg in Accounts payable</t>
  </si>
  <si>
    <t>Chg in Accrued expenses</t>
  </si>
  <si>
    <t>Capital expenditures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</si>
  <si>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</si>
  <si>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</si>
  <si>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</si>
  <si>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</si>
  <si>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</si>
  <si>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</si>
  <si>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 term growth rate</t>
  </si>
  <si>
    <t>WACC</t>
  </si>
  <si>
    <t>Free cash flow (t+1)</t>
  </si>
  <si>
    <t>Present Value of Terminal Value</t>
  </si>
  <si>
    <t>Terminal Value Discount Period (yrs, year-end)</t>
  </si>
  <si>
    <t>Share Price</t>
  </si>
  <si>
    <t>Cost of Debt</t>
  </si>
  <si>
    <t>ERP</t>
  </si>
  <si>
    <t xml:space="preserve">Damadorian </t>
  </si>
  <si>
    <t>Tax Rate</t>
  </si>
  <si>
    <t>RFR</t>
  </si>
  <si>
    <t>10 year treasury yield as of 8/11/26</t>
  </si>
  <si>
    <t>After-tax Cost of Debt</t>
  </si>
  <si>
    <t>Beta</t>
  </si>
  <si>
    <t>5 year weekly adjusted Bloomberg</t>
  </si>
  <si>
    <t>Cost of Equity</t>
  </si>
  <si>
    <t xml:space="preserve">capm </t>
  </si>
  <si>
    <t>Total Debt ($)</t>
  </si>
  <si>
    <t>capm = risk-free + beta * market risk premium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</si>
  <si>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</si>
  <si>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</si>
  <si>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</si>
  <si>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</si>
  <si>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</si>
  <si>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</si>
  <si>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</si>
  <si>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</si>
  <si>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ST and LT debt minus cash</t>
  </si>
  <si>
    <t>Equity Value</t>
  </si>
  <si>
    <t>Equity Value Per Share</t>
  </si>
  <si>
    <t>Upside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</si>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</sst>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\$* #,##0.00_);_(\$* \(#,##0.00\);_(\$* \-??_);_(@_)"/>
    <numFmt numFmtId="165" formatCode="_(* #,##0.00_);_(* \(#,##0.00\);_(* \-??_);_(@_)"/>
    <numFmt numFmtId="166" formatCode="_(\$* #,##0_);_(\$* \(#,##0\);_(\$* \-??_);_(@_)"/>
    <numFmt numFmtId="167" formatCode="0.0%"/>
    <numFmt numFmtId="168" formatCode="#,##0.00_);\(#,##0.00\);@_)"/>
    <numFmt numFmtId="169" formatCode="yyyy\A"/>
    <numFmt numFmtId="170" formatCode="yyyy\P"/>
    <numFmt numFmtId="171" formatCode="\$#,##0.0_);&quot;($&quot;#,##0.0\)"/>
    <numFmt numFmtId="172" formatCode="\$#,##0.00_);&quot;($&quot;#,##0.00\)"/>
    <numFmt numFmtId="173" formatCode="\$#,##0.0_);&quot;($&quot;#,##0.0\);@_)"/>
    <numFmt numFmtId="174" formatCode="\$#,##0.0"/>
    <numFmt numFmtId="175" formatCode="0.0"/>
    <numFmt numFmtId="176" formatCode="#,##0.0_);\(#,##0.0\)"/>
    <numFmt numFmtId="177" formatCode="#,##0.0_);\(#,##0.0\);@_)"/>
    <numFmt numFmtId="178" formatCode="0.000%"/>
    <numFmt numFmtId="179" formatCode="_(\$* #,##0.0_);_(\$* \(#,##0.0\);_(\$* \-??_);_(@_)"/>
    <numFmt numFmtId="180" formatCode="\$#,##0.00_);&quot;($&quot;#,##0.00\);@_)"/>
    <numFmt numFmtId="181" formatCode="0.0%_);\(0.0%\);@_)"/>
    <numFmt numFmtId="182" formatCode="_(* #,##0.0_);_(* \(#,##0.0\);_(* \-?_);_(@_)"/>
    <numFmt numFmtId="183" formatCode="\$#,##0.00_);[Red]&quot;($&quot;#,##0.00\)"/>
  </numFmts>
  <fonts count="29" x14ac:knownFonts="1">
    <font>
      <sz val="12"/>
      <color theme="1"/>
      <name val="Aptos Narrow"/>
      <family val="2"/>
      <charset val="1"/>
    </font>
    <font>
      <sz val="10"/>
      <name val="Arial"/>
      <family val="2"/>
    </font>
    <font>
      <b/>
      <sz val="12"/>
      <color theme="1"/>
      <name val="Aptos Narrow"/>
      <family val="2"/>
      <charset val="1"/>
    </font>
    <font>
      <i/>
      <sz val="12"/>
      <color theme="1"/>
      <name val="Aptos Narrow"/>
      <family val="2"/>
      <charset val="1"/>
    </font>
    <font>
      <b/>
      <sz val="18"/>
      <color theme="1"/>
      <name val="Aptos Narrow"/>
      <family val="2"/>
      <charset val="1"/>
    </font>
    <font>
      <sz val="10"/>
      <name val="Arial"/>
      <family val="2"/>
      <charset val="1"/>
    </font>
    <font>
      <sz val="12"/>
      <name val="Aptos Narrow"/>
      <family val="2"/>
      <charset val="1"/>
    </font>
    <font>
      <i/>
      <sz val="12"/>
      <name val="Aptos Narrow"/>
      <family val="2"/>
      <charset val="1"/>
    </font>
    <font>
      <sz val="10"/>
      <color rgb="FF0000FF"/>
      <name val="Arial"/>
      <family val="2"/>
      <charset val="1"/>
    </font>
    <font>
      <sz val="12"/>
      <color rgb="FF000000"/>
      <name val="Aptos Narrow"/>
      <family val="2"/>
    </font>
    <font>
      <b/>
      <sz val="12"/>
      <name val="Aptos Narrow"/>
      <family val="2"/>
      <charset val="1"/>
    </font>
    <font>
      <sz val="18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FF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8000"/>
      <name val="Calibri"/>
      <family val="2"/>
      <charset val="1"/>
    </font>
    <font>
      <sz val="14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sz val="14"/>
      <color rgb="FF000000"/>
      <name val="Aptos Narrow"/>
      <family val="2"/>
      <charset val="1"/>
    </font>
    <font>
      <i/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4" tint="0.79979857783745845"/>
        <bgColor rgb="FFCCFFFF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17" fillId="4" borderId="14" xfId="0" applyFont="1" applyFill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horizontal="right"/>
    </xf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2" fillId="0" borderId="4" xfId="0" applyFont="1" applyBorder="1"/>
    <xf numFmtId="0" fontId="0" fillId="0" borderId="4" xfId="0" applyFont="1" applyBorder="1" applyAlignment="1">
      <alignment horizontal="center"/>
    </xf>
    <xf numFmtId="0" fontId="0" fillId="0" borderId="3" xfId="0" applyFont="1" applyBorder="1"/>
    <xf numFmtId="166" fontId="5" fillId="0" borderId="3" xfId="0" applyNumberFormat="1" applyFont="1" applyBorder="1"/>
    <xf numFmtId="0" fontId="2" fillId="0" borderId="0" xfId="0" applyFont="1"/>
    <xf numFmtId="166" fontId="2" fillId="0" borderId="5" xfId="0" applyNumberFormat="1" applyFont="1" applyBorder="1" applyAlignment="1">
      <alignment horizontal="center"/>
    </xf>
    <xf numFmtId="166" fontId="0" fillId="0" borderId="0" xfId="0" applyNumberFormat="1"/>
    <xf numFmtId="166" fontId="2" fillId="0" borderId="0" xfId="0" applyNumberFormat="1" applyFont="1"/>
    <xf numFmtId="0" fontId="2" fillId="0" borderId="6" xfId="0" applyFont="1" applyBorder="1"/>
    <xf numFmtId="166" fontId="2" fillId="0" borderId="6" xfId="0" applyNumberFormat="1" applyFont="1" applyBorder="1"/>
    <xf numFmtId="165" fontId="0" fillId="0" borderId="0" xfId="0" applyNumberFormat="1"/>
    <xf numFmtId="0" fontId="3" fillId="0" borderId="0" xfId="0" applyFont="1"/>
    <xf numFmtId="9" fontId="3" fillId="3" borderId="0" xfId="0" applyNumberFormat="1" applyFont="1" applyFill="1"/>
    <xf numFmtId="9" fontId="3" fillId="0" borderId="0" xfId="0" applyNumberFormat="1" applyFont="1"/>
    <xf numFmtId="167" fontId="6" fillId="0" borderId="0" xfId="0" applyNumberFormat="1" applyFont="1"/>
    <xf numFmtId="0" fontId="7" fillId="0" borderId="0" xfId="0" applyFont="1"/>
    <xf numFmtId="0" fontId="0" fillId="0" borderId="7" xfId="0" applyBorder="1" applyAlignment="1">
      <alignment horizontal="center"/>
    </xf>
    <xf numFmtId="0" fontId="0" fillId="3" borderId="0" xfId="0" applyFill="1" applyAlignment="1">
      <alignment horizontal="center"/>
    </xf>
    <xf numFmtId="9" fontId="5" fillId="0" borderId="0" xfId="0" applyNumberFormat="1" applyFont="1" applyAlignment="1">
      <alignment horizontal="right"/>
    </xf>
    <xf numFmtId="9" fontId="5" fillId="0" borderId="8" xfId="0" applyNumberFormat="1" applyFont="1" applyBorder="1" applyAlignment="1">
      <alignment horizontal="right"/>
    </xf>
    <xf numFmtId="9" fontId="8" fillId="0" borderId="0" xfId="0" applyNumberFormat="1" applyFont="1" applyAlignment="1">
      <alignment horizontal="right"/>
    </xf>
    <xf numFmtId="0" fontId="3" fillId="3" borderId="0" xfId="0" applyFont="1" applyFill="1"/>
    <xf numFmtId="9" fontId="5" fillId="0" borderId="0" xfId="0" applyNumberFormat="1" applyFont="1"/>
    <xf numFmtId="9" fontId="5" fillId="0" borderId="8" xfId="0" applyNumberFormat="1" applyFont="1" applyBorder="1"/>
    <xf numFmtId="9" fontId="8" fillId="0" borderId="0" xfId="0" applyNumberFormat="1" applyFont="1"/>
    <xf numFmtId="10" fontId="5" fillId="0" borderId="0" xfId="0" applyNumberFormat="1" applyFont="1"/>
    <xf numFmtId="10" fontId="5" fillId="0" borderId="8" xfId="0" applyNumberFormat="1" applyFont="1" applyBorder="1"/>
    <xf numFmtId="10" fontId="8" fillId="0" borderId="0" xfId="0" applyNumberFormat="1" applyFont="1"/>
    <xf numFmtId="0" fontId="0" fillId="0" borderId="8" xfId="0" applyBorder="1"/>
    <xf numFmtId="0" fontId="0" fillId="0" borderId="4" xfId="0" applyFont="1" applyBorder="1"/>
    <xf numFmtId="0" fontId="0" fillId="0" borderId="8" xfId="0" applyFont="1" applyBorder="1" applyAlignment="1">
      <alignment horizontal="center"/>
    </xf>
    <xf numFmtId="166" fontId="0" fillId="0" borderId="9" xfId="0" applyNumberFormat="1" applyBorder="1"/>
    <xf numFmtId="166" fontId="0" fillId="0" borderId="10" xfId="0" applyNumberFormat="1" applyBorder="1"/>
    <xf numFmtId="166" fontId="9" fillId="0" borderId="9" xfId="0" applyNumberFormat="1" applyFont="1" applyBorder="1"/>
    <xf numFmtId="166" fontId="0" fillId="0" borderId="3" xfId="0" applyNumberFormat="1" applyBorder="1"/>
    <xf numFmtId="166" fontId="0" fillId="0" borderId="11" xfId="0" applyNumberFormat="1" applyBorder="1"/>
    <xf numFmtId="166" fontId="9" fillId="0" borderId="5" xfId="0" applyNumberFormat="1" applyFont="1" applyBorder="1"/>
    <xf numFmtId="166" fontId="0" fillId="0" borderId="5" xfId="0" applyNumberFormat="1" applyBorder="1"/>
    <xf numFmtId="166" fontId="2" fillId="0" borderId="12" xfId="0" applyNumberFormat="1" applyFont="1" applyBorder="1"/>
    <xf numFmtId="166" fontId="0" fillId="0" borderId="8" xfId="0" applyNumberFormat="1" applyBorder="1"/>
    <xf numFmtId="166" fontId="2" fillId="0" borderId="8" xfId="0" applyNumberFormat="1" applyFont="1" applyBorder="1"/>
    <xf numFmtId="164" fontId="0" fillId="0" borderId="8" xfId="0" applyNumberFormat="1" applyBorder="1"/>
    <xf numFmtId="165" fontId="0" fillId="0" borderId="8" xfId="0" applyNumberFormat="1" applyBorder="1"/>
    <xf numFmtId="0" fontId="10" fillId="0" borderId="4" xfId="0" applyFont="1" applyBorder="1"/>
    <xf numFmtId="0" fontId="6" fillId="0" borderId="0" xfId="0" applyFont="1"/>
    <xf numFmtId="166" fontId="6" fillId="0" borderId="0" xfId="0" applyNumberFormat="1" applyFont="1"/>
    <xf numFmtId="166" fontId="10" fillId="0" borderId="0" xfId="0" applyNumberFormat="1" applyFont="1"/>
    <xf numFmtId="0" fontId="10" fillId="0" borderId="0" xfId="0" applyFont="1"/>
    <xf numFmtId="0" fontId="11" fillId="0" borderId="3" xfId="0" applyFont="1" applyBorder="1"/>
    <xf numFmtId="0" fontId="11" fillId="0" borderId="0" xfId="0" applyFont="1"/>
    <xf numFmtId="15" fontId="12" fillId="0" borderId="0" xfId="0" applyNumberFormat="1" applyFont="1" applyAlignment="1">
      <alignment horizontal="right" vertical="top" readingOrder="1"/>
    </xf>
    <xf numFmtId="14" fontId="13" fillId="2" borderId="0" xfId="0" applyNumberFormat="1" applyFont="1" applyFill="1" applyAlignment="1">
      <alignment horizontal="right" vertical="top" readingOrder="1"/>
    </xf>
    <xf numFmtId="0" fontId="14" fillId="0" borderId="0" xfId="0" applyFont="1" applyAlignment="1">
      <alignment horizontal="left" readingOrder="1"/>
    </xf>
    <xf numFmtId="164" fontId="13" fillId="2" borderId="0" xfId="0" applyNumberFormat="1" applyFont="1" applyFill="1" applyAlignment="1">
      <alignment horizontal="right" vertical="top" readingOrder="1"/>
    </xf>
    <xf numFmtId="168" fontId="13" fillId="2" borderId="0" xfId="0" applyNumberFormat="1" applyFont="1" applyFill="1" applyAlignment="1">
      <alignment horizontal="right" vertical="top" readingOrder="1"/>
    </xf>
    <xf numFmtId="0" fontId="12" fillId="0" borderId="0" xfId="0" applyFont="1" applyAlignment="1">
      <alignment horizontal="left" vertical="top" readingOrder="1"/>
    </xf>
    <xf numFmtId="0" fontId="16" fillId="4" borderId="0" xfId="0" applyFont="1" applyFill="1"/>
    <xf numFmtId="0" fontId="0" fillId="4" borderId="0" xfId="0" applyFill="1"/>
    <xf numFmtId="0" fontId="17" fillId="0" borderId="1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8" xfId="0" applyFont="1" applyBorder="1" applyAlignment="1">
      <alignment horizontal="center"/>
    </xf>
    <xf numFmtId="169" fontId="17" fillId="0" borderId="5" xfId="0" applyNumberFormat="1" applyFont="1" applyBorder="1"/>
    <xf numFmtId="170" fontId="17" fillId="0" borderId="5" xfId="0" applyNumberFormat="1" applyFont="1" applyBorder="1"/>
    <xf numFmtId="170" fontId="17" fillId="0" borderId="2" xfId="0" applyNumberFormat="1" applyFont="1" applyBorder="1"/>
    <xf numFmtId="10" fontId="14" fillId="0" borderId="0" xfId="0" applyNumberFormat="1" applyFont="1" applyAlignment="1">
      <alignment horizontal="left" readingOrder="1"/>
    </xf>
    <xf numFmtId="171" fontId="18" fillId="2" borderId="0" xfId="0" applyNumberFormat="1" applyFont="1" applyFill="1"/>
    <xf numFmtId="172" fontId="14" fillId="0" borderId="0" xfId="0" applyNumberFormat="1" applyFont="1" applyAlignment="1">
      <alignment horizontal="right" readingOrder="1"/>
    </xf>
    <xf numFmtId="173" fontId="14" fillId="0" borderId="0" xfId="0" applyNumberFormat="1" applyFont="1" applyAlignment="1">
      <alignment horizontal="left" readingOrder="1"/>
    </xf>
    <xf numFmtId="14" fontId="15" fillId="0" borderId="0" xfId="0" applyNumberFormat="1" applyFont="1" applyAlignment="1">
      <alignment horizontal="right" vertical="top" readingOrder="1"/>
    </xf>
    <xf numFmtId="0" fontId="14" fillId="0" borderId="0" xfId="0" applyFont="1" applyAlignment="1">
      <alignment horizontal="right" readingOrder="1"/>
    </xf>
    <xf numFmtId="173" fontId="18" fillId="2" borderId="0" xfId="0" applyNumberFormat="1" applyFont="1" applyFill="1"/>
    <xf numFmtId="0" fontId="14" fillId="0" borderId="0" xfId="0" applyFont="1" applyAlignment="1">
      <alignment horizontal="center" readingOrder="1"/>
    </xf>
    <xf numFmtId="10" fontId="12" fillId="0" borderId="0" xfId="0" applyNumberFormat="1" applyFont="1" applyAlignment="1">
      <alignment horizontal="right" vertical="top" readingOrder="1"/>
    </xf>
    <xf numFmtId="10" fontId="18" fillId="2" borderId="0" xfId="0" applyNumberFormat="1" applyFont="1" applyFill="1"/>
    <xf numFmtId="10" fontId="14" fillId="0" borderId="0" xfId="0" applyNumberFormat="1" applyFont="1" applyAlignment="1">
      <alignment horizontal="center" readingOrder="1"/>
    </xf>
    <xf numFmtId="0" fontId="19" fillId="4" borderId="0" xfId="0" applyFont="1" applyFill="1"/>
    <xf numFmtId="170" fontId="17" fillId="0" borderId="3" xfId="0" applyNumberFormat="1" applyFont="1" applyBorder="1"/>
    <xf numFmtId="170" fontId="17" fillId="0" borderId="11" xfId="0" applyNumberFormat="1" applyFont="1" applyBorder="1"/>
    <xf numFmtId="0" fontId="14" fillId="0" borderId="0" xfId="0" applyFont="1" applyAlignment="1">
      <alignment horizontal="left"/>
    </xf>
    <xf numFmtId="174" fontId="14" fillId="0" borderId="0" xfId="0" applyNumberFormat="1" applyFont="1" applyAlignment="1">
      <alignment horizontal="right" readingOrder="1"/>
    </xf>
    <xf numFmtId="175" fontId="12" fillId="0" borderId="0" xfId="0" applyNumberFormat="1" applyFont="1" applyAlignment="1">
      <alignment horizontal="right" vertical="center"/>
    </xf>
    <xf numFmtId="174" fontId="18" fillId="2" borderId="0" xfId="0" applyNumberFormat="1" applyFont="1" applyFill="1" applyAlignment="1">
      <alignment horizontal="right" vertical="center"/>
    </xf>
    <xf numFmtId="172" fontId="18" fillId="2" borderId="0" xfId="0" applyNumberFormat="1" applyFont="1" applyFill="1" applyAlignment="1">
      <alignment horizontal="right" readingOrder="1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0" fontId="20" fillId="0" borderId="0" xfId="0" applyNumberFormat="1" applyFont="1" applyAlignment="1">
      <alignment horizontal="right"/>
    </xf>
    <xf numFmtId="10" fontId="18" fillId="2" borderId="0" xfId="0" applyNumberFormat="1" applyFont="1" applyFill="1" applyAlignment="1">
      <alignment horizontal="right" readingOrder="1"/>
    </xf>
    <xf numFmtId="9" fontId="14" fillId="0" borderId="0" xfId="0" applyNumberFormat="1" applyFont="1" applyAlignment="1">
      <alignment horizontal="center" readingOrder="1"/>
    </xf>
    <xf numFmtId="0" fontId="21" fillId="0" borderId="0" xfId="0" applyFont="1" applyAlignment="1">
      <alignment horizontal="left" vertical="top" readingOrder="1"/>
    </xf>
    <xf numFmtId="10" fontId="21" fillId="0" borderId="0" xfId="0" applyNumberFormat="1" applyFont="1" applyAlignment="1">
      <alignment horizontal="right" vertical="top" readingOrder="1"/>
    </xf>
    <xf numFmtId="0" fontId="21" fillId="0" borderId="0" xfId="0" applyFont="1" applyAlignment="1">
      <alignment vertical="top"/>
    </xf>
    <xf numFmtId="10" fontId="21" fillId="3" borderId="0" xfId="0" applyNumberFormat="1" applyFont="1" applyFill="1" applyAlignment="1">
      <alignment horizontal="right" vertical="top" readingOrder="1"/>
    </xf>
    <xf numFmtId="0" fontId="14" fillId="0" borderId="0" xfId="0" applyFont="1"/>
    <xf numFmtId="0" fontId="20" fillId="0" borderId="0" xfId="0" applyFont="1"/>
    <xf numFmtId="0" fontId="17" fillId="0" borderId="11" xfId="0" applyFont="1" applyBorder="1" applyAlignment="1">
      <alignment horizontal="center"/>
    </xf>
    <xf numFmtId="0" fontId="17" fillId="0" borderId="0" xfId="0" applyFont="1"/>
    <xf numFmtId="0" fontId="17" fillId="0" borderId="3" xfId="0" applyFont="1" applyBorder="1"/>
    <xf numFmtId="0" fontId="14" fillId="0" borderId="5" xfId="0" applyFont="1" applyBorder="1"/>
    <xf numFmtId="0" fontId="14" fillId="0" borderId="3" xfId="0" applyFont="1" applyBorder="1"/>
    <xf numFmtId="171" fontId="14" fillId="0" borderId="0" xfId="0" applyNumberFormat="1" applyFont="1"/>
    <xf numFmtId="173" fontId="14" fillId="0" borderId="0" xfId="0" applyNumberFormat="1" applyFont="1"/>
    <xf numFmtId="167" fontId="22" fillId="2" borderId="0" xfId="0" applyNumberFormat="1" applyFont="1" applyFill="1"/>
    <xf numFmtId="174" fontId="17" fillId="0" borderId="0" xfId="0" applyNumberFormat="1" applyFont="1"/>
    <xf numFmtId="173" fontId="17" fillId="0" borderId="15" xfId="0" applyNumberFormat="1" applyFont="1" applyBorder="1"/>
    <xf numFmtId="176" fontId="14" fillId="0" borderId="0" xfId="0" applyNumberFormat="1" applyFont="1" applyAlignment="1">
      <alignment horizontal="left"/>
    </xf>
    <xf numFmtId="176" fontId="14" fillId="0" borderId="0" xfId="0" applyNumberFormat="1" applyFont="1" applyAlignment="1">
      <alignment horizontal="right"/>
    </xf>
    <xf numFmtId="177" fontId="12" fillId="0" borderId="0" xfId="0" applyNumberFormat="1" applyFont="1"/>
    <xf numFmtId="177" fontId="12" fillId="0" borderId="3" xfId="0" applyNumberFormat="1" applyFont="1" applyBorder="1"/>
    <xf numFmtId="173" fontId="17" fillId="0" borderId="0" xfId="0" applyNumberFormat="1" applyFont="1"/>
    <xf numFmtId="178" fontId="14" fillId="0" borderId="0" xfId="0" applyNumberFormat="1" applyFont="1"/>
    <xf numFmtId="10" fontId="12" fillId="0" borderId="0" xfId="0" applyNumberFormat="1" applyFont="1"/>
    <xf numFmtId="167" fontId="12" fillId="0" borderId="0" xfId="0" applyNumberFormat="1" applyFont="1"/>
    <xf numFmtId="167" fontId="20" fillId="0" borderId="0" xfId="0" applyNumberFormat="1" applyFont="1"/>
    <xf numFmtId="10" fontId="14" fillId="0" borderId="0" xfId="0" applyNumberFormat="1" applyFont="1"/>
    <xf numFmtId="179" fontId="20" fillId="0" borderId="0" xfId="0" applyNumberFormat="1" applyFont="1"/>
    <xf numFmtId="0" fontId="23" fillId="0" borderId="0" xfId="0" applyFont="1"/>
    <xf numFmtId="176" fontId="24" fillId="0" borderId="0" xfId="0" applyNumberFormat="1" applyFont="1" applyAlignment="1">
      <alignment horizontal="right"/>
    </xf>
    <xf numFmtId="176" fontId="25" fillId="0" borderId="0" xfId="0" applyNumberFormat="1" applyFont="1"/>
    <xf numFmtId="0" fontId="25" fillId="0" borderId="0" xfId="0" applyFont="1"/>
    <xf numFmtId="10" fontId="18" fillId="2" borderId="0" xfId="0" applyNumberFormat="1" applyFont="1" applyFill="1" applyAlignment="1">
      <alignment horizontal="right"/>
    </xf>
    <xf numFmtId="3" fontId="25" fillId="0" borderId="0" xfId="0" applyNumberFormat="1" applyFont="1"/>
    <xf numFmtId="0" fontId="26" fillId="0" borderId="0" xfId="0" applyFont="1"/>
    <xf numFmtId="10" fontId="12" fillId="0" borderId="0" xfId="0" applyNumberFormat="1" applyFont="1" applyAlignment="1">
      <alignment horizontal="right"/>
    </xf>
    <xf numFmtId="167" fontId="25" fillId="0" borderId="0" xfId="0" applyNumberFormat="1" applyFont="1"/>
    <xf numFmtId="170" fontId="26" fillId="0" borderId="0" xfId="0" applyNumberFormat="1" applyFont="1"/>
    <xf numFmtId="170" fontId="26" fillId="0" borderId="0" xfId="0" applyNumberFormat="1" applyFont="1" applyAlignment="1">
      <alignment horizontal="center"/>
    </xf>
    <xf numFmtId="2" fontId="25" fillId="0" borderId="0" xfId="0" applyNumberFormat="1" applyFont="1"/>
    <xf numFmtId="39" fontId="25" fillId="0" borderId="0" xfId="0" applyNumberFormat="1" applyFont="1"/>
    <xf numFmtId="173" fontId="17" fillId="0" borderId="15" xfId="0" applyNumberFormat="1" applyFont="1" applyBorder="1" applyAlignment="1">
      <alignment horizontal="right"/>
    </xf>
    <xf numFmtId="173" fontId="25" fillId="0" borderId="0" xfId="0" applyNumberFormat="1" applyFont="1"/>
    <xf numFmtId="0" fontId="24" fillId="0" borderId="0" xfId="0" applyFont="1"/>
    <xf numFmtId="180" fontId="12" fillId="0" borderId="0" xfId="0" applyNumberFormat="1" applyFont="1"/>
    <xf numFmtId="168" fontId="12" fillId="0" borderId="0" xfId="0" applyNumberFormat="1" applyFont="1"/>
    <xf numFmtId="10" fontId="14" fillId="2" borderId="0" xfId="0" applyNumberFormat="1" applyFont="1" applyFill="1"/>
    <xf numFmtId="167" fontId="18" fillId="2" borderId="0" xfId="0" applyNumberFormat="1" applyFont="1" applyFill="1" applyAlignment="1">
      <alignment horizontal="right"/>
    </xf>
    <xf numFmtId="181" fontId="12" fillId="0" borderId="0" xfId="0" applyNumberFormat="1" applyFont="1"/>
    <xf numFmtId="0" fontId="14" fillId="2" borderId="0" xfId="0" applyFont="1" applyFill="1"/>
    <xf numFmtId="180" fontId="14" fillId="2" borderId="0" xfId="0" applyNumberFormat="1" applyFont="1" applyFill="1"/>
    <xf numFmtId="0" fontId="12" fillId="5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182" fontId="14" fillId="0" borderId="0" xfId="0" applyNumberFormat="1" applyFont="1"/>
    <xf numFmtId="181" fontId="14" fillId="0" borderId="0" xfId="0" applyNumberFormat="1" applyFont="1"/>
    <xf numFmtId="10" fontId="17" fillId="0" borderId="0" xfId="0" applyNumberFormat="1" applyFont="1"/>
    <xf numFmtId="173" fontId="14" fillId="0" borderId="0" xfId="0" applyNumberFormat="1" applyFont="1" applyAlignment="1">
      <alignment horizontal="right"/>
    </xf>
    <xf numFmtId="176" fontId="15" fillId="0" borderId="0" xfId="0" applyNumberFormat="1" applyFont="1" applyAlignment="1">
      <alignment horizontal="right"/>
    </xf>
    <xf numFmtId="177" fontId="14" fillId="0" borderId="0" xfId="0" applyNumberFormat="1" applyFont="1"/>
    <xf numFmtId="164" fontId="14" fillId="2" borderId="0" xfId="0" applyNumberFormat="1" applyFont="1" applyFill="1"/>
    <xf numFmtId="177" fontId="14" fillId="0" borderId="0" xfId="0" applyNumberFormat="1" applyFont="1" applyAlignment="1">
      <alignment horizontal="right"/>
    </xf>
    <xf numFmtId="173" fontId="17" fillId="0" borderId="0" xfId="0" applyNumberFormat="1" applyFont="1" applyAlignment="1">
      <alignment horizontal="right"/>
    </xf>
    <xf numFmtId="0" fontId="14" fillId="0" borderId="1" xfId="0" applyFont="1" applyBorder="1"/>
    <xf numFmtId="183" fontId="17" fillId="0" borderId="2" xfId="0" applyNumberFormat="1" applyFont="1" applyBorder="1" applyAlignment="1">
      <alignment horizontal="right"/>
    </xf>
    <xf numFmtId="0" fontId="14" fillId="0" borderId="13" xfId="0" applyFont="1" applyBorder="1" applyAlignment="1">
      <alignment horizontal="left"/>
    </xf>
    <xf numFmtId="175" fontId="14" fillId="0" borderId="0" xfId="0" applyNumberFormat="1" applyFont="1" applyAlignment="1">
      <alignment horizontal="right"/>
    </xf>
    <xf numFmtId="10" fontId="14" fillId="0" borderId="15" xfId="0" applyNumberFormat="1" applyFont="1" applyBorder="1"/>
    <xf numFmtId="164" fontId="27" fillId="0" borderId="0" xfId="0" applyNumberFormat="1" applyFont="1"/>
    <xf numFmtId="0" fontId="28" fillId="0" borderId="0" xfId="0" applyFont="1"/>
    <xf numFmtId="0" fontId="27" fillId="0" borderId="0" xfId="0" applyFont="1"/>
    <xf numFmtId="10" fontId="28" fillId="0" borderId="0" xfId="0" applyNumberFormat="1" applyFont="1"/>
    <xf numFmtId="173" fontId="28" fillId="0" borderId="0" xfId="0" applyNumberFormat="1" applyFont="1"/>
    <xf numFmtId="172" fontId="28" fillId="0" borderId="0" xfId="0" applyNumberFormat="1" applyFont="1"/>
    <xf numFmtId="39" fontId="1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zoomScale="130" zoomScaleNormal="130" workbookViewId="0">
      <selection activeCell="C12" sqref="C12"/>
    </sheetView>
  </sheetViews>
  <sheetFormatPr defaultColWidth="11" defaultRowHeight="15.75" x14ac:dyDescent="0.25"/>
  <cols>
    <col min="1" max="1" width="1.875" customWidth="1"/>
    <col min="2" max="2" width="24" customWidth="1"/>
    <col min="3" max="3" width="21.75" customWidth="1"/>
    <col min="4" max="4" width="2.875" customWidth="1"/>
    <col min="5" max="7" width="12.625" customWidth="1"/>
    <col min="8" max="10" width="13.375" customWidth="1"/>
  </cols>
  <sheetData>
    <row r="1" spans="2:3" ht="9" customHeight="1" x14ac:dyDescent="0.25"/>
    <row r="2" spans="2:3" ht="15.75" customHeight="1" x14ac:dyDescent="0.25">
      <c r="B2" s="2" t="s">
        <v>0</v>
      </c>
      <c r="C2" s="3" t="s">
        <v>1</v>
      </c>
    </row>
    <row r="3" spans="2:3" ht="15.75" customHeight="1" x14ac:dyDescent="0.25">
      <c r="B3" t="s">
        <v>2</v>
      </c>
      <c r="C3" s="4">
        <v>76.040000000000006</v>
      </c>
    </row>
    <row r="4" spans="2:3" ht="15.75" customHeight="1" x14ac:dyDescent="0.25">
      <c r="B4" t="s">
        <v>3</v>
      </c>
      <c r="C4" s="5">
        <v>2050.23</v>
      </c>
    </row>
    <row r="5" spans="2:3" ht="15.75" customHeight="1" x14ac:dyDescent="0.25">
      <c r="B5" t="s">
        <v>4</v>
      </c>
      <c r="C5" s="6">
        <f>C3*C4</f>
        <v>155899.48920000001</v>
      </c>
    </row>
    <row r="6" spans="2:3" ht="15.75" customHeight="1" x14ac:dyDescent="0.25">
      <c r="B6" t="s">
        <v>5</v>
      </c>
      <c r="C6" s="4">
        <v>7105</v>
      </c>
    </row>
    <row r="7" spans="2:3" ht="15.75" customHeight="1" x14ac:dyDescent="0.25">
      <c r="B7" t="s">
        <v>6</v>
      </c>
      <c r="C7" s="4">
        <f>10521</f>
        <v>10521</v>
      </c>
    </row>
    <row r="8" spans="2:3" ht="15.75" customHeight="1" x14ac:dyDescent="0.25">
      <c r="B8" t="s">
        <v>7</v>
      </c>
      <c r="C8" s="6">
        <f>C5+C7-C6</f>
        <v>159315.48920000001</v>
      </c>
    </row>
    <row r="9" spans="2:3" ht="15.75" customHeight="1" x14ac:dyDescent="0.25"/>
    <row r="10" spans="2:3" ht="15.75" customHeight="1" x14ac:dyDescent="0.25">
      <c r="B10" t="s">
        <v>8</v>
      </c>
      <c r="C10" s="7"/>
    </row>
    <row r="11" spans="2:3" ht="15.75" customHeight="1" x14ac:dyDescent="0.25">
      <c r="B11" t="s">
        <v>9</v>
      </c>
      <c r="C11" s="7"/>
    </row>
    <row r="12" spans="2:3" ht="15.75" customHeight="1" x14ac:dyDescent="0.25">
      <c r="B12" t="s">
        <v>10</v>
      </c>
      <c r="C12" s="7"/>
    </row>
    <row r="13" spans="2:3" ht="15.75" customHeight="1" x14ac:dyDescent="0.25">
      <c r="C13" s="7"/>
    </row>
    <row r="14" spans="2:3" ht="15.75" customHeight="1" x14ac:dyDescent="0.25"/>
    <row r="15" spans="2:3" ht="15.75" customHeight="1" x14ac:dyDescent="0.25"/>
    <row r="16" spans="2:3" ht="15.75" customHeight="1" x14ac:dyDescent="0.25"/>
    <row r="17" spans="4:7" ht="15.75" customHeight="1" x14ac:dyDescent="0.25"/>
    <row r="18" spans="4:7" ht="15.75" customHeight="1" x14ac:dyDescent="0.25"/>
    <row r="19" spans="4:7" ht="15.75" customHeight="1" x14ac:dyDescent="0.25"/>
    <row r="20" spans="4:7" ht="15.75" customHeight="1" x14ac:dyDescent="0.25"/>
    <row r="21" spans="4:7" ht="15.75" customHeight="1" x14ac:dyDescent="0.25"/>
    <row r="22" spans="4:7" ht="15.75" customHeight="1" x14ac:dyDescent="0.25"/>
    <row r="23" spans="4:7" ht="15.75" customHeight="1" x14ac:dyDescent="0.25"/>
    <row r="24" spans="4:7" ht="15.75" customHeight="1" x14ac:dyDescent="0.25"/>
    <row r="25" spans="4:7" ht="15.75" customHeight="1" x14ac:dyDescent="0.25"/>
    <row r="27" spans="4:7" ht="15.75" customHeight="1" x14ac:dyDescent="0.25">
      <c r="E27" s="8"/>
      <c r="F27" s="9"/>
      <c r="G27" s="9"/>
    </row>
    <row r="29" spans="4:7" ht="15.75" customHeight="1" x14ac:dyDescent="0.25">
      <c r="D29" s="9"/>
    </row>
    <row r="30" spans="4:7" ht="15.75" customHeight="1" x14ac:dyDescent="0.25">
      <c r="D30" s="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P231"/>
  <sheetViews>
    <sheetView zoomScale="90" zoomScaleNormal="90" workbookViewId="0">
      <pane xSplit="2" topLeftCell="P1" activePane="topRight" state="frozen"/>
      <selection pane="topRight" activeCell="U5" sqref="U5:V5"/>
    </sheetView>
  </sheetViews>
  <sheetFormatPr defaultColWidth="11" defaultRowHeight="15.75" x14ac:dyDescent="0.25"/>
  <cols>
    <col min="1" max="1" width="2.375" customWidth="1"/>
    <col min="2" max="2" width="47.125" customWidth="1"/>
    <col min="3" max="24" width="12.625" customWidth="1"/>
    <col min="25" max="25" width="13.5" customWidth="1"/>
    <col min="26" max="36" width="13.375" customWidth="1"/>
    <col min="37" max="43" width="13.125" customWidth="1"/>
    <col min="44" max="96" width="12.5" customWidth="1"/>
  </cols>
  <sheetData>
    <row r="1" spans="2:41" ht="9.75" customHeight="1" x14ac:dyDescent="0.25"/>
    <row r="2" spans="2:41" ht="34.5" customHeight="1" x14ac:dyDescent="0.4">
      <c r="B2" s="10" t="s">
        <v>11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4" spans="2:41" ht="16.5" customHeight="1" x14ac:dyDescent="0.25">
      <c r="B4" s="12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  <c r="L4" s="13" t="s">
        <v>22</v>
      </c>
      <c r="M4" s="13" t="s">
        <v>23</v>
      </c>
      <c r="N4" s="13" t="s">
        <v>24</v>
      </c>
      <c r="O4" s="13" t="s">
        <v>25</v>
      </c>
      <c r="P4" s="13" t="s">
        <v>26</v>
      </c>
      <c r="Q4" s="13" t="s">
        <v>27</v>
      </c>
      <c r="R4" s="13" t="s">
        <v>28</v>
      </c>
      <c r="S4" s="13" t="s">
        <v>29</v>
      </c>
      <c r="T4" s="13" t="s">
        <v>30</v>
      </c>
      <c r="U4" s="13" t="s">
        <v>31</v>
      </c>
      <c r="V4" s="13" t="s">
        <v>32</v>
      </c>
      <c r="W4" s="13" t="s">
        <v>33</v>
      </c>
      <c r="X4" s="13" t="s">
        <v>34</v>
      </c>
    </row>
    <row r="5" spans="2:41" ht="15.75" customHeight="1" x14ac:dyDescent="0.25">
      <c r="B5" s="14" t="s">
        <v>35</v>
      </c>
      <c r="C5" s="15">
        <v>853</v>
      </c>
      <c r="D5" s="15">
        <v>1618</v>
      </c>
      <c r="E5" s="15">
        <v>2205</v>
      </c>
      <c r="F5" s="15">
        <f>6953-4676</f>
        <v>2277</v>
      </c>
      <c r="G5" s="15">
        <v>2518</v>
      </c>
      <c r="H5" s="15">
        <v>3553</v>
      </c>
      <c r="I5" s="15">
        <v>3822</v>
      </c>
      <c r="J5" s="15">
        <f>14029-9893</f>
        <v>4136</v>
      </c>
      <c r="K5" s="15">
        <v>4330</v>
      </c>
      <c r="L5" s="15">
        <v>4894</v>
      </c>
      <c r="M5" s="15">
        <v>5071</v>
      </c>
      <c r="N5" s="15">
        <f>19832-14295</f>
        <v>5537</v>
      </c>
      <c r="O5" s="15">
        <v>5633</v>
      </c>
      <c r="P5" s="15">
        <v>6134</v>
      </c>
      <c r="Q5" s="15">
        <v>6409</v>
      </c>
      <c r="R5" s="15">
        <f>25087-18176</f>
        <v>6911</v>
      </c>
      <c r="S5" s="15">
        <v>6496</v>
      </c>
      <c r="T5" s="15">
        <v>7288</v>
      </c>
      <c r="U5" s="15">
        <v>7682</v>
      </c>
      <c r="V5" s="15">
        <f>29670-21466</f>
        <v>8204</v>
      </c>
      <c r="W5" s="15">
        <v>6798</v>
      </c>
      <c r="X5" s="15">
        <v>7363</v>
      </c>
    </row>
    <row r="6" spans="2:41" ht="15.75" customHeight="1" x14ac:dyDescent="0.25">
      <c r="B6" s="14" t="s">
        <v>36</v>
      </c>
      <c r="C6" s="15">
        <v>1741</v>
      </c>
      <c r="D6" s="15">
        <v>1963</v>
      </c>
      <c r="E6" s="15">
        <v>2238</v>
      </c>
      <c r="F6" s="15">
        <f>8362-5942</f>
        <v>2420</v>
      </c>
      <c r="G6" s="15">
        <v>2512</v>
      </c>
      <c r="H6" s="15">
        <v>2688</v>
      </c>
      <c r="I6" s="15">
        <v>2770</v>
      </c>
      <c r="J6" s="15">
        <f>10901-7970</f>
        <v>2931</v>
      </c>
      <c r="K6" s="15">
        <v>3093</v>
      </c>
      <c r="L6" s="15">
        <v>3057</v>
      </c>
      <c r="M6" s="15">
        <v>2935</v>
      </c>
      <c r="N6" s="15">
        <f>12204-9085</f>
        <v>3119</v>
      </c>
      <c r="O6" s="15">
        <v>3214</v>
      </c>
      <c r="P6" s="15">
        <v>3293</v>
      </c>
      <c r="Q6" s="15">
        <v>3470</v>
      </c>
      <c r="R6" s="15">
        <f>13750-9977</f>
        <v>3773</v>
      </c>
      <c r="S6" s="15">
        <v>3777</v>
      </c>
      <c r="T6" s="15">
        <v>4102</v>
      </c>
      <c r="U6" s="15">
        <v>4477</v>
      </c>
      <c r="V6" s="15">
        <f>17248-12356</f>
        <v>4892</v>
      </c>
      <c r="W6" s="15">
        <v>5068</v>
      </c>
      <c r="X6" s="15">
        <v>5245</v>
      </c>
    </row>
    <row r="7" spans="2:41" ht="15.75" customHeight="1" x14ac:dyDescent="0.25">
      <c r="B7" s="14" t="s">
        <v>37</v>
      </c>
      <c r="C7" s="15">
        <v>301</v>
      </c>
      <c r="D7" s="15">
        <v>348</v>
      </c>
      <c r="E7" s="15">
        <v>402</v>
      </c>
      <c r="F7" s="15">
        <f>2132-1051</f>
        <v>1081</v>
      </c>
      <c r="G7" s="15">
        <v>1824</v>
      </c>
      <c r="H7" s="15">
        <v>1832</v>
      </c>
      <c r="I7" s="15">
        <v>1751</v>
      </c>
      <c r="J7" s="15">
        <f>6947-5407</f>
        <v>1540</v>
      </c>
      <c r="K7" s="15">
        <v>1400</v>
      </c>
      <c r="L7" s="15">
        <v>1279</v>
      </c>
      <c r="M7" s="15">
        <v>1286</v>
      </c>
      <c r="N7" s="15">
        <f>5245-3965</f>
        <v>1280</v>
      </c>
      <c r="O7" s="15">
        <v>1284</v>
      </c>
      <c r="P7" s="15">
        <v>1273</v>
      </c>
      <c r="Q7" s="15">
        <v>1309</v>
      </c>
      <c r="R7" s="15">
        <f>5141-3866</f>
        <v>1275</v>
      </c>
      <c r="S7" s="15">
        <v>1260</v>
      </c>
      <c r="T7" s="15">
        <v>1261</v>
      </c>
      <c r="U7" s="15">
        <v>1308</v>
      </c>
      <c r="V7" s="15">
        <f>5099-3829</f>
        <v>1270</v>
      </c>
      <c r="W7" s="15">
        <v>1337</v>
      </c>
      <c r="X7" s="15">
        <v>1583</v>
      </c>
    </row>
    <row r="8" spans="2:41" ht="15.75" customHeight="1" x14ac:dyDescent="0.25">
      <c r="B8" s="16" t="s">
        <v>38</v>
      </c>
      <c r="C8" s="17">
        <v>2903</v>
      </c>
      <c r="D8" s="17">
        <v>3929</v>
      </c>
      <c r="E8" s="17">
        <v>4845</v>
      </c>
      <c r="F8" s="17">
        <f>17455-11677</f>
        <v>5778</v>
      </c>
      <c r="G8" s="17">
        <v>6854</v>
      </c>
      <c r="H8" s="17">
        <v>8073</v>
      </c>
      <c r="I8" s="17">
        <v>8343</v>
      </c>
      <c r="J8" s="17">
        <f>31877-23270</f>
        <v>8607</v>
      </c>
      <c r="K8" s="17">
        <v>8823</v>
      </c>
      <c r="L8" s="17">
        <v>9230</v>
      </c>
      <c r="M8" s="17">
        <v>9292</v>
      </c>
      <c r="N8" s="17">
        <f>37281-27345</f>
        <v>9936</v>
      </c>
      <c r="O8" s="17">
        <v>10131</v>
      </c>
      <c r="P8" s="17">
        <v>10700</v>
      </c>
      <c r="Q8" s="17">
        <v>11188</v>
      </c>
      <c r="R8" s="17">
        <f>43978-32019</f>
        <v>11959</v>
      </c>
      <c r="S8" s="17">
        <v>11533</v>
      </c>
      <c r="T8" s="17">
        <v>12651</v>
      </c>
      <c r="U8" s="17">
        <v>13467</v>
      </c>
      <c r="V8" s="17">
        <f>52017-37651</f>
        <v>14366</v>
      </c>
      <c r="W8" s="17">
        <v>13203</v>
      </c>
      <c r="X8" s="17">
        <v>14191</v>
      </c>
    </row>
    <row r="9" spans="2:41" ht="15.75" customHeight="1" x14ac:dyDescent="0.25">
      <c r="B9" t="s">
        <v>39</v>
      </c>
      <c r="C9">
        <v>1710</v>
      </c>
      <c r="D9">
        <v>2099</v>
      </c>
      <c r="E9">
        <v>2438</v>
      </c>
      <c r="F9">
        <f>9351-6247</f>
        <v>3104</v>
      </c>
      <c r="G9">
        <v>4026</v>
      </c>
      <c r="H9">
        <v>5153</v>
      </c>
      <c r="I9">
        <v>5173</v>
      </c>
      <c r="J9" s="18">
        <f>19659-14352</f>
        <v>5307</v>
      </c>
      <c r="K9" s="18">
        <v>5259</v>
      </c>
      <c r="L9" s="18">
        <v>5515</v>
      </c>
      <c r="M9" s="18">
        <v>5626</v>
      </c>
      <c r="N9" s="18">
        <f>22457-16400</f>
        <v>6057</v>
      </c>
      <c r="O9" s="18">
        <v>6168</v>
      </c>
      <c r="P9" s="18">
        <v>6488</v>
      </c>
      <c r="Q9" s="18">
        <v>6761</v>
      </c>
      <c r="R9" s="18">
        <f>26651-19417</f>
        <v>7234</v>
      </c>
      <c r="S9" s="18">
        <v>6937</v>
      </c>
      <c r="T9" s="18">
        <v>7611</v>
      </c>
      <c r="U9" s="18">
        <v>8109</v>
      </c>
      <c r="V9" s="18">
        <f>31338-22657</f>
        <v>8681</v>
      </c>
      <c r="W9" s="18">
        <v>7258</v>
      </c>
      <c r="X9" s="18">
        <v>7815</v>
      </c>
    </row>
    <row r="10" spans="2:41" ht="15.75" customHeight="1" x14ac:dyDescent="0.25">
      <c r="B10" s="16" t="s">
        <v>40</v>
      </c>
      <c r="C10" s="19">
        <f t="shared" ref="C10:X10" si="0">C8-C9</f>
        <v>1193</v>
      </c>
      <c r="D10" s="19">
        <f t="shared" si="0"/>
        <v>1830</v>
      </c>
      <c r="E10" s="19">
        <f t="shared" si="0"/>
        <v>2407</v>
      </c>
      <c r="F10" s="19">
        <f t="shared" si="0"/>
        <v>2674</v>
      </c>
      <c r="G10" s="19">
        <f t="shared" si="0"/>
        <v>2828</v>
      </c>
      <c r="H10" s="19">
        <f t="shared" si="0"/>
        <v>2920</v>
      </c>
      <c r="I10" s="19">
        <f t="shared" si="0"/>
        <v>3170</v>
      </c>
      <c r="J10" s="19">
        <f t="shared" si="0"/>
        <v>3300</v>
      </c>
      <c r="K10" s="19">
        <f t="shared" si="0"/>
        <v>3564</v>
      </c>
      <c r="L10" s="19">
        <f t="shared" si="0"/>
        <v>3715</v>
      </c>
      <c r="M10" s="19">
        <f t="shared" si="0"/>
        <v>3666</v>
      </c>
      <c r="N10" s="19">
        <f t="shared" si="0"/>
        <v>3879</v>
      </c>
      <c r="O10" s="19">
        <f t="shared" si="0"/>
        <v>3963</v>
      </c>
      <c r="P10" s="19">
        <f t="shared" si="0"/>
        <v>4212</v>
      </c>
      <c r="Q10" s="19">
        <f t="shared" si="0"/>
        <v>4427</v>
      </c>
      <c r="R10" s="19">
        <f t="shared" si="0"/>
        <v>4725</v>
      </c>
      <c r="S10" s="19">
        <f t="shared" si="0"/>
        <v>4596</v>
      </c>
      <c r="T10" s="19">
        <f t="shared" si="0"/>
        <v>5040</v>
      </c>
      <c r="U10" s="19">
        <f t="shared" si="0"/>
        <v>5358</v>
      </c>
      <c r="V10" s="19">
        <f t="shared" si="0"/>
        <v>5685</v>
      </c>
      <c r="W10" s="19">
        <f t="shared" si="0"/>
        <v>5945</v>
      </c>
      <c r="X10" s="19">
        <f t="shared" si="0"/>
        <v>6376</v>
      </c>
    </row>
    <row r="11" spans="2:41" ht="15.75" customHeight="1" x14ac:dyDescent="0.25">
      <c r="B11" t="s">
        <v>41</v>
      </c>
      <c r="C11" s="18">
        <f>423+1103+464</f>
        <v>1990</v>
      </c>
      <c r="D11" s="18">
        <f>432+1256+616</f>
        <v>2304</v>
      </c>
      <c r="E11" s="18">
        <f>475+1168+625</f>
        <v>2268</v>
      </c>
      <c r="F11" s="18">
        <f>(1877-1330)+(4789-3527)+(2316-1705)</f>
        <v>2420</v>
      </c>
      <c r="G11" s="18">
        <f>574+1263+632</f>
        <v>2469</v>
      </c>
      <c r="H11" s="18">
        <f>617+1218+851</f>
        <v>2686</v>
      </c>
      <c r="I11" s="18">
        <f>617+1153+908</f>
        <v>2678</v>
      </c>
      <c r="J11" s="18">
        <f>(2413-1808)+(4756-3634)+(3136-2391)</f>
        <v>2472</v>
      </c>
      <c r="K11" s="18">
        <f>640+1262+942</f>
        <v>2844</v>
      </c>
      <c r="L11" s="18">
        <f>664+1218+491</f>
        <v>2373</v>
      </c>
      <c r="M11" s="18">
        <f>683+941+646</f>
        <v>2270</v>
      </c>
      <c r="N11" s="18">
        <f>(2689-1987)+(4356-3421)+(2682-2079)</f>
        <v>2240</v>
      </c>
      <c r="O11" s="18">
        <f>685+917+1209</f>
        <v>2811</v>
      </c>
      <c r="P11" s="18">
        <f>682+1115+686</f>
        <v>2483</v>
      </c>
      <c r="Q11" s="18">
        <f>687+1096+630</f>
        <v>2413</v>
      </c>
      <c r="R11" s="18">
        <f>(2732-2054)+(4337-3128)+(3639-2525)</f>
        <v>3001</v>
      </c>
      <c r="S11" s="18">
        <f>668+1057+657</f>
        <v>2382</v>
      </c>
      <c r="T11" s="18">
        <f>696+1210+669</f>
        <v>2575</v>
      </c>
      <c r="U11" s="18">
        <f>735+1277+1183</f>
        <v>3195</v>
      </c>
      <c r="V11" s="18">
        <f>(2854-2099)+(4898-3544)+(3241-2509)</f>
        <v>2841</v>
      </c>
      <c r="W11" s="18">
        <f>763+1326+798</f>
        <v>2887</v>
      </c>
      <c r="X11" s="18">
        <f>805+1515+935</f>
        <v>3255</v>
      </c>
    </row>
    <row r="12" spans="2:41" ht="15.75" customHeight="1" x14ac:dyDescent="0.25">
      <c r="B12" t="s">
        <v>42</v>
      </c>
      <c r="C12" s="18">
        <v>515</v>
      </c>
      <c r="D12" s="18">
        <v>488</v>
      </c>
      <c r="E12" s="18">
        <v>493</v>
      </c>
      <c r="F12" s="18">
        <f>2054-1496</f>
        <v>558</v>
      </c>
      <c r="G12" s="18">
        <v>587</v>
      </c>
      <c r="H12" s="18">
        <v>704</v>
      </c>
      <c r="I12" s="18">
        <v>760</v>
      </c>
      <c r="J12" s="18">
        <f>2798-2051</f>
        <v>747</v>
      </c>
      <c r="K12" s="18">
        <v>775</v>
      </c>
      <c r="L12" s="18">
        <v>808</v>
      </c>
      <c r="M12" s="18">
        <v>797</v>
      </c>
      <c r="N12" s="18">
        <f>3164-2380</f>
        <v>784</v>
      </c>
      <c r="O12" s="18">
        <v>790</v>
      </c>
      <c r="P12" s="18">
        <v>760</v>
      </c>
      <c r="Q12" s="18">
        <v>774</v>
      </c>
      <c r="R12" s="18">
        <f>3109-2324</f>
        <v>785</v>
      </c>
      <c r="S12" s="18">
        <v>815</v>
      </c>
      <c r="T12" s="18">
        <v>840</v>
      </c>
      <c r="U12" s="18">
        <v>862</v>
      </c>
      <c r="V12" s="18">
        <f>3402-2517</f>
        <v>885</v>
      </c>
      <c r="W12" s="18">
        <v>951</v>
      </c>
      <c r="X12" s="18">
        <v>1043</v>
      </c>
    </row>
    <row r="13" spans="2:41" ht="15.75" customHeight="1" x14ac:dyDescent="0.25">
      <c r="B13" t="s">
        <v>43</v>
      </c>
      <c r="C13" s="18">
        <v>212</v>
      </c>
      <c r="D13" s="18">
        <v>226</v>
      </c>
      <c r="E13" s="18">
        <v>218</v>
      </c>
      <c r="F13" s="18">
        <f>902-656</f>
        <v>246</v>
      </c>
      <c r="G13" s="18">
        <v>254</v>
      </c>
      <c r="H13" s="18">
        <v>243</v>
      </c>
      <c r="I13" s="18">
        <v>227</v>
      </c>
      <c r="J13" s="18">
        <f>947-724</f>
        <v>223</v>
      </c>
      <c r="K13" s="18">
        <v>207</v>
      </c>
      <c r="L13" s="18">
        <v>208</v>
      </c>
      <c r="M13" s="18">
        <v>205</v>
      </c>
      <c r="N13" s="18">
        <f>823-620</f>
        <v>203</v>
      </c>
      <c r="O13" s="18">
        <v>190</v>
      </c>
      <c r="P13" s="18">
        <v>173</v>
      </c>
      <c r="Q13" s="18">
        <v>179</v>
      </c>
      <c r="R13" s="18">
        <f>711-542</f>
        <v>169</v>
      </c>
      <c r="S13" s="18">
        <v>171</v>
      </c>
      <c r="T13" s="18">
        <v>175</v>
      </c>
      <c r="U13" s="18">
        <v>188</v>
      </c>
      <c r="V13" s="18">
        <f>719-534</f>
        <v>185</v>
      </c>
      <c r="W13" s="18">
        <v>184</v>
      </c>
      <c r="X13" s="18">
        <v>188</v>
      </c>
    </row>
    <row r="14" spans="2:41" ht="15.75" customHeight="1" x14ac:dyDescent="0.25">
      <c r="B14" t="s">
        <v>44</v>
      </c>
      <c r="C14" s="18">
        <f>115-1710</f>
        <v>-1595</v>
      </c>
      <c r="D14" s="18">
        <f>115-1943</f>
        <v>-1828</v>
      </c>
      <c r="E14" s="18">
        <f>123-(-1832)</f>
        <v>1955</v>
      </c>
      <c r="F14" s="18">
        <f>(483-353)-(3292-1821)</f>
        <v>-1341</v>
      </c>
      <c r="G14" s="18">
        <f>129-(-5557)</f>
        <v>5686</v>
      </c>
      <c r="H14" s="18">
        <f>139-(-1704)</f>
        <v>1843</v>
      </c>
      <c r="I14" s="18">
        <f>146-(-535)</f>
        <v>681</v>
      </c>
      <c r="J14" s="18">
        <f>(565-414)-(-7029-(-7796))</f>
        <v>-616</v>
      </c>
      <c r="K14" s="18">
        <f>168-292</f>
        <v>-124</v>
      </c>
      <c r="L14" s="18">
        <f>144-273</f>
        <v>-129</v>
      </c>
      <c r="M14" s="18">
        <f>166-(-52)</f>
        <v>218</v>
      </c>
      <c r="N14" s="18">
        <f>(633-478)-(1844-513)</f>
        <v>-1176</v>
      </c>
      <c r="O14" s="18">
        <f>124-(-678)</f>
        <v>802</v>
      </c>
      <c r="P14" s="18">
        <f>139-420</f>
        <v>-281</v>
      </c>
      <c r="Q14" s="18">
        <f>143-1851</f>
        <v>-1708</v>
      </c>
      <c r="R14" s="18">
        <f>(523-406)-((721+1128)-1593)</f>
        <v>-139</v>
      </c>
      <c r="S14" s="18">
        <f>105-169-93</f>
        <v>-157</v>
      </c>
      <c r="T14" s="18">
        <f>108-162</f>
        <v>-54</v>
      </c>
      <c r="U14" s="18">
        <f>112-1619</f>
        <v>-1507</v>
      </c>
      <c r="V14" s="18">
        <f>(440-325)-((743-68)-2043)</f>
        <v>1483</v>
      </c>
      <c r="W14" s="18">
        <f>108-175-(-1494)</f>
        <v>1427</v>
      </c>
      <c r="X14" s="18">
        <f>127-172-1342</f>
        <v>-1387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spans="2:41" ht="15.75" customHeight="1" x14ac:dyDescent="0.25">
      <c r="B15" t="s">
        <v>45</v>
      </c>
      <c r="C15" s="18">
        <f t="shared" ref="C15:X15" si="1">C10-SUM(C11:C14)</f>
        <v>71</v>
      </c>
      <c r="D15" s="18">
        <f t="shared" si="1"/>
        <v>640</v>
      </c>
      <c r="E15" s="18">
        <f t="shared" si="1"/>
        <v>-2527</v>
      </c>
      <c r="F15" s="18">
        <f t="shared" si="1"/>
        <v>791</v>
      </c>
      <c r="G15" s="18">
        <f t="shared" si="1"/>
        <v>-6168</v>
      </c>
      <c r="H15" s="18">
        <f t="shared" si="1"/>
        <v>-2556</v>
      </c>
      <c r="I15" s="18">
        <f t="shared" si="1"/>
        <v>-1176</v>
      </c>
      <c r="J15" s="18">
        <f t="shared" si="1"/>
        <v>474</v>
      </c>
      <c r="K15" s="18">
        <f t="shared" si="1"/>
        <v>-138</v>
      </c>
      <c r="L15" s="18">
        <f t="shared" si="1"/>
        <v>455</v>
      </c>
      <c r="M15" s="18">
        <f t="shared" si="1"/>
        <v>176</v>
      </c>
      <c r="N15" s="18">
        <f t="shared" si="1"/>
        <v>1828</v>
      </c>
      <c r="O15" s="18">
        <f t="shared" si="1"/>
        <v>-630</v>
      </c>
      <c r="P15" s="18">
        <f t="shared" si="1"/>
        <v>1077</v>
      </c>
      <c r="Q15" s="18">
        <f t="shared" si="1"/>
        <v>2769</v>
      </c>
      <c r="R15" s="18">
        <f t="shared" si="1"/>
        <v>909</v>
      </c>
      <c r="S15" s="18">
        <f t="shared" si="1"/>
        <v>1385</v>
      </c>
      <c r="T15" s="18">
        <f t="shared" si="1"/>
        <v>1504</v>
      </c>
      <c r="U15" s="18">
        <f t="shared" si="1"/>
        <v>2620</v>
      </c>
      <c r="V15" s="18">
        <f t="shared" si="1"/>
        <v>291</v>
      </c>
      <c r="W15" s="18">
        <f t="shared" si="1"/>
        <v>496</v>
      </c>
      <c r="X15" s="18">
        <f t="shared" si="1"/>
        <v>3277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 spans="2:41" ht="15.75" customHeight="1" x14ac:dyDescent="0.25">
      <c r="B16" t="s">
        <v>46</v>
      </c>
      <c r="C16" s="18">
        <v>8</v>
      </c>
      <c r="D16" s="18">
        <v>7</v>
      </c>
      <c r="E16" s="18">
        <v>13</v>
      </c>
      <c r="F16" s="18">
        <f>37-28</f>
        <v>9</v>
      </c>
      <c r="G16" s="18">
        <v>-18</v>
      </c>
      <c r="H16" s="18">
        <v>-17</v>
      </c>
      <c r="I16" s="18">
        <v>-30</v>
      </c>
      <c r="J16" s="18">
        <f>-107-(-65)</f>
        <v>-42</v>
      </c>
      <c r="K16" s="18">
        <v>-36</v>
      </c>
      <c r="L16" s="18">
        <v>-4</v>
      </c>
      <c r="M16" s="18">
        <v>-3</v>
      </c>
      <c r="N16" s="18">
        <f>-48-(-43)</f>
        <v>-5</v>
      </c>
      <c r="O16" s="18">
        <v>4</v>
      </c>
      <c r="P16" s="18">
        <v>12</v>
      </c>
      <c r="Q16" s="18">
        <v>12</v>
      </c>
      <c r="R16" s="18">
        <f>38-28</f>
        <v>10</v>
      </c>
      <c r="S16" s="18">
        <v>13</v>
      </c>
      <c r="T16" s="18">
        <v>12</v>
      </c>
      <c r="U16" s="18">
        <v>14</v>
      </c>
      <c r="V16" s="18">
        <f>53-39</f>
        <v>14</v>
      </c>
      <c r="W16" s="18">
        <v>20</v>
      </c>
      <c r="X16" s="18">
        <v>21</v>
      </c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spans="2:41" ht="15.75" customHeight="1" x14ac:dyDescent="0.25">
      <c r="B17" t="s">
        <v>47</v>
      </c>
      <c r="C17" s="18">
        <v>185</v>
      </c>
      <c r="D17" s="18">
        <v>-479</v>
      </c>
      <c r="E17" s="18">
        <v>-101</v>
      </c>
      <c r="F17" s="18">
        <f>-492-(-395)</f>
        <v>-97</v>
      </c>
      <c r="G17" s="18">
        <v>-232</v>
      </c>
      <c r="H17" s="18">
        <v>77</v>
      </c>
      <c r="I17" s="18">
        <v>58</v>
      </c>
      <c r="J17" s="18">
        <f>-181-(-97)</f>
        <v>-84</v>
      </c>
      <c r="K17" s="18">
        <v>55</v>
      </c>
      <c r="L17" s="18">
        <v>65</v>
      </c>
      <c r="M17" s="18">
        <v>-40</v>
      </c>
      <c r="N17" s="18">
        <f>213-80</f>
        <v>133</v>
      </c>
      <c r="O17" s="18">
        <v>29</v>
      </c>
      <c r="P17" s="18">
        <v>57</v>
      </c>
      <c r="Q17" s="18">
        <v>158</v>
      </c>
      <c r="R17" s="18">
        <f>-5758-244</f>
        <v>-6002</v>
      </c>
      <c r="S17" s="18">
        <v>-402</v>
      </c>
      <c r="T17" s="18">
        <v>142</v>
      </c>
      <c r="U17" s="18">
        <v>-4046</v>
      </c>
      <c r="V17" s="18">
        <f>-4346-(-4306)</f>
        <v>-40</v>
      </c>
      <c r="W17" s="18">
        <v>194</v>
      </c>
      <c r="X17" s="18">
        <v>840</v>
      </c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spans="2:41" ht="15.75" customHeight="1" x14ac:dyDescent="0.25">
      <c r="B18" t="s">
        <v>48</v>
      </c>
      <c r="C18" s="18">
        <v>-14</v>
      </c>
      <c r="D18" s="18">
        <v>-32</v>
      </c>
      <c r="E18" s="18">
        <v>-15</v>
      </c>
      <c r="F18" s="18">
        <f>-74-(-61)</f>
        <v>-13</v>
      </c>
      <c r="G18" s="18">
        <v>12</v>
      </c>
      <c r="H18" s="18">
        <v>-15</v>
      </c>
      <c r="I18" s="18">
        <v>2</v>
      </c>
      <c r="J18" s="18">
        <f>3-(-2)</f>
        <v>5</v>
      </c>
      <c r="K18" s="18">
        <v>0</v>
      </c>
      <c r="L18" s="18">
        <v>0</v>
      </c>
      <c r="M18" s="18">
        <v>-2</v>
      </c>
      <c r="N18" s="18">
        <f>269-(-2)</f>
        <v>271</v>
      </c>
      <c r="O18" s="18">
        <v>-9</v>
      </c>
      <c r="P18" s="18">
        <v>-7</v>
      </c>
      <c r="Q18" s="18">
        <v>-13</v>
      </c>
      <c r="R18" s="18">
        <f>-11-(-29)</f>
        <v>18</v>
      </c>
      <c r="S18" s="18">
        <v>-2</v>
      </c>
      <c r="T18" s="18">
        <v>-5</v>
      </c>
      <c r="U18" s="18">
        <v>26</v>
      </c>
      <c r="V18" s="18">
        <f>40-19</f>
        <v>21</v>
      </c>
      <c r="W18" s="18">
        <v>19</v>
      </c>
      <c r="X18" s="18">
        <v>22</v>
      </c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2:41" ht="16.5" customHeight="1" x14ac:dyDescent="0.25">
      <c r="B19" s="20" t="s">
        <v>49</v>
      </c>
      <c r="C19" s="21">
        <f t="shared" ref="C19:X19" si="2">C15-C17-C16-C18</f>
        <v>-108</v>
      </c>
      <c r="D19" s="21">
        <f t="shared" si="2"/>
        <v>1144</v>
      </c>
      <c r="E19" s="21">
        <f t="shared" si="2"/>
        <v>-2424</v>
      </c>
      <c r="F19" s="21">
        <f t="shared" si="2"/>
        <v>892</v>
      </c>
      <c r="G19" s="21">
        <f t="shared" si="2"/>
        <v>-5930</v>
      </c>
      <c r="H19" s="21">
        <f t="shared" si="2"/>
        <v>-2601</v>
      </c>
      <c r="I19" s="21">
        <f t="shared" si="2"/>
        <v>-1206</v>
      </c>
      <c r="J19" s="21">
        <f t="shared" si="2"/>
        <v>595</v>
      </c>
      <c r="K19" s="21">
        <f t="shared" si="2"/>
        <v>-157</v>
      </c>
      <c r="L19" s="21">
        <f t="shared" si="2"/>
        <v>394</v>
      </c>
      <c r="M19" s="21">
        <f t="shared" si="2"/>
        <v>221</v>
      </c>
      <c r="N19" s="21">
        <f t="shared" si="2"/>
        <v>1429</v>
      </c>
      <c r="O19" s="21">
        <f t="shared" si="2"/>
        <v>-654</v>
      </c>
      <c r="P19" s="21">
        <f t="shared" si="2"/>
        <v>1015</v>
      </c>
      <c r="Q19" s="21">
        <f t="shared" si="2"/>
        <v>2612</v>
      </c>
      <c r="R19" s="21">
        <f t="shared" si="2"/>
        <v>6883</v>
      </c>
      <c r="S19" s="21">
        <f t="shared" si="2"/>
        <v>1776</v>
      </c>
      <c r="T19" s="21">
        <f t="shared" si="2"/>
        <v>1355</v>
      </c>
      <c r="U19" s="21">
        <f t="shared" si="2"/>
        <v>6626</v>
      </c>
      <c r="V19" s="21">
        <f t="shared" si="2"/>
        <v>296</v>
      </c>
      <c r="W19" s="21">
        <f t="shared" si="2"/>
        <v>263</v>
      </c>
      <c r="X19" s="21">
        <f t="shared" si="2"/>
        <v>2394</v>
      </c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</row>
    <row r="20" spans="2:41" ht="16.5" customHeight="1" x14ac:dyDescent="0.25">
      <c r="B20" t="s">
        <v>50</v>
      </c>
      <c r="C20" s="6">
        <f t="shared" ref="C20:X20" si="3">C19/C21</f>
        <v>-5.8110598458454954E-2</v>
      </c>
      <c r="D20" s="6">
        <f t="shared" si="3"/>
        <v>0.58487455105510044</v>
      </c>
      <c r="E20" s="6">
        <f t="shared" si="3"/>
        <v>-1.2764922162411518</v>
      </c>
      <c r="F20" s="6">
        <f t="shared" si="3"/>
        <v>0.47058351828707601</v>
      </c>
      <c r="G20" s="6">
        <f t="shared" si="3"/>
        <v>-3.0290167546000957</v>
      </c>
      <c r="H20" s="6">
        <f t="shared" si="3"/>
        <v>-1.3210542835985091</v>
      </c>
      <c r="I20" s="6">
        <f t="shared" si="3"/>
        <v>-0.60930662825576132</v>
      </c>
      <c r="J20" s="6">
        <f t="shared" si="3"/>
        <v>0.29842511786538267</v>
      </c>
      <c r="K20" s="6">
        <f t="shared" si="3"/>
        <v>-7.8126671699284972E-2</v>
      </c>
      <c r="L20" s="6">
        <f t="shared" si="3"/>
        <v>0.18949003614257923</v>
      </c>
      <c r="M20" s="6">
        <f t="shared" si="3"/>
        <v>0.10481489263113364</v>
      </c>
      <c r="N20" s="6">
        <f t="shared" si="3"/>
        <v>0.6585778497548419</v>
      </c>
      <c r="O20" s="6">
        <f t="shared" si="3"/>
        <v>-0.31439768326404405</v>
      </c>
      <c r="P20" s="6">
        <f t="shared" si="3"/>
        <v>0.47208885130782569</v>
      </c>
      <c r="Q20" s="6">
        <f t="shared" si="3"/>
        <v>1.2123653842761966</v>
      </c>
      <c r="R20" s="6">
        <f t="shared" si="3"/>
        <v>3.1041152640121528</v>
      </c>
      <c r="S20" s="6">
        <f t="shared" si="3"/>
        <v>0.83670260027946619</v>
      </c>
      <c r="T20" s="6">
        <f t="shared" si="3"/>
        <v>0.63745867103745335</v>
      </c>
      <c r="U20" s="6">
        <f t="shared" si="3"/>
        <v>3.1190115190659347</v>
      </c>
      <c r="V20" s="6">
        <f t="shared" si="3"/>
        <v>0.14054286581147607</v>
      </c>
      <c r="W20" s="6">
        <f t="shared" si="3"/>
        <v>0.12696782017494523</v>
      </c>
      <c r="X20" s="6">
        <f t="shared" si="3"/>
        <v>1.167673870736454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2:41" ht="15.75" customHeight="1" x14ac:dyDescent="0.25">
      <c r="B21" t="s">
        <v>3</v>
      </c>
      <c r="C21">
        <v>1858.5250000000001</v>
      </c>
      <c r="D21">
        <v>1955.9749999999999</v>
      </c>
      <c r="E21">
        <v>1898.954</v>
      </c>
      <c r="F21">
        <v>1895.519</v>
      </c>
      <c r="G21">
        <v>1957.731</v>
      </c>
      <c r="H21">
        <v>1968.8820000000001</v>
      </c>
      <c r="I21">
        <v>1979.299</v>
      </c>
      <c r="J21">
        <f>4*1974.928-(1957.731+1968.882+1979.299)</f>
        <v>1993.8000000000002</v>
      </c>
      <c r="K21">
        <v>2009.557</v>
      </c>
      <c r="L21">
        <v>2079.2649999999999</v>
      </c>
      <c r="M21">
        <v>2108.4789999999998</v>
      </c>
      <c r="N21">
        <f>4*2091.782-(2009.557+2079.265+2108.479)</f>
        <v>2169.8270000000011</v>
      </c>
      <c r="O21">
        <v>2080.1680000000001</v>
      </c>
      <c r="P21">
        <v>2150.0189999999998</v>
      </c>
      <c r="Q21">
        <v>2154.4659999999999</v>
      </c>
      <c r="R21">
        <f>4*2150.508-(2080.168+2150.019+2154.466)</f>
        <v>2217.378999999999</v>
      </c>
      <c r="S21">
        <v>2122.6179999999999</v>
      </c>
      <c r="T21">
        <v>2125.6280000000002</v>
      </c>
      <c r="U21">
        <v>2124.3910000000001</v>
      </c>
      <c r="V21">
        <f>4*2119.689-(2122.618+2125.628+2124.391)</f>
        <v>2106.1189999999988</v>
      </c>
      <c r="W21">
        <v>2071.3910000000001</v>
      </c>
      <c r="X21" s="22">
        <v>2050.23</v>
      </c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</row>
    <row r="22" spans="2:41" ht="15.75" customHeight="1" x14ac:dyDescent="0.25"/>
    <row r="23" spans="2:41" ht="16.5" customHeight="1" x14ac:dyDescent="0.25">
      <c r="B23" s="12" t="s">
        <v>51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2:41" ht="16.5" customHeight="1" x14ac:dyDescent="0.25">
      <c r="B24" s="23" t="s">
        <v>52</v>
      </c>
      <c r="C24" s="24"/>
      <c r="D24" s="24"/>
      <c r="E24" s="24"/>
      <c r="F24" s="25">
        <f>(F5-C5)/C5</f>
        <v>1.6694021101992966</v>
      </c>
      <c r="G24" s="25">
        <f t="shared" ref="G24:P27" si="4">(G5-C5)/C5</f>
        <v>1.9519343493552168</v>
      </c>
      <c r="H24" s="25">
        <f t="shared" si="4"/>
        <v>1.195920889987639</v>
      </c>
      <c r="I24" s="25">
        <f t="shared" si="4"/>
        <v>0.73333333333333328</v>
      </c>
      <c r="J24" s="25">
        <f t="shared" si="4"/>
        <v>0.81642512077294682</v>
      </c>
      <c r="K24" s="25">
        <f t="shared" si="4"/>
        <v>0.71961874503574264</v>
      </c>
      <c r="L24" s="25">
        <f t="shared" si="4"/>
        <v>0.37742752603433716</v>
      </c>
      <c r="M24" s="25">
        <f t="shared" si="4"/>
        <v>0.32679225536368395</v>
      </c>
      <c r="N24" s="25">
        <f t="shared" si="4"/>
        <v>0.33873307543520309</v>
      </c>
      <c r="O24" s="25">
        <f t="shared" si="4"/>
        <v>0.30092378752886834</v>
      </c>
      <c r="P24" s="25">
        <f t="shared" si="4"/>
        <v>0.25337147527584797</v>
      </c>
      <c r="Q24" s="25">
        <f t="shared" ref="Q24:Z27" si="5">(Q5-M5)/M5</f>
        <v>0.26385328337605995</v>
      </c>
      <c r="R24" s="25">
        <f t="shared" si="5"/>
        <v>0.24814881704894348</v>
      </c>
      <c r="S24" s="25">
        <f t="shared" si="5"/>
        <v>0.15320433161725547</v>
      </c>
      <c r="T24" s="25">
        <f t="shared" si="5"/>
        <v>0.18813172481252038</v>
      </c>
      <c r="U24" s="25">
        <f t="shared" si="5"/>
        <v>0.19862693087845218</v>
      </c>
      <c r="V24" s="25">
        <f t="shared" si="5"/>
        <v>0.18709304008103025</v>
      </c>
      <c r="W24" s="25">
        <f t="shared" si="5"/>
        <v>4.649014778325123E-2</v>
      </c>
      <c r="X24" s="25">
        <f t="shared" si="5"/>
        <v>1.0290889132821076E-2</v>
      </c>
    </row>
    <row r="25" spans="2:41" ht="16.5" customHeight="1" x14ac:dyDescent="0.25">
      <c r="B25" s="23" t="s">
        <v>53</v>
      </c>
      <c r="C25" s="24"/>
      <c r="D25" s="24"/>
      <c r="E25" s="24"/>
      <c r="F25" s="25">
        <f>(F6-C6)/C6</f>
        <v>0.39000574382538772</v>
      </c>
      <c r="G25" s="25">
        <f t="shared" si="4"/>
        <v>0.4428489373923033</v>
      </c>
      <c r="H25" s="25">
        <f t="shared" si="4"/>
        <v>0.36933265410086602</v>
      </c>
      <c r="I25" s="25">
        <f t="shared" si="4"/>
        <v>0.23771224307417338</v>
      </c>
      <c r="J25" s="25">
        <f t="shared" si="4"/>
        <v>0.21115702479338844</v>
      </c>
      <c r="K25" s="25">
        <f t="shared" si="4"/>
        <v>0.23128980891719744</v>
      </c>
      <c r="L25" s="25">
        <f t="shared" si="4"/>
        <v>0.13727678571428573</v>
      </c>
      <c r="M25" s="25">
        <f t="shared" si="4"/>
        <v>5.9566787003610108E-2</v>
      </c>
      <c r="N25" s="25">
        <f t="shared" si="4"/>
        <v>6.4141931081542133E-2</v>
      </c>
      <c r="O25" s="25">
        <f t="shared" si="4"/>
        <v>3.9120594891690917E-2</v>
      </c>
      <c r="P25" s="25">
        <f t="shared" si="4"/>
        <v>7.7199869152764153E-2</v>
      </c>
      <c r="Q25" s="25">
        <f t="shared" si="5"/>
        <v>0.18228279386712096</v>
      </c>
      <c r="R25" s="25">
        <f t="shared" si="5"/>
        <v>0.2096825905739019</v>
      </c>
      <c r="S25" s="25">
        <f t="shared" si="5"/>
        <v>0.17517112632233978</v>
      </c>
      <c r="T25" s="25">
        <f t="shared" si="5"/>
        <v>0.24567263893106589</v>
      </c>
      <c r="U25" s="25">
        <f t="shared" si="5"/>
        <v>0.29020172910662823</v>
      </c>
      <c r="V25" s="25">
        <f t="shared" si="5"/>
        <v>0.29658097005035783</v>
      </c>
      <c r="W25" s="25">
        <f t="shared" si="5"/>
        <v>0.34180566587238548</v>
      </c>
      <c r="X25" s="25">
        <f t="shared" si="5"/>
        <v>0.27864456362749879</v>
      </c>
    </row>
    <row r="26" spans="2:41" ht="16.5" customHeight="1" x14ac:dyDescent="0.25">
      <c r="B26" s="23" t="s">
        <v>54</v>
      </c>
      <c r="C26" s="24"/>
      <c r="D26" s="24"/>
      <c r="E26" s="24"/>
      <c r="F26" s="25">
        <f>(F7-C7)/C7</f>
        <v>2.5913621262458473</v>
      </c>
      <c r="G26" s="25">
        <f t="shared" si="4"/>
        <v>5.059800664451827</v>
      </c>
      <c r="H26" s="25">
        <f t="shared" si="4"/>
        <v>4.264367816091954</v>
      </c>
      <c r="I26" s="25">
        <f t="shared" si="4"/>
        <v>3.355721393034826</v>
      </c>
      <c r="J26" s="25">
        <f t="shared" si="4"/>
        <v>0.42460684551341349</v>
      </c>
      <c r="K26" s="25">
        <f t="shared" si="4"/>
        <v>-0.23245614035087719</v>
      </c>
      <c r="L26" s="25">
        <f t="shared" si="4"/>
        <v>-0.30185589519650657</v>
      </c>
      <c r="M26" s="25">
        <f t="shared" si="4"/>
        <v>-0.26556253569388921</v>
      </c>
      <c r="N26" s="25">
        <f t="shared" si="4"/>
        <v>-0.16883116883116883</v>
      </c>
      <c r="O26" s="25">
        <f t="shared" si="4"/>
        <v>-8.2857142857142851E-2</v>
      </c>
      <c r="P26" s="25">
        <f t="shared" si="4"/>
        <v>-4.6911649726348714E-3</v>
      </c>
      <c r="Q26" s="25">
        <f t="shared" si="5"/>
        <v>1.7884914463452566E-2</v>
      </c>
      <c r="R26" s="25">
        <f t="shared" si="5"/>
        <v>-3.90625E-3</v>
      </c>
      <c r="S26" s="25">
        <f t="shared" si="5"/>
        <v>-1.8691588785046728E-2</v>
      </c>
      <c r="T26" s="25">
        <f t="shared" si="5"/>
        <v>-9.4265514532600164E-3</v>
      </c>
      <c r="U26" s="25">
        <f t="shared" si="5"/>
        <v>-7.6394194041252863E-4</v>
      </c>
      <c r="V26" s="25">
        <f t="shared" si="5"/>
        <v>-3.9215686274509803E-3</v>
      </c>
      <c r="W26" s="25">
        <f t="shared" si="5"/>
        <v>6.1111111111111109E-2</v>
      </c>
      <c r="X26" s="25">
        <f t="shared" si="5"/>
        <v>0.25535289452815224</v>
      </c>
    </row>
    <row r="27" spans="2:41" ht="15.75" customHeight="1" x14ac:dyDescent="0.25">
      <c r="B27" s="23" t="s">
        <v>55</v>
      </c>
      <c r="C27" s="24"/>
      <c r="D27" s="24"/>
      <c r="E27" s="24"/>
      <c r="F27" s="25">
        <f>(F8-C8)/C8</f>
        <v>0.99035480537375131</v>
      </c>
      <c r="G27" s="25">
        <f t="shared" si="4"/>
        <v>1.361005856011023</v>
      </c>
      <c r="H27" s="25">
        <f t="shared" si="4"/>
        <v>1.0547213031305676</v>
      </c>
      <c r="I27" s="25">
        <f t="shared" si="4"/>
        <v>0.72198142414860678</v>
      </c>
      <c r="J27" s="25">
        <f t="shared" si="4"/>
        <v>0.48961578400830735</v>
      </c>
      <c r="K27" s="25">
        <f t="shared" si="4"/>
        <v>0.28727750218850306</v>
      </c>
      <c r="L27" s="25">
        <f t="shared" si="4"/>
        <v>0.14331723027375201</v>
      </c>
      <c r="M27" s="25">
        <f t="shared" si="4"/>
        <v>0.11374805225937912</v>
      </c>
      <c r="N27" s="25">
        <f t="shared" si="4"/>
        <v>0.15440920181247822</v>
      </c>
      <c r="O27" s="25">
        <f t="shared" si="4"/>
        <v>0.14824889493369603</v>
      </c>
      <c r="P27" s="25">
        <f t="shared" si="4"/>
        <v>0.15926327193932827</v>
      </c>
      <c r="Q27" s="25">
        <f t="shared" si="5"/>
        <v>0.20404649160568231</v>
      </c>
      <c r="R27" s="25">
        <f t="shared" si="5"/>
        <v>0.20360305958132044</v>
      </c>
      <c r="S27" s="25">
        <f t="shared" si="5"/>
        <v>0.13838712861514166</v>
      </c>
      <c r="T27" s="25">
        <f t="shared" si="5"/>
        <v>0.18233644859813083</v>
      </c>
      <c r="U27" s="25">
        <f t="shared" si="5"/>
        <v>0.20370039327851269</v>
      </c>
      <c r="V27" s="25">
        <f t="shared" si="5"/>
        <v>0.20127100928171252</v>
      </c>
      <c r="W27" s="25">
        <f t="shared" si="5"/>
        <v>0.14480187288649962</v>
      </c>
      <c r="X27" s="25">
        <f t="shared" si="5"/>
        <v>0.12172950754881037</v>
      </c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</row>
    <row r="28" spans="2:41" ht="15.75" customHeight="1" x14ac:dyDescent="0.25">
      <c r="B28" s="23" t="s">
        <v>56</v>
      </c>
      <c r="C28" s="25">
        <f t="shared" ref="C28:X28" si="6">C10/C8</f>
        <v>0.4109541853255253</v>
      </c>
      <c r="D28" s="25">
        <f t="shared" si="6"/>
        <v>0.46576737083227282</v>
      </c>
      <c r="E28" s="25">
        <f t="shared" si="6"/>
        <v>0.49680082559339528</v>
      </c>
      <c r="F28" s="25">
        <f t="shared" si="6"/>
        <v>0.46278989269643478</v>
      </c>
      <c r="G28" s="25">
        <f t="shared" si="6"/>
        <v>0.4126057776480887</v>
      </c>
      <c r="H28" s="25">
        <f t="shared" si="6"/>
        <v>0.36169949213427477</v>
      </c>
      <c r="I28" s="25">
        <f t="shared" si="6"/>
        <v>0.3799592472731631</v>
      </c>
      <c r="J28" s="25">
        <f t="shared" si="6"/>
        <v>0.38340885325897528</v>
      </c>
      <c r="K28" s="25">
        <f t="shared" si="6"/>
        <v>0.40394423665419926</v>
      </c>
      <c r="L28" s="25">
        <f t="shared" si="6"/>
        <v>0.40249187432286027</v>
      </c>
      <c r="M28" s="25">
        <f t="shared" si="6"/>
        <v>0.39453293155402497</v>
      </c>
      <c r="N28" s="25">
        <f t="shared" si="6"/>
        <v>0.39039855072463769</v>
      </c>
      <c r="O28" s="25">
        <f t="shared" si="6"/>
        <v>0.39117559964465504</v>
      </c>
      <c r="P28" s="25">
        <f t="shared" si="6"/>
        <v>0.39364485981308411</v>
      </c>
      <c r="Q28" s="25">
        <f t="shared" si="6"/>
        <v>0.39569181265641756</v>
      </c>
      <c r="R28" s="25">
        <f t="shared" si="6"/>
        <v>0.39509992474287148</v>
      </c>
      <c r="S28" s="25">
        <f t="shared" si="6"/>
        <v>0.39850862741697735</v>
      </c>
      <c r="T28" s="25">
        <f t="shared" si="6"/>
        <v>0.3983874792506521</v>
      </c>
      <c r="U28" s="25">
        <f t="shared" si="6"/>
        <v>0.39786143907329025</v>
      </c>
      <c r="V28" s="25">
        <f t="shared" si="6"/>
        <v>0.39572601976889876</v>
      </c>
      <c r="W28" s="25">
        <f t="shared" si="6"/>
        <v>0.45027645232144209</v>
      </c>
      <c r="X28" s="25">
        <f t="shared" si="6"/>
        <v>0.44929885138468045</v>
      </c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</row>
    <row r="29" spans="2:41" ht="15.75" customHeight="1" x14ac:dyDescent="0.25">
      <c r="B29" s="23" t="s">
        <v>57</v>
      </c>
      <c r="C29" s="25">
        <f t="shared" ref="C29:X29" si="7">C11/C8</f>
        <v>0.6854977609369618</v>
      </c>
      <c r="D29" s="25">
        <f t="shared" si="7"/>
        <v>0.5864087554085009</v>
      </c>
      <c r="E29" s="25">
        <f t="shared" si="7"/>
        <v>0.46811145510835911</v>
      </c>
      <c r="F29" s="25">
        <f t="shared" si="7"/>
        <v>0.41883004499826931</v>
      </c>
      <c r="G29" s="25">
        <f t="shared" si="7"/>
        <v>0.36022760431864603</v>
      </c>
      <c r="H29" s="25">
        <f t="shared" si="7"/>
        <v>0.33271398488789794</v>
      </c>
      <c r="I29" s="25">
        <f t="shared" si="7"/>
        <v>0.32098765432098764</v>
      </c>
      <c r="J29" s="25">
        <f t="shared" si="7"/>
        <v>0.28720808644126872</v>
      </c>
      <c r="K29" s="25">
        <f t="shared" si="7"/>
        <v>0.32233934036042161</v>
      </c>
      <c r="L29" s="25">
        <f t="shared" si="7"/>
        <v>0.25709642470205851</v>
      </c>
      <c r="M29" s="25">
        <f t="shared" si="7"/>
        <v>0.2442961687473095</v>
      </c>
      <c r="N29" s="25">
        <f t="shared" si="7"/>
        <v>0.22544283413848631</v>
      </c>
      <c r="O29" s="25">
        <f t="shared" si="7"/>
        <v>0.277465205803968</v>
      </c>
      <c r="P29" s="25">
        <f t="shared" si="7"/>
        <v>0.23205607476635515</v>
      </c>
      <c r="Q29" s="25">
        <f t="shared" si="7"/>
        <v>0.21567751161959242</v>
      </c>
      <c r="R29" s="25">
        <f t="shared" si="7"/>
        <v>0.25094071410653063</v>
      </c>
      <c r="S29" s="25">
        <f t="shared" si="7"/>
        <v>0.20653776120697129</v>
      </c>
      <c r="T29" s="25">
        <f t="shared" si="7"/>
        <v>0.20354122203778358</v>
      </c>
      <c r="U29" s="25">
        <f t="shared" si="7"/>
        <v>0.23724660280686122</v>
      </c>
      <c r="V29" s="25">
        <f t="shared" si="7"/>
        <v>0.19775859668662119</v>
      </c>
      <c r="W29" s="25">
        <f t="shared" si="7"/>
        <v>0.21866242520639248</v>
      </c>
      <c r="X29" s="25">
        <f t="shared" si="7"/>
        <v>0.22937072792615038</v>
      </c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</row>
    <row r="30" spans="2:41" ht="15.75" customHeight="1" x14ac:dyDescent="0.25">
      <c r="B30" s="23" t="s">
        <v>58</v>
      </c>
      <c r="C30" s="25">
        <f t="shared" ref="C30:X30" si="8">C12/C8</f>
        <v>0.17740268687564589</v>
      </c>
      <c r="D30" s="25">
        <f t="shared" si="8"/>
        <v>0.12420463222193942</v>
      </c>
      <c r="E30" s="25">
        <f t="shared" si="8"/>
        <v>0.10175438596491228</v>
      </c>
      <c r="F30" s="25">
        <f t="shared" si="8"/>
        <v>9.657320872274143E-2</v>
      </c>
      <c r="G30" s="25">
        <f t="shared" si="8"/>
        <v>8.5643419900787859E-2</v>
      </c>
      <c r="H30" s="25">
        <f t="shared" si="8"/>
        <v>8.7204261117304602E-2</v>
      </c>
      <c r="I30" s="25">
        <f t="shared" si="8"/>
        <v>9.1094330576531227E-2</v>
      </c>
      <c r="J30" s="25">
        <f t="shared" si="8"/>
        <v>8.678982223771349E-2</v>
      </c>
      <c r="K30" s="25">
        <f t="shared" si="8"/>
        <v>8.7838603649552302E-2</v>
      </c>
      <c r="L30" s="25">
        <f t="shared" si="8"/>
        <v>8.7540628385698802E-2</v>
      </c>
      <c r="M30" s="25">
        <f t="shared" si="8"/>
        <v>8.5772707705553161E-2</v>
      </c>
      <c r="N30" s="25">
        <f t="shared" si="8"/>
        <v>7.8904991948470213E-2</v>
      </c>
      <c r="O30" s="25">
        <f t="shared" si="8"/>
        <v>7.7978481887276671E-2</v>
      </c>
      <c r="P30" s="25">
        <f t="shared" si="8"/>
        <v>7.1028037383177575E-2</v>
      </c>
      <c r="Q30" s="25">
        <f t="shared" si="8"/>
        <v>6.9181265641759027E-2</v>
      </c>
      <c r="R30" s="25">
        <f t="shared" si="8"/>
        <v>6.5640939877916207E-2</v>
      </c>
      <c r="S30" s="25">
        <f t="shared" si="8"/>
        <v>7.0666782276944423E-2</v>
      </c>
      <c r="T30" s="25">
        <f t="shared" si="8"/>
        <v>6.6397913208442016E-2</v>
      </c>
      <c r="U30" s="25">
        <f t="shared" si="8"/>
        <v>6.4008316625826095E-2</v>
      </c>
      <c r="V30" s="25">
        <f t="shared" si="8"/>
        <v>6.1603786718641237E-2</v>
      </c>
      <c r="W30" s="25">
        <f t="shared" si="8"/>
        <v>7.2029084299022952E-2</v>
      </c>
      <c r="X30" s="25">
        <f t="shared" si="8"/>
        <v>7.3497287012895499E-2</v>
      </c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</row>
    <row r="31" spans="2:41" ht="15.75" customHeight="1" x14ac:dyDescent="0.25">
      <c r="B31" s="23" t="s">
        <v>59</v>
      </c>
      <c r="C31" s="25">
        <f t="shared" ref="C31:X31" si="9">C13/C8</f>
        <v>7.3027902170168787E-2</v>
      </c>
      <c r="D31" s="25">
        <f t="shared" si="9"/>
        <v>5.7520997709340799E-2</v>
      </c>
      <c r="E31" s="25">
        <f t="shared" si="9"/>
        <v>4.4994840041279668E-2</v>
      </c>
      <c r="F31" s="25">
        <f t="shared" si="9"/>
        <v>4.2575285565939772E-2</v>
      </c>
      <c r="G31" s="25">
        <f t="shared" si="9"/>
        <v>3.7058651882112638E-2</v>
      </c>
      <c r="H31" s="25">
        <f t="shared" si="9"/>
        <v>3.0100334448160536E-2</v>
      </c>
      <c r="I31" s="25">
        <f t="shared" si="9"/>
        <v>2.7208438211674457E-2</v>
      </c>
      <c r="J31" s="25">
        <f t="shared" si="9"/>
        <v>2.590914372022772E-2</v>
      </c>
      <c r="K31" s="25">
        <f t="shared" si="9"/>
        <v>2.3461407684461068E-2</v>
      </c>
      <c r="L31" s="25">
        <f t="shared" si="9"/>
        <v>2.2535211267605635E-2</v>
      </c>
      <c r="M31" s="25">
        <f t="shared" si="9"/>
        <v>2.206198880757641E-2</v>
      </c>
      <c r="N31" s="25">
        <f t="shared" si="9"/>
        <v>2.0430756843800323E-2</v>
      </c>
      <c r="O31" s="25">
        <f t="shared" si="9"/>
        <v>1.8754318428585531E-2</v>
      </c>
      <c r="P31" s="25">
        <f t="shared" si="9"/>
        <v>1.616822429906542E-2</v>
      </c>
      <c r="Q31" s="25">
        <f t="shared" si="9"/>
        <v>1.5999284948158742E-2</v>
      </c>
      <c r="R31" s="25">
        <f t="shared" si="9"/>
        <v>1.4131616355882599E-2</v>
      </c>
      <c r="S31" s="25">
        <f t="shared" si="9"/>
        <v>1.4827018121911038E-2</v>
      </c>
      <c r="T31" s="25">
        <f t="shared" si="9"/>
        <v>1.3832898585092087E-2</v>
      </c>
      <c r="U31" s="25">
        <f t="shared" si="9"/>
        <v>1.3960050493799659E-2</v>
      </c>
      <c r="V31" s="25">
        <f t="shared" si="9"/>
        <v>1.2877627732145343E-2</v>
      </c>
      <c r="W31" s="25">
        <f t="shared" si="9"/>
        <v>1.393622661516322E-2</v>
      </c>
      <c r="X31" s="25">
        <f t="shared" si="9"/>
        <v>1.3247833133676274E-2</v>
      </c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</row>
    <row r="32" spans="2:41" ht="15.75" customHeight="1" x14ac:dyDescent="0.25">
      <c r="B32" s="23" t="s">
        <v>60</v>
      </c>
      <c r="C32" s="25">
        <f t="shared" ref="C32:X32" si="10">C17/C15</f>
        <v>2.6056338028169015</v>
      </c>
      <c r="D32" s="25">
        <f t="shared" si="10"/>
        <v>-0.74843749999999998</v>
      </c>
      <c r="E32" s="25">
        <f t="shared" si="10"/>
        <v>3.9968341907400076E-2</v>
      </c>
      <c r="F32" s="25">
        <f t="shared" si="10"/>
        <v>-0.12262958280657396</v>
      </c>
      <c r="G32" s="25">
        <f t="shared" si="10"/>
        <v>3.7613488975356678E-2</v>
      </c>
      <c r="H32" s="25">
        <f t="shared" si="10"/>
        <v>-3.0125195618153366E-2</v>
      </c>
      <c r="I32" s="25">
        <f t="shared" si="10"/>
        <v>-4.9319727891156462E-2</v>
      </c>
      <c r="J32" s="25">
        <f t="shared" si="10"/>
        <v>-0.17721518987341772</v>
      </c>
      <c r="K32" s="25">
        <f t="shared" si="10"/>
        <v>-0.39855072463768115</v>
      </c>
      <c r="L32" s="25">
        <f t="shared" si="10"/>
        <v>0.14285714285714285</v>
      </c>
      <c r="M32" s="25">
        <f t="shared" si="10"/>
        <v>-0.22727272727272727</v>
      </c>
      <c r="N32" s="25">
        <f t="shared" si="10"/>
        <v>7.2757111597374177E-2</v>
      </c>
      <c r="O32" s="25">
        <f t="shared" si="10"/>
        <v>-4.6031746031746035E-2</v>
      </c>
      <c r="P32" s="25">
        <f t="shared" si="10"/>
        <v>5.2924791086350974E-2</v>
      </c>
      <c r="Q32" s="25">
        <f t="shared" si="10"/>
        <v>5.7060310581437339E-2</v>
      </c>
      <c r="R32" s="25">
        <f t="shared" si="10"/>
        <v>-6.6028602860286032</v>
      </c>
      <c r="S32" s="25">
        <f t="shared" si="10"/>
        <v>-0.29025270758122745</v>
      </c>
      <c r="T32" s="25">
        <f t="shared" si="10"/>
        <v>9.4414893617021281E-2</v>
      </c>
      <c r="U32" s="25">
        <f t="shared" si="10"/>
        <v>-1.5442748091603054</v>
      </c>
      <c r="V32" s="25">
        <f t="shared" si="10"/>
        <v>-0.13745704467353953</v>
      </c>
      <c r="W32" s="25">
        <f t="shared" si="10"/>
        <v>0.3911290322580645</v>
      </c>
      <c r="X32" s="25">
        <f t="shared" si="10"/>
        <v>0.25633201098565761</v>
      </c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</row>
    <row r="35" spans="2:23" ht="15.75" customHeight="1" x14ac:dyDescent="0.25"/>
    <row r="36" spans="2:23" ht="15.75" customHeight="1" x14ac:dyDescent="0.2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2:23" ht="15.75" customHeight="1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2:23" ht="16.5" customHeight="1" x14ac:dyDescent="0.25"/>
    <row r="39" spans="2:23" ht="15.75" customHeight="1" x14ac:dyDescent="0.25"/>
    <row r="40" spans="2:23" ht="15.75" customHeight="1" x14ac:dyDescent="0.25"/>
    <row r="41" spans="2:23" ht="15.75" customHeight="1" x14ac:dyDescent="0.25"/>
    <row r="42" spans="2:23" ht="15.75" customHeight="1" x14ac:dyDescent="0.25"/>
    <row r="43" spans="2:23" ht="15.75" customHeight="1" x14ac:dyDescent="0.25"/>
    <row r="44" spans="2:23" ht="15.75" customHeight="1" x14ac:dyDescent="0.25"/>
    <row r="45" spans="2:23" ht="15.75" customHeight="1" x14ac:dyDescent="0.25"/>
    <row r="46" spans="2:23" ht="15.75" customHeight="1" x14ac:dyDescent="0.25"/>
    <row r="47" spans="2:23" ht="15.75" customHeight="1" x14ac:dyDescent="0.25"/>
    <row r="48" spans="2:23" ht="15.75" customHeight="1" x14ac:dyDescent="0.25"/>
    <row r="49" ht="15.75" customHeight="1" x14ac:dyDescent="0.25"/>
    <row r="50" ht="16.5" customHeight="1" x14ac:dyDescent="0.25"/>
    <row r="51" ht="15" customHeight="1" x14ac:dyDescent="0.25"/>
    <row r="52" ht="15" hidden="1" customHeight="1" x14ac:dyDescent="0.25"/>
    <row r="53" ht="15" hidden="1" customHeight="1" x14ac:dyDescent="0.25"/>
    <row r="54" ht="15" hidden="1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  <row r="61" ht="15.75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customHeight="1" x14ac:dyDescent="0.25"/>
    <row r="75" ht="15.75" hidden="1" customHeight="1" x14ac:dyDescent="0.25"/>
    <row r="76" ht="15.75" hidden="1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spans="25:94" ht="15.75" customHeight="1" x14ac:dyDescent="0.25"/>
    <row r="82" spans="25:94" ht="15.75" customHeight="1" x14ac:dyDescent="0.25"/>
    <row r="83" spans="25:94" ht="15.75" customHeight="1" x14ac:dyDescent="0.25"/>
    <row r="84" spans="25:94" ht="15.75" customHeight="1" x14ac:dyDescent="0.25"/>
    <row r="85" spans="25:94" ht="15.75" customHeight="1" x14ac:dyDescent="0.25"/>
    <row r="86" spans="25:94" ht="15.75" customHeight="1" x14ac:dyDescent="0.25"/>
    <row r="87" spans="25:94" ht="15.75" customHeight="1" x14ac:dyDescent="0.25"/>
    <row r="88" spans="25:94" ht="15.75" customHeight="1" x14ac:dyDescent="0.25"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</row>
    <row r="89" spans="25:94" ht="15.75" customHeight="1" x14ac:dyDescent="0.25"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</row>
    <row r="90" spans="25:94" ht="15.75" customHeight="1" x14ac:dyDescent="0.25"/>
    <row r="91" spans="25:94" ht="15.75" customHeight="1" x14ac:dyDescent="0.25"/>
    <row r="92" spans="25:94" ht="16.5" customHeight="1" x14ac:dyDescent="0.25"/>
    <row r="93" spans="25:94" ht="15.75" customHeight="1" x14ac:dyDescent="0.25"/>
    <row r="94" spans="25:94" ht="15.75" customHeight="1" x14ac:dyDescent="0.25"/>
    <row r="95" spans="25:94" ht="15.75" customHeight="1" x14ac:dyDescent="0.25"/>
    <row r="96" spans="25:9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6.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94" spans="2:23" ht="15.75" customHeight="1" x14ac:dyDescent="0.25"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</row>
    <row r="223" spans="2:23" ht="15.75" customHeight="1" x14ac:dyDescent="0.25"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</row>
    <row r="224" spans="2:23" ht="15.75" customHeight="1" x14ac:dyDescent="0.25"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</row>
    <row r="225" spans="2:23" ht="15.75" customHeight="1" x14ac:dyDescent="0.25"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</row>
    <row r="226" spans="2:23" ht="15.75" customHeight="1" x14ac:dyDescent="0.25"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</row>
    <row r="227" spans="2:23" ht="15.75" customHeight="1" x14ac:dyDescent="0.25"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</row>
    <row r="228" spans="2:23" ht="15.75" customHeight="1" x14ac:dyDescent="0.25"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</row>
    <row r="229" spans="2:23" ht="15.75" customHeight="1" x14ac:dyDescent="0.25"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</row>
    <row r="230" spans="2:23" ht="15.75" customHeight="1" x14ac:dyDescent="0.25"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</row>
    <row r="231" spans="2:23" ht="15.75" customHeight="1" x14ac:dyDescent="0.25"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8"/>
  <sheetViews>
    <sheetView zoomScaleNormal="100" workbookViewId="0">
      <selection activeCell="I30" sqref="I30"/>
    </sheetView>
  </sheetViews>
  <sheetFormatPr defaultColWidth="8.875" defaultRowHeight="15.75" x14ac:dyDescent="0.25"/>
  <cols>
    <col min="1" max="1" width="1.625" customWidth="1"/>
    <col min="2" max="2" width="31.125" customWidth="1"/>
    <col min="3" max="12" width="12.625" customWidth="1"/>
    <col min="13" max="18" width="12.125" customWidth="1"/>
  </cols>
  <sheetData>
    <row r="1" spans="2:12" ht="9" customHeight="1" x14ac:dyDescent="0.25"/>
    <row r="2" spans="2:12" ht="16.5" customHeight="1" x14ac:dyDescent="0.25">
      <c r="B2" s="12" t="s">
        <v>61</v>
      </c>
      <c r="C2" s="13" t="str">
        <f t="shared" ref="C2:L2" si="0">C13</f>
        <v>FY'21</v>
      </c>
      <c r="D2" s="13" t="str">
        <f t="shared" si="0"/>
        <v>FY'22</v>
      </c>
      <c r="E2" s="13" t="str">
        <f t="shared" si="0"/>
        <v>FY'23</v>
      </c>
      <c r="F2" s="13" t="str">
        <f t="shared" si="0"/>
        <v>FY'24</v>
      </c>
      <c r="G2" s="28" t="str">
        <f t="shared" si="0"/>
        <v>FY'25</v>
      </c>
      <c r="H2" s="13" t="str">
        <f t="shared" si="0"/>
        <v>FY'26</v>
      </c>
      <c r="I2" s="13" t="str">
        <f t="shared" si="0"/>
        <v>FY'27</v>
      </c>
      <c r="J2" s="13" t="str">
        <f t="shared" si="0"/>
        <v>FY'28</v>
      </c>
      <c r="K2" s="13" t="str">
        <f t="shared" si="0"/>
        <v>FY'29</v>
      </c>
      <c r="L2" s="13" t="str">
        <f t="shared" si="0"/>
        <v>FY'30</v>
      </c>
    </row>
    <row r="3" spans="2:12" ht="16.5" customHeight="1" x14ac:dyDescent="0.25">
      <c r="B3" s="23" t="s">
        <v>62</v>
      </c>
      <c r="C3" s="29"/>
      <c r="D3" s="30">
        <f t="shared" ref="D3:G6" si="1">(D14-C14)/C14</f>
        <v>1.0176902056666188</v>
      </c>
      <c r="E3" s="30">
        <f t="shared" si="1"/>
        <v>0.41364316772400028</v>
      </c>
      <c r="F3" s="30">
        <f t="shared" si="1"/>
        <v>0.2649757966922146</v>
      </c>
      <c r="G3" s="31">
        <f t="shared" si="1"/>
        <v>0.18268425877944752</v>
      </c>
      <c r="H3" s="32">
        <v>0.1</v>
      </c>
      <c r="I3" s="32">
        <v>0.1</v>
      </c>
      <c r="J3" s="32">
        <v>0.1</v>
      </c>
      <c r="K3" s="32">
        <v>0.05</v>
      </c>
      <c r="L3" s="32">
        <v>0.05</v>
      </c>
    </row>
    <row r="4" spans="2:12" ht="16.5" customHeight="1" x14ac:dyDescent="0.25">
      <c r="B4" s="23" t="s">
        <v>63</v>
      </c>
      <c r="C4" s="29"/>
      <c r="D4" s="30">
        <f t="shared" si="1"/>
        <v>0.3036354939009806</v>
      </c>
      <c r="E4" s="30">
        <f t="shared" si="1"/>
        <v>0.11953031831942024</v>
      </c>
      <c r="F4" s="30">
        <f t="shared" si="1"/>
        <v>0.12667977712225501</v>
      </c>
      <c r="G4" s="31">
        <f t="shared" si="1"/>
        <v>0.25440000000000002</v>
      </c>
      <c r="H4" s="32">
        <v>0.25</v>
      </c>
      <c r="I4" s="32">
        <v>0.25</v>
      </c>
      <c r="J4" s="32">
        <v>0.2</v>
      </c>
      <c r="K4" s="32">
        <v>0.1</v>
      </c>
      <c r="L4" s="32">
        <v>0.1</v>
      </c>
    </row>
    <row r="5" spans="2:12" ht="15.75" customHeight="1" x14ac:dyDescent="0.25">
      <c r="B5" s="23" t="s">
        <v>64</v>
      </c>
      <c r="C5" s="33"/>
      <c r="D5" s="30">
        <f t="shared" si="1"/>
        <v>2.2584427767354596</v>
      </c>
      <c r="E5" s="30">
        <f t="shared" si="1"/>
        <v>-0.24499784079458758</v>
      </c>
      <c r="F5" s="30">
        <f t="shared" si="1"/>
        <v>-1.9828408007626312E-2</v>
      </c>
      <c r="G5" s="31">
        <f t="shared" si="1"/>
        <v>-8.1696168060688586E-3</v>
      </c>
      <c r="H5" s="32">
        <v>-0.05</v>
      </c>
      <c r="I5" s="32">
        <v>-0.05</v>
      </c>
      <c r="J5" s="32">
        <v>-0.05</v>
      </c>
      <c r="K5" s="32">
        <v>-0.05</v>
      </c>
      <c r="L5" s="32">
        <v>-0.05</v>
      </c>
    </row>
    <row r="6" spans="2:12" ht="15.75" customHeight="1" x14ac:dyDescent="0.25">
      <c r="B6" s="23" t="s">
        <v>65</v>
      </c>
      <c r="C6" s="33"/>
      <c r="D6" s="30">
        <f t="shared" si="1"/>
        <v>0.82623890002864508</v>
      </c>
      <c r="E6" s="30">
        <f t="shared" si="1"/>
        <v>0.16952661793769802</v>
      </c>
      <c r="F6" s="30">
        <f t="shared" si="1"/>
        <v>0.17963573938467317</v>
      </c>
      <c r="G6" s="31">
        <f t="shared" si="1"/>
        <v>0.18279594342625857</v>
      </c>
      <c r="H6" s="32">
        <f>(H17-G17)/G17</f>
        <v>0.1348011227098834</v>
      </c>
      <c r="I6" s="32">
        <f>(I17-H17)/H17</f>
        <v>0.1423228348124099</v>
      </c>
      <c r="J6" s="32">
        <f>(J17-I17)/I17</f>
        <v>0.12948140346930276</v>
      </c>
      <c r="K6" s="32">
        <f>(K17-J17)/J17</f>
        <v>6.5326170848027415E-2</v>
      </c>
      <c r="L6" s="32">
        <f>(L17-K17)/K17</f>
        <v>6.6720828648969041E-2</v>
      </c>
    </row>
    <row r="7" spans="2:12" ht="15.75" customHeight="1" x14ac:dyDescent="0.25">
      <c r="B7" s="23" t="s">
        <v>66</v>
      </c>
      <c r="C7" s="34">
        <f>C19/C17</f>
        <v>0.46427957605270698</v>
      </c>
      <c r="D7" s="34">
        <f>D19/D17</f>
        <v>0.38328575461931802</v>
      </c>
      <c r="E7" s="34">
        <f>E19/E17</f>
        <v>0.39762881896944824</v>
      </c>
      <c r="F7" s="34">
        <f>F19/F17</f>
        <v>0.39399245077083994</v>
      </c>
      <c r="G7" s="35">
        <f>G19/G17</f>
        <v>0.39754311090604993</v>
      </c>
      <c r="H7" s="36">
        <f>G7</f>
        <v>0.39754311090604993</v>
      </c>
      <c r="I7" s="36">
        <f>H7</f>
        <v>0.39754311090604993</v>
      </c>
      <c r="J7" s="36">
        <f>I7</f>
        <v>0.39754311090604993</v>
      </c>
      <c r="K7" s="36">
        <f>J7</f>
        <v>0.39754311090604993</v>
      </c>
      <c r="L7" s="36">
        <f>K7</f>
        <v>0.39754311090604993</v>
      </c>
    </row>
    <row r="8" spans="2:12" ht="15.75" customHeight="1" x14ac:dyDescent="0.25">
      <c r="B8" s="23" t="s">
        <v>67</v>
      </c>
      <c r="C8" s="34">
        <f>C20/C17</f>
        <v>0.51458034947006592</v>
      </c>
      <c r="D8" s="34">
        <f>D20/D17</f>
        <v>0.32327383379866359</v>
      </c>
      <c r="E8" s="34">
        <f>E20/E17</f>
        <v>0.26091038330516886</v>
      </c>
      <c r="F8" s="34">
        <f>F20/F17</f>
        <v>0.24348537905316295</v>
      </c>
      <c r="G8" s="35">
        <f>G20/G17</f>
        <v>0.21133475594517176</v>
      </c>
      <c r="H8" s="36">
        <v>0.2</v>
      </c>
      <c r="I8" s="36">
        <f>H8</f>
        <v>0.2</v>
      </c>
      <c r="J8" s="36">
        <f>I8</f>
        <v>0.2</v>
      </c>
      <c r="K8" s="36">
        <f>J8</f>
        <v>0.2</v>
      </c>
      <c r="L8" s="36">
        <f>K8</f>
        <v>0.2</v>
      </c>
    </row>
    <row r="9" spans="2:12" ht="15.75" customHeight="1" x14ac:dyDescent="0.25">
      <c r="B9" s="23" t="s">
        <v>68</v>
      </c>
      <c r="C9" s="34">
        <f>C21/C17</f>
        <v>0.11767401890575767</v>
      </c>
      <c r="D9" s="34">
        <f>D21/D17</f>
        <v>8.7774884713116036E-2</v>
      </c>
      <c r="E9" s="34">
        <f>E21/E17</f>
        <v>8.4868968107078668E-2</v>
      </c>
      <c r="F9" s="34">
        <f>F21/F17</f>
        <v>7.0694438128154985E-2</v>
      </c>
      <c r="G9" s="35">
        <f>G21/G17</f>
        <v>6.5401695599515544E-2</v>
      </c>
      <c r="H9" s="36">
        <f>G9</f>
        <v>6.5401695599515544E-2</v>
      </c>
      <c r="I9" s="36">
        <f>H9</f>
        <v>6.5401695599515544E-2</v>
      </c>
      <c r="J9" s="36">
        <v>0.06</v>
      </c>
      <c r="K9" s="36">
        <v>0.06</v>
      </c>
      <c r="L9" s="36">
        <v>0.05</v>
      </c>
    </row>
    <row r="10" spans="2:12" ht="15.75" customHeight="1" x14ac:dyDescent="0.25">
      <c r="B10" s="23" t="s">
        <v>69</v>
      </c>
      <c r="C10" s="37">
        <f>C22/C17</f>
        <v>5.1675737610999715E-2</v>
      </c>
      <c r="D10" s="37">
        <f>D22/D17</f>
        <v>2.9707939893967437E-2</v>
      </c>
      <c r="E10" s="37">
        <f>E22/E17</f>
        <v>2.2075588101177542E-2</v>
      </c>
      <c r="F10" s="37">
        <f>F22/F17</f>
        <v>1.6167174496339077E-2</v>
      </c>
      <c r="G10" s="38">
        <f>G22/G17</f>
        <v>1.382240421400696E-2</v>
      </c>
      <c r="H10" s="39">
        <v>1.2500000000000001E-2</v>
      </c>
      <c r="I10" s="39">
        <v>0.01</v>
      </c>
      <c r="J10" s="39">
        <v>7.4999999999999997E-3</v>
      </c>
      <c r="K10" s="39">
        <v>5.0000000000000001E-3</v>
      </c>
      <c r="L10" s="39">
        <v>5.0000000000000001E-3</v>
      </c>
    </row>
    <row r="11" spans="2:12" ht="15.75" customHeight="1" x14ac:dyDescent="0.25">
      <c r="B11" s="23" t="s">
        <v>70</v>
      </c>
      <c r="C11" s="34">
        <f>C25/C24</f>
        <v>0.49797570850202427</v>
      </c>
      <c r="D11" s="34">
        <f>D25/D24</f>
        <v>1.9414351603561086E-2</v>
      </c>
      <c r="E11" s="34">
        <f>E25/E24</f>
        <v>0.10142857142857142</v>
      </c>
      <c r="F11" s="34">
        <f>F25/F24</f>
        <v>-1.4050756466569059</v>
      </c>
      <c r="G11" s="35">
        <f>G25/G24</f>
        <v>-0.76152093919747676</v>
      </c>
      <c r="H11" s="36">
        <v>0</v>
      </c>
      <c r="I11" s="36">
        <f>H11</f>
        <v>0</v>
      </c>
      <c r="J11" s="36">
        <f>I11</f>
        <v>0</v>
      </c>
      <c r="K11" s="36">
        <f>J11</f>
        <v>0</v>
      </c>
      <c r="L11" s="36">
        <f>K11</f>
        <v>0</v>
      </c>
    </row>
    <row r="12" spans="2:12" ht="15.75" customHeight="1" x14ac:dyDescent="0.25">
      <c r="G12" s="40"/>
    </row>
    <row r="13" spans="2:12" ht="16.5" customHeight="1" x14ac:dyDescent="0.25">
      <c r="B13" s="41" t="s">
        <v>71</v>
      </c>
      <c r="C13" s="13" t="s">
        <v>72</v>
      </c>
      <c r="D13" s="13" t="s">
        <v>73</v>
      </c>
      <c r="E13" s="13" t="s">
        <v>74</v>
      </c>
      <c r="F13" s="13" t="s">
        <v>75</v>
      </c>
      <c r="G13" s="42" t="s">
        <v>76</v>
      </c>
      <c r="H13" s="13" t="s">
        <v>77</v>
      </c>
      <c r="I13" s="13" t="s">
        <v>78</v>
      </c>
      <c r="J13" s="13" t="s">
        <v>79</v>
      </c>
      <c r="K13" s="13" t="s">
        <v>80</v>
      </c>
      <c r="L13" s="13" t="s">
        <v>81</v>
      </c>
    </row>
    <row r="14" spans="2:12" ht="15.75" customHeight="1" x14ac:dyDescent="0.25">
      <c r="B14" s="14" t="s">
        <v>35</v>
      </c>
      <c r="C14" s="43">
        <f>SUM('10QIS'!C5:F5)</f>
        <v>6953</v>
      </c>
      <c r="D14" s="43">
        <f>SUM('10QIS'!G5:J5)</f>
        <v>14029</v>
      </c>
      <c r="E14" s="43">
        <f>SUM('10QIS'!K5:N5)</f>
        <v>19832</v>
      </c>
      <c r="F14" s="43">
        <f>SUM('10QIS'!O5:R5)</f>
        <v>25087</v>
      </c>
      <c r="G14" s="44">
        <f>SUM('10QIS'!S5:V5)</f>
        <v>29670</v>
      </c>
      <c r="H14" s="45">
        <f>SUM('10QIS'!W5:X5)+SUM('10QIS'!U5:V5)*(1+H3)</f>
        <v>31635.600000000002</v>
      </c>
      <c r="I14" s="43">
        <f t="shared" ref="I14:L16" si="2">H14*(1+I3)</f>
        <v>34799.160000000003</v>
      </c>
      <c r="J14" s="43">
        <f t="shared" si="2"/>
        <v>38279.076000000008</v>
      </c>
      <c r="K14" s="43">
        <f t="shared" si="2"/>
        <v>40193.029800000011</v>
      </c>
      <c r="L14" s="43">
        <f t="shared" si="2"/>
        <v>42202.681290000015</v>
      </c>
    </row>
    <row r="15" spans="2:12" ht="15.75" customHeight="1" x14ac:dyDescent="0.25">
      <c r="B15" s="14" t="s">
        <v>36</v>
      </c>
      <c r="C15" s="46">
        <f>SUM('10QIS'!C6:F6)</f>
        <v>8362</v>
      </c>
      <c r="D15" s="46">
        <f>SUM('10QIS'!G6:J6)</f>
        <v>10901</v>
      </c>
      <c r="E15" s="46">
        <f>SUM('10QIS'!K6:N6)</f>
        <v>12204</v>
      </c>
      <c r="F15" s="46">
        <f>SUM('10QIS'!O6:R6)</f>
        <v>13750</v>
      </c>
      <c r="G15" s="47">
        <f>SUM('10QIS'!S6:V6)</f>
        <v>17248</v>
      </c>
      <c r="H15" s="48">
        <f>SUM('10QIS'!W6:X6)+SUM('10QIS'!U6:V6)*(1+H4)</f>
        <v>22024.25</v>
      </c>
      <c r="I15" s="49">
        <f t="shared" si="2"/>
        <v>27530.3125</v>
      </c>
      <c r="J15" s="49">
        <f t="shared" si="2"/>
        <v>33036.375</v>
      </c>
      <c r="K15" s="49">
        <f t="shared" si="2"/>
        <v>36340.012500000004</v>
      </c>
      <c r="L15" s="49">
        <f t="shared" si="2"/>
        <v>39974.013750000006</v>
      </c>
    </row>
    <row r="16" spans="2:12" ht="15.75" customHeight="1" x14ac:dyDescent="0.25">
      <c r="B16" s="14" t="s">
        <v>37</v>
      </c>
      <c r="C16" s="46">
        <f>SUM('10QIS'!C7:F7)</f>
        <v>2132</v>
      </c>
      <c r="D16" s="46">
        <f>SUM('10QIS'!G7:J7)</f>
        <v>6947</v>
      </c>
      <c r="E16" s="46">
        <f>SUM('10QIS'!K7:N7)</f>
        <v>5245</v>
      </c>
      <c r="F16" s="49">
        <f>SUM('10QIS'!O7:R7)</f>
        <v>5141</v>
      </c>
      <c r="G16" s="47">
        <f>SUM('10QIS'!S7:V7)</f>
        <v>5099</v>
      </c>
      <c r="H16" s="48">
        <f>SUM('10QIS'!W7:X7)+SUM('10QIS'!U7:V7)*(1+H5)</f>
        <v>5369.1</v>
      </c>
      <c r="I16" s="49">
        <f t="shared" si="2"/>
        <v>5100.6450000000004</v>
      </c>
      <c r="J16" s="49">
        <f t="shared" si="2"/>
        <v>4845.6127500000002</v>
      </c>
      <c r="K16" s="49">
        <f t="shared" si="2"/>
        <v>4603.3321125000002</v>
      </c>
      <c r="L16" s="49">
        <f t="shared" si="2"/>
        <v>4373.1655068749997</v>
      </c>
    </row>
    <row r="17" spans="2:12" ht="15.75" customHeight="1" x14ac:dyDescent="0.25">
      <c r="B17" s="16" t="s">
        <v>38</v>
      </c>
      <c r="C17" s="19">
        <f>SUM('10QIS'!C8:F8)</f>
        <v>17455</v>
      </c>
      <c r="D17" s="19">
        <f>SUM('10QIS'!G8:J8)</f>
        <v>31877</v>
      </c>
      <c r="E17" s="19">
        <f>SUM('10QIS'!K8:N8)</f>
        <v>37281</v>
      </c>
      <c r="F17" s="19">
        <f>SUM('10QIS'!O8:R8)</f>
        <v>43978</v>
      </c>
      <c r="G17" s="50">
        <f>SUM('10QIS'!S8:V8)</f>
        <v>52017</v>
      </c>
      <c r="H17" s="19">
        <f>SUM(H14:H16)</f>
        <v>59028.950000000004</v>
      </c>
      <c r="I17" s="19">
        <f>SUM(I14:I16)</f>
        <v>67430.117500000008</v>
      </c>
      <c r="J17" s="19">
        <f>SUM(J14:J16)</f>
        <v>76161.063750000001</v>
      </c>
      <c r="K17" s="19">
        <f>SUM(K14:K16)</f>
        <v>81136.374412500008</v>
      </c>
      <c r="L17" s="19">
        <f>SUM(L14:L16)</f>
        <v>86549.860546875017</v>
      </c>
    </row>
    <row r="18" spans="2:12" ht="15.75" customHeight="1" x14ac:dyDescent="0.25">
      <c r="B18" t="s">
        <v>39</v>
      </c>
      <c r="C18" s="18">
        <f>SUM('10QIS'!C9:F9)</f>
        <v>9351</v>
      </c>
      <c r="D18" s="18">
        <f>SUM('10QIS'!G9:J9)</f>
        <v>19659</v>
      </c>
      <c r="E18" s="18">
        <f>SUM('10QIS'!K9:N9)</f>
        <v>22457</v>
      </c>
      <c r="F18" s="18">
        <f>SUM('10QIS'!O9:R9)</f>
        <v>26651</v>
      </c>
      <c r="G18" s="51">
        <f>SUM('10QIS'!S9:V9)</f>
        <v>31338</v>
      </c>
      <c r="H18" s="18">
        <f>H17-H19</f>
        <v>35562.397583482321</v>
      </c>
      <c r="I18" s="18">
        <f>I17-I19</f>
        <v>40623.738820289524</v>
      </c>
      <c r="J18" s="18">
        <f>J17-J19</f>
        <v>45883.757536911013</v>
      </c>
      <c r="K18" s="18">
        <f>K17-K19</f>
        <v>48881.167720916725</v>
      </c>
      <c r="L18" s="18">
        <f>L17-L19</f>
        <v>52142.559736585528</v>
      </c>
    </row>
    <row r="19" spans="2:12" ht="15.75" customHeight="1" x14ac:dyDescent="0.25">
      <c r="B19" s="16" t="s">
        <v>40</v>
      </c>
      <c r="C19" s="19">
        <f>C17-C18</f>
        <v>8104</v>
      </c>
      <c r="D19" s="19">
        <f>D17-D18</f>
        <v>12218</v>
      </c>
      <c r="E19" s="19">
        <f>E17-E18</f>
        <v>14824</v>
      </c>
      <c r="F19" s="19">
        <f>F17-F18</f>
        <v>17327</v>
      </c>
      <c r="G19" s="52">
        <f>G17-G18</f>
        <v>20679</v>
      </c>
      <c r="H19" s="19">
        <f>H17*H7</f>
        <v>23466.552416517679</v>
      </c>
      <c r="I19" s="19">
        <f>I17*I7</f>
        <v>26806.37867971048</v>
      </c>
      <c r="J19" s="19">
        <f>J17*J7</f>
        <v>30277.306213088988</v>
      </c>
      <c r="K19" s="19">
        <f>K17*K7</f>
        <v>32255.206691583284</v>
      </c>
      <c r="L19" s="19">
        <f>L17*L7</f>
        <v>34407.300810289489</v>
      </c>
    </row>
    <row r="20" spans="2:12" ht="15.75" customHeight="1" x14ac:dyDescent="0.25">
      <c r="B20" t="s">
        <v>41</v>
      </c>
      <c r="C20" s="18">
        <f>SUM('10QIS'!C11:F11)</f>
        <v>8982</v>
      </c>
      <c r="D20" s="18">
        <f>SUM('10QIS'!G11:J11)</f>
        <v>10305</v>
      </c>
      <c r="E20" s="18">
        <f>SUM('10QIS'!K11:N11)</f>
        <v>9727</v>
      </c>
      <c r="F20" s="18">
        <f>SUM('10QIS'!O11:R11)</f>
        <v>10708</v>
      </c>
      <c r="G20" s="51">
        <f>SUM('10QIS'!S11:V11)</f>
        <v>10993</v>
      </c>
      <c r="H20" s="18">
        <f>H17*H8</f>
        <v>11805.79</v>
      </c>
      <c r="I20" s="18">
        <f>I17*I8</f>
        <v>13486.023500000003</v>
      </c>
      <c r="J20" s="18">
        <f>J17*J8</f>
        <v>15232.212750000001</v>
      </c>
      <c r="K20" s="18">
        <f>K17*K8</f>
        <v>16227.274882500002</v>
      </c>
      <c r="L20" s="18">
        <f>L17*L8</f>
        <v>17309.972109375005</v>
      </c>
    </row>
    <row r="21" spans="2:12" ht="15.75" customHeight="1" x14ac:dyDescent="0.25">
      <c r="B21" t="s">
        <v>42</v>
      </c>
      <c r="C21" s="18">
        <f>SUM('10QIS'!C12:F12)</f>
        <v>2054</v>
      </c>
      <c r="D21" s="18">
        <f>SUM('10QIS'!G12:J12)</f>
        <v>2798</v>
      </c>
      <c r="E21" s="18">
        <f>SUM('10QIS'!K12:N12)</f>
        <v>3164</v>
      </c>
      <c r="F21" s="18">
        <f>SUM('10QIS'!O12:R12)</f>
        <v>3109</v>
      </c>
      <c r="G21" s="51">
        <f>SUM('10QIS'!S12:V12)</f>
        <v>3402</v>
      </c>
      <c r="H21" s="18">
        <f>H17*H9</f>
        <v>3860.5934194590232</v>
      </c>
      <c r="I21" s="18">
        <f>I17*I9</f>
        <v>4410.0440189745668</v>
      </c>
      <c r="J21" s="18">
        <f>J17*J9</f>
        <v>4569.6638249999996</v>
      </c>
      <c r="K21" s="18">
        <f>K17*K9</f>
        <v>4868.1824647500007</v>
      </c>
      <c r="L21" s="18">
        <f>L17*L9</f>
        <v>4327.4930273437512</v>
      </c>
    </row>
    <row r="22" spans="2:12" ht="15.75" customHeight="1" x14ac:dyDescent="0.25">
      <c r="B22" t="s">
        <v>43</v>
      </c>
      <c r="C22" s="18">
        <f>SUM('10QIS'!C13:F13)</f>
        <v>902</v>
      </c>
      <c r="D22" s="18">
        <f>SUM('10QIS'!G13:J13)</f>
        <v>947</v>
      </c>
      <c r="E22" s="18">
        <f>SUM('10QIS'!K13:N13)</f>
        <v>823</v>
      </c>
      <c r="F22" s="18">
        <f>SUM('10QIS'!O13:R13)</f>
        <v>711</v>
      </c>
      <c r="G22" s="51">
        <f>SUM('10QIS'!S13:V13)</f>
        <v>719</v>
      </c>
      <c r="H22" s="18">
        <f>H17*H10</f>
        <v>737.86187500000005</v>
      </c>
      <c r="I22" s="18">
        <f>I17*I10</f>
        <v>674.30117500000006</v>
      </c>
      <c r="J22" s="18">
        <f>J17*J10</f>
        <v>571.20797812499995</v>
      </c>
      <c r="K22" s="18">
        <f>K17*K10</f>
        <v>405.68187206250008</v>
      </c>
      <c r="L22" s="18">
        <f>L17*L10</f>
        <v>432.74930273437508</v>
      </c>
    </row>
    <row r="23" spans="2:12" ht="15.75" customHeight="1" x14ac:dyDescent="0.25">
      <c r="B23" t="s">
        <v>82</v>
      </c>
      <c r="C23" s="18">
        <f>SUM('10QIS'!C13:F13)+SUM('10QIS'!C14:F14)+SUM('10QIS'!C16:F16)+SUM('10QIS'!C18:F18)</f>
        <v>-1944</v>
      </c>
      <c r="D23" s="18">
        <f>SUM('10QIS'!G13:J13)+SUM('10QIS'!G14:J14)+SUM('10QIS'!G16:J16)+SUM('10QIS'!G18:J18)</f>
        <v>8438</v>
      </c>
      <c r="E23" s="18">
        <f>SUM('10QIS'!K13:N13)+SUM('10QIS'!K14:N14)+SUM('10QIS'!K16:N16)+SUM('10QIS'!K18:N18)</f>
        <v>-167</v>
      </c>
      <c r="F23" s="18">
        <f>SUM('10QIS'!O13:R13)+SUM('10QIS'!O14:R14)+SUM('10QIS'!O16:R16)+SUM('10QIS'!O18:R18)</f>
        <v>-588</v>
      </c>
      <c r="G23" s="51">
        <f>SUM('10QIS'!S13:V13)+SUM('10QIS'!S14:V14)+SUM('10QIS'!S16:V16)+SUM('10QIS'!S18:V18)</f>
        <v>577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</row>
    <row r="24" spans="2:12" ht="15.75" customHeight="1" x14ac:dyDescent="0.25">
      <c r="B24" t="s">
        <v>45</v>
      </c>
      <c r="C24" s="18">
        <f t="shared" ref="C24:L24" si="3">C19-C20-C21-C23</f>
        <v>-988</v>
      </c>
      <c r="D24" s="18">
        <f t="shared" si="3"/>
        <v>-9323</v>
      </c>
      <c r="E24" s="18">
        <f t="shared" si="3"/>
        <v>2100</v>
      </c>
      <c r="F24" s="18">
        <f t="shared" si="3"/>
        <v>4098</v>
      </c>
      <c r="G24" s="51">
        <f t="shared" si="3"/>
        <v>5707</v>
      </c>
      <c r="H24" s="18">
        <f t="shared" si="3"/>
        <v>7800.1689970586558</v>
      </c>
      <c r="I24" s="18">
        <f t="shared" si="3"/>
        <v>8910.3111607359097</v>
      </c>
      <c r="J24" s="18">
        <f t="shared" si="3"/>
        <v>10475.429638088988</v>
      </c>
      <c r="K24" s="18">
        <f t="shared" si="3"/>
        <v>11159.749344333282</v>
      </c>
      <c r="L24" s="18">
        <f t="shared" si="3"/>
        <v>12769.835673570733</v>
      </c>
    </row>
    <row r="25" spans="2:12" ht="15.75" customHeight="1" x14ac:dyDescent="0.25">
      <c r="B25" t="s">
        <v>47</v>
      </c>
      <c r="C25" s="18">
        <f>SUM('10QIS'!C17:F17)</f>
        <v>-492</v>
      </c>
      <c r="D25" s="18">
        <f>SUM('10QIS'!G17:J17)</f>
        <v>-181</v>
      </c>
      <c r="E25" s="18">
        <f>SUM('10QIS'!K17:N17)</f>
        <v>213</v>
      </c>
      <c r="F25" s="18">
        <f>SUM('10QIS'!O17:R17)</f>
        <v>-5758</v>
      </c>
      <c r="G25" s="51">
        <f>SUM('10QIS'!S17:V17)</f>
        <v>-4346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</row>
    <row r="26" spans="2:12" ht="15.75" customHeight="1" x14ac:dyDescent="0.25">
      <c r="B26" s="16" t="s">
        <v>49</v>
      </c>
      <c r="C26" s="19">
        <f t="shared" ref="C26:L26" si="4">C24-C25</f>
        <v>-496</v>
      </c>
      <c r="D26" s="19">
        <f t="shared" si="4"/>
        <v>-9142</v>
      </c>
      <c r="E26" s="19">
        <f t="shared" si="4"/>
        <v>1887</v>
      </c>
      <c r="F26" s="19">
        <f t="shared" si="4"/>
        <v>9856</v>
      </c>
      <c r="G26" s="52">
        <f t="shared" si="4"/>
        <v>10053</v>
      </c>
      <c r="H26" s="19">
        <f t="shared" si="4"/>
        <v>7800.1689970586558</v>
      </c>
      <c r="I26" s="19">
        <f t="shared" si="4"/>
        <v>8910.3111607359097</v>
      </c>
      <c r="J26" s="19">
        <f t="shared" si="4"/>
        <v>10475.429638088988</v>
      </c>
      <c r="K26" s="19">
        <f t="shared" si="4"/>
        <v>11159.749344333282</v>
      </c>
      <c r="L26" s="19">
        <f t="shared" si="4"/>
        <v>12769.835673570733</v>
      </c>
    </row>
    <row r="27" spans="2:12" ht="15.75" customHeight="1" x14ac:dyDescent="0.25">
      <c r="B27" t="s">
        <v>50</v>
      </c>
      <c r="C27" s="6">
        <f t="shared" ref="C27:L27" si="5">C26/C28</f>
        <v>-0.2607447811945186</v>
      </c>
      <c r="D27" s="6">
        <f t="shared" si="5"/>
        <v>-4.6290295139873452</v>
      </c>
      <c r="E27" s="6">
        <f t="shared" si="5"/>
        <v>0.9021016530403263</v>
      </c>
      <c r="F27" s="6">
        <f t="shared" si="5"/>
        <v>4.5831031551614787</v>
      </c>
      <c r="G27" s="53">
        <f t="shared" si="5"/>
        <v>4.7426768738244149</v>
      </c>
      <c r="H27" s="6">
        <f t="shared" si="5"/>
        <v>3.804533636254789</v>
      </c>
      <c r="I27" s="6">
        <f t="shared" si="5"/>
        <v>4.3460056485057335</v>
      </c>
      <c r="J27" s="6">
        <f t="shared" si="5"/>
        <v>5.1093924282099996</v>
      </c>
      <c r="K27" s="6">
        <f t="shared" si="5"/>
        <v>5.4431694709048655</v>
      </c>
      <c r="L27" s="6">
        <f t="shared" si="5"/>
        <v>6.2284893273294868</v>
      </c>
    </row>
    <row r="28" spans="2:12" ht="15.75" customHeight="1" x14ac:dyDescent="0.25">
      <c r="B28" t="s">
        <v>3</v>
      </c>
      <c r="C28" s="22">
        <f>AVERAGE('10QIS'!C21:F21)</f>
        <v>1902.24325</v>
      </c>
      <c r="D28" s="22">
        <f>AVERAGE('10QIS'!G21:J21)</f>
        <v>1974.9280000000001</v>
      </c>
      <c r="E28" s="22">
        <f>AVERAGE('10QIS'!K21:N21)</f>
        <v>2091.7820000000002</v>
      </c>
      <c r="F28" s="22">
        <f>AVERAGE('10QIS'!O21:R21)</f>
        <v>2150.5079999999998</v>
      </c>
      <c r="G28" s="54">
        <f>AVERAGE('10QIS'!S21:V21)</f>
        <v>2119.6889999999999</v>
      </c>
      <c r="H28" s="22">
        <f>Main!C4</f>
        <v>2050.23</v>
      </c>
      <c r="I28" s="22">
        <f>H28</f>
        <v>2050.23</v>
      </c>
      <c r="J28" s="22">
        <f>I28</f>
        <v>2050.23</v>
      </c>
      <c r="K28" s="22">
        <f>J28</f>
        <v>2050.23</v>
      </c>
      <c r="L28" s="22">
        <f>K28</f>
        <v>2050.23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0"/>
  <sheetViews>
    <sheetView zoomScaleNormal="100" workbookViewId="0">
      <selection activeCell="C11" sqref="C11"/>
    </sheetView>
  </sheetViews>
  <sheetFormatPr defaultColWidth="8.875" defaultRowHeight="15.75" x14ac:dyDescent="0.25"/>
  <cols>
    <col min="1" max="1" width="1.375" customWidth="1"/>
    <col min="2" max="2" width="53.5" customWidth="1"/>
    <col min="3" max="8" width="12.625" customWidth="1"/>
    <col min="9" max="18" width="12" customWidth="1"/>
  </cols>
  <sheetData>
    <row r="1" spans="2:8" ht="12" customHeight="1" x14ac:dyDescent="0.25"/>
    <row r="2" spans="2:8" ht="15.75" customHeight="1" x14ac:dyDescent="0.25">
      <c r="B2" s="55" t="s">
        <v>83</v>
      </c>
      <c r="C2" s="13" t="s">
        <v>72</v>
      </c>
      <c r="D2" s="13" t="s">
        <v>73</v>
      </c>
      <c r="E2" s="13" t="s">
        <v>74</v>
      </c>
      <c r="F2" s="13" t="s">
        <v>75</v>
      </c>
      <c r="G2" s="13" t="s">
        <v>76</v>
      </c>
      <c r="H2" s="13" t="s">
        <v>77</v>
      </c>
    </row>
    <row r="3" spans="2:8" ht="15.75" customHeight="1" x14ac:dyDescent="0.25">
      <c r="B3" s="56" t="s">
        <v>84</v>
      </c>
      <c r="C3" s="18">
        <v>4295</v>
      </c>
      <c r="D3" s="18">
        <v>4208</v>
      </c>
      <c r="E3" s="18">
        <v>4680</v>
      </c>
      <c r="F3" s="18">
        <v>5893</v>
      </c>
      <c r="G3" s="18">
        <v>7105</v>
      </c>
      <c r="H3" s="18">
        <v>4870</v>
      </c>
    </row>
    <row r="4" spans="2:8" ht="15.75" customHeight="1" x14ac:dyDescent="0.25">
      <c r="B4" s="56" t="s">
        <v>85</v>
      </c>
      <c r="C4" s="18">
        <v>0</v>
      </c>
      <c r="D4" s="18">
        <v>103</v>
      </c>
      <c r="E4" s="18">
        <v>727</v>
      </c>
      <c r="F4" s="18">
        <v>1084</v>
      </c>
      <c r="G4" s="18">
        <v>528</v>
      </c>
      <c r="H4" s="18">
        <v>521</v>
      </c>
    </row>
    <row r="5" spans="2:8" ht="15.75" customHeight="1" x14ac:dyDescent="0.25">
      <c r="B5" s="56" t="s">
        <v>86</v>
      </c>
      <c r="C5" s="18">
        <v>631</v>
      </c>
      <c r="D5" s="18">
        <v>680</v>
      </c>
      <c r="E5" s="18">
        <v>805</v>
      </c>
      <c r="F5" s="18">
        <v>545</v>
      </c>
      <c r="G5" s="18">
        <v>631</v>
      </c>
      <c r="H5" s="18">
        <v>661</v>
      </c>
    </row>
    <row r="6" spans="2:8" ht="15.75" customHeight="1" x14ac:dyDescent="0.25">
      <c r="B6" s="56" t="s">
        <v>87</v>
      </c>
      <c r="C6" s="18">
        <v>2439</v>
      </c>
      <c r="D6" s="18">
        <v>2779</v>
      </c>
      <c r="E6" s="18">
        <v>3404</v>
      </c>
      <c r="F6" s="18">
        <v>3333</v>
      </c>
      <c r="G6" s="18">
        <v>3827</v>
      </c>
      <c r="H6" s="18">
        <v>4298</v>
      </c>
    </row>
    <row r="7" spans="2:8" ht="15.75" customHeight="1" x14ac:dyDescent="0.25">
      <c r="B7" s="56" t="s">
        <v>88</v>
      </c>
      <c r="C7" s="18">
        <v>1454</v>
      </c>
      <c r="D7" s="18">
        <v>1479</v>
      </c>
      <c r="E7" s="18">
        <v>1681</v>
      </c>
      <c r="F7" s="18">
        <v>1390</v>
      </c>
      <c r="G7" s="18">
        <v>1902</v>
      </c>
      <c r="H7" s="18">
        <v>2179</v>
      </c>
    </row>
    <row r="8" spans="2:8" ht="15.75" customHeight="1" x14ac:dyDescent="0.25">
      <c r="B8" s="56" t="s">
        <v>89</v>
      </c>
      <c r="C8" s="19">
        <f t="shared" ref="C8:H8" si="0">SUM(C3:C7)</f>
        <v>8819</v>
      </c>
      <c r="D8" s="19">
        <f t="shared" si="0"/>
        <v>9249</v>
      </c>
      <c r="E8" s="19">
        <f t="shared" si="0"/>
        <v>11297</v>
      </c>
      <c r="F8" s="19">
        <f t="shared" si="0"/>
        <v>12245</v>
      </c>
      <c r="G8" s="19">
        <f t="shared" si="0"/>
        <v>13993</v>
      </c>
      <c r="H8" s="19">
        <f t="shared" si="0"/>
        <v>12529</v>
      </c>
    </row>
    <row r="9" spans="2:8" ht="15.75" customHeight="1" x14ac:dyDescent="0.25">
      <c r="B9" s="56" t="s">
        <v>90</v>
      </c>
      <c r="C9" s="18">
        <v>2879</v>
      </c>
      <c r="D9" s="18">
        <v>1789</v>
      </c>
      <c r="E9" s="18">
        <v>1519</v>
      </c>
      <c r="F9" s="18">
        <v>2172</v>
      </c>
      <c r="G9" s="18">
        <v>1911</v>
      </c>
      <c r="H9" s="18">
        <v>1646</v>
      </c>
    </row>
    <row r="10" spans="2:8" ht="15.75" customHeight="1" x14ac:dyDescent="0.25">
      <c r="B10" s="56" t="s">
        <v>91</v>
      </c>
      <c r="C10" s="18"/>
      <c r="D10" s="18">
        <v>1614</v>
      </c>
      <c r="E10" s="18">
        <v>4779</v>
      </c>
      <c r="F10" s="18">
        <v>7019</v>
      </c>
      <c r="G10" s="18">
        <v>8874</v>
      </c>
      <c r="H10" s="18">
        <v>9486</v>
      </c>
    </row>
    <row r="11" spans="2:8" ht="15.75" customHeight="1" x14ac:dyDescent="0.25">
      <c r="B11" s="56" t="s">
        <v>92</v>
      </c>
      <c r="C11" s="18">
        <v>11806</v>
      </c>
      <c r="D11" s="18">
        <v>4401</v>
      </c>
      <c r="E11" s="18">
        <v>6101</v>
      </c>
      <c r="F11" s="18">
        <v>8460</v>
      </c>
      <c r="G11" s="18">
        <v>9178</v>
      </c>
      <c r="H11" s="18">
        <v>8759</v>
      </c>
    </row>
    <row r="12" spans="2:8" ht="15.75" customHeight="1" x14ac:dyDescent="0.25">
      <c r="B12" s="56" t="s">
        <v>93</v>
      </c>
      <c r="C12" s="18">
        <v>800</v>
      </c>
      <c r="D12" s="18">
        <v>870</v>
      </c>
      <c r="E12" s="18">
        <v>353</v>
      </c>
      <c r="F12" s="18">
        <v>302</v>
      </c>
      <c r="G12" s="18">
        <v>287</v>
      </c>
      <c r="H12" s="18">
        <v>3773</v>
      </c>
    </row>
    <row r="13" spans="2:8" ht="15.75" customHeight="1" x14ac:dyDescent="0.25">
      <c r="B13" s="56" t="s">
        <v>94</v>
      </c>
      <c r="C13" s="18">
        <v>1853</v>
      </c>
      <c r="D13" s="18">
        <v>2082</v>
      </c>
      <c r="E13" s="18">
        <v>2073</v>
      </c>
      <c r="F13" s="18">
        <v>1952</v>
      </c>
      <c r="G13" s="18">
        <v>1897</v>
      </c>
      <c r="H13" s="18">
        <v>1809</v>
      </c>
    </row>
    <row r="14" spans="2:8" ht="15.75" customHeight="1" x14ac:dyDescent="0.25">
      <c r="B14" s="56" t="s">
        <v>95</v>
      </c>
      <c r="C14" s="18">
        <v>1388</v>
      </c>
      <c r="D14" s="18">
        <v>1449</v>
      </c>
      <c r="E14" s="18">
        <v>1241</v>
      </c>
      <c r="F14" s="18">
        <v>1158</v>
      </c>
      <c r="G14" s="18">
        <v>1114</v>
      </c>
      <c r="H14" s="18">
        <v>1558</v>
      </c>
    </row>
    <row r="15" spans="2:8" ht="15.75" customHeight="1" x14ac:dyDescent="0.25">
      <c r="B15" s="56" t="s">
        <v>96</v>
      </c>
      <c r="C15" s="18">
        <v>2412</v>
      </c>
      <c r="D15" s="18">
        <v>1874</v>
      </c>
      <c r="E15" s="18">
        <v>1425</v>
      </c>
      <c r="F15" s="18">
        <v>1125</v>
      </c>
      <c r="G15" s="18">
        <v>1048</v>
      </c>
      <c r="H15" s="18">
        <v>1132</v>
      </c>
    </row>
    <row r="16" spans="2:8" ht="15.75" customHeight="1" x14ac:dyDescent="0.25">
      <c r="B16" s="56" t="s">
        <v>97</v>
      </c>
      <c r="C16" s="18">
        <v>8420</v>
      </c>
      <c r="D16" s="18">
        <v>8263</v>
      </c>
      <c r="E16" s="18">
        <v>8151</v>
      </c>
      <c r="F16" s="18">
        <v>8066</v>
      </c>
      <c r="G16" s="18">
        <v>8931</v>
      </c>
      <c r="H16" s="18">
        <v>9472</v>
      </c>
    </row>
    <row r="17" spans="2:8" ht="15.75" customHeight="1" x14ac:dyDescent="0.25">
      <c r="B17" s="56" t="s">
        <v>98</v>
      </c>
      <c r="C17" s="18"/>
      <c r="D17" s="18"/>
      <c r="E17" s="18"/>
      <c r="F17" s="18">
        <v>6171</v>
      </c>
      <c r="G17" s="18">
        <v>10951</v>
      </c>
      <c r="H17" s="18">
        <v>10162</v>
      </c>
    </row>
    <row r="18" spans="2:8" ht="15.75" customHeight="1" x14ac:dyDescent="0.25">
      <c r="B18" s="56" t="s">
        <v>99</v>
      </c>
      <c r="C18" s="18">
        <v>397</v>
      </c>
      <c r="D18" s="18">
        <v>518</v>
      </c>
      <c r="E18" s="18">
        <v>1760</v>
      </c>
      <c r="F18" s="18">
        <v>2574</v>
      </c>
      <c r="G18" s="18">
        <v>3618</v>
      </c>
      <c r="H18" s="18">
        <v>5475</v>
      </c>
    </row>
    <row r="19" spans="2:8" ht="15.75" customHeight="1" x14ac:dyDescent="0.25">
      <c r="B19" s="56" t="s">
        <v>100</v>
      </c>
      <c r="C19" s="19">
        <f t="shared" ref="C19:H19" si="1">C8+SUM(C9:C18)</f>
        <v>38774</v>
      </c>
      <c r="D19" s="19">
        <f t="shared" si="1"/>
        <v>32109</v>
      </c>
      <c r="E19" s="19">
        <f t="shared" si="1"/>
        <v>38699</v>
      </c>
      <c r="F19" s="19">
        <f t="shared" si="1"/>
        <v>51244</v>
      </c>
      <c r="G19" s="19">
        <f t="shared" si="1"/>
        <v>61802</v>
      </c>
      <c r="H19" s="19">
        <f t="shared" si="1"/>
        <v>65801</v>
      </c>
    </row>
    <row r="20" spans="2:8" ht="15.75" customHeight="1" x14ac:dyDescent="0.25">
      <c r="B20" s="56"/>
      <c r="C20" s="18"/>
      <c r="D20" s="18"/>
      <c r="E20" s="18"/>
      <c r="F20" s="18"/>
      <c r="G20" s="18"/>
      <c r="H20" s="18"/>
    </row>
    <row r="21" spans="2:8" ht="15.75" customHeight="1" x14ac:dyDescent="0.25">
      <c r="B21" s="56" t="s">
        <v>101</v>
      </c>
      <c r="C21" s="18">
        <v>860</v>
      </c>
      <c r="D21" s="18">
        <v>728</v>
      </c>
      <c r="E21" s="18">
        <v>790</v>
      </c>
      <c r="F21" s="18">
        <v>858</v>
      </c>
      <c r="G21" s="18">
        <v>1013</v>
      </c>
      <c r="H21" s="18">
        <v>1366</v>
      </c>
    </row>
    <row r="22" spans="2:8" ht="15.75" customHeight="1" x14ac:dyDescent="0.25">
      <c r="B22" s="56" t="s">
        <v>102</v>
      </c>
      <c r="C22" s="18">
        <v>1442</v>
      </c>
      <c r="D22" s="18">
        <v>1692</v>
      </c>
      <c r="E22" s="18">
        <v>2016</v>
      </c>
      <c r="F22" s="18">
        <v>2754</v>
      </c>
      <c r="G22" s="18">
        <v>3387</v>
      </c>
      <c r="H22" s="18">
        <v>3758</v>
      </c>
    </row>
    <row r="23" spans="2:8" ht="15.75" customHeight="1" x14ac:dyDescent="0.25">
      <c r="B23" s="56" t="s">
        <v>103</v>
      </c>
      <c r="C23" s="18">
        <v>185</v>
      </c>
      <c r="D23" s="18">
        <v>201</v>
      </c>
      <c r="E23" s="18">
        <v>190</v>
      </c>
      <c r="F23" s="18">
        <v>175</v>
      </c>
      <c r="G23" s="18">
        <v>169</v>
      </c>
      <c r="H23" s="18">
        <v>178</v>
      </c>
    </row>
    <row r="24" spans="2:8" ht="15.75" customHeight="1" x14ac:dyDescent="0.25">
      <c r="B24" s="56" t="s">
        <v>104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1997</v>
      </c>
    </row>
    <row r="25" spans="2:8" ht="15.75" customHeight="1" x14ac:dyDescent="0.25">
      <c r="B25" s="56" t="s">
        <v>105</v>
      </c>
      <c r="C25" s="18">
        <v>6537</v>
      </c>
      <c r="D25" s="18">
        <v>6232</v>
      </c>
      <c r="E25" s="18">
        <v>6458</v>
      </c>
      <c r="F25" s="18">
        <v>7689</v>
      </c>
      <c r="G25" s="18">
        <v>7751</v>
      </c>
      <c r="H25" s="18">
        <v>7572</v>
      </c>
    </row>
    <row r="26" spans="2:8" ht="15.75" customHeight="1" x14ac:dyDescent="0.25">
      <c r="B26" s="56" t="s">
        <v>106</v>
      </c>
      <c r="C26" s="19">
        <f t="shared" ref="C26:H26" si="2">SUM(C21:C25)</f>
        <v>9024</v>
      </c>
      <c r="D26" s="19">
        <f t="shared" si="2"/>
        <v>8853</v>
      </c>
      <c r="E26" s="19">
        <f t="shared" si="2"/>
        <v>9454</v>
      </c>
      <c r="F26" s="19">
        <f t="shared" si="2"/>
        <v>11476</v>
      </c>
      <c r="G26" s="19">
        <f t="shared" si="2"/>
        <v>12320</v>
      </c>
      <c r="H26" s="19">
        <f t="shared" si="2"/>
        <v>14871</v>
      </c>
    </row>
    <row r="27" spans="2:8" ht="15.75" customHeight="1" x14ac:dyDescent="0.25">
      <c r="B27" s="56" t="s">
        <v>107</v>
      </c>
      <c r="C27" s="18">
        <v>2546</v>
      </c>
      <c r="D27" s="18">
        <v>3028</v>
      </c>
      <c r="E27" s="18">
        <v>4722</v>
      </c>
      <c r="F27" s="18">
        <v>7042</v>
      </c>
      <c r="G27" s="18">
        <v>9076</v>
      </c>
      <c r="H27" s="18">
        <v>9528</v>
      </c>
    </row>
    <row r="28" spans="2:8" ht="15.75" customHeight="1" x14ac:dyDescent="0.25">
      <c r="B28" s="56" t="s">
        <v>108</v>
      </c>
      <c r="C28" s="18">
        <v>9276</v>
      </c>
      <c r="D28" s="18">
        <v>9265</v>
      </c>
      <c r="E28" s="18">
        <v>9459</v>
      </c>
      <c r="F28" s="18">
        <v>8347</v>
      </c>
      <c r="G28" s="18">
        <v>10521</v>
      </c>
      <c r="H28" s="18">
        <v>10726</v>
      </c>
    </row>
    <row r="29" spans="2:8" ht="15.75" customHeight="1" x14ac:dyDescent="0.25">
      <c r="B29" s="56" t="s">
        <v>109</v>
      </c>
      <c r="C29" s="18">
        <v>1644</v>
      </c>
      <c r="D29" s="18">
        <v>1673</v>
      </c>
      <c r="E29" s="18">
        <v>1550</v>
      </c>
      <c r="F29" s="18">
        <v>1454</v>
      </c>
      <c r="G29" s="18">
        <v>1390</v>
      </c>
      <c r="H29" s="18">
        <v>1830</v>
      </c>
    </row>
    <row r="30" spans="2:8" ht="15.75" customHeight="1" x14ac:dyDescent="0.25">
      <c r="B30" s="56" t="s">
        <v>110</v>
      </c>
      <c r="C30" s="18">
        <v>935</v>
      </c>
      <c r="D30" s="18">
        <v>786</v>
      </c>
      <c r="E30" s="18">
        <v>832</v>
      </c>
      <c r="F30" s="18">
        <v>449</v>
      </c>
      <c r="G30" s="18">
        <v>412</v>
      </c>
      <c r="H30" s="18">
        <v>447</v>
      </c>
    </row>
    <row r="31" spans="2:8" ht="15.75" customHeight="1" x14ac:dyDescent="0.25">
      <c r="B31" s="56" t="s">
        <v>111</v>
      </c>
      <c r="C31" s="19">
        <f t="shared" ref="C31:H31" si="3">C26+SUM(C27:C30)</f>
        <v>23425</v>
      </c>
      <c r="D31" s="19">
        <f t="shared" si="3"/>
        <v>23605</v>
      </c>
      <c r="E31" s="19">
        <f t="shared" si="3"/>
        <v>26017</v>
      </c>
      <c r="F31" s="19">
        <f t="shared" si="3"/>
        <v>28768</v>
      </c>
      <c r="G31" s="19">
        <f t="shared" si="3"/>
        <v>33719</v>
      </c>
      <c r="H31" s="19">
        <f t="shared" si="3"/>
        <v>37402</v>
      </c>
    </row>
    <row r="32" spans="2:8" ht="15.75" customHeight="1" x14ac:dyDescent="0.25">
      <c r="B32" s="56" t="s">
        <v>112</v>
      </c>
      <c r="C32" s="18">
        <v>204</v>
      </c>
      <c r="D32" s="18">
        <v>430</v>
      </c>
      <c r="E32" s="18">
        <v>654</v>
      </c>
      <c r="F32" s="18">
        <v>93</v>
      </c>
      <c r="G32" s="18">
        <v>165</v>
      </c>
      <c r="H32" s="18">
        <v>180</v>
      </c>
    </row>
    <row r="33" spans="2:8" ht="15.75" customHeight="1" x14ac:dyDescent="0.25">
      <c r="B33" s="56" t="s">
        <v>113</v>
      </c>
      <c r="C33" s="18">
        <v>38608</v>
      </c>
      <c r="D33" s="18">
        <v>40550</v>
      </c>
      <c r="E33" s="18">
        <v>42264</v>
      </c>
      <c r="F33" s="18">
        <v>42801</v>
      </c>
      <c r="G33" s="18">
        <v>38101</v>
      </c>
      <c r="H33" s="18">
        <v>35698</v>
      </c>
    </row>
    <row r="34" spans="2:8" ht="15.75" customHeight="1" x14ac:dyDescent="0.25">
      <c r="B34" s="56" t="s">
        <v>114</v>
      </c>
      <c r="C34" s="18">
        <v>-524</v>
      </c>
      <c r="D34" s="18">
        <v>-443</v>
      </c>
      <c r="E34" s="18">
        <v>-421</v>
      </c>
      <c r="F34" s="18">
        <v>-517</v>
      </c>
      <c r="G34" s="18">
        <v>-432</v>
      </c>
      <c r="H34" s="18">
        <v>-432</v>
      </c>
    </row>
    <row r="35" spans="2:8" ht="15.75" customHeight="1" x14ac:dyDescent="0.25">
      <c r="B35" s="56" t="s">
        <v>115</v>
      </c>
      <c r="C35" s="18">
        <v>-23626</v>
      </c>
      <c r="D35" s="18">
        <v>-32767</v>
      </c>
      <c r="E35" s="18">
        <v>-30594</v>
      </c>
      <c r="F35" s="18">
        <v>-20726</v>
      </c>
      <c r="G35" s="18">
        <v>-10628</v>
      </c>
      <c r="H35" s="18">
        <v>-7950</v>
      </c>
    </row>
    <row r="36" spans="2:8" ht="15.75" customHeight="1" x14ac:dyDescent="0.25">
      <c r="B36" s="56" t="s">
        <v>116</v>
      </c>
      <c r="C36" s="19">
        <f t="shared" ref="C36:H36" si="4">SUM(C33:C35)</f>
        <v>14458</v>
      </c>
      <c r="D36" s="19">
        <f t="shared" si="4"/>
        <v>7340</v>
      </c>
      <c r="E36" s="19">
        <f t="shared" si="4"/>
        <v>11249</v>
      </c>
      <c r="F36" s="19">
        <f t="shared" si="4"/>
        <v>21558</v>
      </c>
      <c r="G36" s="19">
        <f t="shared" si="4"/>
        <v>27041</v>
      </c>
      <c r="H36" s="19">
        <f t="shared" si="4"/>
        <v>27316</v>
      </c>
    </row>
    <row r="37" spans="2:8" ht="15.75" customHeight="1" x14ac:dyDescent="0.25">
      <c r="B37" s="56" t="s">
        <v>117</v>
      </c>
      <c r="C37" s="18">
        <v>687</v>
      </c>
      <c r="D37" s="18">
        <v>734</v>
      </c>
      <c r="E37" s="18">
        <v>779</v>
      </c>
      <c r="F37" s="18">
        <v>825</v>
      </c>
      <c r="G37" s="18">
        <v>877</v>
      </c>
      <c r="H37" s="18">
        <v>903</v>
      </c>
    </row>
    <row r="38" spans="2:8" ht="15.75" customHeight="1" x14ac:dyDescent="0.25">
      <c r="B38" s="56" t="s">
        <v>118</v>
      </c>
      <c r="C38" s="19">
        <f t="shared" ref="C38:H38" si="5">C36+C37</f>
        <v>15145</v>
      </c>
      <c r="D38" s="19">
        <f t="shared" si="5"/>
        <v>8074</v>
      </c>
      <c r="E38" s="19">
        <f t="shared" si="5"/>
        <v>12028</v>
      </c>
      <c r="F38" s="19">
        <f t="shared" si="5"/>
        <v>22383</v>
      </c>
      <c r="G38" s="19">
        <f t="shared" si="5"/>
        <v>27918</v>
      </c>
      <c r="H38" s="19">
        <f t="shared" si="5"/>
        <v>28219</v>
      </c>
    </row>
    <row r="39" spans="2:8" ht="15.75" customHeight="1" x14ac:dyDescent="0.25">
      <c r="B39" s="56" t="s">
        <v>119</v>
      </c>
      <c r="C39" s="19">
        <f t="shared" ref="C39:H39" si="6">C31+C32+C38</f>
        <v>38774</v>
      </c>
      <c r="D39" s="19">
        <f t="shared" si="6"/>
        <v>32109</v>
      </c>
      <c r="E39" s="19">
        <f t="shared" si="6"/>
        <v>38699</v>
      </c>
      <c r="F39" s="19">
        <f t="shared" si="6"/>
        <v>51244</v>
      </c>
      <c r="G39" s="19">
        <f t="shared" si="6"/>
        <v>61802</v>
      </c>
      <c r="H39" s="19">
        <f t="shared" si="6"/>
        <v>65801</v>
      </c>
    </row>
    <row r="40" spans="2:8" ht="15.75" customHeight="1" x14ac:dyDescent="0.25">
      <c r="B40" s="56" t="s">
        <v>120</v>
      </c>
      <c r="C40" s="18">
        <f t="shared" ref="C40:H40" si="7">C19-C39</f>
        <v>0</v>
      </c>
      <c r="D40" s="18">
        <f t="shared" si="7"/>
        <v>0</v>
      </c>
      <c r="E40" s="18">
        <f t="shared" si="7"/>
        <v>0</v>
      </c>
      <c r="F40" s="18">
        <f t="shared" si="7"/>
        <v>0</v>
      </c>
      <c r="G40" s="18">
        <f t="shared" si="7"/>
        <v>0</v>
      </c>
      <c r="H40" s="18">
        <f t="shared" si="7"/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42"/>
  <sheetViews>
    <sheetView topLeftCell="A28" zoomScaleNormal="100" workbookViewId="0">
      <selection activeCell="I12" sqref="I12"/>
    </sheetView>
  </sheetViews>
  <sheetFormatPr defaultColWidth="8.875" defaultRowHeight="15.75" x14ac:dyDescent="0.25"/>
  <cols>
    <col min="1" max="1" width="1.625" customWidth="1"/>
    <col min="2" max="2" width="75.25" customWidth="1"/>
    <col min="3" max="8" width="12.625" customWidth="1"/>
    <col min="9" max="14" width="12.125" customWidth="1"/>
  </cols>
  <sheetData>
    <row r="1" spans="2:14" ht="7.5" customHeight="1" x14ac:dyDescent="0.25"/>
    <row r="2" spans="2:14" ht="16.5" customHeight="1" x14ac:dyDescent="0.25">
      <c r="B2" s="55" t="s">
        <v>121</v>
      </c>
      <c r="C2" s="13" t="s">
        <v>72</v>
      </c>
      <c r="D2" s="13" t="s">
        <v>73</v>
      </c>
      <c r="E2" s="13" t="s">
        <v>74</v>
      </c>
      <c r="F2" s="13" t="s">
        <v>75</v>
      </c>
      <c r="G2" s="13" t="s">
        <v>76</v>
      </c>
      <c r="H2" s="13" t="s">
        <v>122</v>
      </c>
    </row>
    <row r="3" spans="2:14" ht="15.75" customHeight="1" x14ac:dyDescent="0.25">
      <c r="B3" s="56" t="s">
        <v>123</v>
      </c>
      <c r="C3" s="19">
        <v>-570</v>
      </c>
      <c r="D3" s="19">
        <v>-9138</v>
      </c>
      <c r="E3" s="19">
        <v>2156</v>
      </c>
      <c r="F3" s="19">
        <v>9845</v>
      </c>
      <c r="G3" s="19">
        <v>10093</v>
      </c>
      <c r="H3" s="19">
        <v>2698</v>
      </c>
    </row>
    <row r="4" spans="2:14" ht="15.75" customHeight="1" x14ac:dyDescent="0.25">
      <c r="B4" s="56" t="s">
        <v>124</v>
      </c>
      <c r="C4" s="18">
        <v>902</v>
      </c>
      <c r="D4" s="18">
        <v>947</v>
      </c>
      <c r="E4" s="18">
        <v>823</v>
      </c>
      <c r="F4" s="18">
        <v>737</v>
      </c>
      <c r="G4" s="18">
        <v>747</v>
      </c>
      <c r="H4" s="18">
        <v>386</v>
      </c>
    </row>
    <row r="5" spans="2:14" ht="15.75" customHeight="1" x14ac:dyDescent="0.25">
      <c r="B5" s="56" t="s">
        <v>125</v>
      </c>
      <c r="C5" s="18">
        <v>1168</v>
      </c>
      <c r="D5" s="18">
        <v>1793</v>
      </c>
      <c r="E5" s="18">
        <v>1935</v>
      </c>
      <c r="F5" s="18">
        <v>1796</v>
      </c>
      <c r="G5" s="18">
        <v>1826</v>
      </c>
      <c r="H5" s="18">
        <v>0</v>
      </c>
      <c r="I5" s="57"/>
      <c r="J5" s="57"/>
      <c r="K5" s="57"/>
      <c r="L5" s="57"/>
      <c r="M5" s="57"/>
      <c r="N5" s="57"/>
    </row>
    <row r="6" spans="2:14" ht="15.75" customHeight="1" x14ac:dyDescent="0.25">
      <c r="B6" s="56" t="s">
        <v>126</v>
      </c>
      <c r="C6" s="18">
        <v>-692</v>
      </c>
      <c r="D6" s="18">
        <v>-441</v>
      </c>
      <c r="E6" s="18">
        <v>26</v>
      </c>
      <c r="F6" s="18">
        <v>-6027</v>
      </c>
      <c r="G6" s="18">
        <v>-4779</v>
      </c>
      <c r="H6" s="18">
        <v>1023</v>
      </c>
      <c r="I6" s="57"/>
      <c r="J6" s="57"/>
      <c r="K6" s="57"/>
      <c r="L6" s="57"/>
      <c r="M6" s="57"/>
      <c r="N6" s="57"/>
    </row>
    <row r="7" spans="2:14" ht="15.75" customHeight="1" x14ac:dyDescent="0.25">
      <c r="B7" s="56" t="s">
        <v>127</v>
      </c>
      <c r="C7" s="18">
        <v>0</v>
      </c>
      <c r="D7" s="18">
        <v>0</v>
      </c>
      <c r="E7" s="18">
        <v>-154</v>
      </c>
      <c r="F7" s="18">
        <v>-251</v>
      </c>
      <c r="G7" s="18">
        <v>-158</v>
      </c>
      <c r="H7" s="18">
        <v>771</v>
      </c>
      <c r="I7" s="57"/>
      <c r="J7" s="57"/>
      <c r="K7" s="57"/>
      <c r="L7" s="57"/>
      <c r="M7" s="57"/>
      <c r="N7" s="57"/>
    </row>
    <row r="8" spans="2:14" ht="15.75" customHeight="1" x14ac:dyDescent="0.25">
      <c r="B8" s="56" t="s">
        <v>128</v>
      </c>
      <c r="C8" s="18">
        <v>-1142</v>
      </c>
      <c r="D8" s="18">
        <v>7045</v>
      </c>
      <c r="E8" s="18">
        <v>-1610</v>
      </c>
      <c r="F8" s="18">
        <v>-1832</v>
      </c>
      <c r="G8" s="18">
        <v>97</v>
      </c>
      <c r="H8" s="18">
        <v>-138</v>
      </c>
      <c r="I8" s="57"/>
      <c r="J8" s="57"/>
      <c r="K8" s="57"/>
      <c r="L8" s="57"/>
      <c r="M8" s="57"/>
      <c r="N8" s="57"/>
    </row>
    <row r="9" spans="2:14" ht="15.75" customHeight="1" x14ac:dyDescent="0.25">
      <c r="B9" s="56" t="s">
        <v>129</v>
      </c>
      <c r="C9" s="18">
        <v>38</v>
      </c>
      <c r="D9" s="18">
        <v>96</v>
      </c>
      <c r="E9" s="18">
        <v>138</v>
      </c>
      <c r="F9" s="18">
        <v>308</v>
      </c>
      <c r="G9" s="18">
        <v>-120</v>
      </c>
      <c r="H9" s="18">
        <v>-53</v>
      </c>
      <c r="I9" s="57"/>
      <c r="J9" s="57"/>
      <c r="K9" s="57"/>
      <c r="L9" s="57"/>
      <c r="M9" s="57"/>
      <c r="N9" s="57"/>
    </row>
    <row r="10" spans="2:14" ht="15.75" customHeight="1" x14ac:dyDescent="0.25">
      <c r="B10" s="56" t="s">
        <v>130</v>
      </c>
      <c r="C10" s="18">
        <v>-1831</v>
      </c>
      <c r="D10" s="18">
        <v>5</v>
      </c>
      <c r="E10" s="18">
        <v>106</v>
      </c>
      <c r="F10" s="18">
        <v>187</v>
      </c>
      <c r="G10" s="18">
        <v>166</v>
      </c>
      <c r="H10" s="18">
        <v>316</v>
      </c>
      <c r="I10" s="57"/>
      <c r="J10" s="57"/>
      <c r="K10" s="57"/>
      <c r="L10" s="57"/>
      <c r="M10" s="57"/>
      <c r="N10" s="57"/>
    </row>
    <row r="11" spans="2:14" ht="15.75" customHeight="1" x14ac:dyDescent="0.25">
      <c r="B11" s="56" t="s">
        <v>131</v>
      </c>
      <c r="C11" s="18">
        <v>-597</v>
      </c>
      <c r="D11" s="18">
        <v>-542</v>
      </c>
      <c r="E11" s="18">
        <v>-758</v>
      </c>
      <c r="F11" s="18">
        <v>-142</v>
      </c>
      <c r="G11" s="18">
        <v>-466</v>
      </c>
      <c r="H11" s="18">
        <v>-499</v>
      </c>
      <c r="I11" s="57"/>
      <c r="J11" s="57"/>
      <c r="K11" s="57"/>
      <c r="L11" s="57"/>
      <c r="M11" s="57"/>
      <c r="N11" s="57"/>
    </row>
    <row r="12" spans="2:14" ht="15.75" customHeight="1" x14ac:dyDescent="0.25">
      <c r="B12" s="56" t="s">
        <v>132</v>
      </c>
      <c r="C12" s="18">
        <v>624</v>
      </c>
      <c r="D12" s="18">
        <v>-196</v>
      </c>
      <c r="E12" s="18">
        <v>-1462</v>
      </c>
      <c r="F12" s="18">
        <v>-694</v>
      </c>
      <c r="G12" s="18">
        <v>-1028</v>
      </c>
      <c r="H12" s="18">
        <v>-375</v>
      </c>
      <c r="I12" s="57"/>
      <c r="J12" s="57"/>
      <c r="K12" s="57"/>
      <c r="L12" s="57"/>
      <c r="M12" s="57"/>
      <c r="N12" s="57"/>
    </row>
    <row r="13" spans="2:14" ht="15.75" customHeight="1" x14ac:dyDescent="0.25">
      <c r="B13" s="56" t="s">
        <v>95</v>
      </c>
      <c r="C13" s="18">
        <v>165</v>
      </c>
      <c r="D13" s="18">
        <v>193</v>
      </c>
      <c r="E13" s="18">
        <v>191</v>
      </c>
      <c r="F13" s="18">
        <v>196</v>
      </c>
      <c r="G13" s="18">
        <v>177</v>
      </c>
      <c r="H13" s="18">
        <v>100</v>
      </c>
      <c r="I13" s="58"/>
      <c r="J13" s="58"/>
      <c r="K13" s="58"/>
      <c r="L13" s="58"/>
      <c r="M13" s="58"/>
      <c r="N13" s="58"/>
    </row>
    <row r="14" spans="2:14" ht="15.75" customHeight="1" x14ac:dyDescent="0.25">
      <c r="B14" s="56" t="s">
        <v>101</v>
      </c>
      <c r="C14" s="18">
        <v>90</v>
      </c>
      <c r="D14" s="18">
        <v>-133</v>
      </c>
      <c r="E14" s="18">
        <v>64</v>
      </c>
      <c r="F14" s="18">
        <v>86</v>
      </c>
      <c r="G14" s="18">
        <v>126</v>
      </c>
      <c r="H14" s="18">
        <v>345</v>
      </c>
    </row>
    <row r="15" spans="2:14" ht="15.75" customHeight="1" x14ac:dyDescent="0.25">
      <c r="B15" s="56" t="s">
        <v>133</v>
      </c>
      <c r="C15" s="18">
        <v>516</v>
      </c>
      <c r="D15" s="18">
        <v>736</v>
      </c>
      <c r="E15" s="18">
        <v>2230</v>
      </c>
      <c r="F15" s="18">
        <v>2819</v>
      </c>
      <c r="G15" s="18">
        <v>2660</v>
      </c>
      <c r="H15" s="18">
        <v>830</v>
      </c>
      <c r="I15" s="57"/>
      <c r="J15" s="57"/>
      <c r="K15" s="57"/>
      <c r="L15" s="57"/>
      <c r="M15" s="57"/>
      <c r="N15" s="57"/>
    </row>
    <row r="16" spans="2:14" ht="15.75" customHeight="1" x14ac:dyDescent="0.25">
      <c r="B16" s="56" t="s">
        <v>134</v>
      </c>
      <c r="C16" s="18">
        <v>1068</v>
      </c>
      <c r="D16" s="18">
        <v>492</v>
      </c>
      <c r="E16" s="18">
        <v>80</v>
      </c>
      <c r="F16" s="18">
        <v>330</v>
      </c>
      <c r="G16" s="18">
        <v>967</v>
      </c>
      <c r="H16" s="18">
        <v>-94</v>
      </c>
      <c r="I16" s="57"/>
      <c r="J16" s="57"/>
      <c r="K16" s="57"/>
      <c r="L16" s="57"/>
      <c r="M16" s="57"/>
      <c r="N16" s="57"/>
    </row>
    <row r="17" spans="2:14" ht="15.75" customHeight="1" x14ac:dyDescent="0.25">
      <c r="B17" s="56" t="s">
        <v>135</v>
      </c>
      <c r="C17" s="18">
        <v>-184</v>
      </c>
      <c r="D17" s="18">
        <v>-215</v>
      </c>
      <c r="E17" s="18">
        <v>-180</v>
      </c>
      <c r="F17" s="18">
        <v>-221</v>
      </c>
      <c r="G17" s="18">
        <v>-209</v>
      </c>
      <c r="H17" s="18">
        <v>-97</v>
      </c>
      <c r="I17" s="57"/>
      <c r="J17" s="57"/>
      <c r="K17" s="57"/>
      <c r="L17" s="57"/>
      <c r="M17" s="57"/>
      <c r="N17" s="57"/>
    </row>
    <row r="18" spans="2:14" ht="15.75" customHeight="1" x14ac:dyDescent="0.25">
      <c r="B18" s="59" t="s">
        <v>136</v>
      </c>
      <c r="C18" s="19">
        <f t="shared" ref="C18:H18" si="0">SUM(C3:C17)</f>
        <v>-445</v>
      </c>
      <c r="D18" s="19">
        <f t="shared" si="0"/>
        <v>642</v>
      </c>
      <c r="E18" s="19">
        <f t="shared" si="0"/>
        <v>3585</v>
      </c>
      <c r="F18" s="19">
        <f t="shared" si="0"/>
        <v>7137</v>
      </c>
      <c r="G18" s="19">
        <f t="shared" si="0"/>
        <v>10099</v>
      </c>
      <c r="H18" s="19">
        <f t="shared" si="0"/>
        <v>5213</v>
      </c>
      <c r="I18" s="57"/>
      <c r="J18" s="57"/>
      <c r="K18" s="57"/>
      <c r="L18" s="57"/>
      <c r="M18" s="57"/>
      <c r="N18" s="57"/>
    </row>
    <row r="19" spans="2:14" ht="15.75" customHeight="1" x14ac:dyDescent="0.25">
      <c r="B19" s="56"/>
      <c r="C19" s="18"/>
      <c r="D19" s="18"/>
      <c r="E19" s="18"/>
      <c r="F19" s="18"/>
      <c r="G19" s="18"/>
      <c r="I19" s="57"/>
      <c r="J19" s="57"/>
      <c r="K19" s="57"/>
      <c r="L19" s="57"/>
      <c r="M19" s="57"/>
      <c r="N19" s="57"/>
    </row>
    <row r="20" spans="2:14" ht="15.75" customHeight="1" x14ac:dyDescent="0.25">
      <c r="B20" s="56" t="s">
        <v>137</v>
      </c>
      <c r="C20" s="18">
        <v>-298</v>
      </c>
      <c r="D20" s="18">
        <v>-252</v>
      </c>
      <c r="E20" s="18">
        <v>-223</v>
      </c>
      <c r="F20" s="18">
        <v>-242</v>
      </c>
      <c r="G20" s="18">
        <v>-336</v>
      </c>
      <c r="H20" s="18">
        <v>-135</v>
      </c>
      <c r="I20" s="57"/>
      <c r="J20" s="57"/>
      <c r="K20" s="57"/>
      <c r="L20" s="57"/>
      <c r="M20" s="57"/>
      <c r="N20" s="57"/>
    </row>
    <row r="21" spans="2:14" ht="15.75" customHeight="1" x14ac:dyDescent="0.25">
      <c r="B21" s="56" t="s">
        <v>138</v>
      </c>
      <c r="C21" s="18">
        <v>-982</v>
      </c>
      <c r="D21" s="18">
        <v>-14</v>
      </c>
      <c r="E21" s="18">
        <v>-52</v>
      </c>
      <c r="F21" s="18">
        <v>-289</v>
      </c>
      <c r="G21" s="18">
        <v>-676</v>
      </c>
      <c r="H21" s="18">
        <v>-507</v>
      </c>
      <c r="I21" s="58"/>
      <c r="J21" s="58"/>
      <c r="K21" s="58"/>
      <c r="L21" s="58"/>
      <c r="M21" s="58"/>
      <c r="N21" s="58"/>
    </row>
    <row r="22" spans="2:14" ht="15.75" customHeight="1" x14ac:dyDescent="0.25">
      <c r="B22" s="56" t="s">
        <v>139</v>
      </c>
      <c r="C22" s="18">
        <v>-1113</v>
      </c>
      <c r="D22" s="18">
        <v>-1708</v>
      </c>
      <c r="E22" s="18">
        <v>-8774</v>
      </c>
      <c r="F22" s="18">
        <v>-12765</v>
      </c>
      <c r="G22" s="18">
        <v>-21447</v>
      </c>
      <c r="H22" s="18">
        <v>-17646</v>
      </c>
    </row>
    <row r="23" spans="2:14" ht="15.75" customHeight="1" x14ac:dyDescent="0.25">
      <c r="B23" s="56" t="s">
        <v>140</v>
      </c>
      <c r="C23" s="18">
        <v>2291</v>
      </c>
      <c r="D23" s="18">
        <v>376</v>
      </c>
      <c r="E23" s="18">
        <v>5069</v>
      </c>
      <c r="F23" s="18">
        <v>10204</v>
      </c>
      <c r="G23" s="18">
        <v>20046</v>
      </c>
      <c r="H23" s="18">
        <v>-298</v>
      </c>
      <c r="I23" s="58"/>
      <c r="J23" s="58"/>
      <c r="K23" s="58"/>
      <c r="L23" s="58"/>
      <c r="M23" s="58"/>
      <c r="N23" s="58"/>
    </row>
    <row r="24" spans="2:14" ht="15.75" customHeight="1" x14ac:dyDescent="0.25">
      <c r="B24" s="56" t="s">
        <v>141</v>
      </c>
      <c r="C24" s="18">
        <v>1000</v>
      </c>
      <c r="D24" s="18">
        <v>0</v>
      </c>
      <c r="E24" s="18">
        <v>721</v>
      </c>
      <c r="F24" s="18">
        <v>17</v>
      </c>
      <c r="G24" s="18">
        <v>0</v>
      </c>
      <c r="H24" s="18">
        <v>14665</v>
      </c>
      <c r="I24" s="57"/>
      <c r="J24" s="57"/>
      <c r="K24" s="57"/>
      <c r="L24" s="57"/>
      <c r="M24" s="57"/>
      <c r="N24" s="57"/>
    </row>
    <row r="25" spans="2:14" ht="15.75" customHeight="1" x14ac:dyDescent="0.25">
      <c r="B25" s="56" t="s">
        <v>142</v>
      </c>
      <c r="C25" s="18">
        <v>-2314</v>
      </c>
      <c r="D25" s="18">
        <v>-59</v>
      </c>
      <c r="E25" s="18">
        <v>0</v>
      </c>
      <c r="F25" s="18">
        <v>0</v>
      </c>
      <c r="G25" s="18">
        <v>-815</v>
      </c>
      <c r="H25" s="18">
        <v>-653</v>
      </c>
    </row>
    <row r="26" spans="2:14" ht="15.75" customHeight="1" x14ac:dyDescent="0.25">
      <c r="B26" s="56" t="s">
        <v>143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-1640</v>
      </c>
    </row>
    <row r="27" spans="2:14" ht="15.75" customHeight="1" x14ac:dyDescent="0.25">
      <c r="B27" s="56" t="s">
        <v>144</v>
      </c>
      <c r="C27" s="18">
        <v>215</v>
      </c>
      <c r="D27" s="18">
        <v>20</v>
      </c>
      <c r="E27" s="18">
        <v>33</v>
      </c>
      <c r="F27" s="18">
        <v>-102</v>
      </c>
      <c r="G27" s="18">
        <v>-336</v>
      </c>
      <c r="H27" s="18">
        <v>52</v>
      </c>
    </row>
    <row r="28" spans="2:14" ht="15.75" customHeight="1" x14ac:dyDescent="0.25">
      <c r="B28" s="59" t="s">
        <v>145</v>
      </c>
      <c r="C28" s="19">
        <f t="shared" ref="C28:H28" si="1">SUM(C20:C27)</f>
        <v>-1201</v>
      </c>
      <c r="D28" s="19">
        <f t="shared" si="1"/>
        <v>-1637</v>
      </c>
      <c r="E28" s="19">
        <f t="shared" si="1"/>
        <v>-3226</v>
      </c>
      <c r="F28" s="19">
        <f t="shared" si="1"/>
        <v>-3177</v>
      </c>
      <c r="G28" s="19">
        <f t="shared" si="1"/>
        <v>-3564</v>
      </c>
      <c r="H28" s="19">
        <f t="shared" si="1"/>
        <v>-6162</v>
      </c>
    </row>
    <row r="29" spans="2:14" ht="15.75" customHeight="1" x14ac:dyDescent="0.25">
      <c r="C29" s="18"/>
      <c r="D29" s="18"/>
      <c r="E29" s="18"/>
      <c r="F29" s="18"/>
      <c r="G29" s="18"/>
    </row>
    <row r="30" spans="2:14" ht="15.75" customHeight="1" x14ac:dyDescent="0.25">
      <c r="B30" s="56" t="s">
        <v>146</v>
      </c>
      <c r="C30" s="18">
        <v>107</v>
      </c>
      <c r="D30" s="18">
        <v>92</v>
      </c>
      <c r="E30" s="18">
        <v>130</v>
      </c>
      <c r="F30" s="18">
        <v>156</v>
      </c>
      <c r="G30" s="18">
        <v>183</v>
      </c>
      <c r="H30" s="18">
        <v>3997</v>
      </c>
    </row>
    <row r="31" spans="2:14" ht="15.75" customHeight="1" x14ac:dyDescent="0.25">
      <c r="B31" s="56" t="s">
        <v>147</v>
      </c>
      <c r="C31" s="18">
        <v>1484</v>
      </c>
      <c r="D31" s="18">
        <v>0</v>
      </c>
      <c r="E31" s="18">
        <v>2824</v>
      </c>
      <c r="F31" s="18">
        <v>3972</v>
      </c>
      <c r="G31" s="18">
        <v>3359</v>
      </c>
      <c r="H31" s="18">
        <v>-2000</v>
      </c>
    </row>
    <row r="32" spans="2:14" ht="15.75" customHeight="1" x14ac:dyDescent="0.25">
      <c r="B32" s="56" t="s">
        <v>148</v>
      </c>
      <c r="C32" s="18">
        <v>-27</v>
      </c>
      <c r="D32" s="18">
        <v>0</v>
      </c>
      <c r="E32" s="18">
        <v>-2675</v>
      </c>
      <c r="F32" s="18">
        <v>-3986</v>
      </c>
      <c r="G32" s="18">
        <v>-2350</v>
      </c>
      <c r="H32" s="18">
        <v>-82</v>
      </c>
    </row>
    <row r="33" spans="2:8" ht="15.75" customHeight="1" x14ac:dyDescent="0.25">
      <c r="B33" s="56" t="s">
        <v>149</v>
      </c>
      <c r="C33" s="18">
        <v>-226</v>
      </c>
      <c r="D33" s="18">
        <v>-184</v>
      </c>
      <c r="E33" s="18">
        <v>-171</v>
      </c>
      <c r="F33" s="18">
        <v>-172</v>
      </c>
      <c r="G33" s="18">
        <v>-157</v>
      </c>
      <c r="H33" s="18">
        <v>136</v>
      </c>
    </row>
    <row r="34" spans="2:8" ht="15.75" customHeight="1" x14ac:dyDescent="0.25">
      <c r="B34" s="56" t="s">
        <v>150</v>
      </c>
      <c r="C34" s="18">
        <v>0</v>
      </c>
      <c r="D34" s="18">
        <v>0</v>
      </c>
      <c r="E34" s="18">
        <v>0</v>
      </c>
      <c r="F34" s="18">
        <v>-1252</v>
      </c>
      <c r="G34" s="18">
        <v>-6523</v>
      </c>
      <c r="H34" s="18">
        <v>-3529</v>
      </c>
    </row>
    <row r="35" spans="2:8" ht="15.75" customHeight="1" x14ac:dyDescent="0.25">
      <c r="B35" s="56" t="s">
        <v>151</v>
      </c>
      <c r="C35" s="18">
        <v>0</v>
      </c>
      <c r="D35" s="18">
        <v>0</v>
      </c>
      <c r="E35" s="18">
        <v>0</v>
      </c>
      <c r="F35" s="18">
        <v>-851</v>
      </c>
      <c r="G35" s="18">
        <v>-109</v>
      </c>
      <c r="H35" s="18">
        <v>-73</v>
      </c>
    </row>
    <row r="36" spans="2:8" ht="15.75" customHeight="1" x14ac:dyDescent="0.25">
      <c r="B36" s="56" t="s">
        <v>152</v>
      </c>
      <c r="C36" s="18">
        <v>442</v>
      </c>
      <c r="D36" s="18">
        <v>107</v>
      </c>
      <c r="E36" s="18">
        <v>-203</v>
      </c>
      <c r="F36" s="18">
        <v>46</v>
      </c>
      <c r="G36" s="18">
        <v>-116</v>
      </c>
      <c r="H36" s="18">
        <v>0</v>
      </c>
    </row>
    <row r="37" spans="2:8" ht="15.75" customHeight="1" x14ac:dyDescent="0.25">
      <c r="B37" s="56" t="s">
        <v>153</v>
      </c>
      <c r="C37" s="19">
        <f t="shared" ref="C37:H37" si="2">SUM(C30:C36)</f>
        <v>1780</v>
      </c>
      <c r="D37" s="19">
        <f t="shared" si="2"/>
        <v>15</v>
      </c>
      <c r="E37" s="19">
        <f t="shared" si="2"/>
        <v>-95</v>
      </c>
      <c r="F37" s="19">
        <f t="shared" si="2"/>
        <v>-2087</v>
      </c>
      <c r="G37" s="19">
        <f t="shared" si="2"/>
        <v>-5713</v>
      </c>
      <c r="H37" s="19">
        <f t="shared" si="2"/>
        <v>-1551</v>
      </c>
    </row>
    <row r="38" spans="2:8" ht="15.75" customHeight="1" x14ac:dyDescent="0.25">
      <c r="C38" s="18"/>
      <c r="D38" s="18"/>
      <c r="E38" s="18"/>
      <c r="F38" s="18"/>
      <c r="G38" s="18"/>
    </row>
    <row r="39" spans="2:8" ht="15.75" customHeight="1" x14ac:dyDescent="0.25">
      <c r="B39" s="56" t="s">
        <v>154</v>
      </c>
      <c r="C39" s="18">
        <v>-69</v>
      </c>
      <c r="D39" s="18">
        <v>-148</v>
      </c>
      <c r="E39" s="18">
        <v>63</v>
      </c>
      <c r="F39" s="18">
        <v>-267</v>
      </c>
      <c r="G39" s="18">
        <v>215</v>
      </c>
      <c r="H39" s="18">
        <v>30</v>
      </c>
    </row>
    <row r="40" spans="2:8" ht="15.75" customHeight="1" x14ac:dyDescent="0.25">
      <c r="B40" s="59" t="s">
        <v>155</v>
      </c>
      <c r="C40" s="19">
        <f t="shared" ref="C40:H40" si="3">C18+C28+C37+C39</f>
        <v>65</v>
      </c>
      <c r="D40" s="19">
        <f t="shared" si="3"/>
        <v>-1128</v>
      </c>
      <c r="E40" s="19">
        <f t="shared" si="3"/>
        <v>327</v>
      </c>
      <c r="F40" s="19">
        <f t="shared" si="3"/>
        <v>1606</v>
      </c>
      <c r="G40" s="19">
        <f t="shared" si="3"/>
        <v>1037</v>
      </c>
      <c r="H40" s="19">
        <f t="shared" si="3"/>
        <v>-2470</v>
      </c>
    </row>
    <row r="41" spans="2:8" ht="15.75" customHeight="1" x14ac:dyDescent="0.25">
      <c r="B41" s="56" t="s">
        <v>156</v>
      </c>
      <c r="C41" s="18">
        <v>7740</v>
      </c>
      <c r="D41" s="18">
        <f>C42</f>
        <v>7805</v>
      </c>
      <c r="E41" s="18">
        <f>D42</f>
        <v>6677</v>
      </c>
      <c r="F41" s="18">
        <f>E42</f>
        <v>7004</v>
      </c>
      <c r="G41" s="18">
        <f>F42</f>
        <v>8610</v>
      </c>
      <c r="H41" s="18">
        <f>G42</f>
        <v>9647</v>
      </c>
    </row>
    <row r="42" spans="2:8" ht="15.75" customHeight="1" x14ac:dyDescent="0.25">
      <c r="B42" s="56" t="s">
        <v>157</v>
      </c>
      <c r="C42" s="19">
        <f t="shared" ref="C42:H42" si="4">C41+C40</f>
        <v>7805</v>
      </c>
      <c r="D42" s="19">
        <f t="shared" si="4"/>
        <v>6677</v>
      </c>
      <c r="E42" s="19">
        <f t="shared" si="4"/>
        <v>7004</v>
      </c>
      <c r="F42" s="19">
        <f t="shared" si="4"/>
        <v>8610</v>
      </c>
      <c r="G42" s="19">
        <f t="shared" si="4"/>
        <v>9647</v>
      </c>
      <c r="H42" s="19">
        <f t="shared" si="4"/>
        <v>7177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30"/>
  <sheetViews>
    <sheetView tabSelected="1" topLeftCell="A71" zoomScale="110" zoomScaleNormal="110" workbookViewId="0">
      <selection activeCell="M48" sqref="M48"/>
    </sheetView>
  </sheetViews>
  <sheetFormatPr defaultColWidth="8.875" defaultRowHeight="15.75" x14ac:dyDescent="0.25"/>
  <cols>
    <col min="1" max="1" width="2" customWidth="1"/>
    <col min="2" max="2" width="37.375" customWidth="1"/>
    <col min="3" max="12" width="12.375" customWidth="1"/>
    <col min="14" max="14" width="14.625" customWidth="1"/>
    <col min="15" max="15" width="17.875" customWidth="1"/>
  </cols>
  <sheetData>
    <row r="1" spans="2:15" ht="10.5" customHeight="1" x14ac:dyDescent="0.25"/>
    <row r="2" spans="2:15" ht="24" customHeight="1" x14ac:dyDescent="0.4">
      <c r="B2" s="10" t="s">
        <v>11</v>
      </c>
      <c r="C2" s="14"/>
      <c r="D2" s="14"/>
      <c r="E2" s="14"/>
      <c r="F2" s="60"/>
      <c r="G2" s="60"/>
      <c r="H2" s="60"/>
      <c r="I2" s="60"/>
      <c r="J2" s="60"/>
      <c r="K2" s="60"/>
      <c r="L2" s="60"/>
      <c r="M2" s="61"/>
      <c r="N2" s="61"/>
      <c r="O2" s="61"/>
    </row>
    <row r="4" spans="2:15" ht="15.75" customHeight="1" x14ac:dyDescent="0.25">
      <c r="B4" t="s">
        <v>158</v>
      </c>
      <c r="C4" s="62"/>
      <c r="D4" s="62"/>
      <c r="E4" s="62"/>
      <c r="F4" s="63">
        <f ca="1">TODAY()</f>
        <v>46254</v>
      </c>
      <c r="G4" s="64"/>
      <c r="H4" s="64"/>
      <c r="I4" s="64"/>
      <c r="K4" s="64"/>
      <c r="L4" s="64"/>
      <c r="M4" s="64"/>
      <c r="N4" s="64"/>
      <c r="O4" s="64"/>
    </row>
    <row r="5" spans="2:15" ht="15.75" customHeight="1" x14ac:dyDescent="0.25">
      <c r="B5" t="s">
        <v>159</v>
      </c>
      <c r="C5" s="62"/>
      <c r="D5" s="62"/>
      <c r="E5" s="62"/>
      <c r="F5" s="65">
        <v>78</v>
      </c>
      <c r="G5" s="64"/>
      <c r="H5" s="64"/>
      <c r="I5" s="64"/>
      <c r="J5" s="64"/>
      <c r="K5" s="64"/>
      <c r="L5" s="64"/>
      <c r="M5" s="64"/>
      <c r="N5" s="64"/>
      <c r="O5" s="64"/>
    </row>
    <row r="6" spans="2:15" ht="15.75" customHeight="1" x14ac:dyDescent="0.25">
      <c r="B6" t="s">
        <v>160</v>
      </c>
      <c r="C6" s="62"/>
      <c r="D6" s="62"/>
      <c r="E6" s="62"/>
      <c r="F6" s="66">
        <f>Main!C4</f>
        <v>2050.23</v>
      </c>
      <c r="G6" s="64"/>
      <c r="H6" s="64"/>
      <c r="I6" s="64"/>
      <c r="J6" s="64"/>
      <c r="K6" s="64"/>
      <c r="L6" s="64"/>
      <c r="M6" s="64"/>
      <c r="N6" s="64"/>
      <c r="O6" s="64"/>
    </row>
    <row r="7" spans="2:15" ht="15.75" customHeight="1" x14ac:dyDescent="0.25">
      <c r="B7" t="s">
        <v>161</v>
      </c>
      <c r="C7" s="62"/>
      <c r="D7" s="62"/>
      <c r="E7" s="62"/>
      <c r="F7" s="66">
        <f ca="1">(DATE(YEAR(F4),12,31)-F4)/365</f>
        <v>0.36438356164383562</v>
      </c>
      <c r="G7" s="64"/>
      <c r="H7" s="64"/>
      <c r="I7" s="64"/>
      <c r="J7" s="64"/>
      <c r="K7" s="64"/>
      <c r="L7" s="64"/>
      <c r="M7" s="64"/>
      <c r="N7" s="64"/>
      <c r="O7" s="64"/>
    </row>
    <row r="8" spans="2:15" ht="18.75" customHeight="1" x14ac:dyDescent="0.3">
      <c r="B8" s="68" t="s">
        <v>162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4"/>
      <c r="N8" s="64"/>
      <c r="O8" s="64"/>
    </row>
    <row r="9" spans="2:15" ht="15.75" customHeight="1" x14ac:dyDescent="0.25">
      <c r="B9" s="67"/>
      <c r="C9" s="70"/>
      <c r="D9" s="71"/>
      <c r="E9" s="71"/>
      <c r="F9" s="71"/>
      <c r="G9" s="72"/>
      <c r="H9" s="1" t="s">
        <v>163</v>
      </c>
      <c r="I9" s="1"/>
      <c r="J9" s="1"/>
      <c r="K9" s="1"/>
      <c r="L9" s="1"/>
      <c r="M9" s="64"/>
      <c r="N9" s="64"/>
      <c r="O9" s="64"/>
    </row>
    <row r="10" spans="2:15" ht="15.75" customHeight="1" x14ac:dyDescent="0.25">
      <c r="B10" s="67"/>
      <c r="C10" s="73" t="s">
        <v>72</v>
      </c>
      <c r="D10" s="73" t="s">
        <v>73</v>
      </c>
      <c r="E10" s="73" t="s">
        <v>74</v>
      </c>
      <c r="F10" s="73" t="s">
        <v>75</v>
      </c>
      <c r="G10" s="73" t="s">
        <v>76</v>
      </c>
      <c r="H10" s="74" t="s">
        <v>77</v>
      </c>
      <c r="I10" s="74" t="s">
        <v>78</v>
      </c>
      <c r="J10" s="74" t="s">
        <v>79</v>
      </c>
      <c r="K10" s="74" t="s">
        <v>80</v>
      </c>
      <c r="L10" s="75" t="s">
        <v>81</v>
      </c>
      <c r="M10" s="64"/>
      <c r="N10" s="76"/>
      <c r="O10" s="76"/>
    </row>
    <row r="11" spans="2:15" ht="15.75" customHeight="1" x14ac:dyDescent="0.25">
      <c r="B11" s="67" t="s">
        <v>164</v>
      </c>
      <c r="C11" s="77">
        <f>IS!C17</f>
        <v>17455</v>
      </c>
      <c r="D11" s="77">
        <f>IS!D17</f>
        <v>31877</v>
      </c>
      <c r="E11" s="77">
        <f>IS!E17</f>
        <v>37281</v>
      </c>
      <c r="F11" s="77">
        <f>IS!F17</f>
        <v>43978</v>
      </c>
      <c r="G11" s="77">
        <f>IS!G17</f>
        <v>52017</v>
      </c>
      <c r="H11" s="78">
        <f>IS!H17</f>
        <v>59028.950000000004</v>
      </c>
      <c r="I11" s="78">
        <f>IS!I17</f>
        <v>67430.117500000008</v>
      </c>
      <c r="J11" s="78">
        <f>IS!J17</f>
        <v>76161.063750000001</v>
      </c>
      <c r="K11" s="78">
        <f>IS!K17</f>
        <v>81136.374412500008</v>
      </c>
      <c r="L11" s="78">
        <f>IS!L17</f>
        <v>86549.860546875017</v>
      </c>
      <c r="M11" s="79"/>
      <c r="N11" s="64"/>
      <c r="O11" s="64"/>
    </row>
    <row r="12" spans="2:15" ht="15.75" customHeight="1" x14ac:dyDescent="0.25">
      <c r="B12" s="67"/>
      <c r="C12" s="62"/>
      <c r="D12" s="62"/>
      <c r="E12" s="62"/>
      <c r="F12" s="80"/>
      <c r="G12" s="64"/>
      <c r="H12" s="81"/>
      <c r="I12" s="81"/>
      <c r="J12" s="81"/>
      <c r="K12" s="81"/>
      <c r="L12" s="81"/>
      <c r="M12" s="64"/>
      <c r="N12" s="64"/>
      <c r="O12" s="64"/>
    </row>
    <row r="13" spans="2:15" ht="15.75" customHeight="1" x14ac:dyDescent="0.25">
      <c r="B13" s="67" t="s">
        <v>165</v>
      </c>
      <c r="C13" s="82">
        <f>IS!C24+IS!C23-IS!C22</f>
        <v>-3834</v>
      </c>
      <c r="D13" s="82">
        <f>IS!D24+IS!D23-IS!D22</f>
        <v>-1832</v>
      </c>
      <c r="E13" s="82">
        <f>IS!E24+IS!E23-IS!E22</f>
        <v>1110</v>
      </c>
      <c r="F13" s="82">
        <f>IS!F24+IS!F23-IS!F22</f>
        <v>2799</v>
      </c>
      <c r="G13" s="82">
        <f>IS!G24+IS!G23-IS!G22</f>
        <v>5565</v>
      </c>
      <c r="H13" s="78">
        <f>IS!H24-IS!H22</f>
        <v>7062.3071220586553</v>
      </c>
      <c r="I13" s="78">
        <f>IS!I24-IS!I22</f>
        <v>8236.0099857359091</v>
      </c>
      <c r="J13" s="78">
        <f>IS!J24-IS!J22</f>
        <v>9904.2216599639887</v>
      </c>
      <c r="K13" s="78">
        <f>IS!K24-IS!K22</f>
        <v>10754.067472270783</v>
      </c>
      <c r="L13" s="78">
        <f>IS!L24-IS!L22</f>
        <v>12337.086370836358</v>
      </c>
      <c r="M13" s="64"/>
      <c r="N13" s="64"/>
      <c r="O13" s="64"/>
    </row>
    <row r="14" spans="2:15" ht="15.75" customHeight="1" x14ac:dyDescent="0.25">
      <c r="B14" s="67"/>
      <c r="C14" s="62"/>
      <c r="D14" s="62"/>
      <c r="E14" s="62"/>
      <c r="F14" s="80"/>
      <c r="G14" s="64"/>
      <c r="H14" s="81"/>
      <c r="I14" s="81"/>
      <c r="J14" s="81"/>
      <c r="K14" s="81"/>
      <c r="L14" s="81"/>
      <c r="M14" s="64"/>
      <c r="N14" s="64"/>
      <c r="O14" s="64"/>
    </row>
    <row r="15" spans="2:15" ht="15.75" customHeight="1" x14ac:dyDescent="0.25">
      <c r="B15" s="67" t="s">
        <v>166</v>
      </c>
      <c r="C15" s="82">
        <f>IS!C22</f>
        <v>902</v>
      </c>
      <c r="D15" s="82">
        <f>IS!D22</f>
        <v>947</v>
      </c>
      <c r="E15" s="82">
        <f>IS!E22</f>
        <v>823</v>
      </c>
      <c r="F15" s="82">
        <f>IS!F22</f>
        <v>711</v>
      </c>
      <c r="G15" s="82">
        <f>IS!G22</f>
        <v>719</v>
      </c>
      <c r="H15" s="78">
        <f>H11*(H16)</f>
        <v>737.86187500000005</v>
      </c>
      <c r="I15" s="78">
        <f>I11*(I16)</f>
        <v>674.30117500000006</v>
      </c>
      <c r="J15" s="78">
        <f>J11*(J16)</f>
        <v>571.20797812499995</v>
      </c>
      <c r="K15" s="78">
        <f>K11*(K16)</f>
        <v>405.68187206250008</v>
      </c>
      <c r="L15" s="78">
        <f>L11*(L16)</f>
        <v>432.74930273437508</v>
      </c>
      <c r="M15" s="83"/>
      <c r="N15" s="83" t="s">
        <v>167</v>
      </c>
      <c r="O15" s="83" t="s">
        <v>168</v>
      </c>
    </row>
    <row r="16" spans="2:15" ht="15.75" customHeight="1" x14ac:dyDescent="0.25">
      <c r="B16" s="67"/>
      <c r="C16" s="84">
        <f>C15/C11</f>
        <v>5.1675737610999715E-2</v>
      </c>
      <c r="D16" s="84">
        <f>D15/D11</f>
        <v>2.9707939893967437E-2</v>
      </c>
      <c r="E16" s="84">
        <f>E15/E11</f>
        <v>2.2075588101177542E-2</v>
      </c>
      <c r="F16" s="84">
        <f>F15/F11</f>
        <v>1.6167174496339077E-2</v>
      </c>
      <c r="G16" s="84">
        <f>G15/G11</f>
        <v>1.382240421400696E-2</v>
      </c>
      <c r="H16" s="85">
        <f>IS!H10</f>
        <v>1.2500000000000001E-2</v>
      </c>
      <c r="I16" s="85">
        <f>IS!I10</f>
        <v>0.01</v>
      </c>
      <c r="J16" s="85">
        <f>IS!J10</f>
        <v>7.4999999999999997E-3</v>
      </c>
      <c r="K16" s="85">
        <f>IS!K10</f>
        <v>5.0000000000000001E-3</v>
      </c>
      <c r="L16" s="85">
        <f>IS!L10</f>
        <v>5.0000000000000001E-3</v>
      </c>
      <c r="M16" s="83"/>
      <c r="N16" s="86">
        <f>AVERAGE(C16:G16)</f>
        <v>2.6689768863298147E-2</v>
      </c>
      <c r="O16" s="86">
        <f>GEOMEAN(C16:G16)</f>
        <v>2.3760624094122388E-2</v>
      </c>
    </row>
    <row r="17" spans="2:15" ht="15.75" customHeight="1" x14ac:dyDescent="0.25">
      <c r="B17" s="67"/>
      <c r="C17" s="62"/>
      <c r="D17" s="62"/>
      <c r="E17" s="62"/>
      <c r="F17" s="80"/>
      <c r="G17" s="64"/>
      <c r="H17" s="64"/>
      <c r="I17" s="64"/>
      <c r="J17" s="64"/>
      <c r="K17" s="64"/>
      <c r="L17" s="64"/>
      <c r="M17" s="64"/>
      <c r="N17" s="64"/>
      <c r="O17" s="64"/>
    </row>
    <row r="18" spans="2:15" ht="18.75" customHeight="1" x14ac:dyDescent="0.3">
      <c r="B18" s="87" t="s">
        <v>169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64"/>
      <c r="N18" s="64"/>
      <c r="O18" s="64"/>
    </row>
    <row r="19" spans="2:15" ht="15.75" customHeight="1" x14ac:dyDescent="0.25">
      <c r="B19" s="67"/>
      <c r="C19" s="71"/>
      <c r="D19" s="71"/>
      <c r="E19" s="71"/>
      <c r="F19" s="71"/>
      <c r="G19" s="71"/>
      <c r="H19" s="1" t="s">
        <v>163</v>
      </c>
      <c r="I19" s="1"/>
      <c r="J19" s="1"/>
      <c r="K19" s="1"/>
      <c r="L19" s="1"/>
      <c r="M19" s="64"/>
      <c r="N19" s="64"/>
      <c r="O19" s="64"/>
    </row>
    <row r="20" spans="2:15" ht="15.75" customHeight="1" x14ac:dyDescent="0.25">
      <c r="B20" s="67"/>
      <c r="C20" s="73" t="s">
        <v>72</v>
      </c>
      <c r="D20" s="73" t="s">
        <v>73</v>
      </c>
      <c r="E20" s="73" t="s">
        <v>74</v>
      </c>
      <c r="F20" s="73" t="s">
        <v>75</v>
      </c>
      <c r="G20" s="73" t="s">
        <v>76</v>
      </c>
      <c r="H20" s="88" t="s">
        <v>77</v>
      </c>
      <c r="I20" s="88" t="s">
        <v>78</v>
      </c>
      <c r="J20" s="88" t="s">
        <v>79</v>
      </c>
      <c r="K20" s="88" t="s">
        <v>80</v>
      </c>
      <c r="L20" s="89" t="s">
        <v>81</v>
      </c>
      <c r="M20" s="64"/>
      <c r="N20" s="64"/>
      <c r="O20" s="64"/>
    </row>
    <row r="21" spans="2:15" ht="15.75" customHeight="1" x14ac:dyDescent="0.25">
      <c r="B21" s="90" t="s">
        <v>170</v>
      </c>
      <c r="C21" s="82">
        <f>BS!C6</f>
        <v>2439</v>
      </c>
      <c r="D21" s="82">
        <f>BS!D6</f>
        <v>2779</v>
      </c>
      <c r="E21" s="82">
        <f>BS!E6</f>
        <v>3404</v>
      </c>
      <c r="F21" s="82">
        <f>BS!F6</f>
        <v>3333</v>
      </c>
      <c r="G21" s="82">
        <f>BS!G6</f>
        <v>3827</v>
      </c>
      <c r="H21" s="91">
        <f>H32*H11</f>
        <v>4818.0531179930376</v>
      </c>
      <c r="I21" s="91">
        <f>I32*I11</f>
        <v>5503.772096022577</v>
      </c>
      <c r="J21" s="91">
        <f>J32*J11</f>
        <v>6216.4082313907666</v>
      </c>
      <c r="K21" s="91">
        <f>K32*K11</f>
        <v>6622.5023775756836</v>
      </c>
      <c r="L21" s="91">
        <f>L32*L11</f>
        <v>7064.3612239373006</v>
      </c>
      <c r="M21" s="64"/>
      <c r="N21" s="64"/>
      <c r="O21" s="64"/>
    </row>
    <row r="22" spans="2:15" ht="15.75" customHeight="1" x14ac:dyDescent="0.25">
      <c r="B22" s="90" t="s">
        <v>171</v>
      </c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91">
        <f>H33*H11</f>
        <v>0</v>
      </c>
      <c r="I22" s="91">
        <f>I33*I11</f>
        <v>0</v>
      </c>
      <c r="J22" s="91">
        <f>J33*J11</f>
        <v>0</v>
      </c>
      <c r="K22" s="91">
        <f>K33*K11</f>
        <v>0</v>
      </c>
      <c r="L22" s="91">
        <f>L33*L11</f>
        <v>0</v>
      </c>
      <c r="M22" s="64"/>
      <c r="N22" s="64"/>
      <c r="O22" s="64"/>
    </row>
    <row r="23" spans="2:15" ht="15.75" customHeight="1" x14ac:dyDescent="0.25">
      <c r="B23" s="90" t="s">
        <v>172</v>
      </c>
      <c r="C23" s="82">
        <f>BS!C7</f>
        <v>1454</v>
      </c>
      <c r="D23" s="82">
        <f>BS!D7</f>
        <v>1479</v>
      </c>
      <c r="E23" s="82">
        <f>BS!E7</f>
        <v>1681</v>
      </c>
      <c r="F23" s="82">
        <f>BS!F7</f>
        <v>1390</v>
      </c>
      <c r="G23" s="82">
        <f>BS!G7</f>
        <v>1902</v>
      </c>
      <c r="H23" s="91">
        <f>H34*H11</f>
        <v>2356.1222789865074</v>
      </c>
      <c r="I23" s="91">
        <f>I34*I11</f>
        <v>2691.452280896543</v>
      </c>
      <c r="J23" s="91">
        <f>J34*J11</f>
        <v>3039.9452995976835</v>
      </c>
      <c r="K23" s="91">
        <f>K34*K11</f>
        <v>3238.5332856078594</v>
      </c>
      <c r="L23" s="91">
        <f>L34*L11</f>
        <v>3454.610910030884</v>
      </c>
      <c r="M23" s="64"/>
      <c r="N23" s="64"/>
      <c r="O23" s="64"/>
    </row>
    <row r="24" spans="2:15" ht="15.75" customHeight="1" x14ac:dyDescent="0.25">
      <c r="B24" s="67"/>
      <c r="C24" s="92"/>
      <c r="D24" s="92"/>
      <c r="E24" s="92"/>
      <c r="F24" s="92"/>
      <c r="G24" s="92"/>
      <c r="H24" s="91"/>
      <c r="I24" s="91"/>
      <c r="J24" s="91"/>
      <c r="K24" s="91"/>
      <c r="L24" s="91"/>
      <c r="M24" s="64"/>
      <c r="N24" s="64"/>
      <c r="O24" s="64"/>
    </row>
    <row r="25" spans="2:15" ht="15.75" customHeight="1" x14ac:dyDescent="0.25">
      <c r="B25" s="90" t="s">
        <v>173</v>
      </c>
      <c r="C25" s="93">
        <f>BS!C21</f>
        <v>860</v>
      </c>
      <c r="D25" s="93">
        <f>BS!D21</f>
        <v>728</v>
      </c>
      <c r="E25" s="93">
        <f>BS!E21</f>
        <v>790</v>
      </c>
      <c r="F25" s="93">
        <f>BS!F21</f>
        <v>858</v>
      </c>
      <c r="G25" s="93">
        <f>BS!G21</f>
        <v>1013</v>
      </c>
      <c r="H25" s="91">
        <f>H35*H11</f>
        <v>1225.0330959570565</v>
      </c>
      <c r="I25" s="91">
        <f>I35*I11</f>
        <v>1399.3832789126877</v>
      </c>
      <c r="J25" s="91">
        <f>J35*J11</f>
        <v>1580.5773898577772</v>
      </c>
      <c r="K25" s="91">
        <f>K35*K11</f>
        <v>1683.8304584661557</v>
      </c>
      <c r="L25" s="91">
        <f>L35*L11</f>
        <v>1796.1770219593909</v>
      </c>
      <c r="M25" s="64"/>
      <c r="N25" s="64"/>
      <c r="O25" s="64"/>
    </row>
    <row r="26" spans="2:15" ht="15.75" customHeight="1" x14ac:dyDescent="0.25">
      <c r="B26" s="90" t="s">
        <v>174</v>
      </c>
      <c r="C26" s="93">
        <f>BS!C25</f>
        <v>6537</v>
      </c>
      <c r="D26" s="93">
        <f>BS!D25</f>
        <v>6232</v>
      </c>
      <c r="E26" s="93">
        <f>BS!E25</f>
        <v>6458</v>
      </c>
      <c r="F26" s="93">
        <f>BS!F25</f>
        <v>7689</v>
      </c>
      <c r="G26" s="93">
        <f>BS!G25</f>
        <v>7751</v>
      </c>
      <c r="H26" s="91">
        <f>H36*H11</f>
        <v>10173.417930468084</v>
      </c>
      <c r="I26" s="91">
        <f>I36*I11</f>
        <v>11675.066698220642</v>
      </c>
      <c r="J26" s="91">
        <f>J36*J11</f>
        <v>13186.770719903971</v>
      </c>
      <c r="K26" s="91">
        <f>K36*K11</f>
        <v>14048.211956886182</v>
      </c>
      <c r="L26" s="91">
        <f>L36*L11</f>
        <v>14985.520299685983</v>
      </c>
      <c r="M26" s="64"/>
      <c r="N26" s="64"/>
      <c r="O26" s="64"/>
    </row>
    <row r="27" spans="2:15" ht="15.75" customHeight="1" x14ac:dyDescent="0.25">
      <c r="B27" s="67"/>
      <c r="C27" s="92"/>
      <c r="D27" s="92"/>
      <c r="E27" s="92"/>
      <c r="F27" s="92"/>
      <c r="G27" s="92"/>
      <c r="H27" s="91"/>
      <c r="I27" s="91"/>
      <c r="J27" s="91"/>
      <c r="K27" s="91"/>
      <c r="L27" s="91"/>
      <c r="M27" s="64"/>
      <c r="N27" s="64"/>
      <c r="O27" s="64"/>
    </row>
    <row r="28" spans="2:15" ht="15.75" customHeight="1" x14ac:dyDescent="0.25">
      <c r="B28" s="67" t="s">
        <v>6</v>
      </c>
      <c r="C28" s="93">
        <f>BS!C28+BS!C24</f>
        <v>9276</v>
      </c>
      <c r="D28" s="93">
        <f>BS!D28+BS!D24</f>
        <v>9265</v>
      </c>
      <c r="E28" s="93">
        <f>BS!E28+BS!E24</f>
        <v>9459</v>
      </c>
      <c r="F28" s="93">
        <f>BS!F28+BS!F24</f>
        <v>8347</v>
      </c>
      <c r="G28" s="93">
        <f>BS!G28+BS!G24</f>
        <v>10521</v>
      </c>
      <c r="H28" s="91"/>
      <c r="I28" s="91"/>
      <c r="J28" s="91"/>
      <c r="K28" s="91"/>
      <c r="L28" s="91"/>
      <c r="M28" s="64"/>
      <c r="N28" s="64"/>
      <c r="O28" s="64"/>
    </row>
    <row r="29" spans="2:15" ht="15.75" customHeight="1" x14ac:dyDescent="0.25">
      <c r="B29" s="67"/>
      <c r="C29" s="92"/>
      <c r="D29" s="92"/>
      <c r="E29" s="92"/>
      <c r="F29" s="92"/>
      <c r="G29" s="92"/>
      <c r="H29" s="91"/>
      <c r="I29" s="91"/>
      <c r="J29" s="91"/>
      <c r="K29" s="91"/>
      <c r="L29" s="91"/>
      <c r="M29" s="64"/>
      <c r="N29" s="64"/>
      <c r="O29" s="64"/>
    </row>
    <row r="30" spans="2:15" ht="15.75" customHeight="1" x14ac:dyDescent="0.25">
      <c r="B30" s="67" t="s">
        <v>175</v>
      </c>
      <c r="C30" s="94">
        <f>CFS!C20</f>
        <v>-298</v>
      </c>
      <c r="D30" s="94">
        <f>CFS!D20</f>
        <v>-252</v>
      </c>
      <c r="E30" s="94">
        <f>CFS!E20</f>
        <v>-223</v>
      </c>
      <c r="F30" s="94">
        <f>CFS!F20</f>
        <v>-242</v>
      </c>
      <c r="G30" s="94">
        <f>CFS!G20</f>
        <v>-336</v>
      </c>
      <c r="H30" s="91">
        <f>H37*H11</f>
        <v>-381.46224695719474</v>
      </c>
      <c r="I30" s="91">
        <f>I37*I11</f>
        <v>-435.75303531805423</v>
      </c>
      <c r="J30" s="91">
        <f>J37*J11</f>
        <v>-492.1749498970446</v>
      </c>
      <c r="K30" s="91">
        <f>K37*K11</f>
        <v>-524.32685476113829</v>
      </c>
      <c r="L30" s="91">
        <f>L37*L11</f>
        <v>-559.31037699370904</v>
      </c>
      <c r="M30" s="64"/>
      <c r="N30" s="64"/>
      <c r="O30" s="64"/>
    </row>
    <row r="31" spans="2:15" ht="15.75" customHeight="1" x14ac:dyDescent="0.25">
      <c r="B31" s="67"/>
      <c r="C31" s="94"/>
      <c r="D31" s="94"/>
      <c r="E31" s="94"/>
      <c r="F31" s="94"/>
      <c r="G31" s="94"/>
      <c r="I31" s="78"/>
      <c r="J31" s="78"/>
      <c r="K31" s="78"/>
      <c r="L31" s="78"/>
      <c r="M31" s="83"/>
      <c r="N31" s="95" t="s">
        <v>176</v>
      </c>
      <c r="O31" s="95" t="s">
        <v>177</v>
      </c>
    </row>
    <row r="32" spans="2:15" ht="15.75" customHeight="1" x14ac:dyDescent="0.25">
      <c r="B32" s="96" t="s">
        <v>178</v>
      </c>
      <c r="C32" s="97">
        <f>C21/C11</f>
        <v>0.13973073617874535</v>
      </c>
      <c r="D32" s="97">
        <f>D21/D11</f>
        <v>8.7178843680396523E-2</v>
      </c>
      <c r="E32" s="97">
        <f>E21/E11</f>
        <v>9.1306563665137744E-2</v>
      </c>
      <c r="F32" s="97">
        <f>F21/F11</f>
        <v>7.5787893946973481E-2</v>
      </c>
      <c r="G32" s="97">
        <f>G21/G11</f>
        <v>7.357210142837918E-2</v>
      </c>
      <c r="H32" s="98">
        <f>$O32</f>
        <v>8.1621867202331014E-2</v>
      </c>
      <c r="I32" s="98">
        <f>$O32</f>
        <v>8.1621867202331014E-2</v>
      </c>
      <c r="J32" s="98">
        <f>$O32</f>
        <v>8.1621867202331014E-2</v>
      </c>
      <c r="K32" s="98">
        <f>$O32</f>
        <v>8.1621867202331014E-2</v>
      </c>
      <c r="L32" s="98">
        <f>$O32</f>
        <v>8.1621867202331014E-2</v>
      </c>
      <c r="M32" s="99"/>
      <c r="N32" s="86">
        <f t="shared" ref="N32:N37" si="0">AVERAGE(D32:G32)</f>
        <v>8.1961350680221728E-2</v>
      </c>
      <c r="O32" s="86">
        <f>GEOMEAN(D32:G32)</f>
        <v>8.1621867202331014E-2</v>
      </c>
    </row>
    <row r="33" spans="2:15" ht="15.75" customHeight="1" x14ac:dyDescent="0.25">
      <c r="B33" s="96" t="s">
        <v>179</v>
      </c>
      <c r="C33" s="97">
        <f>C22/C11</f>
        <v>0</v>
      </c>
      <c r="D33" s="97">
        <f>D22/D11</f>
        <v>0</v>
      </c>
      <c r="E33" s="97">
        <f>E22/E11</f>
        <v>0</v>
      </c>
      <c r="F33" s="97">
        <f>F22/F11</f>
        <v>0</v>
      </c>
      <c r="G33" s="97">
        <f>G22/G11</f>
        <v>0</v>
      </c>
      <c r="H33" s="98">
        <f t="shared" ref="H33:L35" si="1">$N33</f>
        <v>0</v>
      </c>
      <c r="I33" s="98">
        <f t="shared" si="1"/>
        <v>0</v>
      </c>
      <c r="J33" s="98">
        <f t="shared" si="1"/>
        <v>0</v>
      </c>
      <c r="K33" s="98">
        <f t="shared" si="1"/>
        <v>0</v>
      </c>
      <c r="L33" s="98">
        <f t="shared" si="1"/>
        <v>0</v>
      </c>
      <c r="M33" s="99"/>
      <c r="N33" s="86">
        <f t="shared" si="0"/>
        <v>0</v>
      </c>
      <c r="O33" s="86" t="str">
        <f>IFERROR(GEOMEAN(D33:G33),"n/a")</f>
        <v>n/a</v>
      </c>
    </row>
    <row r="34" spans="2:15" ht="15.75" customHeight="1" x14ac:dyDescent="0.25">
      <c r="B34" s="96" t="s">
        <v>180</v>
      </c>
      <c r="C34" s="97">
        <f>C23/C11</f>
        <v>8.3299914064737898E-2</v>
      </c>
      <c r="D34" s="97">
        <f>D23/D11</f>
        <v>4.6397088810113875E-2</v>
      </c>
      <c r="E34" s="97">
        <f>E23/E11</f>
        <v>4.5089992221238703E-2</v>
      </c>
      <c r="F34" s="97">
        <f>F23/F11</f>
        <v>3.1606712447132659E-2</v>
      </c>
      <c r="G34" s="97">
        <f>G23/G11</f>
        <v>3.656496914470269E-2</v>
      </c>
      <c r="H34" s="98">
        <f t="shared" si="1"/>
        <v>3.9914690655796982E-2</v>
      </c>
      <c r="I34" s="98">
        <f t="shared" si="1"/>
        <v>3.9914690655796982E-2</v>
      </c>
      <c r="J34" s="98">
        <f t="shared" si="1"/>
        <v>3.9914690655796982E-2</v>
      </c>
      <c r="K34" s="98">
        <f t="shared" si="1"/>
        <v>3.9914690655796982E-2</v>
      </c>
      <c r="L34" s="98">
        <f t="shared" si="1"/>
        <v>3.9914690655796982E-2</v>
      </c>
      <c r="M34" s="99"/>
      <c r="N34" s="86">
        <f t="shared" si="0"/>
        <v>3.9914690655796982E-2</v>
      </c>
      <c r="O34" s="86">
        <f>GEOMEAN(D34:G34)</f>
        <v>3.9432458700630238E-2</v>
      </c>
    </row>
    <row r="35" spans="2:15" ht="15.75" customHeight="1" x14ac:dyDescent="0.25">
      <c r="B35" s="96" t="s">
        <v>181</v>
      </c>
      <c r="C35" s="97">
        <f>C25/C11</f>
        <v>4.9269550272128329E-2</v>
      </c>
      <c r="D35" s="97">
        <f>D25/D11</f>
        <v>2.2837782727358282E-2</v>
      </c>
      <c r="E35" s="97">
        <f>E25/E11</f>
        <v>2.1190418711944423E-2</v>
      </c>
      <c r="F35" s="97">
        <f>F25/F11</f>
        <v>1.950975487743872E-2</v>
      </c>
      <c r="G35" s="97">
        <f>G25/G11</f>
        <v>1.9474402599150276E-2</v>
      </c>
      <c r="H35" s="98">
        <f t="shared" si="1"/>
        <v>2.0753089728972926E-2</v>
      </c>
      <c r="I35" s="98">
        <f t="shared" si="1"/>
        <v>2.0753089728972926E-2</v>
      </c>
      <c r="J35" s="98">
        <f t="shared" si="1"/>
        <v>2.0753089728972926E-2</v>
      </c>
      <c r="K35" s="98">
        <f t="shared" si="1"/>
        <v>2.0753089728972926E-2</v>
      </c>
      <c r="L35" s="98">
        <f t="shared" si="1"/>
        <v>2.0753089728972926E-2</v>
      </c>
      <c r="M35" s="99"/>
      <c r="N35" s="86">
        <f t="shared" si="0"/>
        <v>2.0753089728972926E-2</v>
      </c>
      <c r="O35" s="86">
        <f>GEOMEAN(D35:G35)</f>
        <v>2.0707485122835743E-2</v>
      </c>
    </row>
    <row r="36" spans="2:15" ht="15.75" customHeight="1" x14ac:dyDescent="0.25">
      <c r="B36" s="96" t="s">
        <v>182</v>
      </c>
      <c r="C36" s="97">
        <f>C26/C11</f>
        <v>0.37450587224291032</v>
      </c>
      <c r="D36" s="97">
        <f>D26/D11</f>
        <v>0.19550145873200114</v>
      </c>
      <c r="E36" s="97">
        <f>E26/E11</f>
        <v>0.17322496714143934</v>
      </c>
      <c r="F36" s="97">
        <f>F26/F11</f>
        <v>0.17483741870935468</v>
      </c>
      <c r="G36" s="97">
        <f>G26/G11</f>
        <v>0.14900897783416961</v>
      </c>
      <c r="H36" s="98">
        <f>$O36</f>
        <v>0.17234624587542355</v>
      </c>
      <c r="I36" s="98">
        <f t="shared" ref="I36:L37" si="2">$N36</f>
        <v>0.17314320560424118</v>
      </c>
      <c r="J36" s="98">
        <f t="shared" si="2"/>
        <v>0.17314320560424118</v>
      </c>
      <c r="K36" s="98">
        <f t="shared" si="2"/>
        <v>0.17314320560424118</v>
      </c>
      <c r="L36" s="98">
        <f t="shared" si="2"/>
        <v>0.17314320560424118</v>
      </c>
      <c r="M36" s="99"/>
      <c r="N36" s="86">
        <f t="shared" si="0"/>
        <v>0.17314320560424118</v>
      </c>
      <c r="O36" s="86">
        <f>GEOMEAN(D36:G36)</f>
        <v>0.17234624587542355</v>
      </c>
    </row>
    <row r="37" spans="2:15" ht="15.75" customHeight="1" x14ac:dyDescent="0.25">
      <c r="B37" s="100" t="s">
        <v>183</v>
      </c>
      <c r="C37" s="101">
        <f>C30/C11</f>
        <v>-1.7072472071039818E-2</v>
      </c>
      <c r="D37" s="101">
        <f>D30/D11</f>
        <v>-7.9053863287009436E-3</v>
      </c>
      <c r="E37" s="101">
        <f>E30/E11</f>
        <v>-5.9815992060298813E-3</v>
      </c>
      <c r="F37" s="101">
        <f>F30/F11</f>
        <v>-5.5027513756878439E-3</v>
      </c>
      <c r="G37" s="101">
        <f>G30/G11</f>
        <v>-6.459426725878078E-3</v>
      </c>
      <c r="H37" s="98">
        <f>$N37</f>
        <v>-6.4622909090741865E-3</v>
      </c>
      <c r="I37" s="98">
        <f t="shared" si="2"/>
        <v>-6.4622909090741865E-3</v>
      </c>
      <c r="J37" s="98">
        <f t="shared" si="2"/>
        <v>-6.4622909090741865E-3</v>
      </c>
      <c r="K37" s="98">
        <f t="shared" si="2"/>
        <v>-6.4622909090741865E-3</v>
      </c>
      <c r="L37" s="98">
        <f t="shared" si="2"/>
        <v>-6.4622909090741865E-3</v>
      </c>
      <c r="M37" s="99"/>
      <c r="N37" s="86">
        <f t="shared" si="0"/>
        <v>-6.4622909090741865E-3</v>
      </c>
      <c r="O37" s="86" t="str">
        <f>IFERROR(GEOMEAN(D37:G37),"n/a")</f>
        <v>n/a</v>
      </c>
    </row>
    <row r="38" spans="2:15" ht="15.75" customHeight="1" x14ac:dyDescent="0.25">
      <c r="B38" s="102" t="s">
        <v>184</v>
      </c>
      <c r="C38" s="103"/>
      <c r="D38" s="101">
        <f>((D21/C21)-1)</f>
        <v>0.13940139401394025</v>
      </c>
      <c r="E38" s="101">
        <f>((E21/D21)-1)</f>
        <v>0.22490104354084206</v>
      </c>
      <c r="F38" s="101">
        <f>((F21/E21)-1)</f>
        <v>-2.0857814336075253E-2</v>
      </c>
      <c r="G38" s="101">
        <f>((G21/F21)-1)</f>
        <v>0.14821482148214815</v>
      </c>
      <c r="H38" s="78"/>
      <c r="I38" s="78"/>
      <c r="J38" s="78"/>
      <c r="K38" s="78"/>
      <c r="L38" s="78"/>
      <c r="M38" s="64"/>
      <c r="N38" s="76"/>
      <c r="O38" s="76"/>
    </row>
    <row r="39" spans="2:15" ht="15.75" customHeight="1" x14ac:dyDescent="0.25">
      <c r="B39" s="102" t="s">
        <v>185</v>
      </c>
      <c r="C39" s="103"/>
      <c r="D39" s="101">
        <f>IFERROR((D22/C22)-1,0)</f>
        <v>0</v>
      </c>
      <c r="E39" s="101">
        <f>IFERROR((E22/D22)-1,0)</f>
        <v>0</v>
      </c>
      <c r="F39" s="101">
        <f>IFERROR((F22/E22)-1,0)</f>
        <v>0</v>
      </c>
      <c r="G39" s="101">
        <f>IFERROR((G22/F22)-1,0)</f>
        <v>0</v>
      </c>
      <c r="H39" s="78"/>
      <c r="I39" s="78"/>
      <c r="J39" s="78"/>
      <c r="K39" s="78"/>
      <c r="L39" s="78"/>
      <c r="M39" s="64"/>
      <c r="N39" s="64"/>
      <c r="O39" s="64"/>
    </row>
    <row r="40" spans="2:15" ht="15.75" customHeight="1" x14ac:dyDescent="0.25">
      <c r="B40" s="102" t="s">
        <v>186</v>
      </c>
      <c r="C40" s="103"/>
      <c r="D40" s="101">
        <f>((D23/C23)-1)</f>
        <v>1.719394773039884E-2</v>
      </c>
      <c r="E40" s="101">
        <f>((E23/D23)-1)</f>
        <v>0.13657876943881009</v>
      </c>
      <c r="F40" s="101">
        <f>((F23/E23)-1)</f>
        <v>-0.17311124330755501</v>
      </c>
      <c r="G40" s="101">
        <f>((G23/F23)-1)</f>
        <v>0.36834532374100726</v>
      </c>
      <c r="H40" s="78"/>
      <c r="I40" s="78"/>
      <c r="J40" s="78"/>
      <c r="K40" s="78"/>
      <c r="L40" s="78"/>
      <c r="M40" s="64"/>
      <c r="N40" s="64"/>
      <c r="O40" s="64"/>
    </row>
    <row r="41" spans="2:15" ht="15.75" customHeight="1" x14ac:dyDescent="0.25">
      <c r="B41" s="102" t="s">
        <v>187</v>
      </c>
      <c r="C41" s="103"/>
      <c r="D41" s="101">
        <f t="shared" ref="D41:G42" si="3">((D25/C25)-1)</f>
        <v>-0.15348837209302324</v>
      </c>
      <c r="E41" s="101">
        <f t="shared" si="3"/>
        <v>8.5164835164835084E-2</v>
      </c>
      <c r="F41" s="101">
        <f t="shared" si="3"/>
        <v>8.6075949367088622E-2</v>
      </c>
      <c r="G41" s="101">
        <f t="shared" si="3"/>
        <v>0.1806526806526807</v>
      </c>
      <c r="H41" s="78"/>
      <c r="I41" s="78"/>
      <c r="J41" s="78"/>
      <c r="K41" s="78"/>
      <c r="L41" s="78"/>
      <c r="M41" s="64"/>
      <c r="N41" s="64"/>
      <c r="O41" s="64"/>
    </row>
    <row r="42" spans="2:15" ht="15.75" customHeight="1" x14ac:dyDescent="0.25">
      <c r="B42" s="102" t="s">
        <v>188</v>
      </c>
      <c r="C42" s="103"/>
      <c r="D42" s="101">
        <f t="shared" si="3"/>
        <v>-4.6657488144408732E-2</v>
      </c>
      <c r="E42" s="101">
        <f t="shared" si="3"/>
        <v>3.6264441591784324E-2</v>
      </c>
      <c r="F42" s="101">
        <f t="shared" si="3"/>
        <v>0.1906162898730257</v>
      </c>
      <c r="G42" s="101">
        <f t="shared" si="3"/>
        <v>8.0634672909352112E-3</v>
      </c>
      <c r="H42" s="78"/>
      <c r="I42" s="78"/>
      <c r="J42" s="78"/>
      <c r="K42" s="78"/>
      <c r="L42" s="78"/>
      <c r="M42" s="64"/>
      <c r="N42" s="64"/>
      <c r="O42" s="64"/>
    </row>
    <row r="43" spans="2:15" ht="15.75" customHeight="1" x14ac:dyDescent="0.25">
      <c r="B43" s="102" t="s">
        <v>189</v>
      </c>
      <c r="C43" s="103"/>
      <c r="D43" s="101">
        <f>((D30/C30)-1)</f>
        <v>-0.15436241610738255</v>
      </c>
      <c r="E43" s="101">
        <f>((E30/D30)-1)</f>
        <v>-0.11507936507936511</v>
      </c>
      <c r="F43" s="101">
        <f>((F30/E30)-1)</f>
        <v>8.5201793721973118E-2</v>
      </c>
      <c r="G43" s="101">
        <f>((G30/F30)-1)</f>
        <v>0.38842975206611574</v>
      </c>
      <c r="H43" s="78"/>
      <c r="I43" s="78"/>
      <c r="J43" s="78"/>
      <c r="K43" s="78"/>
      <c r="L43" s="78"/>
      <c r="M43" s="64"/>
      <c r="N43" s="64"/>
      <c r="O43" s="64"/>
    </row>
    <row r="44" spans="2:15" ht="15.75" customHeight="1" x14ac:dyDescent="0.25">
      <c r="B44" s="67"/>
      <c r="C44" s="62"/>
      <c r="D44" s="62"/>
      <c r="E44" s="62"/>
      <c r="F44" s="80"/>
      <c r="G44" s="64"/>
      <c r="H44" s="64"/>
      <c r="I44" s="64"/>
      <c r="J44" s="64"/>
      <c r="K44" s="64"/>
      <c r="L44" s="64"/>
      <c r="M44" s="104"/>
      <c r="N44" s="104"/>
      <c r="O44" s="104"/>
    </row>
    <row r="45" spans="2:15" ht="18.75" customHeight="1" x14ac:dyDescent="0.3">
      <c r="B45" s="87" t="s">
        <v>190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104"/>
      <c r="N45" s="104"/>
      <c r="O45" s="104"/>
    </row>
    <row r="46" spans="2:15" ht="15.75" customHeight="1" x14ac:dyDescent="0.25">
      <c r="B46" s="105" t="s">
        <v>191</v>
      </c>
      <c r="C46" s="71"/>
      <c r="D46" s="71"/>
      <c r="E46" s="71"/>
      <c r="F46" s="71"/>
      <c r="G46" s="106"/>
      <c r="H46" s="1" t="s">
        <v>163</v>
      </c>
      <c r="I46" s="1"/>
      <c r="J46" s="1"/>
      <c r="K46" s="1"/>
      <c r="L46" s="1"/>
      <c r="M46" s="104"/>
      <c r="N46" s="104"/>
      <c r="O46" s="104"/>
    </row>
    <row r="47" spans="2:15" ht="15.75" customHeight="1" x14ac:dyDescent="0.25">
      <c r="B47" s="107"/>
      <c r="C47" s="73" t="s">
        <v>72</v>
      </c>
      <c r="D47" s="73" t="s">
        <v>73</v>
      </c>
      <c r="E47" s="73" t="s">
        <v>74</v>
      </c>
      <c r="F47" s="73" t="s">
        <v>75</v>
      </c>
      <c r="G47" s="73" t="s">
        <v>76</v>
      </c>
      <c r="H47" s="74" t="s">
        <v>77</v>
      </c>
      <c r="I47" s="74" t="s">
        <v>78</v>
      </c>
      <c r="J47" s="74" t="s">
        <v>79</v>
      </c>
      <c r="K47" s="74" t="s">
        <v>80</v>
      </c>
      <c r="L47" s="75" t="s">
        <v>81</v>
      </c>
      <c r="M47" s="104"/>
      <c r="N47" s="104"/>
      <c r="O47" s="104"/>
    </row>
    <row r="48" spans="2:15" ht="15.75" customHeight="1" x14ac:dyDescent="0.25">
      <c r="B48" s="108" t="s">
        <v>192</v>
      </c>
      <c r="C48" s="109"/>
      <c r="D48" s="109"/>
      <c r="E48" s="109"/>
      <c r="F48" s="109"/>
      <c r="G48" s="109"/>
      <c r="H48" s="110">
        <f ca="1">$F$7/2</f>
        <v>0.18219178082191781</v>
      </c>
      <c r="I48" s="110">
        <f ca="1">$F$7+0.5</f>
        <v>0.86438356164383556</v>
      </c>
      <c r="J48" s="110">
        <f ca="1">$F$7+1.5</f>
        <v>1.8643835616438356</v>
      </c>
      <c r="K48" s="110">
        <f ca="1">$F$7+2.5</f>
        <v>2.8643835616438356</v>
      </c>
      <c r="L48" s="110">
        <f ca="1">$F$7+3.5</f>
        <v>3.8643835616438356</v>
      </c>
      <c r="M48" s="104"/>
      <c r="N48" s="104"/>
      <c r="O48" s="104"/>
    </row>
    <row r="49" spans="2:15" ht="15.75" customHeight="1" x14ac:dyDescent="0.25">
      <c r="B49" s="104" t="s">
        <v>193</v>
      </c>
      <c r="C49" s="111">
        <f t="shared" ref="C49:L49" si="4">C11</f>
        <v>17455</v>
      </c>
      <c r="D49" s="111">
        <f t="shared" si="4"/>
        <v>31877</v>
      </c>
      <c r="E49" s="111">
        <f t="shared" si="4"/>
        <v>37281</v>
      </c>
      <c r="F49" s="111">
        <f t="shared" si="4"/>
        <v>43978</v>
      </c>
      <c r="G49" s="112">
        <f t="shared" si="4"/>
        <v>52017</v>
      </c>
      <c r="H49" s="112">
        <f t="shared" si="4"/>
        <v>59028.950000000004</v>
      </c>
      <c r="I49" s="112">
        <f t="shared" si="4"/>
        <v>67430.117500000008</v>
      </c>
      <c r="J49" s="112">
        <f t="shared" si="4"/>
        <v>76161.063750000001</v>
      </c>
      <c r="K49" s="112">
        <f t="shared" si="4"/>
        <v>81136.374412500008</v>
      </c>
      <c r="L49" s="112">
        <f t="shared" si="4"/>
        <v>86549.860546875017</v>
      </c>
      <c r="M49" s="104"/>
      <c r="N49" s="104"/>
      <c r="O49" s="104"/>
    </row>
    <row r="50" spans="2:15" ht="15.75" customHeight="1" x14ac:dyDescent="0.25">
      <c r="B50" s="104" t="s">
        <v>165</v>
      </c>
      <c r="C50" s="112">
        <f t="shared" ref="C50:L50" si="5">C13</f>
        <v>-3834</v>
      </c>
      <c r="D50" s="112">
        <f t="shared" si="5"/>
        <v>-1832</v>
      </c>
      <c r="E50" s="112">
        <f t="shared" si="5"/>
        <v>1110</v>
      </c>
      <c r="F50" s="112">
        <f t="shared" si="5"/>
        <v>2799</v>
      </c>
      <c r="G50" s="112">
        <f t="shared" si="5"/>
        <v>5565</v>
      </c>
      <c r="H50" s="112">
        <f t="shared" si="5"/>
        <v>7062.3071220586553</v>
      </c>
      <c r="I50" s="112">
        <f t="shared" si="5"/>
        <v>8236.0099857359091</v>
      </c>
      <c r="J50" s="112">
        <f t="shared" si="5"/>
        <v>9904.2216599639887</v>
      </c>
      <c r="K50" s="112">
        <f t="shared" si="5"/>
        <v>10754.067472270783</v>
      </c>
      <c r="L50" s="112">
        <f t="shared" si="5"/>
        <v>12337.086370836358</v>
      </c>
      <c r="M50" s="104"/>
      <c r="N50" s="104"/>
      <c r="O50" s="104"/>
    </row>
    <row r="51" spans="2:15" ht="15.75" customHeight="1" x14ac:dyDescent="0.25">
      <c r="B51" s="104" t="s">
        <v>194</v>
      </c>
      <c r="C51" s="113">
        <f>IS!C11</f>
        <v>0.49797570850202427</v>
      </c>
      <c r="D51" s="113">
        <f>IS!D11</f>
        <v>1.9414351603561086E-2</v>
      </c>
      <c r="E51" s="113">
        <f>IS!E11</f>
        <v>0.10142857142857142</v>
      </c>
      <c r="F51" s="113">
        <f>IS!F11</f>
        <v>-1.4050756466569059</v>
      </c>
      <c r="G51" s="113">
        <f>IS!G11</f>
        <v>-0.76152093919747676</v>
      </c>
      <c r="H51" s="113">
        <v>0</v>
      </c>
      <c r="I51" s="113">
        <f>H51</f>
        <v>0</v>
      </c>
      <c r="J51" s="113">
        <f>I51</f>
        <v>0</v>
      </c>
      <c r="K51" s="113">
        <f>J51</f>
        <v>0</v>
      </c>
      <c r="L51" s="113">
        <f>K51</f>
        <v>0</v>
      </c>
      <c r="M51" s="104"/>
      <c r="N51" s="76"/>
      <c r="O51" s="76"/>
    </row>
    <row r="52" spans="2:15" ht="15.75" customHeight="1" x14ac:dyDescent="0.25">
      <c r="B52" s="107" t="s">
        <v>195</v>
      </c>
      <c r="C52" s="114">
        <f t="shared" ref="C52:L52" si="6">C50*(1-C51)</f>
        <v>-1924.7611336032392</v>
      </c>
      <c r="D52" s="114">
        <f t="shared" si="6"/>
        <v>-1796.4329078622761</v>
      </c>
      <c r="E52" s="114">
        <f t="shared" si="6"/>
        <v>997.41428571428571</v>
      </c>
      <c r="F52" s="114">
        <f t="shared" si="6"/>
        <v>6731.8067349926796</v>
      </c>
      <c r="G52" s="114">
        <f t="shared" si="6"/>
        <v>9802.8640266339571</v>
      </c>
      <c r="H52" s="115">
        <f t="shared" si="6"/>
        <v>7062.3071220586553</v>
      </c>
      <c r="I52" s="115">
        <f t="shared" si="6"/>
        <v>8236.0099857359091</v>
      </c>
      <c r="J52" s="115">
        <f t="shared" si="6"/>
        <v>9904.2216599639887</v>
      </c>
      <c r="K52" s="115">
        <f t="shared" si="6"/>
        <v>10754.067472270783</v>
      </c>
      <c r="L52" s="115">
        <f t="shared" si="6"/>
        <v>12337.086370836358</v>
      </c>
      <c r="M52" s="104"/>
      <c r="N52" s="104"/>
      <c r="O52" s="104"/>
    </row>
    <row r="53" spans="2:15" ht="15.75" customHeight="1" x14ac:dyDescent="0.25">
      <c r="B53" s="116" t="s">
        <v>43</v>
      </c>
      <c r="C53" s="117">
        <f t="shared" ref="C53:L53" si="7">C15</f>
        <v>902</v>
      </c>
      <c r="D53" s="117">
        <f t="shared" si="7"/>
        <v>947</v>
      </c>
      <c r="E53" s="117">
        <f t="shared" si="7"/>
        <v>823</v>
      </c>
      <c r="F53" s="117">
        <f t="shared" si="7"/>
        <v>711</v>
      </c>
      <c r="G53" s="117">
        <f t="shared" si="7"/>
        <v>719</v>
      </c>
      <c r="H53" s="117">
        <f t="shared" si="7"/>
        <v>737.86187500000005</v>
      </c>
      <c r="I53" s="117">
        <f t="shared" si="7"/>
        <v>674.30117500000006</v>
      </c>
      <c r="J53" s="117">
        <f t="shared" si="7"/>
        <v>571.20797812499995</v>
      </c>
      <c r="K53" s="117">
        <f t="shared" si="7"/>
        <v>405.68187206250008</v>
      </c>
      <c r="L53" s="117">
        <f t="shared" si="7"/>
        <v>432.74930273437508</v>
      </c>
      <c r="M53" s="104"/>
      <c r="N53" s="104"/>
      <c r="O53" s="104"/>
    </row>
    <row r="54" spans="2:15" ht="15.75" customHeight="1" x14ac:dyDescent="0.25">
      <c r="B54" s="90" t="s">
        <v>196</v>
      </c>
      <c r="C54" s="118">
        <v>0</v>
      </c>
      <c r="D54" s="118">
        <f t="shared" ref="D54:L54" si="8">(D21-C21)*-1</f>
        <v>-340</v>
      </c>
      <c r="E54" s="118">
        <f t="shared" si="8"/>
        <v>-625</v>
      </c>
      <c r="F54" s="118">
        <f t="shared" si="8"/>
        <v>71</v>
      </c>
      <c r="G54" s="118">
        <f t="shared" si="8"/>
        <v>-494</v>
      </c>
      <c r="H54" s="118">
        <f t="shared" si="8"/>
        <v>-991.05311799303763</v>
      </c>
      <c r="I54" s="118">
        <f t="shared" si="8"/>
        <v>-685.71897802953936</v>
      </c>
      <c r="J54" s="118">
        <f t="shared" si="8"/>
        <v>-712.63613536818957</v>
      </c>
      <c r="K54" s="118">
        <f t="shared" si="8"/>
        <v>-406.09414618491701</v>
      </c>
      <c r="L54" s="118">
        <f t="shared" si="8"/>
        <v>-441.858846361617</v>
      </c>
      <c r="M54" s="104"/>
      <c r="N54" s="104"/>
      <c r="O54" s="104"/>
    </row>
    <row r="55" spans="2:15" ht="15.75" customHeight="1" x14ac:dyDescent="0.25">
      <c r="B55" s="90" t="s">
        <v>197</v>
      </c>
      <c r="C55" s="118">
        <v>0</v>
      </c>
      <c r="D55" s="118">
        <f t="shared" ref="D55:L55" si="9">(D22-C22)*-1</f>
        <v>0</v>
      </c>
      <c r="E55" s="118">
        <f t="shared" si="9"/>
        <v>0</v>
      </c>
      <c r="F55" s="118">
        <f t="shared" si="9"/>
        <v>0</v>
      </c>
      <c r="G55" s="118">
        <f t="shared" si="9"/>
        <v>0</v>
      </c>
      <c r="H55" s="118">
        <f t="shared" si="9"/>
        <v>0</v>
      </c>
      <c r="I55" s="118">
        <f t="shared" si="9"/>
        <v>0</v>
      </c>
      <c r="J55" s="118">
        <f t="shared" si="9"/>
        <v>0</v>
      </c>
      <c r="K55" s="118">
        <f t="shared" si="9"/>
        <v>0</v>
      </c>
      <c r="L55" s="118">
        <f t="shared" si="9"/>
        <v>0</v>
      </c>
      <c r="M55" s="104"/>
      <c r="N55" s="104"/>
      <c r="O55" s="104"/>
    </row>
    <row r="56" spans="2:15" ht="15.75" customHeight="1" x14ac:dyDescent="0.25">
      <c r="B56" s="90" t="s">
        <v>198</v>
      </c>
      <c r="C56" s="118">
        <v>0</v>
      </c>
      <c r="D56" s="118">
        <f t="shared" ref="D56:L56" si="10">(D23-C23)*-1</f>
        <v>-25</v>
      </c>
      <c r="E56" s="118">
        <f t="shared" si="10"/>
        <v>-202</v>
      </c>
      <c r="F56" s="118">
        <f t="shared" si="10"/>
        <v>291</v>
      </c>
      <c r="G56" s="118">
        <f t="shared" si="10"/>
        <v>-512</v>
      </c>
      <c r="H56" s="118">
        <f t="shared" si="10"/>
        <v>-454.12227898650735</v>
      </c>
      <c r="I56" s="118">
        <f t="shared" si="10"/>
        <v>-335.33000191003566</v>
      </c>
      <c r="J56" s="118">
        <f t="shared" si="10"/>
        <v>-348.4930187011405</v>
      </c>
      <c r="K56" s="118">
        <f t="shared" si="10"/>
        <v>-198.58798601017588</v>
      </c>
      <c r="L56" s="118">
        <f t="shared" si="10"/>
        <v>-216.07762442302464</v>
      </c>
      <c r="M56" s="104"/>
      <c r="N56" s="104"/>
      <c r="O56" s="104"/>
    </row>
    <row r="57" spans="2:15" ht="15.75" customHeight="1" x14ac:dyDescent="0.25">
      <c r="B57" s="90" t="s">
        <v>199</v>
      </c>
      <c r="C57" s="118">
        <v>0</v>
      </c>
      <c r="D57" s="118">
        <f t="shared" ref="D57:L57" si="11">(D25-C25)</f>
        <v>-132</v>
      </c>
      <c r="E57" s="118">
        <f t="shared" si="11"/>
        <v>62</v>
      </c>
      <c r="F57" s="118">
        <f t="shared" si="11"/>
        <v>68</v>
      </c>
      <c r="G57" s="118">
        <f t="shared" si="11"/>
        <v>155</v>
      </c>
      <c r="H57" s="118">
        <f t="shared" si="11"/>
        <v>212.0330959570565</v>
      </c>
      <c r="I57" s="118">
        <f t="shared" si="11"/>
        <v>174.35018295563123</v>
      </c>
      <c r="J57" s="118">
        <f t="shared" si="11"/>
        <v>181.19411094508951</v>
      </c>
      <c r="K57" s="118">
        <f t="shared" si="11"/>
        <v>103.2530686083785</v>
      </c>
      <c r="L57" s="118">
        <f t="shared" si="11"/>
        <v>112.34656349323518</v>
      </c>
      <c r="M57" s="104"/>
      <c r="N57" s="104"/>
      <c r="O57" s="104"/>
    </row>
    <row r="58" spans="2:15" ht="15.75" customHeight="1" x14ac:dyDescent="0.25">
      <c r="B58" s="90" t="s">
        <v>200</v>
      </c>
      <c r="C58" s="118">
        <v>0</v>
      </c>
      <c r="D58" s="118">
        <f t="shared" ref="D58:L58" si="12">(D26-C26)</f>
        <v>-305</v>
      </c>
      <c r="E58" s="118">
        <f t="shared" si="12"/>
        <v>226</v>
      </c>
      <c r="F58" s="118">
        <f t="shared" si="12"/>
        <v>1231</v>
      </c>
      <c r="G58" s="118">
        <f t="shared" si="12"/>
        <v>62</v>
      </c>
      <c r="H58" s="118">
        <f t="shared" si="12"/>
        <v>2422.4179304680838</v>
      </c>
      <c r="I58" s="118">
        <f t="shared" si="12"/>
        <v>1501.6487677525583</v>
      </c>
      <c r="J58" s="118">
        <f t="shared" si="12"/>
        <v>1511.7040216833284</v>
      </c>
      <c r="K58" s="118">
        <f t="shared" si="12"/>
        <v>861.44123698221119</v>
      </c>
      <c r="L58" s="118">
        <f t="shared" si="12"/>
        <v>937.30834279980081</v>
      </c>
      <c r="M58" s="104"/>
      <c r="N58" s="104"/>
      <c r="O58" s="104"/>
    </row>
    <row r="59" spans="2:15" ht="15.75" customHeight="1" x14ac:dyDescent="0.25">
      <c r="B59" s="116" t="s">
        <v>201</v>
      </c>
      <c r="C59" s="119">
        <f t="shared" ref="C59:L59" si="13">C30</f>
        <v>-298</v>
      </c>
      <c r="D59" s="119">
        <f t="shared" si="13"/>
        <v>-252</v>
      </c>
      <c r="E59" s="119">
        <f t="shared" si="13"/>
        <v>-223</v>
      </c>
      <c r="F59" s="119">
        <f t="shared" si="13"/>
        <v>-242</v>
      </c>
      <c r="G59" s="119">
        <f t="shared" si="13"/>
        <v>-336</v>
      </c>
      <c r="H59" s="119">
        <f t="shared" si="13"/>
        <v>-381.46224695719474</v>
      </c>
      <c r="I59" s="119">
        <f t="shared" si="13"/>
        <v>-435.75303531805423</v>
      </c>
      <c r="J59" s="119">
        <f t="shared" si="13"/>
        <v>-492.1749498970446</v>
      </c>
      <c r="K59" s="119">
        <f t="shared" si="13"/>
        <v>-524.32685476113829</v>
      </c>
      <c r="L59" s="119">
        <f t="shared" si="13"/>
        <v>-559.31037699370904</v>
      </c>
      <c r="M59" s="104"/>
      <c r="N59" s="104"/>
      <c r="O59" s="104"/>
    </row>
    <row r="60" spans="2:15" ht="15.75" customHeight="1" x14ac:dyDescent="0.25">
      <c r="B60" s="107" t="s">
        <v>202</v>
      </c>
      <c r="C60" s="120">
        <f t="shared" ref="C60:L60" si="14">SUM(C52:C59)</f>
        <v>-1320.7611336032392</v>
      </c>
      <c r="D60" s="120">
        <f t="shared" si="14"/>
        <v>-1903.4329078622761</v>
      </c>
      <c r="E60" s="120">
        <f t="shared" si="14"/>
        <v>1058.4142857142856</v>
      </c>
      <c r="F60" s="120">
        <f t="shared" si="14"/>
        <v>8861.8067349926787</v>
      </c>
      <c r="G60" s="120">
        <f t="shared" si="14"/>
        <v>9396.8640266339571</v>
      </c>
      <c r="H60" s="120">
        <f t="shared" si="14"/>
        <v>8607.9823795470566</v>
      </c>
      <c r="I60" s="120">
        <f t="shared" si="14"/>
        <v>9129.5080961864714</v>
      </c>
      <c r="J60" s="120">
        <f t="shared" si="14"/>
        <v>10615.023666751033</v>
      </c>
      <c r="K60" s="120">
        <f t="shared" si="14"/>
        <v>10995.43466296764</v>
      </c>
      <c r="L60" s="120">
        <f t="shared" si="14"/>
        <v>12602.243732085417</v>
      </c>
      <c r="M60" s="104"/>
      <c r="N60" s="121"/>
      <c r="O60" s="104"/>
    </row>
    <row r="61" spans="2:15" ht="15.75" customHeight="1" x14ac:dyDescent="0.25">
      <c r="B61" s="90" t="s">
        <v>203</v>
      </c>
      <c r="C61" s="122"/>
      <c r="D61" s="123"/>
      <c r="E61" s="123"/>
      <c r="F61" s="124"/>
      <c r="G61" s="124"/>
      <c r="H61" s="125">
        <f>$E$88</f>
        <v>9.2576705844595014E-2</v>
      </c>
      <c r="I61" s="125">
        <f>$E$88</f>
        <v>9.2576705844595014E-2</v>
      </c>
      <c r="J61" s="125">
        <f>$E$88</f>
        <v>9.2576705844595014E-2</v>
      </c>
      <c r="K61" s="125">
        <f>$E$88</f>
        <v>9.2576705844595014E-2</v>
      </c>
      <c r="L61" s="125">
        <f>$E$88</f>
        <v>9.2576705844595014E-2</v>
      </c>
      <c r="M61" s="104"/>
      <c r="N61" s="121"/>
      <c r="O61" s="104"/>
    </row>
    <row r="62" spans="2:15" ht="15.75" customHeight="1" x14ac:dyDescent="0.25">
      <c r="B62" s="90" t="s">
        <v>204</v>
      </c>
      <c r="C62" s="112"/>
      <c r="E62" s="112"/>
      <c r="F62" s="112"/>
      <c r="G62" s="112"/>
      <c r="H62" s="126">
        <f ca="1">H60/(1+H61)^H48</f>
        <v>8470.2405155974739</v>
      </c>
      <c r="I62" s="126">
        <f ca="1">I60/(1+I61)^I48</f>
        <v>8456.879760972668</v>
      </c>
      <c r="J62" s="126">
        <f ca="1">J60/(1+J61)^J48</f>
        <v>8999.7782260607728</v>
      </c>
      <c r="K62" s="126">
        <f ca="1">K60/(1+K61)^K48</f>
        <v>8532.401946461845</v>
      </c>
      <c r="L62" s="126">
        <f ca="1">L60/(1+L61)^L48</f>
        <v>8950.6554944506734</v>
      </c>
      <c r="M62" s="104"/>
      <c r="N62" s="104"/>
      <c r="O62" s="104"/>
    </row>
    <row r="63" spans="2:15" ht="15.75" customHeight="1" x14ac:dyDescent="0.25">
      <c r="B63" s="107" t="s">
        <v>205</v>
      </c>
      <c r="C63" s="115">
        <f ca="1">SUM(H62:L62)</f>
        <v>43409.955943543435</v>
      </c>
      <c r="E63" s="120"/>
      <c r="F63" s="104"/>
      <c r="G63" s="104"/>
      <c r="H63" s="125">
        <f>H60/G60-1</f>
        <v>-8.3951586917820453E-2</v>
      </c>
      <c r="I63" s="125">
        <f>I60/H60-1</f>
        <v>6.0586289985744335E-2</v>
      </c>
      <c r="J63" s="125">
        <f>J60/I60-1</f>
        <v>0.16271583911350951</v>
      </c>
      <c r="K63" s="125">
        <f>K60/J60-1</f>
        <v>3.5837037029710306E-2</v>
      </c>
      <c r="L63" s="125">
        <f>L60/K60-1</f>
        <v>0.14613420190922244</v>
      </c>
      <c r="M63" s="104"/>
      <c r="N63" s="104"/>
      <c r="O63" s="104"/>
    </row>
    <row r="64" spans="2:15" ht="15.75" customHeight="1" x14ac:dyDescent="0.25"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</row>
    <row r="65" spans="2:15" ht="18.75" customHeight="1" x14ac:dyDescent="0.3">
      <c r="B65" s="87" t="s">
        <v>206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104"/>
      <c r="N65" s="104"/>
      <c r="O65" s="104"/>
    </row>
    <row r="66" spans="2:15" ht="15.75" customHeight="1" x14ac:dyDescent="0.25">
      <c r="B66" s="127" t="s">
        <v>207</v>
      </c>
      <c r="C66" s="128"/>
      <c r="D66" s="129"/>
      <c r="E66" s="129"/>
      <c r="F66" s="130"/>
      <c r="G66" s="130"/>
      <c r="H66" s="130"/>
      <c r="I66" s="129"/>
      <c r="J66" s="130"/>
      <c r="K66" s="104"/>
      <c r="L66" s="104"/>
      <c r="M66" s="104"/>
      <c r="N66" s="104"/>
      <c r="O66" s="104"/>
    </row>
    <row r="67" spans="2:15" ht="15.75" customHeight="1" x14ac:dyDescent="0.25">
      <c r="B67" s="104" t="s">
        <v>208</v>
      </c>
      <c r="C67" s="131">
        <v>0.03</v>
      </c>
      <c r="E67" s="132"/>
      <c r="G67" s="133"/>
      <c r="H67" s="133"/>
      <c r="I67" s="133"/>
      <c r="J67" s="133"/>
      <c r="K67" s="133"/>
      <c r="L67" s="104"/>
      <c r="M67" s="104"/>
      <c r="N67" s="104"/>
      <c r="O67" s="104"/>
    </row>
    <row r="68" spans="2:15" ht="15.75" customHeight="1" x14ac:dyDescent="0.25">
      <c r="B68" s="104" t="s">
        <v>209</v>
      </c>
      <c r="C68" s="134">
        <f>E88</f>
        <v>9.2576705844595014E-2</v>
      </c>
      <c r="E68" s="135"/>
      <c r="F68" s="136"/>
      <c r="G68" s="137"/>
      <c r="H68" s="137"/>
      <c r="I68" s="137"/>
      <c r="J68" s="137"/>
      <c r="K68" s="137"/>
      <c r="L68" s="104"/>
      <c r="M68" s="104"/>
      <c r="N68" s="104"/>
      <c r="O68" s="104"/>
    </row>
    <row r="69" spans="2:15" ht="15.75" customHeight="1" x14ac:dyDescent="0.25">
      <c r="B69" s="104" t="s">
        <v>210</v>
      </c>
      <c r="C69" s="117">
        <f>L60*(1+C67)</f>
        <v>12980.31104404798</v>
      </c>
      <c r="E69" s="129"/>
      <c r="F69" s="130"/>
      <c r="G69" s="138"/>
      <c r="H69" s="138"/>
      <c r="I69" s="138"/>
      <c r="J69" s="139"/>
      <c r="K69" s="138"/>
      <c r="L69" s="104"/>
      <c r="M69" s="104"/>
      <c r="N69" s="104"/>
      <c r="O69" s="104"/>
    </row>
    <row r="70" spans="2:15" ht="15.75" customHeight="1" x14ac:dyDescent="0.25">
      <c r="B70" s="104" t="s">
        <v>206</v>
      </c>
      <c r="C70" s="117">
        <f>C69/(C68-C67)</f>
        <v>207430.39872190935</v>
      </c>
      <c r="E70" s="129"/>
      <c r="F70" s="130"/>
      <c r="G70" s="130"/>
      <c r="H70" s="130"/>
      <c r="I70" s="129"/>
      <c r="J70" s="130"/>
      <c r="K70" s="104"/>
      <c r="L70" s="104"/>
      <c r="M70" s="104"/>
      <c r="N70" s="104"/>
      <c r="O70" s="104"/>
    </row>
    <row r="71" spans="2:15" ht="15.75" customHeight="1" x14ac:dyDescent="0.25">
      <c r="B71" s="107" t="s">
        <v>211</v>
      </c>
      <c r="C71" s="140">
        <f ca="1">C70/(1+C68)^C72</f>
        <v>140946.20944229167</v>
      </c>
      <c r="E71" s="141"/>
      <c r="F71" s="130"/>
      <c r="G71" s="130"/>
      <c r="H71" s="130"/>
      <c r="I71" s="141"/>
      <c r="J71" s="130"/>
      <c r="K71" s="104"/>
      <c r="L71" s="104"/>
      <c r="M71" s="104"/>
      <c r="N71" s="104"/>
      <c r="O71" s="104"/>
    </row>
    <row r="72" spans="2:15" ht="15.75" customHeight="1" x14ac:dyDescent="0.25">
      <c r="B72" s="104" t="s">
        <v>212</v>
      </c>
      <c r="C72" s="172">
        <f ca="1">$F$7+4</f>
        <v>4.3643835616438356</v>
      </c>
      <c r="D72" s="142"/>
      <c r="E72" s="130"/>
      <c r="F72" s="130"/>
      <c r="G72" s="130"/>
      <c r="H72" s="130"/>
      <c r="I72" s="130"/>
      <c r="J72" s="130"/>
      <c r="K72" s="104"/>
      <c r="L72" s="104"/>
      <c r="M72" s="104"/>
      <c r="N72" s="104"/>
      <c r="O72" s="104"/>
    </row>
    <row r="73" spans="2:15" ht="18.75" customHeight="1" x14ac:dyDescent="0.3">
      <c r="B73" s="87" t="s">
        <v>209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104"/>
      <c r="N73" s="104"/>
      <c r="O73" s="104"/>
    </row>
    <row r="74" spans="2:15" ht="15.75" customHeight="1" x14ac:dyDescent="0.25">
      <c r="B74" s="104" t="s">
        <v>213</v>
      </c>
      <c r="C74" s="104"/>
      <c r="D74" s="104"/>
      <c r="E74" s="143">
        <f>F5</f>
        <v>78</v>
      </c>
      <c r="G74" s="104"/>
      <c r="H74" s="104"/>
      <c r="I74" s="104"/>
      <c r="J74" s="104"/>
      <c r="K74" s="104"/>
      <c r="L74" s="104"/>
      <c r="M74" s="104"/>
      <c r="N74" s="104"/>
      <c r="O74" s="104"/>
    </row>
    <row r="75" spans="2:15" ht="15.75" customHeight="1" x14ac:dyDescent="0.25">
      <c r="B75" s="104" t="s">
        <v>160</v>
      </c>
      <c r="C75" s="104"/>
      <c r="D75" s="104"/>
      <c r="E75" s="144">
        <f>F6</f>
        <v>2050.23</v>
      </c>
      <c r="G75" s="104"/>
      <c r="H75" s="104"/>
      <c r="I75" s="104"/>
      <c r="J75" s="104"/>
      <c r="K75" s="125"/>
      <c r="L75" s="104"/>
      <c r="M75" s="104"/>
      <c r="N75" s="104"/>
      <c r="O75" s="104"/>
    </row>
    <row r="76" spans="2:15" ht="15.75" customHeight="1" x14ac:dyDescent="0.25">
      <c r="B76" s="104" t="s">
        <v>214</v>
      </c>
      <c r="C76" s="104"/>
      <c r="D76" s="104"/>
      <c r="E76" s="131">
        <v>4.8000000000000001E-2</v>
      </c>
      <c r="G76" s="104"/>
      <c r="H76" s="104"/>
      <c r="I76" s="104"/>
      <c r="J76" s="104" t="s">
        <v>215</v>
      </c>
      <c r="K76" s="145">
        <v>4.2299999999999997E-2</v>
      </c>
      <c r="L76" s="104" t="s">
        <v>216</v>
      </c>
      <c r="M76" s="104"/>
      <c r="N76" s="104"/>
      <c r="O76" s="104"/>
    </row>
    <row r="77" spans="2:15" ht="15.75" customHeight="1" x14ac:dyDescent="0.25">
      <c r="B77" s="104" t="s">
        <v>217</v>
      </c>
      <c r="C77" s="104"/>
      <c r="D77" s="104"/>
      <c r="E77" s="146">
        <f>H51</f>
        <v>0</v>
      </c>
      <c r="G77" s="104"/>
      <c r="H77" s="104"/>
      <c r="I77" s="104"/>
      <c r="J77" s="104" t="s">
        <v>218</v>
      </c>
      <c r="K77" s="145">
        <v>4.6940000000000003E-2</v>
      </c>
      <c r="L77" s="104" t="s">
        <v>219</v>
      </c>
      <c r="M77" s="104"/>
      <c r="N77" s="104"/>
      <c r="O77" s="104"/>
    </row>
    <row r="78" spans="2:15" ht="15.75" customHeight="1" x14ac:dyDescent="0.25">
      <c r="B78" s="104" t="s">
        <v>220</v>
      </c>
      <c r="C78" s="104"/>
      <c r="D78" s="104"/>
      <c r="E78" s="147">
        <f>E76*(1-E77)</f>
        <v>4.8000000000000001E-2</v>
      </c>
      <c r="G78" s="104"/>
      <c r="H78" s="104"/>
      <c r="I78" s="104"/>
      <c r="J78" s="104" t="s">
        <v>221</v>
      </c>
      <c r="K78" s="148">
        <v>1.1499999999999999</v>
      </c>
      <c r="L78" s="104" t="s">
        <v>222</v>
      </c>
      <c r="M78" s="104"/>
      <c r="N78" s="104"/>
      <c r="O78" s="104"/>
    </row>
    <row r="79" spans="2:15" ht="15.75" customHeight="1" x14ac:dyDescent="0.25">
      <c r="B79" s="104" t="s">
        <v>223</v>
      </c>
      <c r="C79" s="104"/>
      <c r="D79" s="104"/>
      <c r="E79" s="131">
        <f>K80</f>
        <v>9.5585000000000003E-2</v>
      </c>
      <c r="G79" s="104"/>
      <c r="H79" s="104"/>
      <c r="I79" s="104"/>
      <c r="J79" s="104"/>
      <c r="K79" s="104"/>
      <c r="L79" s="104"/>
      <c r="M79" s="104"/>
      <c r="N79" s="104"/>
      <c r="O79" s="104"/>
    </row>
    <row r="80" spans="2:15" ht="15.75" customHeight="1" x14ac:dyDescent="0.25">
      <c r="B80" s="104"/>
      <c r="C80" s="142"/>
      <c r="D80" s="104"/>
      <c r="E80" s="104"/>
      <c r="G80" s="104"/>
      <c r="H80" s="104"/>
      <c r="I80" s="104"/>
      <c r="J80" s="104" t="s">
        <v>224</v>
      </c>
      <c r="K80" s="125">
        <f>K77+K78*(K76)</f>
        <v>9.5585000000000003E-2</v>
      </c>
      <c r="L80" s="104"/>
      <c r="M80" s="104"/>
      <c r="N80" s="104"/>
      <c r="O80" s="104"/>
    </row>
    <row r="81" spans="2:15" ht="15.75" customHeight="1" x14ac:dyDescent="0.25">
      <c r="B81" s="104" t="s">
        <v>225</v>
      </c>
      <c r="C81" s="104"/>
      <c r="D81" s="104"/>
      <c r="E81" s="149">
        <f>Main!C7</f>
        <v>10521</v>
      </c>
      <c r="G81" s="104"/>
      <c r="H81" s="104"/>
      <c r="I81" s="104"/>
      <c r="J81" s="150" t="s">
        <v>226</v>
      </c>
      <c r="K81" s="104"/>
      <c r="L81" s="104"/>
      <c r="M81" s="104"/>
      <c r="N81" s="104"/>
      <c r="O81" s="104"/>
    </row>
    <row r="82" spans="2:15" ht="15.75" customHeight="1" x14ac:dyDescent="0.25">
      <c r="B82" s="104" t="s">
        <v>227</v>
      </c>
      <c r="C82" s="104"/>
      <c r="D82" s="104"/>
      <c r="E82" s="149">
        <f>Main!C5</f>
        <v>155899.48920000001</v>
      </c>
      <c r="G82" s="104"/>
      <c r="H82" s="104"/>
      <c r="I82" s="104"/>
      <c r="J82" s="104"/>
      <c r="K82" s="104"/>
      <c r="L82" s="104"/>
      <c r="M82" s="104"/>
      <c r="N82" s="104"/>
      <c r="O82" s="104"/>
    </row>
    <row r="83" spans="2:15" ht="15.75" customHeight="1" x14ac:dyDescent="0.25">
      <c r="B83" s="151" t="s">
        <v>228</v>
      </c>
      <c r="C83" s="104"/>
      <c r="D83" s="104"/>
      <c r="E83" s="115">
        <f>SUM(E81:E82)</f>
        <v>166420.48920000001</v>
      </c>
      <c r="G83" s="104"/>
      <c r="H83" s="104"/>
      <c r="I83" s="104"/>
      <c r="J83" s="104"/>
      <c r="K83" s="104"/>
      <c r="L83" s="104"/>
      <c r="M83" s="104"/>
      <c r="N83" s="104"/>
      <c r="O83" s="104"/>
    </row>
    <row r="84" spans="2:15" ht="15.75" customHeight="1" x14ac:dyDescent="0.25">
      <c r="B84" s="151"/>
      <c r="C84" s="104"/>
      <c r="D84" s="104"/>
      <c r="E84" s="152"/>
      <c r="G84" s="104"/>
      <c r="H84" s="104"/>
      <c r="I84" s="104"/>
      <c r="J84" s="104"/>
      <c r="K84" s="104"/>
      <c r="L84" s="104"/>
      <c r="M84" s="104"/>
      <c r="N84" s="104"/>
      <c r="O84" s="104"/>
    </row>
    <row r="85" spans="2:15" ht="15.75" customHeight="1" x14ac:dyDescent="0.25">
      <c r="B85" s="104" t="s">
        <v>229</v>
      </c>
      <c r="C85" s="104"/>
      <c r="D85" s="104"/>
      <c r="E85" s="153">
        <f>E81/E83</f>
        <v>6.321937911957537E-2</v>
      </c>
      <c r="G85" s="104"/>
      <c r="H85" s="104"/>
      <c r="I85" s="104"/>
      <c r="J85" s="104"/>
      <c r="K85" s="104"/>
      <c r="L85" s="104"/>
      <c r="M85" s="104"/>
      <c r="N85" s="104"/>
      <c r="O85" s="104"/>
    </row>
    <row r="86" spans="2:15" ht="15.75" customHeight="1" x14ac:dyDescent="0.25">
      <c r="B86" s="104" t="s">
        <v>230</v>
      </c>
      <c r="C86" s="104"/>
      <c r="D86" s="104"/>
      <c r="E86" s="153">
        <f>E82/E83</f>
        <v>0.93678062088042457</v>
      </c>
      <c r="G86" s="104"/>
      <c r="H86" s="104"/>
      <c r="I86" s="104"/>
      <c r="J86" s="104"/>
      <c r="K86" s="104"/>
      <c r="L86" s="104"/>
      <c r="M86" s="104"/>
      <c r="N86" s="104"/>
      <c r="O86" s="104"/>
    </row>
    <row r="87" spans="2:15" ht="15.75" customHeight="1" x14ac:dyDescent="0.25">
      <c r="B87" s="151"/>
      <c r="C87" s="104"/>
      <c r="D87" s="104"/>
      <c r="E87" s="152"/>
      <c r="G87" s="104"/>
      <c r="H87" s="104"/>
      <c r="I87" s="104"/>
      <c r="J87" s="104"/>
      <c r="K87" s="104"/>
      <c r="L87" s="104"/>
      <c r="M87" s="104"/>
      <c r="N87" s="104"/>
      <c r="O87" s="104"/>
    </row>
    <row r="88" spans="2:15" ht="15.75" customHeight="1" x14ac:dyDescent="0.25">
      <c r="B88" s="107" t="s">
        <v>231</v>
      </c>
      <c r="C88" s="107"/>
      <c r="D88" s="107"/>
      <c r="E88" s="154">
        <f>E85*E78+E86*E79</f>
        <v>9.2576705844595014E-2</v>
      </c>
      <c r="G88" s="104"/>
      <c r="H88" s="104"/>
      <c r="I88" s="104"/>
      <c r="J88" s="104"/>
      <c r="K88" s="104"/>
      <c r="L88" s="104"/>
      <c r="M88" s="104"/>
      <c r="N88" s="104"/>
      <c r="O88" s="104"/>
    </row>
    <row r="89" spans="2:15" ht="15.75" customHeight="1" x14ac:dyDescent="0.25">
      <c r="B89" s="104"/>
      <c r="C89" s="142"/>
      <c r="D89" s="142"/>
      <c r="E89" s="142"/>
      <c r="F89" s="104"/>
      <c r="G89" s="104"/>
      <c r="H89" s="104"/>
      <c r="I89" s="104"/>
      <c r="J89" s="104"/>
      <c r="K89" s="104"/>
      <c r="L89" s="104"/>
      <c r="M89" s="104"/>
      <c r="N89" s="104"/>
      <c r="O89" s="104"/>
    </row>
    <row r="90" spans="2:15" ht="18.75" customHeight="1" x14ac:dyDescent="0.3">
      <c r="B90" s="87" t="s">
        <v>232</v>
      </c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104"/>
      <c r="N90" s="104"/>
      <c r="O90" s="104"/>
    </row>
    <row r="91" spans="2:15" ht="15.75" customHeight="1" x14ac:dyDescent="0.25">
      <c r="B91" s="104" t="s">
        <v>233</v>
      </c>
      <c r="C91" s="155"/>
      <c r="D91" s="155"/>
      <c r="E91" s="155"/>
      <c r="F91" s="112">
        <f ca="1">C71+C63</f>
        <v>184356.16538583511</v>
      </c>
      <c r="G91" s="104"/>
      <c r="H91" s="104"/>
      <c r="I91" s="104"/>
      <c r="J91" s="104"/>
      <c r="K91" s="104"/>
      <c r="L91" s="104"/>
      <c r="M91" s="104"/>
      <c r="N91" s="104"/>
      <c r="O91" s="104"/>
    </row>
    <row r="92" spans="2:15" ht="15.75" customHeight="1" x14ac:dyDescent="0.25">
      <c r="B92" s="104" t="s">
        <v>234</v>
      </c>
      <c r="C92" s="156"/>
      <c r="D92" s="156"/>
      <c r="E92" s="156"/>
      <c r="F92" s="157">
        <f>K93-K94</f>
        <v>3416</v>
      </c>
      <c r="G92" s="90" t="s">
        <v>235</v>
      </c>
      <c r="H92" s="155"/>
      <c r="I92" s="104"/>
      <c r="M92" s="104"/>
      <c r="N92" s="104"/>
      <c r="O92" s="104"/>
    </row>
    <row r="93" spans="2:15" ht="15.75" customHeight="1" x14ac:dyDescent="0.25">
      <c r="B93" s="107" t="s">
        <v>236</v>
      </c>
      <c r="C93" s="104"/>
      <c r="D93" s="104"/>
      <c r="E93" s="104"/>
      <c r="F93" s="115">
        <f ca="1">F91-F92</f>
        <v>180940.16538583511</v>
      </c>
      <c r="G93" s="90"/>
      <c r="H93" s="156"/>
      <c r="I93" s="104"/>
      <c r="J93" s="104" t="s">
        <v>6</v>
      </c>
      <c r="K93" s="158">
        <f>Main!C7</f>
        <v>10521</v>
      </c>
      <c r="L93" s="104"/>
      <c r="M93" s="104"/>
      <c r="N93" s="104"/>
      <c r="O93" s="104"/>
    </row>
    <row r="94" spans="2:15" ht="15.75" customHeight="1" x14ac:dyDescent="0.25">
      <c r="B94" s="104" t="s">
        <v>160</v>
      </c>
      <c r="C94" s="104"/>
      <c r="D94" s="104"/>
      <c r="E94" s="104"/>
      <c r="F94" s="159">
        <f>F6</f>
        <v>2050.23</v>
      </c>
      <c r="G94" s="151"/>
      <c r="H94" s="160"/>
      <c r="I94" s="104"/>
      <c r="J94" s="104" t="s">
        <v>5</v>
      </c>
      <c r="K94" s="158">
        <f>Main!C6</f>
        <v>7105</v>
      </c>
      <c r="L94" s="104"/>
      <c r="M94" s="104"/>
      <c r="N94" s="104"/>
      <c r="O94" s="104"/>
    </row>
    <row r="95" spans="2:15" ht="15.75" customHeight="1" x14ac:dyDescent="0.25">
      <c r="B95" s="161" t="s">
        <v>237</v>
      </c>
      <c r="C95" s="109"/>
      <c r="D95" s="109"/>
      <c r="E95" s="109"/>
      <c r="F95" s="162">
        <f ca="1">F93/F94</f>
        <v>88.253593687457069</v>
      </c>
      <c r="G95" s="163"/>
      <c r="H95" s="164"/>
      <c r="I95" s="104"/>
      <c r="J95" s="104"/>
      <c r="K95" s="104"/>
      <c r="L95" s="104"/>
      <c r="M95" s="104"/>
      <c r="N95" s="104"/>
      <c r="O95" s="104"/>
    </row>
    <row r="96" spans="2:15" ht="15.75" customHeight="1" x14ac:dyDescent="0.25">
      <c r="B96" s="104"/>
      <c r="C96" s="104"/>
      <c r="D96" s="104"/>
      <c r="E96" s="104" t="s">
        <v>238</v>
      </c>
      <c r="F96" s="165">
        <f ca="1">F95/F5-1</f>
        <v>0.13145632932637263</v>
      </c>
      <c r="G96" s="151"/>
      <c r="O96" s="104"/>
    </row>
    <row r="97" spans="2:15" ht="15.75" customHeight="1" x14ac:dyDescent="0.25">
      <c r="B97" s="104"/>
      <c r="C97" s="142"/>
      <c r="D97" s="142"/>
      <c r="E97" s="142"/>
      <c r="F97" s="142"/>
      <c r="G97" s="142"/>
      <c r="O97" s="142"/>
    </row>
    <row r="98" spans="2:15" ht="15.75" customHeight="1" x14ac:dyDescent="0.25">
      <c r="B98" s="104"/>
      <c r="C98" s="166"/>
    </row>
    <row r="99" spans="2:15" ht="15.75" customHeight="1" x14ac:dyDescent="0.25">
      <c r="B99" s="104"/>
      <c r="C99" s="166"/>
      <c r="E99" s="166"/>
    </row>
    <row r="100" spans="2:15" ht="15.75" customHeight="1" x14ac:dyDescent="0.25">
      <c r="B100" s="167"/>
      <c r="C100" s="166"/>
    </row>
    <row r="101" spans="2:15" ht="15.75" customHeight="1" x14ac:dyDescent="0.25">
      <c r="B101" s="167"/>
      <c r="C101" s="104"/>
    </row>
    <row r="102" spans="2:15" ht="15.75" customHeight="1" x14ac:dyDescent="0.25">
      <c r="B102" s="167"/>
    </row>
    <row r="103" spans="2:15" ht="15.75" customHeight="1" x14ac:dyDescent="0.25">
      <c r="B103" s="167"/>
    </row>
    <row r="104" spans="2:15" ht="15.75" customHeight="1" x14ac:dyDescent="0.25">
      <c r="B104" s="167"/>
      <c r="O104" s="168" t="s">
        <v>239</v>
      </c>
    </row>
    <row r="105" spans="2:15" ht="15.75" customHeight="1" x14ac:dyDescent="0.25">
      <c r="B105" s="167"/>
    </row>
    <row r="106" spans="2:15" ht="15.75" customHeight="1" x14ac:dyDescent="0.25">
      <c r="B106" s="167"/>
    </row>
    <row r="107" spans="2:15" ht="15.75" customHeight="1" x14ac:dyDescent="0.25">
      <c r="B107" s="167"/>
    </row>
    <row r="116" spans="2:7" ht="15.75" customHeight="1" x14ac:dyDescent="0.25">
      <c r="C116" s="167"/>
      <c r="D116" s="167"/>
      <c r="E116" s="167"/>
      <c r="F116" s="167"/>
      <c r="G116" s="167"/>
    </row>
    <row r="117" spans="2:7" ht="15.75" customHeight="1" x14ac:dyDescent="0.25">
      <c r="B117" s="167"/>
      <c r="C117" s="167"/>
      <c r="D117" s="167"/>
      <c r="E117" s="167"/>
      <c r="F117" s="167"/>
      <c r="G117" s="167"/>
    </row>
    <row r="118" spans="2:7" ht="15.75" customHeight="1" x14ac:dyDescent="0.25">
      <c r="C118" s="169"/>
      <c r="D118" s="169"/>
      <c r="E118" s="169"/>
      <c r="F118" s="169"/>
      <c r="G118" s="169"/>
    </row>
    <row r="120" spans="2:7" ht="15.75" customHeight="1" x14ac:dyDescent="0.25"/>
    <row r="121" spans="2:7" ht="15.75" customHeight="1" x14ac:dyDescent="0.25"/>
    <row r="129" spans="2:12" ht="15.75" customHeight="1" x14ac:dyDescent="0.25"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</row>
    <row r="130" spans="2:12" ht="15.75" customHeight="1" x14ac:dyDescent="0.25">
      <c r="B130" s="167"/>
      <c r="C130" s="170"/>
      <c r="D130" s="170"/>
      <c r="E130" s="170"/>
      <c r="F130" s="170"/>
      <c r="G130" s="170"/>
      <c r="H130" s="171"/>
      <c r="I130" s="171"/>
      <c r="J130" s="171"/>
      <c r="K130" s="171"/>
      <c r="L130" s="171"/>
    </row>
  </sheetData>
  <mergeCells count="3">
    <mergeCell ref="H9:L9"/>
    <mergeCell ref="H19:L19"/>
    <mergeCell ref="H46:L4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10QIS</vt:lpstr>
      <vt:lpstr>IS</vt:lpstr>
      <vt:lpstr>BS</vt:lpstr>
      <vt:lpstr>CFS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 Heier</cp:lastModifiedBy>
  <cp:revision>0</cp:revision>
  <dcterms:created xsi:type="dcterms:W3CDTF">2026-05-18T21:29:55Z</dcterms:created>
  <dcterms:modified xsi:type="dcterms:W3CDTF">2026-08-20T20:08:40Z</dcterms:modified>
  <dc:language>en-US</dc:language>
</cp:coreProperties>
</file>
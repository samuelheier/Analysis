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U:\Models\"/>
    </mc:Choice>
  </mc:AlternateContent>
  <xr:revisionPtr revIDLastSave="0" documentId="8_{8166AC65-C9C2-4F06-9007-B36E76C2D2E2}" xr6:coauthVersionLast="47" xr6:coauthVersionMax="47" xr10:uidLastSave="{00000000-0000-0000-0000-000000000000}"/>
  <bookViews>
    <workbookView xWindow="-28920" yWindow="-120" windowWidth="29040" windowHeight="15720" tabRatio="500" activeTab="2" xr2:uid="{00000000-000D-0000-FFFF-FFFF00000000}"/>
  </bookViews>
  <sheets>
    <sheet name="Quarterly Financials" sheetId="7" r:id="rId1"/>
    <sheet name="Assumptions" sheetId="1" r:id="rId2"/>
    <sheet name="DCF NPV" sheetId="2" r:id="rId3"/>
    <sheet name="Liquidation" sheetId="3" r:id="rId4"/>
    <sheet name="Market Multiples" sheetId="4" r:id="rId5"/>
    <sheet name="Summary" sheetId="5" r:id="rId6"/>
    <sheet name="Qtr Source Data" sheetId="6"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7" i="7" l="1"/>
  <c r="M117" i="7"/>
  <c r="L117" i="7"/>
  <c r="K117" i="7"/>
  <c r="O117" i="7" s="1"/>
  <c r="J117" i="7"/>
  <c r="I117" i="7"/>
  <c r="H117" i="7"/>
  <c r="G117" i="7"/>
  <c r="F117" i="7"/>
  <c r="E117" i="7"/>
  <c r="D117" i="7"/>
  <c r="C117" i="7"/>
  <c r="N114" i="7"/>
  <c r="M114" i="7"/>
  <c r="L114" i="7"/>
  <c r="K114" i="7"/>
  <c r="O114" i="7" s="1"/>
  <c r="J114" i="7"/>
  <c r="I114" i="7"/>
  <c r="H114" i="7"/>
  <c r="G114" i="7"/>
  <c r="F114" i="7"/>
  <c r="E114" i="7"/>
  <c r="D114" i="7"/>
  <c r="C114" i="7"/>
  <c r="N113" i="7"/>
  <c r="M113" i="7"/>
  <c r="L113" i="7"/>
  <c r="K113" i="7"/>
  <c r="O113" i="7" s="1"/>
  <c r="J113" i="7"/>
  <c r="I113" i="7"/>
  <c r="H113" i="7"/>
  <c r="G113" i="7"/>
  <c r="F113" i="7"/>
  <c r="E113" i="7"/>
  <c r="D113" i="7"/>
  <c r="C113" i="7"/>
  <c r="N112" i="7"/>
  <c r="M112" i="7"/>
  <c r="L112" i="7"/>
  <c r="K112" i="7"/>
  <c r="O112" i="7" s="1"/>
  <c r="J112" i="7"/>
  <c r="I112" i="7"/>
  <c r="H112" i="7"/>
  <c r="G112" i="7"/>
  <c r="F112" i="7"/>
  <c r="E112" i="7"/>
  <c r="D112" i="7"/>
  <c r="C112" i="7"/>
  <c r="N111" i="7"/>
  <c r="M111" i="7"/>
  <c r="L111" i="7"/>
  <c r="K111" i="7"/>
  <c r="O111" i="7" s="1"/>
  <c r="J111" i="7"/>
  <c r="I111" i="7"/>
  <c r="H111" i="7"/>
  <c r="G111" i="7"/>
  <c r="F111" i="7"/>
  <c r="E111" i="7"/>
  <c r="D111" i="7"/>
  <c r="C111" i="7"/>
  <c r="N110" i="7"/>
  <c r="M110" i="7"/>
  <c r="L110" i="7"/>
  <c r="K110" i="7"/>
  <c r="O110" i="7" s="1"/>
  <c r="J110" i="7"/>
  <c r="I110" i="7"/>
  <c r="H110" i="7"/>
  <c r="G110" i="7"/>
  <c r="F110" i="7"/>
  <c r="E110" i="7"/>
  <c r="D110" i="7"/>
  <c r="C110" i="7"/>
  <c r="N109" i="7"/>
  <c r="N115" i="7" s="1"/>
  <c r="M109" i="7"/>
  <c r="M115" i="7" s="1"/>
  <c r="L109" i="7"/>
  <c r="L115" i="7" s="1"/>
  <c r="K109" i="7"/>
  <c r="J109" i="7"/>
  <c r="J115" i="7" s="1"/>
  <c r="I109" i="7"/>
  <c r="I115" i="7" s="1"/>
  <c r="H109" i="7"/>
  <c r="H115" i="7" s="1"/>
  <c r="G109" i="7"/>
  <c r="G115" i="7" s="1"/>
  <c r="F109" i="7"/>
  <c r="F115" i="7" s="1"/>
  <c r="E109" i="7"/>
  <c r="E115" i="7" s="1"/>
  <c r="D109" i="7"/>
  <c r="D115" i="7" s="1"/>
  <c r="C109" i="7"/>
  <c r="C115" i="7" s="1"/>
  <c r="N105" i="7"/>
  <c r="M105" i="7"/>
  <c r="L105" i="7"/>
  <c r="K105" i="7"/>
  <c r="O105" i="7" s="1"/>
  <c r="J105" i="7"/>
  <c r="I105" i="7"/>
  <c r="H105" i="7"/>
  <c r="G105" i="7"/>
  <c r="F105" i="7"/>
  <c r="E105" i="7"/>
  <c r="D105" i="7"/>
  <c r="C105" i="7"/>
  <c r="N104" i="7"/>
  <c r="M104" i="7"/>
  <c r="L104" i="7"/>
  <c r="K104" i="7"/>
  <c r="O104" i="7" s="1"/>
  <c r="J104" i="7"/>
  <c r="I104" i="7"/>
  <c r="H104" i="7"/>
  <c r="G104" i="7"/>
  <c r="F104" i="7"/>
  <c r="E104" i="7"/>
  <c r="D104" i="7"/>
  <c r="C104" i="7"/>
  <c r="N103" i="7"/>
  <c r="M103" i="7"/>
  <c r="L103" i="7"/>
  <c r="K103" i="7"/>
  <c r="O103" i="7" s="1"/>
  <c r="J103" i="7"/>
  <c r="I103" i="7"/>
  <c r="H103" i="7"/>
  <c r="G103" i="7"/>
  <c r="F103" i="7"/>
  <c r="E103" i="7"/>
  <c r="D103" i="7"/>
  <c r="C103" i="7"/>
  <c r="N102" i="7"/>
  <c r="M102" i="7"/>
  <c r="L102" i="7"/>
  <c r="K102" i="7"/>
  <c r="O102" i="7" s="1"/>
  <c r="J102" i="7"/>
  <c r="I102" i="7"/>
  <c r="H102" i="7"/>
  <c r="G102" i="7"/>
  <c r="F102" i="7"/>
  <c r="E102" i="7"/>
  <c r="D102" i="7"/>
  <c r="C102" i="7"/>
  <c r="N101" i="7"/>
  <c r="M101" i="7"/>
  <c r="L101" i="7"/>
  <c r="K101" i="7"/>
  <c r="O101" i="7" s="1"/>
  <c r="J101" i="7"/>
  <c r="I101" i="7"/>
  <c r="H101" i="7"/>
  <c r="G101" i="7"/>
  <c r="F101" i="7"/>
  <c r="E101" i="7"/>
  <c r="D101" i="7"/>
  <c r="C101" i="7"/>
  <c r="N100" i="7"/>
  <c r="M100" i="7"/>
  <c r="L100" i="7"/>
  <c r="K100" i="7"/>
  <c r="O100" i="7" s="1"/>
  <c r="J100" i="7"/>
  <c r="I100" i="7"/>
  <c r="H100" i="7"/>
  <c r="G100" i="7"/>
  <c r="F100" i="7"/>
  <c r="E100" i="7"/>
  <c r="D100" i="7"/>
  <c r="C100" i="7"/>
  <c r="N99" i="7"/>
  <c r="N106" i="7" s="1"/>
  <c r="M99" i="7"/>
  <c r="M106" i="7" s="1"/>
  <c r="L99" i="7"/>
  <c r="L106" i="7" s="1"/>
  <c r="K99" i="7"/>
  <c r="J99" i="7"/>
  <c r="J106" i="7" s="1"/>
  <c r="I99" i="7"/>
  <c r="I106" i="7" s="1"/>
  <c r="H99" i="7"/>
  <c r="H106" i="7" s="1"/>
  <c r="G99" i="7"/>
  <c r="G106" i="7" s="1"/>
  <c r="F99" i="7"/>
  <c r="F106" i="7" s="1"/>
  <c r="E99" i="7"/>
  <c r="E106" i="7" s="1"/>
  <c r="D99" i="7"/>
  <c r="D106" i="7" s="1"/>
  <c r="C99" i="7"/>
  <c r="C106" i="7" s="1"/>
  <c r="N95" i="7"/>
  <c r="M95" i="7"/>
  <c r="L95" i="7"/>
  <c r="K95" i="7"/>
  <c r="O95" i="7" s="1"/>
  <c r="J95" i="7"/>
  <c r="I95" i="7"/>
  <c r="H95" i="7"/>
  <c r="G95" i="7"/>
  <c r="F95" i="7"/>
  <c r="E95" i="7"/>
  <c r="D95" i="7"/>
  <c r="C95" i="7"/>
  <c r="N94" i="7"/>
  <c r="M94" i="7"/>
  <c r="L94" i="7"/>
  <c r="K94" i="7"/>
  <c r="O94" i="7" s="1"/>
  <c r="J94" i="7"/>
  <c r="I94" i="7"/>
  <c r="H94" i="7"/>
  <c r="G94" i="7"/>
  <c r="F94" i="7"/>
  <c r="E94" i="7"/>
  <c r="D94" i="7"/>
  <c r="C94" i="7"/>
  <c r="N93" i="7"/>
  <c r="M93" i="7"/>
  <c r="L93" i="7"/>
  <c r="K93" i="7"/>
  <c r="O93" i="7" s="1"/>
  <c r="J93" i="7"/>
  <c r="I93" i="7"/>
  <c r="H93" i="7"/>
  <c r="G93" i="7"/>
  <c r="F93" i="7"/>
  <c r="E93" i="7"/>
  <c r="D93" i="7"/>
  <c r="C93" i="7"/>
  <c r="N92" i="7"/>
  <c r="M92" i="7"/>
  <c r="L92" i="7"/>
  <c r="K92" i="7"/>
  <c r="O92" i="7" s="1"/>
  <c r="J92" i="7"/>
  <c r="I92" i="7"/>
  <c r="H92" i="7"/>
  <c r="G92" i="7"/>
  <c r="F92" i="7"/>
  <c r="E92" i="7"/>
  <c r="D92" i="7"/>
  <c r="C92" i="7"/>
  <c r="N91" i="7"/>
  <c r="M91" i="7"/>
  <c r="L91" i="7"/>
  <c r="K91" i="7"/>
  <c r="O91" i="7" s="1"/>
  <c r="J91" i="7"/>
  <c r="I91" i="7"/>
  <c r="H91" i="7"/>
  <c r="G91" i="7"/>
  <c r="F91" i="7"/>
  <c r="E91" i="7"/>
  <c r="D91" i="7"/>
  <c r="C91" i="7"/>
  <c r="N90" i="7"/>
  <c r="M90" i="7"/>
  <c r="L90" i="7"/>
  <c r="K90" i="7"/>
  <c r="O90" i="7" s="1"/>
  <c r="J90" i="7"/>
  <c r="I90" i="7"/>
  <c r="H90" i="7"/>
  <c r="G90" i="7"/>
  <c r="F90" i="7"/>
  <c r="E90" i="7"/>
  <c r="D90" i="7"/>
  <c r="C90" i="7"/>
  <c r="N89" i="7"/>
  <c r="M89" i="7"/>
  <c r="L89" i="7"/>
  <c r="K89" i="7"/>
  <c r="O89" i="7" s="1"/>
  <c r="J89" i="7"/>
  <c r="I89" i="7"/>
  <c r="H89" i="7"/>
  <c r="G89" i="7"/>
  <c r="F89" i="7"/>
  <c r="E89" i="7"/>
  <c r="D89" i="7"/>
  <c r="C89" i="7"/>
  <c r="N88" i="7"/>
  <c r="M88" i="7"/>
  <c r="L88" i="7"/>
  <c r="K88" i="7"/>
  <c r="O88" i="7" s="1"/>
  <c r="J88" i="7"/>
  <c r="I88" i="7"/>
  <c r="H88" i="7"/>
  <c r="G88" i="7"/>
  <c r="F88" i="7"/>
  <c r="E88" i="7"/>
  <c r="D88" i="7"/>
  <c r="C88" i="7"/>
  <c r="N87" i="7"/>
  <c r="M87" i="7"/>
  <c r="L87" i="7"/>
  <c r="K87" i="7"/>
  <c r="O87" i="7" s="1"/>
  <c r="J87" i="7"/>
  <c r="I87" i="7"/>
  <c r="H87" i="7"/>
  <c r="G87" i="7"/>
  <c r="F87" i="7"/>
  <c r="E87" i="7"/>
  <c r="D87" i="7"/>
  <c r="C87" i="7"/>
  <c r="N86" i="7"/>
  <c r="M86" i="7"/>
  <c r="L86" i="7"/>
  <c r="K86" i="7"/>
  <c r="O86" i="7" s="1"/>
  <c r="J86" i="7"/>
  <c r="I86" i="7"/>
  <c r="H86" i="7"/>
  <c r="G86" i="7"/>
  <c r="F86" i="7"/>
  <c r="E86" i="7"/>
  <c r="D86" i="7"/>
  <c r="C86" i="7"/>
  <c r="N85" i="7"/>
  <c r="M85" i="7"/>
  <c r="L85" i="7"/>
  <c r="K85" i="7"/>
  <c r="O85" i="7" s="1"/>
  <c r="J85" i="7"/>
  <c r="I85" i="7"/>
  <c r="H85" i="7"/>
  <c r="G85" i="7"/>
  <c r="F85" i="7"/>
  <c r="E85" i="7"/>
  <c r="D85" i="7"/>
  <c r="C85" i="7"/>
  <c r="N84" i="7"/>
  <c r="M84" i="7"/>
  <c r="L84" i="7"/>
  <c r="K84" i="7"/>
  <c r="O84" i="7" s="1"/>
  <c r="J84" i="7"/>
  <c r="I84" i="7"/>
  <c r="H84" i="7"/>
  <c r="G84" i="7"/>
  <c r="F84" i="7"/>
  <c r="E84" i="7"/>
  <c r="D84" i="7"/>
  <c r="C84" i="7"/>
  <c r="N83" i="7"/>
  <c r="M83" i="7"/>
  <c r="L83" i="7"/>
  <c r="K83" i="7"/>
  <c r="O83" i="7" s="1"/>
  <c r="J83" i="7"/>
  <c r="I83" i="7"/>
  <c r="H83" i="7"/>
  <c r="G83" i="7"/>
  <c r="F83" i="7"/>
  <c r="E83" i="7"/>
  <c r="D83" i="7"/>
  <c r="C83" i="7"/>
  <c r="N82" i="7"/>
  <c r="M82" i="7"/>
  <c r="L82" i="7"/>
  <c r="K82" i="7"/>
  <c r="O82" i="7" s="1"/>
  <c r="J82" i="7"/>
  <c r="I82" i="7"/>
  <c r="H82" i="7"/>
  <c r="G82" i="7"/>
  <c r="F82" i="7"/>
  <c r="E82" i="7"/>
  <c r="D82" i="7"/>
  <c r="C82" i="7"/>
  <c r="N81" i="7"/>
  <c r="M81" i="7"/>
  <c r="L81" i="7"/>
  <c r="K81" i="7"/>
  <c r="O81" i="7" s="1"/>
  <c r="J81" i="7"/>
  <c r="I81" i="7"/>
  <c r="H81" i="7"/>
  <c r="G81" i="7"/>
  <c r="F81" i="7"/>
  <c r="E81" i="7"/>
  <c r="D81" i="7"/>
  <c r="C81" i="7"/>
  <c r="N80" i="7"/>
  <c r="M80" i="7"/>
  <c r="L80" i="7"/>
  <c r="K80" i="7"/>
  <c r="O80" i="7" s="1"/>
  <c r="J80" i="7"/>
  <c r="I80" i="7"/>
  <c r="H80" i="7"/>
  <c r="G80" i="7"/>
  <c r="F80" i="7"/>
  <c r="E80" i="7"/>
  <c r="D80" i="7"/>
  <c r="C80" i="7"/>
  <c r="N79" i="7"/>
  <c r="M79" i="7"/>
  <c r="L79" i="7"/>
  <c r="K79" i="7"/>
  <c r="O79" i="7" s="1"/>
  <c r="J79" i="7"/>
  <c r="I79" i="7"/>
  <c r="H79" i="7"/>
  <c r="G79" i="7"/>
  <c r="F79" i="7"/>
  <c r="E79" i="7"/>
  <c r="D79" i="7"/>
  <c r="C79" i="7"/>
  <c r="N78" i="7"/>
  <c r="M78" i="7"/>
  <c r="L78" i="7"/>
  <c r="K78" i="7"/>
  <c r="O78" i="7" s="1"/>
  <c r="J78" i="7"/>
  <c r="I78" i="7"/>
  <c r="H78" i="7"/>
  <c r="G78" i="7"/>
  <c r="F78" i="7"/>
  <c r="E78" i="7"/>
  <c r="D78" i="7"/>
  <c r="C78" i="7"/>
  <c r="N77" i="7"/>
  <c r="M77" i="7"/>
  <c r="L77" i="7"/>
  <c r="K77" i="7"/>
  <c r="O77" i="7" s="1"/>
  <c r="J77" i="7"/>
  <c r="I77" i="7"/>
  <c r="H77" i="7"/>
  <c r="G77" i="7"/>
  <c r="F77" i="7"/>
  <c r="E77" i="7"/>
  <c r="D77" i="7"/>
  <c r="C77" i="7"/>
  <c r="N76" i="7"/>
  <c r="M76" i="7"/>
  <c r="L76" i="7"/>
  <c r="K76" i="7"/>
  <c r="O76" i="7" s="1"/>
  <c r="J76" i="7"/>
  <c r="I76" i="7"/>
  <c r="H76" i="7"/>
  <c r="G76" i="7"/>
  <c r="F76" i="7"/>
  <c r="E76" i="7"/>
  <c r="D76" i="7"/>
  <c r="C76" i="7"/>
  <c r="N75" i="7"/>
  <c r="N96" i="7" s="1"/>
  <c r="M75" i="7"/>
  <c r="M96" i="7" s="1"/>
  <c r="L75" i="7"/>
  <c r="L96" i="7" s="1"/>
  <c r="K75" i="7"/>
  <c r="J75" i="7"/>
  <c r="J96" i="7" s="1"/>
  <c r="I75" i="7"/>
  <c r="I96" i="7" s="1"/>
  <c r="H75" i="7"/>
  <c r="H96" i="7" s="1"/>
  <c r="G75" i="7"/>
  <c r="G96" i="7" s="1"/>
  <c r="F75" i="7"/>
  <c r="F96" i="7" s="1"/>
  <c r="E75" i="7"/>
  <c r="E96" i="7" s="1"/>
  <c r="D75" i="7"/>
  <c r="D96" i="7" s="1"/>
  <c r="C75" i="7"/>
  <c r="C96" i="7" s="1"/>
  <c r="N60" i="7"/>
  <c r="M60" i="7"/>
  <c r="L60" i="7"/>
  <c r="K60" i="7"/>
  <c r="J60" i="7"/>
  <c r="I60" i="7"/>
  <c r="H60" i="7"/>
  <c r="G60" i="7"/>
  <c r="F60" i="7"/>
  <c r="E60" i="7"/>
  <c r="D60" i="7"/>
  <c r="C60" i="7"/>
  <c r="N59" i="7"/>
  <c r="M59" i="7"/>
  <c r="L59" i="7"/>
  <c r="K59" i="7"/>
  <c r="J59" i="7"/>
  <c r="I59" i="7"/>
  <c r="H59" i="7"/>
  <c r="G59" i="7"/>
  <c r="F59" i="7"/>
  <c r="E59" i="7"/>
  <c r="D59" i="7"/>
  <c r="C59" i="7"/>
  <c r="N58" i="7"/>
  <c r="M58" i="7"/>
  <c r="L58" i="7"/>
  <c r="K58" i="7"/>
  <c r="J58" i="7"/>
  <c r="I58" i="7"/>
  <c r="H58" i="7"/>
  <c r="G58" i="7"/>
  <c r="F58" i="7"/>
  <c r="E58" i="7"/>
  <c r="D58" i="7"/>
  <c r="C58" i="7"/>
  <c r="N57" i="7"/>
  <c r="N61" i="7" s="1"/>
  <c r="M57" i="7"/>
  <c r="M61" i="7" s="1"/>
  <c r="L57" i="7"/>
  <c r="L61" i="7" s="1"/>
  <c r="K57" i="7"/>
  <c r="K61" i="7" s="1"/>
  <c r="J57" i="7"/>
  <c r="J61" i="7" s="1"/>
  <c r="I57" i="7"/>
  <c r="I61" i="7" s="1"/>
  <c r="H57" i="7"/>
  <c r="H61" i="7" s="1"/>
  <c r="G57" i="7"/>
  <c r="G61" i="7" s="1"/>
  <c r="F57" i="7"/>
  <c r="F61" i="7" s="1"/>
  <c r="E57" i="7"/>
  <c r="E61" i="7" s="1"/>
  <c r="D57" i="7"/>
  <c r="D61" i="7" s="1"/>
  <c r="C57" i="7"/>
  <c r="C61" i="7" s="1"/>
  <c r="N53" i="7"/>
  <c r="M53" i="7"/>
  <c r="L53" i="7"/>
  <c r="K53" i="7"/>
  <c r="J53" i="7"/>
  <c r="I53" i="7"/>
  <c r="H53" i="7"/>
  <c r="G53" i="7"/>
  <c r="F53" i="7"/>
  <c r="E53" i="7"/>
  <c r="D53" i="7"/>
  <c r="C53" i="7"/>
  <c r="N52" i="7"/>
  <c r="M52" i="7"/>
  <c r="L52" i="7"/>
  <c r="K52" i="7"/>
  <c r="J52" i="7"/>
  <c r="I52" i="7"/>
  <c r="H52" i="7"/>
  <c r="G52" i="7"/>
  <c r="F52" i="7"/>
  <c r="E52" i="7"/>
  <c r="D52" i="7"/>
  <c r="C52" i="7"/>
  <c r="N51" i="7"/>
  <c r="N54" i="7" s="1"/>
  <c r="M51" i="7"/>
  <c r="M54" i="7" s="1"/>
  <c r="L51" i="7"/>
  <c r="L54" i="7" s="1"/>
  <c r="K51" i="7"/>
  <c r="K54" i="7" s="1"/>
  <c r="J51" i="7"/>
  <c r="J54" i="7" s="1"/>
  <c r="I51" i="7"/>
  <c r="I54" i="7" s="1"/>
  <c r="H51" i="7"/>
  <c r="H54" i="7" s="1"/>
  <c r="G51" i="7"/>
  <c r="G54" i="7" s="1"/>
  <c r="F51" i="7"/>
  <c r="F54" i="7" s="1"/>
  <c r="E51" i="7"/>
  <c r="E54" i="7" s="1"/>
  <c r="D51" i="7"/>
  <c r="D54" i="7" s="1"/>
  <c r="C51" i="7"/>
  <c r="C54" i="7" s="1"/>
  <c r="N49" i="7"/>
  <c r="N68" i="7" s="1"/>
  <c r="M49" i="7"/>
  <c r="M68" i="7" s="1"/>
  <c r="L49" i="7"/>
  <c r="L68" i="7" s="1"/>
  <c r="K49" i="7"/>
  <c r="K68" i="7" s="1"/>
  <c r="J49" i="7"/>
  <c r="J68" i="7" s="1"/>
  <c r="I49" i="7"/>
  <c r="I68" i="7" s="1"/>
  <c r="H49" i="7"/>
  <c r="H68" i="7" s="1"/>
  <c r="G49" i="7"/>
  <c r="G68" i="7" s="1"/>
  <c r="F49" i="7"/>
  <c r="F68" i="7" s="1"/>
  <c r="E49" i="7"/>
  <c r="E68" i="7" s="1"/>
  <c r="D49" i="7"/>
  <c r="D68" i="7" s="1"/>
  <c r="C49" i="7"/>
  <c r="C68" i="7" s="1"/>
  <c r="N48" i="7"/>
  <c r="M48" i="7"/>
  <c r="L48" i="7"/>
  <c r="K48" i="7"/>
  <c r="J48" i="7"/>
  <c r="I48" i="7"/>
  <c r="H48" i="7"/>
  <c r="G48" i="7"/>
  <c r="F48" i="7"/>
  <c r="E48" i="7"/>
  <c r="D48" i="7"/>
  <c r="C48" i="7"/>
  <c r="N47" i="7"/>
  <c r="M47" i="7"/>
  <c r="L47" i="7"/>
  <c r="K47" i="7"/>
  <c r="J47" i="7"/>
  <c r="I47" i="7"/>
  <c r="H47" i="7"/>
  <c r="G47" i="7"/>
  <c r="F47" i="7"/>
  <c r="E47" i="7"/>
  <c r="D47" i="7"/>
  <c r="C47" i="7"/>
  <c r="N46" i="7"/>
  <c r="N50" i="7" s="1"/>
  <c r="N55" i="7" s="1"/>
  <c r="N62" i="7" s="1"/>
  <c r="M46" i="7"/>
  <c r="M50" i="7" s="1"/>
  <c r="M55" i="7" s="1"/>
  <c r="M62" i="7" s="1"/>
  <c r="L46" i="7"/>
  <c r="L50" i="7" s="1"/>
  <c r="L55" i="7" s="1"/>
  <c r="L62" i="7" s="1"/>
  <c r="K46" i="7"/>
  <c r="K50" i="7" s="1"/>
  <c r="K55" i="7" s="1"/>
  <c r="K62" i="7" s="1"/>
  <c r="J46" i="7"/>
  <c r="J50" i="7" s="1"/>
  <c r="J55" i="7" s="1"/>
  <c r="J62" i="7" s="1"/>
  <c r="I46" i="7"/>
  <c r="I50" i="7" s="1"/>
  <c r="I55" i="7" s="1"/>
  <c r="I62" i="7" s="1"/>
  <c r="H46" i="7"/>
  <c r="H50" i="7" s="1"/>
  <c r="H55" i="7" s="1"/>
  <c r="H62" i="7" s="1"/>
  <c r="G46" i="7"/>
  <c r="G50" i="7" s="1"/>
  <c r="G55" i="7" s="1"/>
  <c r="G62" i="7" s="1"/>
  <c r="F46" i="7"/>
  <c r="F50" i="7" s="1"/>
  <c r="F55" i="7" s="1"/>
  <c r="F62" i="7" s="1"/>
  <c r="E46" i="7"/>
  <c r="E50" i="7" s="1"/>
  <c r="E55" i="7" s="1"/>
  <c r="E62" i="7" s="1"/>
  <c r="D46" i="7"/>
  <c r="D50" i="7" s="1"/>
  <c r="D55" i="7" s="1"/>
  <c r="D62" i="7" s="1"/>
  <c r="C46" i="7"/>
  <c r="C50" i="7" s="1"/>
  <c r="C55" i="7" s="1"/>
  <c r="C62" i="7" s="1"/>
  <c r="N43" i="7"/>
  <c r="M43" i="7"/>
  <c r="L43" i="7"/>
  <c r="K43" i="7"/>
  <c r="J43" i="7"/>
  <c r="I43" i="7"/>
  <c r="H43" i="7"/>
  <c r="G43" i="7"/>
  <c r="F43" i="7"/>
  <c r="E43" i="7"/>
  <c r="D43" i="7"/>
  <c r="C43" i="7"/>
  <c r="N42" i="7"/>
  <c r="M42" i="7"/>
  <c r="L42" i="7"/>
  <c r="K42" i="7"/>
  <c r="J42" i="7"/>
  <c r="I42" i="7"/>
  <c r="H42" i="7"/>
  <c r="G42" i="7"/>
  <c r="F42" i="7"/>
  <c r="E42" i="7"/>
  <c r="D42" i="7"/>
  <c r="C42" i="7"/>
  <c r="N41" i="7"/>
  <c r="M41" i="7"/>
  <c r="L41" i="7"/>
  <c r="K41" i="7"/>
  <c r="J41" i="7"/>
  <c r="I41" i="7"/>
  <c r="H41" i="7"/>
  <c r="G41" i="7"/>
  <c r="F41" i="7"/>
  <c r="E41" i="7"/>
  <c r="D41" i="7"/>
  <c r="C41" i="7"/>
  <c r="N40" i="7"/>
  <c r="M40" i="7"/>
  <c r="L40" i="7"/>
  <c r="K40" i="7"/>
  <c r="J40" i="7"/>
  <c r="I40" i="7"/>
  <c r="H40" i="7"/>
  <c r="G40" i="7"/>
  <c r="F40" i="7"/>
  <c r="E40" i="7"/>
  <c r="D40" i="7"/>
  <c r="C40" i="7"/>
  <c r="N39" i="7"/>
  <c r="M39" i="7"/>
  <c r="L39" i="7"/>
  <c r="K39" i="7"/>
  <c r="J39" i="7"/>
  <c r="I39" i="7"/>
  <c r="H39" i="7"/>
  <c r="G39" i="7"/>
  <c r="F39" i="7"/>
  <c r="E39" i="7"/>
  <c r="D39" i="7"/>
  <c r="C39" i="7"/>
  <c r="N38" i="7"/>
  <c r="M38" i="7"/>
  <c r="L38" i="7"/>
  <c r="K38" i="7"/>
  <c r="J38" i="7"/>
  <c r="I38" i="7"/>
  <c r="H38" i="7"/>
  <c r="G38" i="7"/>
  <c r="F38" i="7"/>
  <c r="E38" i="7"/>
  <c r="D38" i="7"/>
  <c r="C38" i="7"/>
  <c r="N37" i="7"/>
  <c r="M37" i="7"/>
  <c r="L37" i="7"/>
  <c r="K37" i="7"/>
  <c r="J37" i="7"/>
  <c r="I37" i="7"/>
  <c r="H37" i="7"/>
  <c r="G37" i="7"/>
  <c r="F37" i="7"/>
  <c r="E37" i="7"/>
  <c r="D37" i="7"/>
  <c r="C37" i="7"/>
  <c r="N35" i="7"/>
  <c r="M35" i="7"/>
  <c r="L35" i="7"/>
  <c r="K35" i="7"/>
  <c r="J35" i="7"/>
  <c r="I35" i="7"/>
  <c r="H35" i="7"/>
  <c r="G35" i="7"/>
  <c r="F35" i="7"/>
  <c r="E35" i="7"/>
  <c r="D35" i="7"/>
  <c r="C35" i="7"/>
  <c r="N34" i="7"/>
  <c r="M34" i="7"/>
  <c r="L34" i="7"/>
  <c r="K34" i="7"/>
  <c r="J34" i="7"/>
  <c r="I34" i="7"/>
  <c r="H34" i="7"/>
  <c r="G34" i="7"/>
  <c r="F34" i="7"/>
  <c r="E34" i="7"/>
  <c r="D34" i="7"/>
  <c r="C34" i="7"/>
  <c r="N33" i="7"/>
  <c r="M33" i="7"/>
  <c r="L33" i="7"/>
  <c r="K33" i="7"/>
  <c r="J33" i="7"/>
  <c r="I33" i="7"/>
  <c r="H33" i="7"/>
  <c r="G33" i="7"/>
  <c r="F33" i="7"/>
  <c r="E33" i="7"/>
  <c r="D33" i="7"/>
  <c r="C33" i="7"/>
  <c r="N32" i="7"/>
  <c r="M32" i="7"/>
  <c r="L32" i="7"/>
  <c r="K32" i="7"/>
  <c r="J32" i="7"/>
  <c r="I32" i="7"/>
  <c r="H32" i="7"/>
  <c r="G32" i="7"/>
  <c r="F32" i="7"/>
  <c r="E32" i="7"/>
  <c r="D32" i="7"/>
  <c r="C32" i="7"/>
  <c r="N31" i="7"/>
  <c r="M31" i="7"/>
  <c r="L31" i="7"/>
  <c r="K31" i="7"/>
  <c r="J31" i="7"/>
  <c r="I31" i="7"/>
  <c r="H31" i="7"/>
  <c r="G31" i="7"/>
  <c r="F31" i="7"/>
  <c r="E31" i="7"/>
  <c r="D31" i="7"/>
  <c r="C31" i="7"/>
  <c r="N27" i="7"/>
  <c r="M27" i="7"/>
  <c r="K27" i="7"/>
  <c r="J27" i="7"/>
  <c r="I27" i="7"/>
  <c r="G27" i="7"/>
  <c r="F27" i="7"/>
  <c r="E27" i="7"/>
  <c r="C27" i="7"/>
  <c r="N26" i="7"/>
  <c r="M26" i="7"/>
  <c r="K26" i="7"/>
  <c r="J26" i="7"/>
  <c r="I26" i="7"/>
  <c r="G26" i="7"/>
  <c r="F26" i="7"/>
  <c r="E26" i="7"/>
  <c r="C26" i="7"/>
  <c r="N25" i="7"/>
  <c r="M25" i="7"/>
  <c r="K25" i="7"/>
  <c r="J25" i="7"/>
  <c r="I25" i="7"/>
  <c r="G25" i="7"/>
  <c r="F25" i="7"/>
  <c r="E25" i="7"/>
  <c r="C25" i="7"/>
  <c r="N24" i="7"/>
  <c r="M24" i="7"/>
  <c r="K24" i="7"/>
  <c r="J24" i="7"/>
  <c r="I24" i="7"/>
  <c r="G24" i="7"/>
  <c r="F24" i="7"/>
  <c r="E24" i="7"/>
  <c r="C24" i="7"/>
  <c r="N21" i="7"/>
  <c r="M21" i="7"/>
  <c r="L21" i="7"/>
  <c r="K21" i="7"/>
  <c r="O21" i="7" s="1"/>
  <c r="J21" i="7"/>
  <c r="I21" i="7"/>
  <c r="H21" i="7"/>
  <c r="G21" i="7"/>
  <c r="F21" i="7"/>
  <c r="E21" i="7"/>
  <c r="D21" i="7"/>
  <c r="C21" i="7"/>
  <c r="N19" i="7"/>
  <c r="M19" i="7"/>
  <c r="L19" i="7"/>
  <c r="K19" i="7"/>
  <c r="O19" i="7" s="1"/>
  <c r="J19" i="7"/>
  <c r="I19" i="7"/>
  <c r="H19" i="7"/>
  <c r="G19" i="7"/>
  <c r="F19" i="7"/>
  <c r="E19" i="7"/>
  <c r="D19" i="7"/>
  <c r="C19" i="7"/>
  <c r="N18" i="7"/>
  <c r="M18" i="7"/>
  <c r="L18" i="7"/>
  <c r="K18" i="7"/>
  <c r="O18" i="7" s="1"/>
  <c r="J18" i="7"/>
  <c r="I18" i="7"/>
  <c r="H18" i="7"/>
  <c r="G18" i="7"/>
  <c r="F18" i="7"/>
  <c r="E18" i="7"/>
  <c r="D18" i="7"/>
  <c r="C18" i="7"/>
  <c r="N14" i="7"/>
  <c r="M14" i="7"/>
  <c r="L14" i="7"/>
  <c r="K14" i="7"/>
  <c r="O14" i="7" s="1"/>
  <c r="J14" i="7"/>
  <c r="I14" i="7"/>
  <c r="H14" i="7"/>
  <c r="G14" i="7"/>
  <c r="F14" i="7"/>
  <c r="E14" i="7"/>
  <c r="D14" i="7"/>
  <c r="C14" i="7"/>
  <c r="N13" i="7"/>
  <c r="M13" i="7"/>
  <c r="L13" i="7"/>
  <c r="K13" i="7"/>
  <c r="O13" i="7" s="1"/>
  <c r="J13" i="7"/>
  <c r="I13" i="7"/>
  <c r="H13" i="7"/>
  <c r="G13" i="7"/>
  <c r="F13" i="7"/>
  <c r="E13" i="7"/>
  <c r="D13" i="7"/>
  <c r="C13" i="7"/>
  <c r="N12" i="7"/>
  <c r="M12" i="7"/>
  <c r="L12" i="7"/>
  <c r="K12" i="7"/>
  <c r="O12" i="7" s="1"/>
  <c r="J12" i="7"/>
  <c r="I12" i="7"/>
  <c r="H12" i="7"/>
  <c r="G12" i="7"/>
  <c r="F12" i="7"/>
  <c r="E12" i="7"/>
  <c r="D12" i="7"/>
  <c r="C12" i="7"/>
  <c r="N11" i="7"/>
  <c r="N15" i="7" s="1"/>
  <c r="M11" i="7"/>
  <c r="M15" i="7" s="1"/>
  <c r="L11" i="7"/>
  <c r="L15" i="7" s="1"/>
  <c r="K11" i="7"/>
  <c r="J11" i="7"/>
  <c r="J15" i="7" s="1"/>
  <c r="I11" i="7"/>
  <c r="I15" i="7" s="1"/>
  <c r="H11" i="7"/>
  <c r="H15" i="7" s="1"/>
  <c r="G11" i="7"/>
  <c r="G15" i="7" s="1"/>
  <c r="F11" i="7"/>
  <c r="F15" i="7" s="1"/>
  <c r="E11" i="7"/>
  <c r="E15" i="7" s="1"/>
  <c r="D11" i="7"/>
  <c r="D15" i="7" s="1"/>
  <c r="C11" i="7"/>
  <c r="C15" i="7" s="1"/>
  <c r="N8" i="7"/>
  <c r="M8" i="7"/>
  <c r="L8" i="7"/>
  <c r="K8" i="7"/>
  <c r="O8" i="7" s="1"/>
  <c r="J8" i="7"/>
  <c r="I8" i="7"/>
  <c r="H8" i="7"/>
  <c r="G8" i="7"/>
  <c r="F8" i="7"/>
  <c r="E8" i="7"/>
  <c r="D8" i="7"/>
  <c r="C8" i="7"/>
  <c r="N6" i="7"/>
  <c r="M6" i="7"/>
  <c r="L6" i="7"/>
  <c r="K6" i="7"/>
  <c r="J6" i="7"/>
  <c r="I6" i="7"/>
  <c r="H6" i="7"/>
  <c r="G6" i="7"/>
  <c r="F6" i="7"/>
  <c r="F9" i="7" s="1"/>
  <c r="E6" i="7"/>
  <c r="E9" i="7" s="1"/>
  <c r="D6" i="7"/>
  <c r="D9" i="7" s="1"/>
  <c r="C6" i="7"/>
  <c r="C9" i="7" s="1"/>
  <c r="C21" i="5"/>
  <c r="C3" i="5"/>
  <c r="C21" i="4"/>
  <c r="C20" i="4"/>
  <c r="C18" i="4"/>
  <c r="C17" i="4"/>
  <c r="C11" i="4"/>
  <c r="C10" i="4"/>
  <c r="C8" i="4"/>
  <c r="C7" i="4"/>
  <c r="C4" i="4"/>
  <c r="C3" i="4"/>
  <c r="D30" i="3"/>
  <c r="C30" i="3"/>
  <c r="D26" i="3"/>
  <c r="C26" i="3"/>
  <c r="D25" i="3"/>
  <c r="C25" i="3"/>
  <c r="D24" i="3"/>
  <c r="C24" i="3"/>
  <c r="D23" i="3"/>
  <c r="C23" i="3"/>
  <c r="C16" i="3"/>
  <c r="C15" i="3"/>
  <c r="C14" i="3"/>
  <c r="C13" i="3"/>
  <c r="C10" i="3"/>
  <c r="C9" i="3"/>
  <c r="C8" i="3"/>
  <c r="C7" i="3"/>
  <c r="C3" i="3"/>
  <c r="C25" i="2"/>
  <c r="C23" i="2"/>
  <c r="C19" i="2"/>
  <c r="C17" i="2"/>
  <c r="C3" i="2"/>
  <c r="H56" i="1"/>
  <c r="G56" i="1"/>
  <c r="F56" i="1"/>
  <c r="E56" i="1"/>
  <c r="C56" i="1"/>
  <c r="G55" i="1"/>
  <c r="F55" i="1"/>
  <c r="C55" i="1"/>
  <c r="H50" i="1"/>
  <c r="H55" i="1" s="1"/>
  <c r="E50" i="1"/>
  <c r="E55" i="1" s="1"/>
  <c r="C44" i="1"/>
  <c r="C31" i="1"/>
  <c r="C23" i="1"/>
  <c r="C14" i="1"/>
  <c r="C7" i="1" a="1"/>
  <c r="C7" i="1"/>
  <c r="C15" i="1" s="1" a="1"/>
  <c r="C15" i="1" s="1"/>
  <c r="C6" i="1" a="1"/>
  <c r="C6" i="1"/>
  <c r="G7" i="7" l="1"/>
  <c r="C4" i="5"/>
  <c r="C19" i="5" s="1"/>
  <c r="C8" i="1"/>
  <c r="L13" i="2"/>
  <c r="K13" i="2"/>
  <c r="J13" i="2"/>
  <c r="I13" i="2"/>
  <c r="H13" i="2"/>
  <c r="G13" i="2"/>
  <c r="F13" i="2"/>
  <c r="E13" i="2"/>
  <c r="D13" i="2"/>
  <c r="C13" i="2"/>
  <c r="L8" i="2"/>
  <c r="K8" i="2"/>
  <c r="J8" i="2"/>
  <c r="I8" i="2"/>
  <c r="H8" i="2"/>
  <c r="G8" i="2"/>
  <c r="F8" i="2"/>
  <c r="E8" i="2"/>
  <c r="D8" i="2"/>
  <c r="C8" i="2"/>
  <c r="L12" i="2"/>
  <c r="K12" i="2"/>
  <c r="J12" i="2"/>
  <c r="I12" i="2"/>
  <c r="H12" i="2"/>
  <c r="G12" i="2"/>
  <c r="F12" i="2"/>
  <c r="E12" i="2"/>
  <c r="D12" i="2"/>
  <c r="C12" i="2"/>
  <c r="L7" i="2"/>
  <c r="K7" i="2"/>
  <c r="J7" i="2"/>
  <c r="I7" i="2"/>
  <c r="H7" i="2"/>
  <c r="G7" i="2"/>
  <c r="F7" i="2"/>
  <c r="E7" i="2"/>
  <c r="D7" i="2"/>
  <c r="C7" i="2"/>
  <c r="C24" i="2"/>
  <c r="D24" i="2" s="1"/>
  <c r="C18" i="2"/>
  <c r="D18" i="2" s="1"/>
  <c r="D27" i="3"/>
  <c r="C27" i="3"/>
  <c r="C11" i="3"/>
  <c r="D28" i="3"/>
  <c r="C28" i="3"/>
  <c r="D17" i="2"/>
  <c r="D19" i="2"/>
  <c r="D23" i="2"/>
  <c r="D25" i="2"/>
  <c r="C12" i="3"/>
  <c r="C17" i="3" s="1"/>
  <c r="C18" i="3" s="1"/>
  <c r="C10" i="5" s="1"/>
  <c r="C29" i="3"/>
  <c r="C31" i="3" s="1"/>
  <c r="C32" i="3" s="1"/>
  <c r="C11" i="5" s="1"/>
  <c r="D29" i="3"/>
  <c r="D31" i="3" s="1"/>
  <c r="D32" i="3" s="1"/>
  <c r="C12" i="5" s="1"/>
  <c r="C19" i="4"/>
  <c r="C22" i="4" s="1"/>
  <c r="C23" i="4" s="1"/>
  <c r="C14" i="5" s="1"/>
  <c r="C9" i="4"/>
  <c r="C12" i="4" s="1"/>
  <c r="C13" i="4" s="1"/>
  <c r="C13" i="5" s="1"/>
  <c r="C16" i="7"/>
  <c r="C10" i="7"/>
  <c r="D16" i="7"/>
  <c r="D10" i="7"/>
  <c r="E16" i="7"/>
  <c r="E10" i="7"/>
  <c r="F16" i="7"/>
  <c r="F10" i="7"/>
  <c r="G9" i="7"/>
  <c r="H9" i="7"/>
  <c r="H7" i="7"/>
  <c r="I9" i="7"/>
  <c r="I7" i="7"/>
  <c r="J9" i="7"/>
  <c r="J7" i="7"/>
  <c r="K9" i="7"/>
  <c r="K7" i="7"/>
  <c r="O6" i="7"/>
  <c r="O9" i="7" s="1"/>
  <c r="L9" i="7"/>
  <c r="L7" i="7"/>
  <c r="M9" i="7"/>
  <c r="M7" i="7"/>
  <c r="N9" i="7"/>
  <c r="N7" i="7"/>
  <c r="K15" i="7"/>
  <c r="O11" i="7"/>
  <c r="O15" i="7" s="1"/>
  <c r="C67" i="7"/>
  <c r="C69" i="7" s="1"/>
  <c r="C36" i="7"/>
  <c r="D67" i="7"/>
  <c r="D69" i="7" s="1"/>
  <c r="D36" i="7"/>
  <c r="E67" i="7"/>
  <c r="E69" i="7" s="1"/>
  <c r="E36" i="7"/>
  <c r="F67" i="7"/>
  <c r="F69" i="7" s="1"/>
  <c r="F36" i="7"/>
  <c r="G67" i="7"/>
  <c r="G69" i="7" s="1"/>
  <c r="G36" i="7"/>
  <c r="H67" i="7"/>
  <c r="H69" i="7" s="1"/>
  <c r="H36" i="7"/>
  <c r="I67" i="7"/>
  <c r="I69" i="7" s="1"/>
  <c r="I36" i="7"/>
  <c r="J67" i="7"/>
  <c r="J69" i="7" s="1"/>
  <c r="J36" i="7"/>
  <c r="K67" i="7"/>
  <c r="K69" i="7" s="1"/>
  <c r="K36" i="7"/>
  <c r="L67" i="7"/>
  <c r="L69" i="7" s="1"/>
  <c r="L36" i="7"/>
  <c r="M67" i="7"/>
  <c r="M69" i="7" s="1"/>
  <c r="M36" i="7"/>
  <c r="N67" i="7"/>
  <c r="N69" i="7" s="1"/>
  <c r="N36" i="7"/>
  <c r="C122" i="7"/>
  <c r="C119" i="7"/>
  <c r="C118" i="7"/>
  <c r="D122" i="7"/>
  <c r="D119" i="7"/>
  <c r="D118" i="7"/>
  <c r="E122" i="7"/>
  <c r="E119" i="7"/>
  <c r="E118" i="7"/>
  <c r="F122" i="7"/>
  <c r="F119" i="7"/>
  <c r="F118" i="7"/>
  <c r="G122" i="7"/>
  <c r="G119" i="7"/>
  <c r="G118" i="7"/>
  <c r="H122" i="7"/>
  <c r="H119" i="7"/>
  <c r="H118" i="7"/>
  <c r="I122" i="7"/>
  <c r="I119" i="7"/>
  <c r="I118" i="7"/>
  <c r="J122" i="7"/>
  <c r="J119" i="7"/>
  <c r="J118" i="7"/>
  <c r="K96" i="7"/>
  <c r="O75" i="7"/>
  <c r="O96" i="7" s="1"/>
  <c r="L122" i="7"/>
  <c r="L119" i="7"/>
  <c r="L118" i="7"/>
  <c r="M122" i="7"/>
  <c r="M119" i="7"/>
  <c r="M118" i="7"/>
  <c r="N122" i="7"/>
  <c r="N119" i="7"/>
  <c r="N118" i="7"/>
  <c r="K106" i="7"/>
  <c r="O99" i="7"/>
  <c r="O106" i="7" s="1"/>
  <c r="K115" i="7"/>
  <c r="O109" i="7"/>
  <c r="O115" i="7" s="1"/>
  <c r="N125" i="7" l="1"/>
  <c r="N123" i="7"/>
  <c r="M125" i="7"/>
  <c r="M123" i="7"/>
  <c r="L125" i="7"/>
  <c r="L123" i="7"/>
  <c r="O122" i="7"/>
  <c r="O118" i="7"/>
  <c r="K122" i="7"/>
  <c r="K119" i="7"/>
  <c r="K118" i="7"/>
  <c r="J125" i="7"/>
  <c r="J123" i="7"/>
  <c r="I125" i="7"/>
  <c r="I123" i="7"/>
  <c r="H125" i="7"/>
  <c r="H123" i="7"/>
  <c r="G125" i="7"/>
  <c r="G123" i="7"/>
  <c r="F125" i="7"/>
  <c r="F123" i="7"/>
  <c r="E125" i="7"/>
  <c r="E123" i="7"/>
  <c r="D125" i="7"/>
  <c r="D123" i="7"/>
  <c r="C125" i="7"/>
  <c r="C123" i="7"/>
  <c r="N70" i="7"/>
  <c r="N44" i="7"/>
  <c r="M70" i="7"/>
  <c r="M44" i="7"/>
  <c r="L70" i="7"/>
  <c r="L44" i="7"/>
  <c r="K70" i="7"/>
  <c r="K44" i="7"/>
  <c r="J70" i="7"/>
  <c r="J44" i="7"/>
  <c r="I70" i="7"/>
  <c r="I44" i="7"/>
  <c r="H70" i="7"/>
  <c r="H44" i="7"/>
  <c r="G70" i="7"/>
  <c r="G44" i="7"/>
  <c r="F70" i="7"/>
  <c r="F44" i="7"/>
  <c r="E70" i="7"/>
  <c r="E44" i="7"/>
  <c r="D70" i="7"/>
  <c r="D44" i="7"/>
  <c r="C70" i="7"/>
  <c r="C44" i="7"/>
  <c r="N16" i="7"/>
  <c r="N10" i="7"/>
  <c r="M16" i="7"/>
  <c r="M10" i="7"/>
  <c r="L16" i="7"/>
  <c r="L10" i="7"/>
  <c r="O16" i="7"/>
  <c r="O10" i="7"/>
  <c r="K16" i="7"/>
  <c r="K10" i="7"/>
  <c r="J16" i="7"/>
  <c r="J10" i="7"/>
  <c r="I16" i="7"/>
  <c r="I10" i="7"/>
  <c r="H16" i="7"/>
  <c r="H10" i="7"/>
  <c r="G16" i="7"/>
  <c r="G10" i="7"/>
  <c r="F124" i="7"/>
  <c r="F20" i="7"/>
  <c r="F22" i="7" s="1"/>
  <c r="F17" i="7"/>
  <c r="E124" i="7"/>
  <c r="E20" i="7"/>
  <c r="E22" i="7" s="1"/>
  <c r="E17" i="7"/>
  <c r="D124" i="7"/>
  <c r="D20" i="7"/>
  <c r="D22" i="7" s="1"/>
  <c r="D17" i="7"/>
  <c r="C124" i="7"/>
  <c r="C20" i="7"/>
  <c r="C22" i="7" s="1"/>
  <c r="C17" i="7"/>
  <c r="E19" i="2"/>
  <c r="F19" i="2" s="1"/>
  <c r="G19" i="2" s="1"/>
  <c r="C31" i="2" s="1"/>
  <c r="E18" i="2"/>
  <c r="F18" i="2" s="1"/>
  <c r="G18" i="2" s="1"/>
  <c r="C30" i="2" s="1"/>
  <c r="E17" i="2"/>
  <c r="F17" i="2" s="1"/>
  <c r="G17" i="2" s="1"/>
  <c r="C29" i="2" s="1"/>
  <c r="E25" i="2"/>
  <c r="F25" i="2" s="1"/>
  <c r="G25" i="2" s="1"/>
  <c r="D31" i="2" s="1"/>
  <c r="E24" i="2"/>
  <c r="F24" i="2" s="1"/>
  <c r="G24" i="2" s="1"/>
  <c r="D30" i="2" s="1"/>
  <c r="E23" i="2"/>
  <c r="F23" i="2" s="1"/>
  <c r="G23" i="2" s="1"/>
  <c r="D29" i="2" s="1"/>
  <c r="H57" i="1"/>
  <c r="F57" i="1"/>
  <c r="D32" i="2" l="1"/>
  <c r="C9" i="5" s="1"/>
  <c r="C32" i="2"/>
  <c r="C8" i="5" s="1"/>
  <c r="C23" i="7"/>
  <c r="D23" i="7"/>
  <c r="E23" i="7"/>
  <c r="F23" i="7"/>
  <c r="G124" i="7"/>
  <c r="G20" i="7"/>
  <c r="G22" i="7" s="1"/>
  <c r="G17" i="7"/>
  <c r="H124" i="7"/>
  <c r="H20" i="7"/>
  <c r="H22" i="7" s="1"/>
  <c r="H17" i="7"/>
  <c r="I124" i="7"/>
  <c r="I20" i="7"/>
  <c r="I22" i="7" s="1"/>
  <c r="I17" i="7"/>
  <c r="J124" i="7"/>
  <c r="J20" i="7"/>
  <c r="J22" i="7" s="1"/>
  <c r="J17" i="7"/>
  <c r="K124" i="7"/>
  <c r="K20" i="7"/>
  <c r="K22" i="7" s="1"/>
  <c r="K17" i="7"/>
  <c r="O124" i="7"/>
  <c r="C57" i="1" s="1"/>
  <c r="O20" i="7"/>
  <c r="O22" i="7" s="1"/>
  <c r="O17" i="7"/>
  <c r="G57" i="1"/>
  <c r="L124" i="7"/>
  <c r="L20" i="7"/>
  <c r="L22" i="7" s="1"/>
  <c r="L17" i="7"/>
  <c r="M124" i="7"/>
  <c r="M20" i="7"/>
  <c r="M22" i="7" s="1"/>
  <c r="M17" i="7"/>
  <c r="N124" i="7"/>
  <c r="N20" i="7"/>
  <c r="N22" i="7" s="1"/>
  <c r="N17" i="7"/>
  <c r="C64" i="7"/>
  <c r="C63" i="7"/>
  <c r="D64" i="7"/>
  <c r="D63" i="7"/>
  <c r="E64" i="7"/>
  <c r="E63" i="7"/>
  <c r="F64" i="7"/>
  <c r="F63" i="7"/>
  <c r="G64" i="7"/>
  <c r="G63" i="7"/>
  <c r="H64" i="7"/>
  <c r="H63" i="7"/>
  <c r="I64" i="7"/>
  <c r="I63" i="7"/>
  <c r="J64" i="7"/>
  <c r="J63" i="7"/>
  <c r="K64" i="7"/>
  <c r="K63" i="7"/>
  <c r="L64" i="7"/>
  <c r="L63" i="7"/>
  <c r="M64" i="7"/>
  <c r="M63" i="7"/>
  <c r="N64" i="7"/>
  <c r="N63" i="7"/>
  <c r="K125" i="7"/>
  <c r="K123" i="7"/>
  <c r="O125" i="7"/>
  <c r="O123" i="7"/>
  <c r="N23" i="7" l="1"/>
  <c r="M23" i="7"/>
  <c r="L23" i="7"/>
  <c r="O23" i="7"/>
  <c r="E57" i="1"/>
  <c r="K23" i="7"/>
  <c r="J23" i="7"/>
  <c r="I23" i="7"/>
  <c r="H23" i="7"/>
  <c r="G23" i="7"/>
  <c r="C18" i="5"/>
  <c r="C17" i="5"/>
  <c r="C22" i="5" l="1"/>
  <c r="C20" i="5"/>
  <c r="C23" i="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<sst xmlns="http://schemas.openxmlformats.org/spreadsheetml/2006/main" count="503" uniqueCount="342">
  <si>
    <t>Assumptions &amp; Inputs</t>
  </si>
  <si>
    <t>COMPANY</t>
  </si>
  <si>
    <t>Company name</t>
  </si>
  <si>
    <t>Chegg, Inc.</t>
  </si>
  <si>
    <t>Ticker</t>
  </si>
  <si>
    <t>Current share price ($)</t>
  </si>
  <si>
    <t>Shares outstanding (millions)</t>
  </si>
  <si>
    <t>Market capitalization ($mm)</t>
  </si>
  <si>
    <t>FREE CASH FLOW &amp; GROWTH</t>
  </si>
  <si>
    <t xml:space="preserve">CFO </t>
  </si>
  <si>
    <t>Minus CapEx</t>
  </si>
  <si>
    <t>Minus SBC</t>
  </si>
  <si>
    <t>Current normalized FCF</t>
  </si>
  <si>
    <t>Current normalized FCF per share ($)</t>
  </si>
  <si>
    <t>Conservative case — annual FCF growth, Yrs 1-10</t>
  </si>
  <si>
    <t>Book's worst-realistic-case default: results never improve from here</t>
  </si>
  <si>
    <t>Moderate case — annual FCF growth, Yrs 1-10</t>
  </si>
  <si>
    <t>A modest, non-heroic growth assumption  (still meant to be defensible, not optimistic)</t>
  </si>
  <si>
    <t>Terminal growth rate (in perpetuity after Yr 10)</t>
  </si>
  <si>
    <t>0% is the conservative default</t>
  </si>
  <si>
    <t>DISCOUNT RATE</t>
  </si>
  <si>
    <t>Current risk-free rate</t>
  </si>
  <si>
    <t>10-yr Treasury yield</t>
  </si>
  <si>
    <t>Discount rate — Low</t>
  </si>
  <si>
    <t>Discount rate — Base</t>
  </si>
  <si>
    <t>WACC (CAPM)</t>
  </si>
  <si>
    <t>Discount rate — High</t>
  </si>
  <si>
    <t>BALANCE SHEET, $ MILLIONS</t>
  </si>
  <si>
    <t>Cash &amp; equivalents</t>
  </si>
  <si>
    <t>Marketable securities (at market)</t>
  </si>
  <si>
    <t>Accounts receivable</t>
  </si>
  <si>
    <t>Inventory</t>
  </si>
  <si>
    <t>Other current assets</t>
  </si>
  <si>
    <t>Net PP&amp;E (book value)</t>
  </si>
  <si>
    <t>Total current liabilities</t>
  </si>
  <si>
    <t>Long-term debt</t>
  </si>
  <si>
    <t>Other long-term liabilities</t>
  </si>
  <si>
    <t>Off-balance-sheet / contingent liabilities</t>
  </si>
  <si>
    <t>Underfunded pensions, environmental or lease exposure</t>
  </si>
  <si>
    <t>LIQUIDATION RECOVERY ASSUMPTIONS</t>
  </si>
  <si>
    <t>Securities — transaction cost %</t>
  </si>
  <si>
    <t>Receivables recovery — orderly liquidation</t>
  </si>
  <si>
    <t>Receivables recovery — fire sale</t>
  </si>
  <si>
    <t>Inventory recovery — orderly liquidation</t>
  </si>
  <si>
    <t>Inventory recovery — fire sale</t>
  </si>
  <si>
    <t>PP&amp;E — estimated liquidation value ($mm)</t>
  </si>
  <si>
    <t>This is the hardest line to estimate and genuinely case-by-case</t>
  </si>
  <si>
    <t>COMPARABLE MULTIPLES</t>
  </si>
  <si>
    <t>Subject company pretax cash flow ($mm)</t>
  </si>
  <si>
    <t>EV/EBITDA column is the one the Market Multiples tab applies to pretax cash flow.</t>
  </si>
  <si>
    <t>Comparable name</t>
  </si>
  <si>
    <t>EV/EBITDA (x)</t>
  </si>
  <si>
    <t>Type</t>
  </si>
  <si>
    <t>P/E (x)</t>
  </si>
  <si>
    <t>P/B (x)</t>
  </si>
  <si>
    <t>EV/EBIT (x)</t>
  </si>
  <si>
    <t>EV/Revenue (x)</t>
  </si>
  <si>
    <t>Source / as-of</t>
  </si>
  <si>
    <t>Coursera/Udemy deal (EV ~$930M / Udemy FY25 Adj. EBITDA $63.5M)</t>
  </si>
  <si>
    <t>Transaction</t>
  </si>
  <si>
    <t>P/E = $930mm / Udemy FY25 net income $3.8mm (Udemy 10-K FY2025). EV/Rev = $930mm / FY25 revenue $789.8mm (Class Central, Apr 2026). P/B and EV/EBIT not sourced yet. $930mm was the announced equity value, not EV; Coursera recorded $673.6mm at close (May 11, 2026).</t>
  </si>
  <si>
    <t>Grand Canyon Education (LOPE) EV/EBITDA (TTM)</t>
  </si>
  <si>
    <t>Trading</t>
  </si>
  <si>
    <t>stockanalysis.com (S&amp;P Global data), price at Sep 18, 2026 close. Same source shows EV/EBITDA of 10.38x.</t>
  </si>
  <si>
    <t>Stride (LRN) EV/EBITDA (LTM)</t>
  </si>
  <si>
    <t>stockanalysis.com (S&amp;P Global data), price at Sep 18, 2026 close. Same source shows EV/EBITDA of 5.41x.</t>
  </si>
  <si>
    <t>Median, all comps</t>
  </si>
  <si>
    <t>Average, Trading comps only</t>
  </si>
  <si>
    <t>Chegg at current price (LTM to Jun 30, 2026), for reference</t>
  </si>
  <si>
    <t>Market cap from C8. EV adds convertible notes and subtracts cash and investments at Jun 30, 2026. "n/m" where the denominator is negative.</t>
  </si>
  <si>
    <t xml:space="preserve">"Type" must read exactly Transaction (private-market / M&amp;A multiples) or Trading (public comps) </t>
  </si>
  <si>
    <t>Rows 53 to 54 are open for more comps. The medians, averages, and Market Multiples tab all pick them up automatically.</t>
  </si>
  <si>
    <t>MARGIN OF SAFETY</t>
  </si>
  <si>
    <t>Required margin of safety (discount to low-end value)</t>
  </si>
  <si>
    <t>NPV / Discounted Cash Flow Analysis</t>
  </si>
  <si>
    <t>Company:</t>
  </si>
  <si>
    <t>CONSERVATIVE CASE</t>
  </si>
  <si>
    <t>Year 1</t>
  </si>
  <si>
    <t>Year 2</t>
  </si>
  <si>
    <t>Year 3</t>
  </si>
  <si>
    <t>Year 4</t>
  </si>
  <si>
    <t>Year 5</t>
  </si>
  <si>
    <t>Year 6</t>
  </si>
  <si>
    <t>Year 7</t>
  </si>
  <si>
    <t>Year 8</t>
  </si>
  <si>
    <t>Year 9</t>
  </si>
  <si>
    <t>Year 10</t>
  </si>
  <si>
    <t>FCF</t>
  </si>
  <si>
    <t>FCF per share</t>
  </si>
  <si>
    <t>MODERATE CASE</t>
  </si>
  <si>
    <t>Discount Rate</t>
  </si>
  <si>
    <t>Rate</t>
  </si>
  <si>
    <t>PV of Yrs 1-10 FCF</t>
  </si>
  <si>
    <t>Terminal Value (Yr 10)</t>
  </si>
  <si>
    <t>PV of Terminal Value</t>
  </si>
  <si>
    <t>Total NPV / Share</t>
  </si>
  <si>
    <t>Low</t>
  </si>
  <si>
    <t>Base</t>
  </si>
  <si>
    <t>High</t>
  </si>
  <si>
    <t xml:space="preserve">MODERATE CASE </t>
  </si>
  <si>
    <t xml:space="preserve">SUMMARY </t>
  </si>
  <si>
    <t>Conservative Case</t>
  </si>
  <si>
    <t>Moderate Case</t>
  </si>
  <si>
    <t>Low discount rate</t>
  </si>
  <si>
    <t>Base discount rate</t>
  </si>
  <si>
    <t>High discount rate</t>
  </si>
  <si>
    <t>Range across all scenarios</t>
  </si>
  <si>
    <t>Liquidation Value</t>
  </si>
  <si>
    <t xml:space="preserve">NET-NET WORKING CAPITAL </t>
  </si>
  <si>
    <t>$mm</t>
  </si>
  <si>
    <t>Marketable securities</t>
  </si>
  <si>
    <t>Total current assets (undiscounted)</t>
  </si>
  <si>
    <t>Less: total current liabilities</t>
  </si>
  <si>
    <t>Less: long-term debt</t>
  </si>
  <si>
    <t>Less: other long-term liabilities</t>
  </si>
  <si>
    <t>Less: contingent/off-balance-sheet liabilities</t>
  </si>
  <si>
    <t>Net-net working capital ($mm)</t>
  </si>
  <si>
    <t>Net-net working capital per share</t>
  </si>
  <si>
    <t>Net working capital (current assets less current liabilities) minus all long-term liabilities, a genuine worst-case floor</t>
  </si>
  <si>
    <t>ORDERLY vs. FIRE-SALE LIQUIDATION VALUE (pp. 143-144)</t>
  </si>
  <si>
    <t>Orderly</t>
  </si>
  <si>
    <t>Fire Sale</t>
  </si>
  <si>
    <t>Cash &amp; equivalents (100% both cases)</t>
  </si>
  <si>
    <t>Marketable securities, net of transaction cost</t>
  </si>
  <si>
    <t>Accounts receivable, at recovery %</t>
  </si>
  <si>
    <t>Inventory, at recovery %</t>
  </si>
  <si>
    <t>Other current assets (assume orderly recovery %, both cases)</t>
  </si>
  <si>
    <t>PP&amp;E, at estimated liquidation value (your judgment)</t>
  </si>
  <si>
    <t>Gross liquidation proceeds</t>
  </si>
  <si>
    <t>Less: total liabilities (current + LT + contingent)</t>
  </si>
  <si>
    <t>Net liquidation value ($mm)</t>
  </si>
  <si>
    <t>Net liquidation value per share</t>
  </si>
  <si>
    <t>Private-Market Value &amp; Stock Market Value</t>
  </si>
  <si>
    <t>Subject pretax cash flow ($mm):</t>
  </si>
  <si>
    <t>PRIVATE-MARKET VALUE</t>
  </si>
  <si>
    <t xml:space="preserve">Average multiple </t>
  </si>
  <si>
    <t>Number of comps in that average</t>
  </si>
  <si>
    <t>Implied enterprise value ($mm)</t>
  </si>
  <si>
    <t>Less: total debt</t>
  </si>
  <si>
    <t>Plus: cash &amp; equivalents</t>
  </si>
  <si>
    <t>Implied equity value ($mm)</t>
  </si>
  <si>
    <t>Implied value per share</t>
  </si>
  <si>
    <t>Multiples paid by sophisticated private buyers for comparable whole businesses. These multiples drift with credit availability and buyer discipline.</t>
  </si>
  <si>
    <t>STOCK MARKET VALUE</t>
  </si>
  <si>
    <t>What comparable public companies trade for. Book calls this the least reliable of the three core methods, most useful for closed-end funds, holding companies, or spin-offs.</t>
  </si>
  <si>
    <t>Summary — Range of Value &amp; Margin of Safety</t>
  </si>
  <si>
    <t>Current share price:</t>
  </si>
  <si>
    <t>VALUE ESTIMATES PER SHARE</t>
  </si>
  <si>
    <t>Value / Share</t>
  </si>
  <si>
    <t>Source / Note</t>
  </si>
  <si>
    <t>NPV / DCF — Conservative case, low end</t>
  </si>
  <si>
    <t>Lowest of 6 DCF scenarios on DCF_NPV.</t>
  </si>
  <si>
    <t>NPV / DCF — Moderate case, high end</t>
  </si>
  <si>
    <t>Highest of 6 DCF scenarios on DCF_NPV.</t>
  </si>
  <si>
    <t>Net-net working capital (Graham floor)</t>
  </si>
  <si>
    <t>Undiscounted current assets less every liability (pp. 144-145).</t>
  </si>
  <si>
    <t>Liquidation value — orderly wind-down</t>
  </si>
  <si>
    <t>From the Liquidation tab.</t>
  </si>
  <si>
    <t>Liquidation value — fire sale</t>
  </si>
  <si>
    <t>Private-market value</t>
  </si>
  <si>
    <t>Transaction-multiple comps (pp. 140-142).</t>
  </si>
  <si>
    <t>Stock market value</t>
  </si>
  <si>
    <t>Trading-multiple comps (pp. 145-147).</t>
  </si>
  <si>
    <t>RANGE &amp; MARGIN OF SAFETY</t>
  </si>
  <si>
    <t>Lowest value estimate (most conservative)</t>
  </si>
  <si>
    <t>Highest value estimate</t>
  </si>
  <si>
    <t>Current share price</t>
  </si>
  <si>
    <t>Discount of price to lowest value estimate</t>
  </si>
  <si>
    <t>Your required margin of safety</t>
  </si>
  <si>
    <t>Price at which required margin of safety is met</t>
  </si>
  <si>
    <t>Meets your required margin of safety?</t>
  </si>
  <si>
    <t>Reminder: the book does not prescribe a single required discount — margin of safety is defined as buying cheap enough to absorb your own forecasting error, bad luck, or market decline (Glossary, p. 244). Set the required-margin cell on the Assumptions tab to whatever discount you actually need to sleep at night, and revisit it if your conviction in the inputs above changes.</t>
  </si>
  <si>
    <t>Also revisit the range itself, not just the price: if the seven estimates above disagree sharply, that is itself information (p. 147) — it usually means one or more of your inputs (growth, discount rate, recovery %) deserves more scrutiny before you rely on the average.</t>
  </si>
  <si>
    <t>Quarterly Source Data (as reported in Chegg SEC filings)</t>
  </si>
  <si>
    <t>INCOME STATEMENT, AS REPORTED</t>
  </si>
  <si>
    <t>Period</t>
  </si>
  <si>
    <t>3M Sep-23</t>
  </si>
  <si>
    <t>9M Sep-23</t>
  </si>
  <si>
    <t>FY 2023</t>
  </si>
  <si>
    <t>3M Mar-24</t>
  </si>
  <si>
    <t>3M Jun-24</t>
  </si>
  <si>
    <t>3M Sep-24</t>
  </si>
  <si>
    <t>9M Sep-24</t>
  </si>
  <si>
    <t>FY 2024</t>
  </si>
  <si>
    <t>3M Mar-25</t>
  </si>
  <si>
    <t>3M Jun-25</t>
  </si>
  <si>
    <t>3M Sep-25</t>
  </si>
  <si>
    <t>9M Sep-25</t>
  </si>
  <si>
    <t>FY 2025</t>
  </si>
  <si>
    <t>3M Mar-26</t>
  </si>
  <si>
    <t>3M Jun-26</t>
  </si>
  <si>
    <t>Net revenues</t>
  </si>
  <si>
    <t>Cost of revenues (positive = expense)</t>
  </si>
  <si>
    <t>Research and development</t>
  </si>
  <si>
    <t>Sales and marketing</t>
  </si>
  <si>
    <t>General and administrative</t>
  </si>
  <si>
    <t>Impairment expense</t>
  </si>
  <si>
    <t>Interest expense, net</t>
  </si>
  <si>
    <t>Other income, net</t>
  </si>
  <si>
    <t>(Provision for) benefit from income taxes</t>
  </si>
  <si>
    <t>Net income (loss), as reported</t>
  </si>
  <si>
    <t>EPS, basic ($)</t>
  </si>
  <si>
    <t>EPS, diluted ($)</t>
  </si>
  <si>
    <t>Weighted avg shares, basic (000s)</t>
  </si>
  <si>
    <t>Weighted avg shares, diluted (000s)</t>
  </si>
  <si>
    <t>BALANCE SHEET, AS REPORTED</t>
  </si>
  <si>
    <t>Period end</t>
  </si>
  <si>
    <t>Sep 30, 2023</t>
  </si>
  <si>
    <t>Dec 31, 2023</t>
  </si>
  <si>
    <t>Mar 31, 2024</t>
  </si>
  <si>
    <t>Jun 30, 2024</t>
  </si>
  <si>
    <t>Sep 30, 2024</t>
  </si>
  <si>
    <t>Dec 31, 2024</t>
  </si>
  <si>
    <t>Mar 31, 2025</t>
  </si>
  <si>
    <t>Jun 30, 2025</t>
  </si>
  <si>
    <t>Sep 30, 2025</t>
  </si>
  <si>
    <t>Dec 31, 2025</t>
  </si>
  <si>
    <t>Mar 31, 2026</t>
  </si>
  <si>
    <t>Jun 30, 2026</t>
  </si>
  <si>
    <t>Cash and cash equivalents</t>
  </si>
  <si>
    <t>Short-term investments</t>
  </si>
  <si>
    <t>Accounts receivable, net</t>
  </si>
  <si>
    <t>Prepaid expenses</t>
  </si>
  <si>
    <t>Long-term investments</t>
  </si>
  <si>
    <t>Property and equipment, net</t>
  </si>
  <si>
    <t>Goodwill</t>
  </si>
  <si>
    <t>Intangible assets, net</t>
  </si>
  <si>
    <t>Right of use assets</t>
  </si>
  <si>
    <t>Deferred tax assets</t>
  </si>
  <si>
    <t>Other assets</t>
  </si>
  <si>
    <t>Accounts payable</t>
  </si>
  <si>
    <t>Deferred revenue</t>
  </si>
  <si>
    <t>Accrued liabilities</t>
  </si>
  <si>
    <t>Current portion of convertible senior notes, net</t>
  </si>
  <si>
    <t>Convertible senior notes, net (long-term)</t>
  </si>
  <si>
    <t>Long-term operating lease liabilities</t>
  </si>
  <si>
    <t>Common stock (par)</t>
  </si>
  <si>
    <t>Additional paid-in capital</t>
  </si>
  <si>
    <t>Accumulated other comprehensive loss</t>
  </si>
  <si>
    <t>Accumulated deficit</t>
  </si>
  <si>
    <t>Total assets, as reported</t>
  </si>
  <si>
    <t>Total liabilities, as reported</t>
  </si>
  <si>
    <t>Total stockholders' equity, as reported</t>
  </si>
  <si>
    <t>CASH FLOW STATEMENT, AS REPORTED YEAR-TO-DATE</t>
  </si>
  <si>
    <t>Period (year-to-date)</t>
  </si>
  <si>
    <t>6M Jun-23</t>
  </si>
  <si>
    <t>6M Jun-24</t>
  </si>
  <si>
    <t>6M Jun-25</t>
  </si>
  <si>
    <t>6M Jun-26</t>
  </si>
  <si>
    <t>Net income (loss)</t>
  </si>
  <si>
    <t>Share-based compensation expense</t>
  </si>
  <si>
    <t>Depreciation and amortization expense</t>
  </si>
  <si>
    <t>Deferred income taxes</t>
  </si>
  <si>
    <t>Operating lease expense, net of accretion</t>
  </si>
  <si>
    <t>Amortization of debt issuance costs</t>
  </si>
  <si>
    <t>Loss from write-offs of property and equipment</t>
  </si>
  <si>
    <t>Gain on early extinguishment of debt</t>
  </si>
  <si>
    <t>Realized (gain) loss on sale of investments</t>
  </si>
  <si>
    <t>Impairment of lease related assets</t>
  </si>
  <si>
    <t>Impairment of strategic equity investment</t>
  </si>
  <si>
    <t>Loss contingency / litigation settlement</t>
  </si>
  <si>
    <t>Other non-cash items</t>
  </si>
  <si>
    <t>Change in accounts receivable</t>
  </si>
  <si>
    <t>Change in prepaid expenses and other current assets</t>
  </si>
  <si>
    <t>Change in other assets</t>
  </si>
  <si>
    <t>Change in accounts payable</t>
  </si>
  <si>
    <t>Change in deferred revenue</t>
  </si>
  <si>
    <t>Change in accrued liabilities</t>
  </si>
  <si>
    <t>Change in other liabilities</t>
  </si>
  <si>
    <t>Purchases of property and equipment</t>
  </si>
  <si>
    <t>Proceeds from disposition of textbooks</t>
  </si>
  <si>
    <t>Purchases of investments</t>
  </si>
  <si>
    <t>Maturities of investments</t>
  </si>
  <si>
    <t>Proceeds from sale of investments</t>
  </si>
  <si>
    <t>Proceeds from sale of strategic equity investment</t>
  </si>
  <si>
    <t>Purchase of strategic equity investment</t>
  </si>
  <si>
    <t>Proceeds from common stock issued under stock plans</t>
  </si>
  <si>
    <t>Taxes paid on net share settlement of equity awards</t>
  </si>
  <si>
    <t>Payment of withholding tax</t>
  </si>
  <si>
    <t>Repurchase of common stock</t>
  </si>
  <si>
    <t>Repayment of convertible senior notes</t>
  </si>
  <si>
    <t>Proceeds from capped call</t>
  </si>
  <si>
    <t>Effect of exchange rate changes</t>
  </si>
  <si>
    <t>Net cash from operating activities, as reported</t>
  </si>
  <si>
    <t>Net cash from investing activities, as reported</t>
  </si>
  <si>
    <t>Net cash from financing activities, as reported</t>
  </si>
  <si>
    <t>Quarterly Financial Statements, Last 12 Quarters</t>
  </si>
  <si>
    <t>INCOME STATEMENT</t>
  </si>
  <si>
    <t>Q3 2023</t>
  </si>
  <si>
    <t>Q4 2023</t>
  </si>
  <si>
    <t>Q1 2024</t>
  </si>
  <si>
    <t>Q2 2024</t>
  </si>
  <si>
    <t>Q3 2024</t>
  </si>
  <si>
    <t>Q4 2024</t>
  </si>
  <si>
    <t>Q1 2025</t>
  </si>
  <si>
    <t>Q2 2025</t>
  </si>
  <si>
    <t>Q3 2025</t>
  </si>
  <si>
    <t>Q4 2025</t>
  </si>
  <si>
    <t>Q1 2026</t>
  </si>
  <si>
    <t>Q2 2026</t>
  </si>
  <si>
    <t>LTM</t>
  </si>
  <si>
    <t xml:space="preserve">   YoY growth</t>
  </si>
  <si>
    <t>n/a</t>
  </si>
  <si>
    <t>Cost of revenues</t>
  </si>
  <si>
    <t>Gross profit</t>
  </si>
  <si>
    <t xml:space="preserve">   Gross margin</t>
  </si>
  <si>
    <t>Total operating expenses</t>
  </si>
  <si>
    <t>Operating income (loss)</t>
  </si>
  <si>
    <t xml:space="preserve">   Operating margin</t>
  </si>
  <si>
    <t>Income (loss) before income taxes</t>
  </si>
  <si>
    <t xml:space="preserve">   Net margin</t>
  </si>
  <si>
    <t>EPS, basic</t>
  </si>
  <si>
    <t>EPS, diluted</t>
  </si>
  <si>
    <t>BALANCE SHEET (period end)</t>
  </si>
  <si>
    <t>Total current assets</t>
  </si>
  <si>
    <t>Total assets</t>
  </si>
  <si>
    <t>Total long-term liabilities</t>
  </si>
  <si>
    <t>Total liabilities</t>
  </si>
  <si>
    <t>Total stockholders' equity</t>
  </si>
  <si>
    <t>Total liabilities and stockholders' equity</t>
  </si>
  <si>
    <t>Check: assets less liabilities and equity (should be 0)</t>
  </si>
  <si>
    <t>Check: total assets vs as-reported (should be 0)</t>
  </si>
  <si>
    <t>Memo:</t>
  </si>
  <si>
    <t>Cash + short and long-term investments</t>
  </si>
  <si>
    <t>Total convertible notes (current + long-term)</t>
  </si>
  <si>
    <t>Net cash (debt)</t>
  </si>
  <si>
    <t>Working capital (current assets less current liabilities)</t>
  </si>
  <si>
    <t>CASH FLOW STATEMENT (quarterly, derived from year-to-date filings)</t>
  </si>
  <si>
    <t>Operating activities</t>
  </si>
  <si>
    <t>Net cash from operating activities</t>
  </si>
  <si>
    <t>Investing activities</t>
  </si>
  <si>
    <t>Net cash from investing activities</t>
  </si>
  <si>
    <t>Financing activities</t>
  </si>
  <si>
    <t>Net cash from financing activities</t>
  </si>
  <si>
    <t>Net change in cash, equivalents and restricted cash</t>
  </si>
  <si>
    <t>Check: CFO vs as-reported (should be 0)</t>
  </si>
  <si>
    <t>Free cash flow (CFO less capex)</t>
  </si>
  <si>
    <t>Free cash flow less SBC</t>
  </si>
  <si>
    <t>EBITDA (operating income + D&amp;A)</t>
  </si>
  <si>
    <t xml:space="preserve">   FCF margin</t>
  </si>
  <si>
    <t xml:space="preserve">$ in thousands except per share. </t>
  </si>
  <si>
    <t xml:space="preserve">$ in thousands, except per share.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</si>
</sst>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quot;($&quot;#,##0.00\);\-"/>
    <numFmt numFmtId="165" formatCode="0.0"/>
    <numFmt numFmtId="166" formatCode="\$#,##0;&quot;($&quot;#,##0\);\-"/>
    <numFmt numFmtId="167" formatCode="0.0%"/>
    <numFmt numFmtId="168" formatCode="0.0\x"/>
    <numFmt numFmtId="169" formatCode="0.000%"/>
    <numFmt numFmtId="170" formatCode="#,##0;\(#,##0\);&quot;-&quot;"/>
    <numFmt numFmtId="171" formatCode="\$0.00;\(\$0.00\);&quot;-&quot;"/>
    <numFmt numFmtId="172" formatCode="0.0%;\(0.0%\);&quot;-&quot;"/>
  </numFmts>
  <fonts count="18" x14ac:knownFonts="1">
    <font>
      <sz val="11"/>
      <color theme="1"/>
      <name val="Calibri"/>
      <family val="2"/>
      <charset val="1"/>
    </font>
    <font>
      <b/>
      <sz val="14"/>
      <name val="Arial"/>
      <family val="2"/>
    </font>
    <font>
      <b/>
      <sz val="11"/>
      <color rgb="FFFFFFFF"/>
      <name val="Arial"/>
      <family val="2"/>
    </font>
    <font>
      <sz val="11"/>
      <name val="Arial"/>
      <family val="2"/>
    </font>
    <font>
      <sz val="11"/>
      <color rgb="FF0000FF"/>
      <name val="Arial"/>
      <family val="2"/>
    </font>
    <font>
      <sz val="11"/>
      <color rgb="FF000000"/>
      <name val="Arial"/>
      <family val="2"/>
    </font>
    <font>
      <i/>
      <sz val="9"/>
      <color rgb="FF595959"/>
      <name val="Arial"/>
      <family val="2"/>
    </font>
    <font>
      <b/>
      <sz val="11"/>
      <name val="Arial"/>
      <family val="2"/>
    </font>
    <font>
      <sz val="11"/>
      <color rgb="FF008000"/>
      <name val="Arial"/>
      <family val="2"/>
    </font>
    <font>
      <b/>
      <sz val="11"/>
      <color rgb="FF000000"/>
      <name val="Arial"/>
      <family val="2"/>
    </font>
    <font>
      <b/>
      <sz val="14"/>
      <name val="Arial"/>
      <family val="2"/>
    </font>
    <font>
      <i/>
      <sz val="9"/>
      <color rgb="FF595959"/>
      <name val="Arial"/>
      <family val="2"/>
    </font>
    <font>
      <b/>
      <sz val="11"/>
      <color rgb="FFFFFFFF"/>
      <name val="Arial"/>
      <family val="2"/>
    </font>
    <font>
      <b/>
      <sz val="11"/>
      <name val="Arial"/>
      <family val="2"/>
    </font>
    <font>
      <sz val="11"/>
      <name val="Arial"/>
      <family val="2"/>
    </font>
    <font>
      <sz val="11"/>
      <color rgb="FF0000FF"/>
      <name val="Arial"/>
      <family val="2"/>
    </font>
    <font>
      <b/>
      <sz val="11"/>
      <color rgb="FF008000"/>
      <name val="Arial"/>
      <family val="2"/>
    </font>
    <font>
      <sz val="11"/>
      <color rgb="FF008000"/>
      <name val="Arial"/>
      <family val="2"/>
    </font>
  </fonts>
  <fills count="11">
    <fill>
      <patternFill patternType="none"/>
    </fill>
    <fill>
      <patternFill patternType="gray125"/>
    </fill>
    <fill>
      <patternFill patternType="solid">
        <fgColor rgb="FF1F3864"/>
        <bgColor rgb="FF333399"/>
      </patternFill>
    </fill>
    <fill>
      <patternFill patternType="solid">
        <fgColor rgb="FFFFFF00"/>
        <bgColor rgb="FFFFFF00"/>
      </patternFill>
    </fill>
    <fill>
      <patternFill patternType="solid">
        <fgColor rgb="FFD9E1F2"/>
        <bgColor rgb="FFE2EFDA"/>
      </patternFill>
    </fill>
    <fill>
      <patternFill patternType="solid">
        <fgColor rgb="FFE2EFDA"/>
        <bgColor rgb="FFD9E1F2"/>
      </patternFill>
    </fill>
    <fill>
      <patternFill patternType="solid">
        <fgColor rgb="FFFCE4D6"/>
        <bgColor rgb="FFE2EFDA"/>
      </patternFill>
    </fill>
    <fill>
      <patternFill patternType="solid">
        <fgColor rgb="FF1F3864"/>
      </patternFill>
    </fill>
    <fill>
      <patternFill patternType="solid">
        <fgColor rgb="FFD9E1F2"/>
      </patternFill>
    </fill>
    <fill>
      <patternFill patternType="solid">
        <fgColor rgb="FFFFFF00"/>
      </patternFill>
    </fill>
    <fill>
      <patternFill patternType="solid">
        <fgColor rgb="FFE2EFDA"/>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000000"/>
      </top>
      <bottom/>
      <diagonal/>
    </border>
    <border>
      <left/>
      <right/>
      <top/>
      <bottom/>
      <diagonal/>
    </border>
  </borders>
  <cellStyleXfs count="1">
    <xf numFmtId="0" fontId="0" fillId="0" borderId="0"/>
  </cellStyleXfs>
  <cellXfs count="65">
    <xf numFmtId="0" fontId="0" fillId="0" borderId="0" xfId="0"/>
    <xf numFmtId="0" fontId="3" fillId="0" borderId="0" xfId="0" applyFont="1"/>
    <xf numFmtId="0" fontId="4" fillId="3" borderId="1" xfId="0" applyFont="1" applyFill="1" applyBorder="1"/>
    <xf numFmtId="164" fontId="4" fillId="3" borderId="1" xfId="0" applyNumberFormat="1" applyFont="1" applyFill="1" applyBorder="1"/>
    <xf numFmtId="165" fontId="4" fillId="3" borderId="1" xfId="0" applyNumberFormat="1" applyFont="1" applyFill="1" applyBorder="1"/>
    <xf numFmtId="166" fontId="5" fillId="0" borderId="1" xfId="0" applyNumberFormat="1" applyFont="1" applyBorder="1"/>
    <xf numFmtId="167" fontId="4" fillId="3" borderId="1" xfId="0" applyNumberFormat="1" applyFont="1" applyFill="1" applyBorder="1"/>
    <xf numFmtId="166" fontId="4" fillId="3" borderId="1" xfId="0" applyNumberFormat="1" applyFont="1" applyFill="1" applyBorder="1"/>
    <xf numFmtId="0" fontId="7" fillId="0" borderId="0" xfId="0" applyFont="1"/>
    <xf numFmtId="168" fontId="4" fillId="3" borderId="1" xfId="0" applyNumberFormat="1" applyFont="1" applyFill="1" applyBorder="1"/>
    <xf numFmtId="0" fontId="8" fillId="0" borderId="0" xfId="0" applyFont="1"/>
    <xf numFmtId="0" fontId="7" fillId="4" borderId="1" xfId="0" applyFont="1" applyFill="1" applyBorder="1" applyAlignment="1">
      <alignment horizontal="center"/>
    </xf>
    <xf numFmtId="164" fontId="5" fillId="0" borderId="1" xfId="0" applyNumberFormat="1" applyFont="1" applyBorder="1"/>
    <xf numFmtId="0" fontId="7" fillId="4" borderId="1" xfId="0" applyFont="1" applyFill="1" applyBorder="1" applyAlignment="1">
      <alignment horizontal="center" vertical="center" wrapText="1"/>
    </xf>
    <xf numFmtId="167" fontId="8" fillId="0" borderId="1" xfId="0" applyNumberFormat="1" applyFont="1" applyBorder="1"/>
    <xf numFmtId="164" fontId="9" fillId="5" borderId="1" xfId="0" applyNumberFormat="1" applyFont="1" applyFill="1" applyBorder="1"/>
    <xf numFmtId="0" fontId="7" fillId="4" borderId="0" xfId="0" applyFont="1" applyFill="1"/>
    <xf numFmtId="164" fontId="5" fillId="5" borderId="1" xfId="0" applyNumberFormat="1" applyFont="1" applyFill="1" applyBorder="1"/>
    <xf numFmtId="166" fontId="8" fillId="0" borderId="1" xfId="0" applyNumberFormat="1" applyFont="1" applyBorder="1"/>
    <xf numFmtId="166" fontId="9" fillId="0" borderId="1" xfId="0" applyNumberFormat="1" applyFont="1" applyBorder="1"/>
    <xf numFmtId="168" fontId="8" fillId="0" borderId="1" xfId="0" applyNumberFormat="1" applyFont="1" applyBorder="1"/>
    <xf numFmtId="1" fontId="8" fillId="0" borderId="1" xfId="0" applyNumberFormat="1" applyFont="1" applyBorder="1"/>
    <xf numFmtId="164" fontId="8" fillId="0" borderId="1" xfId="0" applyNumberFormat="1" applyFont="1" applyBorder="1"/>
    <xf numFmtId="164" fontId="8" fillId="5" borderId="1" xfId="0" applyNumberFormat="1" applyFont="1" applyFill="1" applyBorder="1"/>
    <xf numFmtId="167" fontId="5" fillId="0" borderId="1" xfId="0" applyNumberFormat="1" applyFont="1" applyBorder="1"/>
    <xf numFmtId="0" fontId="9" fillId="6" borderId="1" xfId="0" applyFont="1" applyFill="1" applyBorder="1"/>
    <xf numFmtId="169" fontId="4" fillId="3" borderId="1" xfId="0" applyNumberFormat="1" applyFont="1" applyFill="1" applyBorder="1"/>
    <xf numFmtId="0" fontId="6" fillId="0" borderId="0" xfId="0" applyFont="1" applyAlignment="1">
      <alignment vertical="top" wrapText="1"/>
    </xf>
    <xf numFmtId="0" fontId="6" fillId="0" borderId="0" xfId="0" applyFont="1" applyAlignment="1">
      <alignment vertical="top"/>
    </xf>
    <xf numFmtId="0" fontId="7" fillId="4" borderId="0" xfId="0" applyFont="1" applyFill="1" applyAlignment="1">
      <alignment horizontal="center" vertical="center" wrapText="1"/>
    </xf>
    <xf numFmtId="164" fontId="9" fillId="0" borderId="1" xfId="0" applyNumberFormat="1" applyFont="1" applyBorder="1"/>
    <xf numFmtId="0" fontId="0" fillId="2" borderId="0" xfId="0" applyFill="1"/>
    <xf numFmtId="0" fontId="11" fillId="0" borderId="0" xfId="0" applyFont="1"/>
    <xf numFmtId="0" fontId="13" fillId="0" borderId="0" xfId="0" applyFont="1"/>
    <xf numFmtId="168" fontId="15" fillId="9" borderId="1" xfId="0" applyNumberFormat="1" applyFont="1" applyFill="1" applyBorder="1"/>
    <xf numFmtId="0" fontId="11" fillId="0" borderId="0" xfId="0" applyFont="1" applyAlignment="1">
      <alignment vertical="top" wrapText="1"/>
    </xf>
    <xf numFmtId="0" fontId="15" fillId="9" borderId="1" xfId="0" applyFont="1" applyFill="1" applyBorder="1" applyAlignment="1">
      <alignment vertical="top"/>
    </xf>
    <xf numFmtId="168" fontId="15" fillId="9" borderId="1" xfId="0" applyNumberFormat="1" applyFont="1" applyFill="1" applyBorder="1" applyAlignment="1">
      <alignment vertical="top"/>
    </xf>
    <xf numFmtId="0" fontId="15" fillId="9" borderId="1" xfId="0" applyFont="1" applyFill="1" applyBorder="1"/>
    <xf numFmtId="0" fontId="14" fillId="0" borderId="3" xfId="0" applyFont="1" applyBorder="1"/>
    <xf numFmtId="0" fontId="13" fillId="0" borderId="3" xfId="0" applyFont="1" applyBorder="1"/>
    <xf numFmtId="168" fontId="13" fillId="10" borderId="1" xfId="0" applyNumberFormat="1" applyFont="1" applyFill="1" applyBorder="1"/>
    <xf numFmtId="0" fontId="14" fillId="0" borderId="3" xfId="0" applyFont="1" applyBorder="1" applyAlignment="1">
      <alignment vertical="top"/>
    </xf>
    <xf numFmtId="168" fontId="17" fillId="0" borderId="1" xfId="0" applyNumberFormat="1" applyFont="1" applyBorder="1" applyAlignment="1">
      <alignment horizontal="right"/>
    </xf>
    <xf numFmtId="0" fontId="10" fillId="0" borderId="0" xfId="0" applyFont="1"/>
    <xf numFmtId="0" fontId="12" fillId="7" borderId="0" xfId="0" applyFont="1" applyFill="1"/>
    <xf numFmtId="0" fontId="13" fillId="8" borderId="0" xfId="0" applyFont="1" applyFill="1" applyAlignment="1">
      <alignment horizontal="center"/>
    </xf>
    <xf numFmtId="0" fontId="14" fillId="0" borderId="0" xfId="0" applyFont="1"/>
    <xf numFmtId="170" fontId="15" fillId="0" borderId="0" xfId="0" applyNumberFormat="1" applyFont="1"/>
    <xf numFmtId="171" fontId="15" fillId="0" borderId="0" xfId="0" applyNumberFormat="1" applyFont="1"/>
    <xf numFmtId="170" fontId="11" fillId="0" borderId="0" xfId="0" applyNumberFormat="1" applyFont="1"/>
    <xf numFmtId="170" fontId="16" fillId="0" borderId="0" xfId="0" applyNumberFormat="1" applyFont="1"/>
    <xf numFmtId="170" fontId="13" fillId="0" borderId="0" xfId="0" applyNumberFormat="1" applyFont="1"/>
    <xf numFmtId="0" fontId="11" fillId="0" borderId="0" xfId="0" applyFont="1" applyAlignment="1">
      <alignment horizontal="right"/>
    </xf>
    <xf numFmtId="172" fontId="14" fillId="0" borderId="0" xfId="0" applyNumberFormat="1" applyFont="1"/>
    <xf numFmtId="170" fontId="17" fillId="0" borderId="0" xfId="0" applyNumberFormat="1" applyFont="1"/>
    <xf numFmtId="170" fontId="14" fillId="0" borderId="0" xfId="0" applyNumberFormat="1" applyFont="1"/>
    <xf numFmtId="170" fontId="13" fillId="0" borderId="2" xfId="0" applyNumberFormat="1" applyFont="1" applyBorder="1"/>
    <xf numFmtId="170" fontId="14" fillId="0" borderId="2" xfId="0" applyNumberFormat="1" applyFont="1" applyBorder="1"/>
    <xf numFmtId="171" fontId="17" fillId="0" borderId="0" xfId="0" applyNumberFormat="1" applyFont="1"/>
    <xf numFmtId="0" fontId="6" fillId="0" borderId="0" xfId="0" applyFont="1"/>
    <xf numFmtId="0" fontId="1" fillId="0" borderId="0" xfId="0" applyFont="1"/>
    <xf numFmtId="0" fontId="0" fillId="0" borderId="0" xfId="0"/>
    <xf numFmtId="0" fontId="2" fillId="2" borderId="0" xfId="0" applyFont="1" applyFill="1"/>
    <xf numFmtId="0" fontId="6"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CE4D6"/>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BF8F00"/>
      <rgbColor rgb="FFFF6600"/>
      <rgbColor rgb="FF595959"/>
      <rgbColor rgb="FF969696"/>
      <rgbColor rgb="FF1F3864"/>
      <rgbColor rgb="FF2E7D32"/>
      <rgbColor rgb="FF003300"/>
      <rgbColor rgb="FF333300"/>
      <rgbColor rgb="FF833C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06/relationships/rdRichValue" Target="richData/rdrichvalu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SupportingPropertyBagStructure" Target="richData/rdsupportingpropertybagstructure.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ichStyles" Target="richData/richStyle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https://www.bing.com/financeapi/forcetrigger?t=a1plyc&amp;q=XNYS%3aCHGG&amp;form=skydnc</v>
    <v>Learn more on Bing</v>
  </rv>
  <rv s="1">
    <v>en-US</v>
    <v>a1plyc</v>
    <v>268435456</v>
    <v>1</v>
    <v>Powered by Refinitiv</v>
    <v>0</v>
    <v>CHEGG, INC. (XNYS:CHGG)</v>
    <v>2</v>
    <v>3</v>
    <v>Finance</v>
    <v>4</v>
    <v>1.9</v>
    <v>0.45</v>
    <v>2.1684000000000001</v>
    <v>2.4500000000000001E-2</v>
    <v>5.6940000000000003E-3</v>
    <v>3.5226E-2</v>
    <v>4.1000000000000003E-3</v>
    <v>USD</v>
    <v>Chegg, Inc. provides a student-first connected learning platform. The Company provides individualized learning support to students as they pursue their educational journeys. Available on demand 24/7 and powered by quality learning insights, the Chegg platform offers students artificial intelligence (AI)-powered academic support thoughtfully designed for education, coupled with access to a vast network of subject matter experts who help ensure quality and accuracy. Its service and product offerings fall into two categories: Subscription Services, which encompass its Chegg Study Pack, Chegg Study, Chegg Writing, Chegg Math, and Busuu offerings that can be accessed internationally through its websites and on mobile devices, and Skills and Other, which include its Chegg Skills, advertising services, content licensing, print textbooks and eTextbooks offerings. Chegg Study subscribers have access to personalized, step-by-step learning support powered by AI and computational engines.</v>
    <v>564</v>
    <v>New York Stock Exchange</v>
    <v>XNYS</v>
    <v>XNYS</v>
    <v>3990 Freedom Cir, SANTA CLARA, CA, 95054 US</v>
    <v>0.72440000000000004</v>
    <v>Professional &amp; Commercial Services</v>
    <v>Stock</v>
    <v>46286.849501863282</v>
    <v>0</v>
    <v>0.69689999999999996</v>
    <v>79939800</v>
    <v>CHEGG, INC.</v>
    <v>CHEGG, INC.</v>
    <v>0.72</v>
    <v>0.69550000000000001</v>
    <v>0.72</v>
    <v>0.72409999999999997</v>
    <v>111027500</v>
    <v>CHGG</v>
    <v>CHEGG, INC. (XNYS:CHGG)</v>
    <v>595889</v>
    <v>1270537</v>
    <v>2005</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1</v>
      <v>3</v>
      <v>1</v>
      <v>1</v>
      <v>1</v>
      <v>4</v>
      <v>4</v>
      <v>5</v>
      <v>6</v>
      <v>1</v>
      <v>1</v>
      <v>1</v>
      <v>4</v>
      <v>7</v>
      <v>8</v>
      <v>9</v>
      <v>4</v>
      <v>1</v>
      <v>1</v>
      <v>5</v>
    </spb>
    <spb s="4">
      <v>at close</v>
      <v>from previous close</v>
      <v>from previous close</v>
      <v>Source: Nasdaq</v>
      <v>GMT</v>
      <v>Delayed 15 minutes</v>
      <v>from close</v>
      <v>from close</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25"/>
  <sheetViews>
    <sheetView showGridLines="0" workbookViewId="0">
      <pane xSplit="2" ySplit="5" topLeftCell="C15" activePane="bottomRight" state="frozen"/>
      <selection pane="topRight"/>
      <selection pane="bottomLeft"/>
      <selection pane="bottomRight" activeCell="D25" sqref="D25"/>
    </sheetView>
  </sheetViews>
  <sheetFormatPr defaultRowHeight="15" x14ac:dyDescent="0.25"/>
  <cols>
    <col min="1" max="1" width="3" customWidth="1"/>
    <col min="2" max="2" width="50" customWidth="1"/>
    <col min="3" max="14" width="12.42578125" customWidth="1"/>
    <col min="15" max="15" width="14" customWidth="1"/>
  </cols>
  <sheetData>
    <row r="1" spans="1:15" ht="18" x14ac:dyDescent="0.25">
      <c r="A1" s="44" t="s">
        <v>286</v>
      </c>
    </row>
    <row r="2" spans="1:15" x14ac:dyDescent="0.25">
      <c r="B2" s="60" t="s">
        <v>340</v>
      </c>
    </row>
    <row r="4" spans="1:15" x14ac:dyDescent="0.25">
      <c r="A4" s="45" t="s">
        <v>287</v>
      </c>
      <c r="B4" s="45"/>
      <c r="C4" s="45"/>
      <c r="D4" s="45"/>
      <c r="E4" s="45"/>
      <c r="F4" s="45"/>
      <c r="G4" s="45"/>
      <c r="H4" s="45"/>
      <c r="I4" s="45"/>
      <c r="J4" s="45"/>
      <c r="K4" s="45"/>
      <c r="L4" s="45"/>
      <c r="M4" s="45"/>
      <c r="N4" s="45"/>
      <c r="O4" s="45"/>
    </row>
    <row r="5" spans="1:15" x14ac:dyDescent="0.25">
      <c r="C5" s="46" t="s">
        <v>288</v>
      </c>
      <c r="D5" s="46" t="s">
        <v>289</v>
      </c>
      <c r="E5" s="46" t="s">
        <v>290</v>
      </c>
      <c r="F5" s="46" t="s">
        <v>291</v>
      </c>
      <c r="G5" s="46" t="s">
        <v>292</v>
      </c>
      <c r="H5" s="46" t="s">
        <v>293</v>
      </c>
      <c r="I5" s="46" t="s">
        <v>294</v>
      </c>
      <c r="J5" s="46" t="s">
        <v>295</v>
      </c>
      <c r="K5" s="46" t="s">
        <v>296</v>
      </c>
      <c r="L5" s="46" t="s">
        <v>297</v>
      </c>
      <c r="M5" s="46" t="s">
        <v>298</v>
      </c>
      <c r="N5" s="46" t="s">
        <v>299</v>
      </c>
      <c r="O5" s="46" t="s">
        <v>300</v>
      </c>
    </row>
    <row r="6" spans="1:15" x14ac:dyDescent="0.25">
      <c r="B6" s="33" t="s">
        <v>191</v>
      </c>
      <c r="C6" s="51">
        <f>'Qtr Source Data'!C6</f>
        <v>157854</v>
      </c>
      <c r="D6" s="51">
        <f>'Qtr Source Data'!E6-'Qtr Source Data'!D6</f>
        <v>187987</v>
      </c>
      <c r="E6" s="51">
        <f>'Qtr Source Data'!F6</f>
        <v>174350</v>
      </c>
      <c r="F6" s="51">
        <f>'Qtr Source Data'!G6</f>
        <v>163147</v>
      </c>
      <c r="G6" s="51">
        <f>'Qtr Source Data'!H6</f>
        <v>136593</v>
      </c>
      <c r="H6" s="51">
        <f>'Qtr Source Data'!J6-'Qtr Source Data'!I6</f>
        <v>143484</v>
      </c>
      <c r="I6" s="51">
        <f>'Qtr Source Data'!K6</f>
        <v>121387</v>
      </c>
      <c r="J6" s="51">
        <f>'Qtr Source Data'!L6</f>
        <v>105120</v>
      </c>
      <c r="K6" s="51">
        <f>'Qtr Source Data'!M6</f>
        <v>77742</v>
      </c>
      <c r="L6" s="51">
        <f>'Qtr Source Data'!O6-'Qtr Source Data'!N6</f>
        <v>72659</v>
      </c>
      <c r="M6" s="51">
        <f>'Qtr Source Data'!P6</f>
        <v>63262</v>
      </c>
      <c r="N6" s="51">
        <f>'Qtr Source Data'!Q6</f>
        <v>51849</v>
      </c>
      <c r="O6" s="52">
        <f>SUM(K6:N6)</f>
        <v>265512</v>
      </c>
    </row>
    <row r="7" spans="1:15" x14ac:dyDescent="0.25">
      <c r="B7" s="32" t="s">
        <v>301</v>
      </c>
      <c r="C7" s="53" t="s">
        <v>302</v>
      </c>
      <c r="D7" s="53" t="s">
        <v>302</v>
      </c>
      <c r="E7" s="53" t="s">
        <v>302</v>
      </c>
      <c r="F7" s="53" t="s">
        <v>302</v>
      </c>
      <c r="G7" s="54">
        <f>IFERROR(G6/C6-1,"")</f>
        <v>-0.13468774943935535</v>
      </c>
      <c r="H7" s="54">
        <f t="shared" ref="H7:N7" si="0">IFERROR(H6/D6-1,"")</f>
        <v>-0.236734455042104</v>
      </c>
      <c r="I7" s="54">
        <f t="shared" si="0"/>
        <v>-0.30377401778032698</v>
      </c>
      <c r="J7" s="54">
        <f t="shared" si="0"/>
        <v>-0.35567310462343771</v>
      </c>
      <c r="K7" s="54">
        <f t="shared" si="0"/>
        <v>-0.43084931145812744</v>
      </c>
      <c r="L7" s="54">
        <f t="shared" si="0"/>
        <v>-0.49360904351704715</v>
      </c>
      <c r="M7" s="54">
        <f t="shared" si="0"/>
        <v>-0.47884040300855935</v>
      </c>
      <c r="N7" s="54">
        <f t="shared" si="0"/>
        <v>-0.50676369863013693</v>
      </c>
    </row>
    <row r="8" spans="1:15" x14ac:dyDescent="0.25">
      <c r="B8" s="47" t="s">
        <v>303</v>
      </c>
      <c r="C8" s="55">
        <f>'Qtr Source Data'!C7</f>
        <v>83575</v>
      </c>
      <c r="D8" s="55">
        <f>'Qtr Source Data'!E7-'Qtr Source Data'!D7</f>
        <v>45804</v>
      </c>
      <c r="E8" s="55">
        <f>'Qtr Source Data'!F7</f>
        <v>46497</v>
      </c>
      <c r="F8" s="55">
        <f>'Qtr Source Data'!G7</f>
        <v>45411</v>
      </c>
      <c r="G8" s="55">
        <f>'Qtr Source Data'!H7</f>
        <v>43420</v>
      </c>
      <c r="H8" s="55">
        <f>'Qtr Source Data'!J7-'Qtr Source Data'!I7</f>
        <v>45599</v>
      </c>
      <c r="I8" s="55">
        <f>'Qtr Source Data'!K7</f>
        <v>53973</v>
      </c>
      <c r="J8" s="55">
        <f>'Qtr Source Data'!L7</f>
        <v>35478</v>
      </c>
      <c r="K8" s="55">
        <f>'Qtr Source Data'!M7</f>
        <v>31701</v>
      </c>
      <c r="L8" s="55">
        <f>'Qtr Source Data'!O7-'Qtr Source Data'!N7</f>
        <v>30999</v>
      </c>
      <c r="M8" s="55">
        <f>'Qtr Source Data'!P7</f>
        <v>25374</v>
      </c>
      <c r="N8" s="55">
        <f>'Qtr Source Data'!Q7</f>
        <v>23567</v>
      </c>
      <c r="O8" s="56">
        <f>SUM(K8:N8)</f>
        <v>111641</v>
      </c>
    </row>
    <row r="9" spans="1:15" x14ac:dyDescent="0.25">
      <c r="B9" s="33" t="s">
        <v>304</v>
      </c>
      <c r="C9" s="57">
        <f t="shared" ref="C9:O9" si="1">C6-C8</f>
        <v>74279</v>
      </c>
      <c r="D9" s="57">
        <f t="shared" si="1"/>
        <v>142183</v>
      </c>
      <c r="E9" s="57">
        <f t="shared" si="1"/>
        <v>127853</v>
      </c>
      <c r="F9" s="57">
        <f t="shared" si="1"/>
        <v>117736</v>
      </c>
      <c r="G9" s="57">
        <f t="shared" si="1"/>
        <v>93173</v>
      </c>
      <c r="H9" s="57">
        <f t="shared" si="1"/>
        <v>97885</v>
      </c>
      <c r="I9" s="57">
        <f t="shared" si="1"/>
        <v>67414</v>
      </c>
      <c r="J9" s="57">
        <f t="shared" si="1"/>
        <v>69642</v>
      </c>
      <c r="K9" s="57">
        <f t="shared" si="1"/>
        <v>46041</v>
      </c>
      <c r="L9" s="57">
        <f t="shared" si="1"/>
        <v>41660</v>
      </c>
      <c r="M9" s="57">
        <f t="shared" si="1"/>
        <v>37888</v>
      </c>
      <c r="N9" s="57">
        <f t="shared" si="1"/>
        <v>28282</v>
      </c>
      <c r="O9" s="57">
        <f t="shared" si="1"/>
        <v>153871</v>
      </c>
    </row>
    <row r="10" spans="1:15" x14ac:dyDescent="0.25">
      <c r="B10" s="32" t="s">
        <v>305</v>
      </c>
      <c r="C10" s="54">
        <f t="shared" ref="C10:O10" si="2">IFERROR(C9/C6,"")</f>
        <v>0.47055506987469436</v>
      </c>
      <c r="D10" s="54">
        <f t="shared" si="2"/>
        <v>0.75634485363349591</v>
      </c>
      <c r="E10" s="54">
        <f t="shared" si="2"/>
        <v>0.73331230283911675</v>
      </c>
      <c r="F10" s="54">
        <f t="shared" si="2"/>
        <v>0.72165592992822425</v>
      </c>
      <c r="G10" s="54">
        <f t="shared" si="2"/>
        <v>0.6821213385751832</v>
      </c>
      <c r="H10" s="54">
        <f t="shared" si="2"/>
        <v>0.68220149981879508</v>
      </c>
      <c r="I10" s="54">
        <f t="shared" si="2"/>
        <v>0.55536424823086494</v>
      </c>
      <c r="J10" s="54">
        <f t="shared" si="2"/>
        <v>0.66249999999999998</v>
      </c>
      <c r="K10" s="54">
        <f t="shared" si="2"/>
        <v>0.59222813922975992</v>
      </c>
      <c r="L10" s="54">
        <f t="shared" si="2"/>
        <v>0.57336324474600531</v>
      </c>
      <c r="M10" s="54">
        <f t="shared" si="2"/>
        <v>0.59890613638519175</v>
      </c>
      <c r="N10" s="54">
        <f t="shared" si="2"/>
        <v>0.54546857220004241</v>
      </c>
      <c r="O10" s="54">
        <f t="shared" si="2"/>
        <v>0.57952559582994367</v>
      </c>
    </row>
    <row r="11" spans="1:15" x14ac:dyDescent="0.25">
      <c r="B11" s="47" t="s">
        <v>193</v>
      </c>
      <c r="C11" s="55">
        <f>'Qtr Source Data'!C8</f>
        <v>46202</v>
      </c>
      <c r="D11" s="55">
        <f>'Qtr Source Data'!E8-'Qtr Source Data'!D8</f>
        <v>45724</v>
      </c>
      <c r="E11" s="55">
        <f>'Qtr Source Data'!F8</f>
        <v>44435</v>
      </c>
      <c r="F11" s="55">
        <f>'Qtr Source Data'!G8</f>
        <v>43651</v>
      </c>
      <c r="G11" s="55">
        <f>'Qtr Source Data'!H8</f>
        <v>41337</v>
      </c>
      <c r="H11" s="55">
        <f>'Qtr Source Data'!J8-'Qtr Source Data'!I8</f>
        <v>41008</v>
      </c>
      <c r="I11" s="55">
        <f>'Qtr Source Data'!K8</f>
        <v>29428</v>
      </c>
      <c r="J11" s="55">
        <f>'Qtr Source Data'!L8</f>
        <v>28717</v>
      </c>
      <c r="K11" s="55">
        <f>'Qtr Source Data'!M8</f>
        <v>18350</v>
      </c>
      <c r="L11" s="55">
        <f>'Qtr Source Data'!O8-'Qtr Source Data'!N8</f>
        <v>16958</v>
      </c>
      <c r="M11" s="55">
        <f>'Qtr Source Data'!P8</f>
        <v>9139</v>
      </c>
      <c r="N11" s="55">
        <f>'Qtr Source Data'!Q8</f>
        <v>7398</v>
      </c>
      <c r="O11" s="56">
        <f>SUM(K11:N11)</f>
        <v>51845</v>
      </c>
    </row>
    <row r="12" spans="1:15" x14ac:dyDescent="0.25">
      <c r="B12" s="47" t="s">
        <v>194</v>
      </c>
      <c r="C12" s="55">
        <f>'Qtr Source Data'!C9</f>
        <v>28872</v>
      </c>
      <c r="D12" s="55">
        <f>'Qtr Source Data'!E9-'Qtr Source Data'!D9</f>
        <v>29746</v>
      </c>
      <c r="E12" s="55">
        <f>'Qtr Source Data'!F9</f>
        <v>30375</v>
      </c>
      <c r="F12" s="55">
        <f>'Qtr Source Data'!G9</f>
        <v>23545</v>
      </c>
      <c r="G12" s="55">
        <f>'Qtr Source Data'!H9</f>
        <v>26508</v>
      </c>
      <c r="H12" s="55">
        <f>'Qtr Source Data'!J9-'Qtr Source Data'!I9</f>
        <v>27901</v>
      </c>
      <c r="I12" s="55">
        <f>'Qtr Source Data'!K9</f>
        <v>25614</v>
      </c>
      <c r="J12" s="55">
        <f>'Qtr Source Data'!L9</f>
        <v>17417</v>
      </c>
      <c r="K12" s="55">
        <f>'Qtr Source Data'!M9</f>
        <v>11583</v>
      </c>
      <c r="L12" s="55">
        <f>'Qtr Source Data'!O9-'Qtr Source Data'!N9</f>
        <v>14140</v>
      </c>
      <c r="M12" s="55">
        <f>'Qtr Source Data'!P9</f>
        <v>10606</v>
      </c>
      <c r="N12" s="55">
        <f>'Qtr Source Data'!Q9</f>
        <v>9468</v>
      </c>
      <c r="O12" s="56">
        <f>SUM(K12:N12)</f>
        <v>45797</v>
      </c>
    </row>
    <row r="13" spans="1:15" x14ac:dyDescent="0.25">
      <c r="B13" s="47" t="s">
        <v>195</v>
      </c>
      <c r="C13" s="55">
        <f>'Qtr Source Data'!C10</f>
        <v>53475</v>
      </c>
      <c r="D13" s="55">
        <f>'Qtr Source Data'!E10-'Qtr Source Data'!D10</f>
        <v>53426</v>
      </c>
      <c r="E13" s="55">
        <f>'Qtr Source Data'!F10</f>
        <v>55534</v>
      </c>
      <c r="F13" s="55">
        <f>'Qtr Source Data'!G10</f>
        <v>54016</v>
      </c>
      <c r="G13" s="55">
        <f>'Qtr Source Data'!H10</f>
        <v>51910</v>
      </c>
      <c r="H13" s="55">
        <f>'Qtr Source Data'!J10-'Qtr Source Data'!I10</f>
        <v>56296</v>
      </c>
      <c r="I13" s="55">
        <f>'Qtr Source Data'!K10</f>
        <v>39374</v>
      </c>
      <c r="J13" s="55">
        <f>'Qtr Source Data'!L10</f>
        <v>59966</v>
      </c>
      <c r="K13" s="55">
        <f>'Qtr Source Data'!M10</f>
        <v>33232</v>
      </c>
      <c r="L13" s="55">
        <f>'Qtr Source Data'!O10-'Qtr Source Data'!N10</f>
        <v>44834</v>
      </c>
      <c r="M13" s="55">
        <f>'Qtr Source Data'!P10</f>
        <v>19180</v>
      </c>
      <c r="N13" s="55">
        <f>'Qtr Source Data'!Q10</f>
        <v>14591</v>
      </c>
      <c r="O13" s="56">
        <f>SUM(K13:N13)</f>
        <v>111837</v>
      </c>
    </row>
    <row r="14" spans="1:15" x14ac:dyDescent="0.25">
      <c r="B14" s="47" t="s">
        <v>196</v>
      </c>
      <c r="C14" s="55">
        <f>'Qtr Source Data'!C11</f>
        <v>3600</v>
      </c>
      <c r="D14" s="55">
        <f>'Qtr Source Data'!E11-'Qtr Source Data'!D11</f>
        <v>0</v>
      </c>
      <c r="E14" s="55">
        <f>'Qtr Source Data'!F11</f>
        <v>0</v>
      </c>
      <c r="F14" s="55">
        <f>'Qtr Source Data'!G11</f>
        <v>481531</v>
      </c>
      <c r="G14" s="55">
        <f>'Qtr Source Data'!H11</f>
        <v>195708</v>
      </c>
      <c r="H14" s="55">
        <f>'Qtr Source Data'!J11-'Qtr Source Data'!I11</f>
        <v>0</v>
      </c>
      <c r="I14" s="55">
        <f>'Qtr Source Data'!K11</f>
        <v>2000</v>
      </c>
      <c r="J14" s="55">
        <f>'Qtr Source Data'!L11</f>
        <v>0</v>
      </c>
      <c r="K14" s="55">
        <f>'Qtr Source Data'!M11</f>
        <v>0</v>
      </c>
      <c r="L14" s="55">
        <f>'Qtr Source Data'!O11-'Qtr Source Data'!N11</f>
        <v>0</v>
      </c>
      <c r="M14" s="55">
        <f>'Qtr Source Data'!P11</f>
        <v>0</v>
      </c>
      <c r="N14" s="55">
        <f>'Qtr Source Data'!Q11</f>
        <v>0</v>
      </c>
      <c r="O14" s="56">
        <f>SUM(K14:N14)</f>
        <v>0</v>
      </c>
    </row>
    <row r="15" spans="1:15" x14ac:dyDescent="0.25">
      <c r="B15" s="47" t="s">
        <v>306</v>
      </c>
      <c r="C15" s="58">
        <f t="shared" ref="C15:O15" si="3">SUM(C11:C14)</f>
        <v>132149</v>
      </c>
      <c r="D15" s="58">
        <f t="shared" si="3"/>
        <v>128896</v>
      </c>
      <c r="E15" s="58">
        <f t="shared" si="3"/>
        <v>130344</v>
      </c>
      <c r="F15" s="58">
        <f t="shared" si="3"/>
        <v>602743</v>
      </c>
      <c r="G15" s="58">
        <f t="shared" si="3"/>
        <v>315463</v>
      </c>
      <c r="H15" s="58">
        <f t="shared" si="3"/>
        <v>125205</v>
      </c>
      <c r="I15" s="58">
        <f t="shared" si="3"/>
        <v>96416</v>
      </c>
      <c r="J15" s="58">
        <f t="shared" si="3"/>
        <v>106100</v>
      </c>
      <c r="K15" s="58">
        <f t="shared" si="3"/>
        <v>63165</v>
      </c>
      <c r="L15" s="58">
        <f t="shared" si="3"/>
        <v>75932</v>
      </c>
      <c r="M15" s="58">
        <f t="shared" si="3"/>
        <v>38925</v>
      </c>
      <c r="N15" s="58">
        <f t="shared" si="3"/>
        <v>31457</v>
      </c>
      <c r="O15" s="58">
        <f t="shared" si="3"/>
        <v>209479</v>
      </c>
    </row>
    <row r="16" spans="1:15" x14ac:dyDescent="0.25">
      <c r="B16" s="33" t="s">
        <v>307</v>
      </c>
      <c r="C16" s="52">
        <f t="shared" ref="C16:O16" si="4">C9-C15</f>
        <v>-57870</v>
      </c>
      <c r="D16" s="52">
        <f t="shared" si="4"/>
        <v>13287</v>
      </c>
      <c r="E16" s="52">
        <f t="shared" si="4"/>
        <v>-2491</v>
      </c>
      <c r="F16" s="52">
        <f t="shared" si="4"/>
        <v>-485007</v>
      </c>
      <c r="G16" s="52">
        <f t="shared" si="4"/>
        <v>-222290</v>
      </c>
      <c r="H16" s="52">
        <f t="shared" si="4"/>
        <v>-27320</v>
      </c>
      <c r="I16" s="52">
        <f t="shared" si="4"/>
        <v>-29002</v>
      </c>
      <c r="J16" s="52">
        <f t="shared" si="4"/>
        <v>-36458</v>
      </c>
      <c r="K16" s="52">
        <f t="shared" si="4"/>
        <v>-17124</v>
      </c>
      <c r="L16" s="52">
        <f t="shared" si="4"/>
        <v>-34272</v>
      </c>
      <c r="M16" s="52">
        <f t="shared" si="4"/>
        <v>-1037</v>
      </c>
      <c r="N16" s="52">
        <f t="shared" si="4"/>
        <v>-3175</v>
      </c>
      <c r="O16" s="52">
        <f t="shared" si="4"/>
        <v>-55608</v>
      </c>
    </row>
    <row r="17" spans="1:15" x14ac:dyDescent="0.25">
      <c r="B17" s="32" t="s">
        <v>308</v>
      </c>
      <c r="C17" s="54">
        <f t="shared" ref="C17:O17" si="5">IFERROR(C16/C6,"")</f>
        <v>-0.36660458398266754</v>
      </c>
      <c r="D17" s="54">
        <f t="shared" si="5"/>
        <v>7.0680419390702548E-2</v>
      </c>
      <c r="E17" s="54">
        <f t="shared" si="5"/>
        <v>-1.4287353025523373E-2</v>
      </c>
      <c r="F17" s="54">
        <f t="shared" si="5"/>
        <v>-2.9728220561824612</v>
      </c>
      <c r="G17" s="54">
        <f t="shared" si="5"/>
        <v>-1.6273893976997358</v>
      </c>
      <c r="H17" s="54">
        <f t="shared" si="5"/>
        <v>-0.19040450503191994</v>
      </c>
      <c r="I17" s="54">
        <f t="shared" si="5"/>
        <v>-0.23892179557942778</v>
      </c>
      <c r="J17" s="54">
        <f t="shared" si="5"/>
        <v>-0.34682267884322676</v>
      </c>
      <c r="K17" s="54">
        <f t="shared" si="5"/>
        <v>-0.22026703712279078</v>
      </c>
      <c r="L17" s="54">
        <f t="shared" si="5"/>
        <v>-0.47168279222119763</v>
      </c>
      <c r="M17" s="54">
        <f t="shared" si="5"/>
        <v>-1.6392146944453227E-2</v>
      </c>
      <c r="N17" s="54">
        <f t="shared" si="5"/>
        <v>-6.1235510810237419E-2</v>
      </c>
      <c r="O17" s="54">
        <f t="shared" si="5"/>
        <v>-0.20943686161077466</v>
      </c>
    </row>
    <row r="18" spans="1:15" x14ac:dyDescent="0.25">
      <c r="B18" s="47" t="s">
        <v>197</v>
      </c>
      <c r="C18" s="55">
        <f>'Qtr Source Data'!C12</f>
        <v>-733</v>
      </c>
      <c r="D18" s="55">
        <f>'Qtr Source Data'!E12-'Qtr Source Data'!D12</f>
        <v>-658</v>
      </c>
      <c r="E18" s="55">
        <f>'Qtr Source Data'!F12</f>
        <v>-650</v>
      </c>
      <c r="F18" s="55">
        <f>'Qtr Source Data'!G12</f>
        <v>-651</v>
      </c>
      <c r="G18" s="55">
        <f>'Qtr Source Data'!H12</f>
        <v>-658</v>
      </c>
      <c r="H18" s="55">
        <f>'Qtr Source Data'!J12-'Qtr Source Data'!I12</f>
        <v>-631</v>
      </c>
      <c r="I18" s="55">
        <f>'Qtr Source Data'!K12</f>
        <v>-467</v>
      </c>
      <c r="J18" s="55">
        <f>'Qtr Source Data'!L12</f>
        <v>-41</v>
      </c>
      <c r="K18" s="55">
        <f>'Qtr Source Data'!M12</f>
        <v>-41</v>
      </c>
      <c r="L18" s="55">
        <f>'Qtr Source Data'!O12-'Qtr Source Data'!N12</f>
        <v>-41</v>
      </c>
      <c r="M18" s="55">
        <f>'Qtr Source Data'!P12</f>
        <v>-31</v>
      </c>
      <c r="N18" s="55">
        <f>'Qtr Source Data'!Q12</f>
        <v>-22</v>
      </c>
      <c r="O18" s="56">
        <f>SUM(K18:N18)</f>
        <v>-135</v>
      </c>
    </row>
    <row r="19" spans="1:15" x14ac:dyDescent="0.25">
      <c r="B19" s="47" t="s">
        <v>198</v>
      </c>
      <c r="C19" s="55">
        <f>'Qtr Source Data'!C13</f>
        <v>40492</v>
      </c>
      <c r="D19" s="55">
        <f>'Qtr Source Data'!E13-'Qtr Source Data'!D13</f>
        <v>5139</v>
      </c>
      <c r="E19" s="55">
        <f>'Qtr Source Data'!F13</f>
        <v>10780</v>
      </c>
      <c r="F19" s="55">
        <f>'Qtr Source Data'!G13</f>
        <v>7119</v>
      </c>
      <c r="G19" s="55">
        <f>'Qtr Source Data'!H13</f>
        <v>7586</v>
      </c>
      <c r="H19" s="55">
        <f>'Qtr Source Data'!J13-'Qtr Source Data'!I13</f>
        <v>25847</v>
      </c>
      <c r="I19" s="55">
        <f>'Qtr Source Data'!K13</f>
        <v>12997</v>
      </c>
      <c r="J19" s="55">
        <f>'Qtr Source Data'!L13</f>
        <v>2059</v>
      </c>
      <c r="K19" s="55">
        <f>'Qtr Source Data'!M13</f>
        <v>1377</v>
      </c>
      <c r="L19" s="55">
        <f>'Qtr Source Data'!O13-'Qtr Source Data'!N13</f>
        <v>871</v>
      </c>
      <c r="M19" s="55">
        <f>'Qtr Source Data'!P13</f>
        <v>1156</v>
      </c>
      <c r="N19" s="55">
        <f>'Qtr Source Data'!Q13</f>
        <v>638</v>
      </c>
      <c r="O19" s="56">
        <f>SUM(K19:N19)</f>
        <v>4042</v>
      </c>
    </row>
    <row r="20" spans="1:15" x14ac:dyDescent="0.25">
      <c r="B20" s="47" t="s">
        <v>309</v>
      </c>
      <c r="C20" s="58">
        <f t="shared" ref="C20:O20" si="6">C16+C18+C19</f>
        <v>-18111</v>
      </c>
      <c r="D20" s="58">
        <f t="shared" si="6"/>
        <v>17768</v>
      </c>
      <c r="E20" s="58">
        <f t="shared" si="6"/>
        <v>7639</v>
      </c>
      <c r="F20" s="58">
        <f t="shared" si="6"/>
        <v>-478539</v>
      </c>
      <c r="G20" s="58">
        <f t="shared" si="6"/>
        <v>-215362</v>
      </c>
      <c r="H20" s="58">
        <f t="shared" si="6"/>
        <v>-2104</v>
      </c>
      <c r="I20" s="58">
        <f t="shared" si="6"/>
        <v>-16472</v>
      </c>
      <c r="J20" s="58">
        <f t="shared" si="6"/>
        <v>-34440</v>
      </c>
      <c r="K20" s="58">
        <f t="shared" si="6"/>
        <v>-15788</v>
      </c>
      <c r="L20" s="58">
        <f t="shared" si="6"/>
        <v>-33442</v>
      </c>
      <c r="M20" s="58">
        <f t="shared" si="6"/>
        <v>88</v>
      </c>
      <c r="N20" s="58">
        <f t="shared" si="6"/>
        <v>-2559</v>
      </c>
      <c r="O20" s="58">
        <f t="shared" si="6"/>
        <v>-51701</v>
      </c>
    </row>
    <row r="21" spans="1:15" x14ac:dyDescent="0.25">
      <c r="B21" s="47" t="s">
        <v>199</v>
      </c>
      <c r="C21" s="55">
        <f>'Qtr Source Data'!C14</f>
        <v>-172</v>
      </c>
      <c r="D21" s="55">
        <f>'Qtr Source Data'!E14-'Qtr Source Data'!D14</f>
        <v>-8103</v>
      </c>
      <c r="E21" s="55">
        <f>'Qtr Source Data'!F14</f>
        <v>-9059</v>
      </c>
      <c r="F21" s="55">
        <f>'Qtr Source Data'!G14</f>
        <v>-138345</v>
      </c>
      <c r="G21" s="55">
        <f>'Qtr Source Data'!H14</f>
        <v>2723</v>
      </c>
      <c r="H21" s="55">
        <f>'Qtr Source Data'!J14-'Qtr Source Data'!I14</f>
        <v>-4021</v>
      </c>
      <c r="I21" s="55">
        <f>'Qtr Source Data'!K14</f>
        <v>-1012</v>
      </c>
      <c r="J21" s="55">
        <f>'Qtr Source Data'!L14</f>
        <v>-1223</v>
      </c>
      <c r="K21" s="55">
        <f>'Qtr Source Data'!M14</f>
        <v>-1683</v>
      </c>
      <c r="L21" s="55">
        <f>'Qtr Source Data'!O14-'Qtr Source Data'!N14</f>
        <v>639</v>
      </c>
      <c r="M21" s="55">
        <f>'Qtr Source Data'!P14</f>
        <v>140</v>
      </c>
      <c r="N21" s="55">
        <f>'Qtr Source Data'!Q14</f>
        <v>-392</v>
      </c>
      <c r="O21" s="56">
        <f>SUM(K21:N21)</f>
        <v>-1296</v>
      </c>
    </row>
    <row r="22" spans="1:15" x14ac:dyDescent="0.25">
      <c r="B22" s="33" t="s">
        <v>249</v>
      </c>
      <c r="C22" s="57">
        <f t="shared" ref="C22:O22" si="7">C20+C21</f>
        <v>-18283</v>
      </c>
      <c r="D22" s="57">
        <f t="shared" si="7"/>
        <v>9665</v>
      </c>
      <c r="E22" s="57">
        <f t="shared" si="7"/>
        <v>-1420</v>
      </c>
      <c r="F22" s="57">
        <f t="shared" si="7"/>
        <v>-616884</v>
      </c>
      <c r="G22" s="57">
        <f t="shared" si="7"/>
        <v>-212639</v>
      </c>
      <c r="H22" s="57">
        <f t="shared" si="7"/>
        <v>-6125</v>
      </c>
      <c r="I22" s="57">
        <f t="shared" si="7"/>
        <v>-17484</v>
      </c>
      <c r="J22" s="57">
        <f t="shared" si="7"/>
        <v>-35663</v>
      </c>
      <c r="K22" s="57">
        <f t="shared" si="7"/>
        <v>-17471</v>
      </c>
      <c r="L22" s="57">
        <f t="shared" si="7"/>
        <v>-32803</v>
      </c>
      <c r="M22" s="57">
        <f t="shared" si="7"/>
        <v>228</v>
      </c>
      <c r="N22" s="57">
        <f t="shared" si="7"/>
        <v>-2951</v>
      </c>
      <c r="O22" s="57">
        <f t="shared" si="7"/>
        <v>-52997</v>
      </c>
    </row>
    <row r="23" spans="1:15" x14ac:dyDescent="0.25">
      <c r="B23" s="32" t="s">
        <v>310</v>
      </c>
      <c r="C23" s="54">
        <f t="shared" ref="C23:O23" si="8">IFERROR(C22/C6,"")</f>
        <v>-0.11582221546492329</v>
      </c>
      <c r="D23" s="54">
        <f t="shared" si="8"/>
        <v>5.1413129631304295E-2</v>
      </c>
      <c r="E23" s="54">
        <f t="shared" si="8"/>
        <v>-8.1445368511614564E-3</v>
      </c>
      <c r="F23" s="54">
        <f t="shared" si="8"/>
        <v>-3.7811544190208832</v>
      </c>
      <c r="G23" s="54">
        <f t="shared" si="8"/>
        <v>-1.5567342396755324</v>
      </c>
      <c r="H23" s="54">
        <f t="shared" si="8"/>
        <v>-4.2687686431936663E-2</v>
      </c>
      <c r="I23" s="54">
        <f t="shared" si="8"/>
        <v>-0.14403519322497466</v>
      </c>
      <c r="J23" s="54">
        <f t="shared" si="8"/>
        <v>-0.33925989345509894</v>
      </c>
      <c r="K23" s="54">
        <f t="shared" si="8"/>
        <v>-0.22473051889583495</v>
      </c>
      <c r="L23" s="54">
        <f t="shared" si="8"/>
        <v>-0.45146506282772952</v>
      </c>
      <c r="M23" s="54">
        <f t="shared" si="8"/>
        <v>3.6040593089058204E-3</v>
      </c>
      <c r="N23" s="54">
        <f t="shared" si="8"/>
        <v>-5.69152731971687E-2</v>
      </c>
      <c r="O23" s="54">
        <f t="shared" si="8"/>
        <v>-0.19960303112477026</v>
      </c>
    </row>
    <row r="24" spans="1:15" x14ac:dyDescent="0.25">
      <c r="B24" s="47" t="s">
        <v>311</v>
      </c>
      <c r="C24" s="59">
        <f>'Qtr Source Data'!C16</f>
        <v>-0.16</v>
      </c>
      <c r="D24" s="53" t="s">
        <v>302</v>
      </c>
      <c r="E24" s="59">
        <f>'Qtr Source Data'!F16</f>
        <v>-0.01</v>
      </c>
      <c r="F24" s="59">
        <f>'Qtr Source Data'!G16</f>
        <v>-6.01</v>
      </c>
      <c r="G24" s="59">
        <f>'Qtr Source Data'!H16</f>
        <v>-2.0499999999999998</v>
      </c>
      <c r="H24" s="53" t="s">
        <v>302</v>
      </c>
      <c r="I24" s="59">
        <f>'Qtr Source Data'!K16</f>
        <v>-0.17</v>
      </c>
      <c r="J24" s="59">
        <f>'Qtr Source Data'!L16</f>
        <v>-0.33</v>
      </c>
      <c r="K24" s="59">
        <f>'Qtr Source Data'!M16</f>
        <v>-0.16</v>
      </c>
      <c r="L24" s="53" t="s">
        <v>302</v>
      </c>
      <c r="M24" s="59">
        <f>'Qtr Source Data'!P16</f>
        <v>0</v>
      </c>
      <c r="N24" s="59">
        <f>'Qtr Source Data'!Q16</f>
        <v>-0.03</v>
      </c>
    </row>
    <row r="25" spans="1:15" x14ac:dyDescent="0.25">
      <c r="B25" s="47" t="s">
        <v>312</v>
      </c>
      <c r="C25" s="59">
        <f>'Qtr Source Data'!C17</f>
        <v>-0.16</v>
      </c>
      <c r="D25" s="53" t="s">
        <v>302</v>
      </c>
      <c r="E25" s="59">
        <f>'Qtr Source Data'!F17</f>
        <v>-0.01</v>
      </c>
      <c r="F25" s="59">
        <f>'Qtr Source Data'!G17</f>
        <v>-6.01</v>
      </c>
      <c r="G25" s="59">
        <f>'Qtr Source Data'!H17</f>
        <v>-2.0499999999999998</v>
      </c>
      <c r="H25" s="53" t="s">
        <v>302</v>
      </c>
      <c r="I25" s="59">
        <f>'Qtr Source Data'!K17</f>
        <v>-0.17</v>
      </c>
      <c r="J25" s="59">
        <f>'Qtr Source Data'!L17</f>
        <v>-0.33</v>
      </c>
      <c r="K25" s="59">
        <f>'Qtr Source Data'!M17</f>
        <v>-0.16</v>
      </c>
      <c r="L25" s="53" t="s">
        <v>302</v>
      </c>
      <c r="M25" s="59">
        <f>'Qtr Source Data'!P17</f>
        <v>0</v>
      </c>
      <c r="N25" s="59">
        <f>'Qtr Source Data'!Q17</f>
        <v>-0.03</v>
      </c>
    </row>
    <row r="26" spans="1:15" x14ac:dyDescent="0.25">
      <c r="B26" s="47" t="s">
        <v>203</v>
      </c>
      <c r="C26" s="55">
        <f>'Qtr Source Data'!C18</f>
        <v>115407</v>
      </c>
      <c r="D26" s="53" t="s">
        <v>302</v>
      </c>
      <c r="E26" s="55">
        <f>'Qtr Source Data'!F18</f>
        <v>102343</v>
      </c>
      <c r="F26" s="55">
        <f>'Qtr Source Data'!G18</f>
        <v>102604</v>
      </c>
      <c r="G26" s="55">
        <f>'Qtr Source Data'!H18</f>
        <v>103723</v>
      </c>
      <c r="H26" s="53" t="s">
        <v>302</v>
      </c>
      <c r="I26" s="55">
        <f>'Qtr Source Data'!K18</f>
        <v>105159</v>
      </c>
      <c r="J26" s="55">
        <f>'Qtr Source Data'!L18</f>
        <v>106908</v>
      </c>
      <c r="K26" s="55">
        <f>'Qtr Source Data'!M18</f>
        <v>108450</v>
      </c>
      <c r="L26" s="53" t="s">
        <v>302</v>
      </c>
      <c r="M26" s="55">
        <f>'Qtr Source Data'!P18</f>
        <v>111726</v>
      </c>
      <c r="N26" s="55">
        <f>'Qtr Source Data'!Q18</f>
        <v>111422</v>
      </c>
    </row>
    <row r="27" spans="1:15" x14ac:dyDescent="0.25">
      <c r="B27" s="47" t="s">
        <v>204</v>
      </c>
      <c r="C27" s="55">
        <f>'Qtr Source Data'!C19</f>
        <v>115407</v>
      </c>
      <c r="D27" s="53" t="s">
        <v>302</v>
      </c>
      <c r="E27" s="55">
        <f>'Qtr Source Data'!F19</f>
        <v>102343</v>
      </c>
      <c r="F27" s="55">
        <f>'Qtr Source Data'!G19</f>
        <v>102604</v>
      </c>
      <c r="G27" s="55">
        <f>'Qtr Source Data'!H19</f>
        <v>103723</v>
      </c>
      <c r="H27" s="53" t="s">
        <v>302</v>
      </c>
      <c r="I27" s="55">
        <f>'Qtr Source Data'!K19</f>
        <v>105159</v>
      </c>
      <c r="J27" s="55">
        <f>'Qtr Source Data'!L19</f>
        <v>106908</v>
      </c>
      <c r="K27" s="55">
        <f>'Qtr Source Data'!M19</f>
        <v>108450</v>
      </c>
      <c r="L27" s="53" t="s">
        <v>302</v>
      </c>
      <c r="M27" s="55">
        <f>'Qtr Source Data'!P19</f>
        <v>112130</v>
      </c>
      <c r="N27" s="55">
        <f>'Qtr Source Data'!Q19</f>
        <v>111422</v>
      </c>
    </row>
    <row r="29" spans="1:15" x14ac:dyDescent="0.25">
      <c r="A29" s="45" t="s">
        <v>313</v>
      </c>
      <c r="B29" s="45"/>
      <c r="C29" s="45"/>
      <c r="D29" s="45"/>
      <c r="E29" s="45"/>
      <c r="F29" s="45"/>
      <c r="G29" s="45"/>
      <c r="H29" s="45"/>
      <c r="I29" s="45"/>
      <c r="J29" s="45"/>
      <c r="K29" s="45"/>
      <c r="L29" s="45"/>
      <c r="M29" s="45"/>
      <c r="N29" s="45"/>
      <c r="O29" s="45"/>
    </row>
    <row r="30" spans="1:15" x14ac:dyDescent="0.25">
      <c r="C30" s="46" t="s">
        <v>288</v>
      </c>
      <c r="D30" s="46" t="s">
        <v>289</v>
      </c>
      <c r="E30" s="46" t="s">
        <v>290</v>
      </c>
      <c r="F30" s="46" t="s">
        <v>291</v>
      </c>
      <c r="G30" s="46" t="s">
        <v>292</v>
      </c>
      <c r="H30" s="46" t="s">
        <v>293</v>
      </c>
      <c r="I30" s="46" t="s">
        <v>294</v>
      </c>
      <c r="J30" s="46" t="s">
        <v>295</v>
      </c>
      <c r="K30" s="46" t="s">
        <v>296</v>
      </c>
      <c r="L30" s="46" t="s">
        <v>297</v>
      </c>
      <c r="M30" s="46" t="s">
        <v>298</v>
      </c>
      <c r="N30" s="46" t="s">
        <v>299</v>
      </c>
    </row>
    <row r="31" spans="1:15" x14ac:dyDescent="0.25">
      <c r="B31" s="47" t="s">
        <v>219</v>
      </c>
      <c r="C31" s="55">
        <f>'Qtr Source Data'!C24</f>
        <v>94419</v>
      </c>
      <c r="D31" s="55">
        <f>'Qtr Source Data'!D24</f>
        <v>135757</v>
      </c>
      <c r="E31" s="55">
        <f>'Qtr Source Data'!E24</f>
        <v>143747</v>
      </c>
      <c r="F31" s="55">
        <f>'Qtr Source Data'!F24</f>
        <v>133068</v>
      </c>
      <c r="G31" s="55">
        <f>'Qtr Source Data'!G24</f>
        <v>152073</v>
      </c>
      <c r="H31" s="55">
        <f>'Qtr Source Data'!H24</f>
        <v>161475</v>
      </c>
      <c r="I31" s="55">
        <f>'Qtr Source Data'!I24</f>
        <v>44105</v>
      </c>
      <c r="J31" s="55">
        <f>'Qtr Source Data'!J24</f>
        <v>36825</v>
      </c>
      <c r="K31" s="55">
        <f>'Qtr Source Data'!K24</f>
        <v>38180</v>
      </c>
      <c r="L31" s="55">
        <f>'Qtr Source Data'!L24</f>
        <v>31146</v>
      </c>
      <c r="M31" s="55">
        <f>'Qtr Source Data'!M24</f>
        <v>33526</v>
      </c>
      <c r="N31" s="55">
        <f>'Qtr Source Data'!N24</f>
        <v>44623</v>
      </c>
    </row>
    <row r="32" spans="1:15" x14ac:dyDescent="0.25">
      <c r="B32" s="47" t="s">
        <v>220</v>
      </c>
      <c r="C32" s="55">
        <f>'Qtr Source Data'!C25</f>
        <v>166841</v>
      </c>
      <c r="D32" s="55">
        <f>'Qtr Source Data'!D25</f>
        <v>194257</v>
      </c>
      <c r="E32" s="55">
        <f>'Qtr Source Data'!E25</f>
        <v>247013</v>
      </c>
      <c r="F32" s="55">
        <f>'Qtr Source Data'!F25</f>
        <v>212396</v>
      </c>
      <c r="G32" s="55">
        <f>'Qtr Source Data'!G25</f>
        <v>209003</v>
      </c>
      <c r="H32" s="55">
        <f>'Qtr Source Data'!H25</f>
        <v>154249</v>
      </c>
      <c r="I32" s="55">
        <f>'Qtr Source Data'!I25</f>
        <v>44188</v>
      </c>
      <c r="J32" s="55">
        <f>'Qtr Source Data'!J25</f>
        <v>48815</v>
      </c>
      <c r="K32" s="55">
        <f>'Qtr Source Data'!K25</f>
        <v>58209</v>
      </c>
      <c r="L32" s="55">
        <f>'Qtr Source Data'!L25</f>
        <v>41674</v>
      </c>
      <c r="M32" s="55">
        <f>'Qtr Source Data'!M25</f>
        <v>32388</v>
      </c>
      <c r="N32" s="55">
        <f>'Qtr Source Data'!N25</f>
        <v>27691</v>
      </c>
    </row>
    <row r="33" spans="2:14" x14ac:dyDescent="0.25">
      <c r="B33" s="47" t="s">
        <v>221</v>
      </c>
      <c r="C33" s="55">
        <f>'Qtr Source Data'!C26</f>
        <v>30480</v>
      </c>
      <c r="D33" s="55">
        <f>'Qtr Source Data'!D26</f>
        <v>31404</v>
      </c>
      <c r="E33" s="55">
        <f>'Qtr Source Data'!E26</f>
        <v>24741</v>
      </c>
      <c r="F33" s="55">
        <f>'Qtr Source Data'!F26</f>
        <v>20964</v>
      </c>
      <c r="G33" s="55">
        <f>'Qtr Source Data'!G26</f>
        <v>23749</v>
      </c>
      <c r="H33" s="55">
        <f>'Qtr Source Data'!H26</f>
        <v>23641</v>
      </c>
      <c r="I33" s="55">
        <f>'Qtr Source Data'!I26</f>
        <v>28549</v>
      </c>
      <c r="J33" s="55">
        <f>'Qtr Source Data'!J26</f>
        <v>18055</v>
      </c>
      <c r="K33" s="55">
        <f>'Qtr Source Data'!K26</f>
        <v>15440</v>
      </c>
      <c r="L33" s="55">
        <f>'Qtr Source Data'!L26</f>
        <v>15604</v>
      </c>
      <c r="M33" s="55">
        <f>'Qtr Source Data'!M26</f>
        <v>17795</v>
      </c>
      <c r="N33" s="55">
        <f>'Qtr Source Data'!N26</f>
        <v>10734</v>
      </c>
    </row>
    <row r="34" spans="2:14" x14ac:dyDescent="0.25">
      <c r="B34" s="47" t="s">
        <v>222</v>
      </c>
      <c r="C34" s="55">
        <f>'Qtr Source Data'!C27</f>
        <v>30761</v>
      </c>
      <c r="D34" s="55">
        <f>'Qtr Source Data'!D27</f>
        <v>20980</v>
      </c>
      <c r="E34" s="55">
        <f>'Qtr Source Data'!E27</f>
        <v>20429</v>
      </c>
      <c r="F34" s="55">
        <f>'Qtr Source Data'!F27</f>
        <v>30841</v>
      </c>
      <c r="G34" s="55">
        <f>'Qtr Source Data'!G27</f>
        <v>24706</v>
      </c>
      <c r="H34" s="55">
        <f>'Qtr Source Data'!H27</f>
        <v>17100</v>
      </c>
      <c r="I34" s="55">
        <f>'Qtr Source Data'!I27</f>
        <v>14514</v>
      </c>
      <c r="J34" s="55">
        <f>'Qtr Source Data'!J27</f>
        <v>23683</v>
      </c>
      <c r="K34" s="55">
        <f>'Qtr Source Data'!K27</f>
        <v>18742</v>
      </c>
      <c r="L34" s="55">
        <f>'Qtr Source Data'!L27</f>
        <v>16331</v>
      </c>
      <c r="M34" s="55">
        <f>'Qtr Source Data'!M27</f>
        <v>12128</v>
      </c>
      <c r="N34" s="55">
        <f>'Qtr Source Data'!N27</f>
        <v>11352</v>
      </c>
    </row>
    <row r="35" spans="2:14" x14ac:dyDescent="0.25">
      <c r="B35" s="47" t="s">
        <v>32</v>
      </c>
      <c r="C35" s="55">
        <f>'Qtr Source Data'!C28</f>
        <v>25195</v>
      </c>
      <c r="D35" s="55">
        <f>'Qtr Source Data'!D28</f>
        <v>32437</v>
      </c>
      <c r="E35" s="55">
        <f>'Qtr Source Data'!E28</f>
        <v>30010</v>
      </c>
      <c r="F35" s="55">
        <f>'Qtr Source Data'!F28</f>
        <v>36279</v>
      </c>
      <c r="G35" s="55">
        <f>'Qtr Source Data'!G28</f>
        <v>86980</v>
      </c>
      <c r="H35" s="55">
        <f>'Qtr Source Data'!H28</f>
        <v>81094</v>
      </c>
      <c r="I35" s="55">
        <f>'Qtr Source Data'!I28</f>
        <v>78395</v>
      </c>
      <c r="J35" s="55">
        <f>'Qtr Source Data'!J28</f>
        <v>76548</v>
      </c>
      <c r="K35" s="55">
        <f>'Qtr Source Data'!K28</f>
        <v>72788</v>
      </c>
      <c r="L35" s="55">
        <f>'Qtr Source Data'!L28</f>
        <v>16857</v>
      </c>
      <c r="M35" s="55">
        <f>'Qtr Source Data'!M28</f>
        <v>14948</v>
      </c>
      <c r="N35" s="55">
        <f>'Qtr Source Data'!N28</f>
        <v>14301</v>
      </c>
    </row>
    <row r="36" spans="2:14" x14ac:dyDescent="0.25">
      <c r="B36" s="33" t="s">
        <v>314</v>
      </c>
      <c r="C36" s="57">
        <f t="shared" ref="C36:N36" si="9">SUM(C31:C35)</f>
        <v>347696</v>
      </c>
      <c r="D36" s="57">
        <f t="shared" si="9"/>
        <v>414835</v>
      </c>
      <c r="E36" s="57">
        <f t="shared" si="9"/>
        <v>465940</v>
      </c>
      <c r="F36" s="57">
        <f t="shared" si="9"/>
        <v>433548</v>
      </c>
      <c r="G36" s="57">
        <f t="shared" si="9"/>
        <v>496511</v>
      </c>
      <c r="H36" s="57">
        <f t="shared" si="9"/>
        <v>437559</v>
      </c>
      <c r="I36" s="57">
        <f t="shared" si="9"/>
        <v>209751</v>
      </c>
      <c r="J36" s="57">
        <f t="shared" si="9"/>
        <v>203926</v>
      </c>
      <c r="K36" s="57">
        <f t="shared" si="9"/>
        <v>203359</v>
      </c>
      <c r="L36" s="57">
        <f t="shared" si="9"/>
        <v>121612</v>
      </c>
      <c r="M36" s="57">
        <f t="shared" si="9"/>
        <v>110785</v>
      </c>
      <c r="N36" s="57">
        <f t="shared" si="9"/>
        <v>108701</v>
      </c>
    </row>
    <row r="37" spans="2:14" x14ac:dyDescent="0.25">
      <c r="B37" s="47" t="s">
        <v>223</v>
      </c>
      <c r="C37" s="55">
        <f>'Qtr Source Data'!C29</f>
        <v>412541</v>
      </c>
      <c r="D37" s="55">
        <f>'Qtr Source Data'!D29</f>
        <v>249547</v>
      </c>
      <c r="E37" s="55">
        <f>'Qtr Source Data'!E29</f>
        <v>221665</v>
      </c>
      <c r="F37" s="55">
        <f>'Qtr Source Data'!F29</f>
        <v>259925</v>
      </c>
      <c r="G37" s="55">
        <f>'Qtr Source Data'!G29</f>
        <v>270161</v>
      </c>
      <c r="H37" s="55">
        <f>'Qtr Source Data'!H29</f>
        <v>212650</v>
      </c>
      <c r="I37" s="55">
        <f>'Qtr Source Data'!I29</f>
        <v>38093</v>
      </c>
      <c r="J37" s="55">
        <f>'Qtr Source Data'!J29</f>
        <v>28474</v>
      </c>
      <c r="K37" s="55">
        <f>'Qtr Source Data'!K29</f>
        <v>15277</v>
      </c>
      <c r="L37" s="55">
        <f>'Qtr Source Data'!L29</f>
        <v>12392</v>
      </c>
      <c r="M37" s="55">
        <f>'Qtr Source Data'!M29</f>
        <v>1984</v>
      </c>
      <c r="N37" s="55">
        <f>'Qtr Source Data'!N29</f>
        <v>0</v>
      </c>
    </row>
    <row r="38" spans="2:14" x14ac:dyDescent="0.25">
      <c r="B38" s="47" t="s">
        <v>224</v>
      </c>
      <c r="C38" s="55">
        <f>'Qtr Source Data'!C30</f>
        <v>168735</v>
      </c>
      <c r="D38" s="55">
        <f>'Qtr Source Data'!D30</f>
        <v>183073</v>
      </c>
      <c r="E38" s="55">
        <f>'Qtr Source Data'!E30</f>
        <v>188430</v>
      </c>
      <c r="F38" s="55">
        <f>'Qtr Source Data'!F30</f>
        <v>179278</v>
      </c>
      <c r="G38" s="55">
        <f>'Qtr Source Data'!G30</f>
        <v>177882</v>
      </c>
      <c r="H38" s="55">
        <f>'Qtr Source Data'!H30</f>
        <v>170648</v>
      </c>
      <c r="I38" s="55">
        <f>'Qtr Source Data'!I30</f>
        <v>144971</v>
      </c>
      <c r="J38" s="55">
        <f>'Qtr Source Data'!J30</f>
        <v>135491</v>
      </c>
      <c r="K38" s="55">
        <f>'Qtr Source Data'!K30</f>
        <v>125598</v>
      </c>
      <c r="L38" s="55">
        <f>'Qtr Source Data'!L30</f>
        <v>115168</v>
      </c>
      <c r="M38" s="55">
        <f>'Qtr Source Data'!M30</f>
        <v>105127</v>
      </c>
      <c r="N38" s="55">
        <f>'Qtr Source Data'!N30</f>
        <v>94948</v>
      </c>
    </row>
    <row r="39" spans="2:14" x14ac:dyDescent="0.25">
      <c r="B39" s="47" t="s">
        <v>225</v>
      </c>
      <c r="C39" s="55">
        <f>'Qtr Source Data'!C31</f>
        <v>617690</v>
      </c>
      <c r="D39" s="55">
        <f>'Qtr Source Data'!D31</f>
        <v>631995</v>
      </c>
      <c r="E39" s="55">
        <f>'Qtr Source Data'!E31</f>
        <v>628784</v>
      </c>
      <c r="F39" s="55">
        <f>'Qtr Source Data'!F31</f>
        <v>189769</v>
      </c>
      <c r="G39" s="55">
        <f>'Qtr Source Data'!G31</f>
        <v>0</v>
      </c>
      <c r="H39" s="55">
        <f>'Qtr Source Data'!H31</f>
        <v>0</v>
      </c>
      <c r="I39" s="55">
        <f>'Qtr Source Data'!I31</f>
        <v>0</v>
      </c>
      <c r="J39" s="55">
        <f>'Qtr Source Data'!J31</f>
        <v>0</v>
      </c>
      <c r="K39" s="55">
        <f>'Qtr Source Data'!K31</f>
        <v>0</v>
      </c>
      <c r="L39" s="55">
        <f>'Qtr Source Data'!L31</f>
        <v>0</v>
      </c>
      <c r="M39" s="55">
        <f>'Qtr Source Data'!M31</f>
        <v>0</v>
      </c>
      <c r="N39" s="55">
        <f>'Qtr Source Data'!N31</f>
        <v>0</v>
      </c>
    </row>
    <row r="40" spans="2:14" x14ac:dyDescent="0.25">
      <c r="B40" s="47" t="s">
        <v>226</v>
      </c>
      <c r="C40" s="55">
        <f>'Qtr Source Data'!C32</f>
        <v>56638</v>
      </c>
      <c r="D40" s="55">
        <f>'Qtr Source Data'!D32</f>
        <v>52430</v>
      </c>
      <c r="E40" s="55">
        <f>'Qtr Source Data'!E32</f>
        <v>48143</v>
      </c>
      <c r="F40" s="55">
        <f>'Qtr Source Data'!F32</f>
        <v>12848</v>
      </c>
      <c r="G40" s="55">
        <f>'Qtr Source Data'!G32</f>
        <v>11424</v>
      </c>
      <c r="H40" s="55">
        <f>'Qtr Source Data'!H32</f>
        <v>10347</v>
      </c>
      <c r="I40" s="55">
        <f>'Qtr Source Data'!I32</f>
        <v>9271</v>
      </c>
      <c r="J40" s="55">
        <f>'Qtr Source Data'!J32</f>
        <v>8194</v>
      </c>
      <c r="K40" s="55">
        <f>'Qtr Source Data'!K32</f>
        <v>7117</v>
      </c>
      <c r="L40" s="55">
        <f>'Qtr Source Data'!L32</f>
        <v>6041</v>
      </c>
      <c r="M40" s="55">
        <f>'Qtr Source Data'!M32</f>
        <v>4964</v>
      </c>
      <c r="N40" s="55">
        <f>'Qtr Source Data'!N32</f>
        <v>3957</v>
      </c>
    </row>
    <row r="41" spans="2:14" x14ac:dyDescent="0.25">
      <c r="B41" s="47" t="s">
        <v>227</v>
      </c>
      <c r="C41" s="55">
        <f>'Qtr Source Data'!C33</f>
        <v>26568</v>
      </c>
      <c r="D41" s="55">
        <f>'Qtr Source Data'!D33</f>
        <v>25130</v>
      </c>
      <c r="E41" s="55">
        <f>'Qtr Source Data'!E33</f>
        <v>23521</v>
      </c>
      <c r="F41" s="55">
        <f>'Qtr Source Data'!F33</f>
        <v>21508</v>
      </c>
      <c r="G41" s="55">
        <f>'Qtr Source Data'!G33</f>
        <v>29071</v>
      </c>
      <c r="H41" s="55">
        <f>'Qtr Source Data'!H33</f>
        <v>22256</v>
      </c>
      <c r="I41" s="55">
        <f>'Qtr Source Data'!I33</f>
        <v>21479</v>
      </c>
      <c r="J41" s="55">
        <f>'Qtr Source Data'!J33</f>
        <v>19418</v>
      </c>
      <c r="K41" s="55">
        <f>'Qtr Source Data'!K33</f>
        <v>18088</v>
      </c>
      <c r="L41" s="55">
        <f>'Qtr Source Data'!L33</f>
        <v>13188</v>
      </c>
      <c r="M41" s="55">
        <f>'Qtr Source Data'!M33</f>
        <v>12113</v>
      </c>
      <c r="N41" s="55">
        <f>'Qtr Source Data'!N33</f>
        <v>11505</v>
      </c>
    </row>
    <row r="42" spans="2:14" x14ac:dyDescent="0.25">
      <c r="B42" s="47" t="s">
        <v>228</v>
      </c>
      <c r="C42" s="55">
        <f>'Qtr Source Data'!C34</f>
        <v>145807</v>
      </c>
      <c r="D42" s="55">
        <f>'Qtr Source Data'!D34</f>
        <v>141843</v>
      </c>
      <c r="E42" s="55">
        <f>'Qtr Source Data'!E34</f>
        <v>140200</v>
      </c>
      <c r="F42" s="55">
        <f>'Qtr Source Data'!F34</f>
        <v>2287</v>
      </c>
      <c r="G42" s="55">
        <f>'Qtr Source Data'!G34</f>
        <v>2308</v>
      </c>
      <c r="H42" s="55">
        <f>'Qtr Source Data'!H34</f>
        <v>0</v>
      </c>
      <c r="I42" s="55">
        <f>'Qtr Source Data'!I34</f>
        <v>0</v>
      </c>
      <c r="J42" s="55">
        <f>'Qtr Source Data'!J34</f>
        <v>0</v>
      </c>
      <c r="K42" s="55">
        <f>'Qtr Source Data'!K34</f>
        <v>0</v>
      </c>
      <c r="L42" s="55">
        <f>'Qtr Source Data'!L34</f>
        <v>0</v>
      </c>
      <c r="M42" s="55">
        <f>'Qtr Source Data'!M34</f>
        <v>0</v>
      </c>
      <c r="N42" s="55">
        <f>'Qtr Source Data'!N34</f>
        <v>0</v>
      </c>
    </row>
    <row r="43" spans="2:14" x14ac:dyDescent="0.25">
      <c r="B43" s="47" t="s">
        <v>229</v>
      </c>
      <c r="C43" s="55">
        <f>'Qtr Source Data'!C35</f>
        <v>28964</v>
      </c>
      <c r="D43" s="55">
        <f>'Qtr Source Data'!D35</f>
        <v>28382</v>
      </c>
      <c r="E43" s="55">
        <f>'Qtr Source Data'!E35</f>
        <v>15961</v>
      </c>
      <c r="F43" s="55">
        <f>'Qtr Source Data'!F35</f>
        <v>15167</v>
      </c>
      <c r="G43" s="55">
        <f>'Qtr Source Data'!G35</f>
        <v>15315</v>
      </c>
      <c r="H43" s="55">
        <f>'Qtr Source Data'!H35</f>
        <v>15491</v>
      </c>
      <c r="I43" s="55">
        <f>'Qtr Source Data'!I35</f>
        <v>15204</v>
      </c>
      <c r="J43" s="55">
        <f>'Qtr Source Data'!J35</f>
        <v>8950</v>
      </c>
      <c r="K43" s="55">
        <f>'Qtr Source Data'!K35</f>
        <v>8832</v>
      </c>
      <c r="L43" s="55">
        <f>'Qtr Source Data'!L35</f>
        <v>9613</v>
      </c>
      <c r="M43" s="55">
        <f>'Qtr Source Data'!M35</f>
        <v>9129</v>
      </c>
      <c r="N43" s="55">
        <f>'Qtr Source Data'!N35</f>
        <v>8514</v>
      </c>
    </row>
    <row r="44" spans="2:14" x14ac:dyDescent="0.25">
      <c r="B44" s="33" t="s">
        <v>315</v>
      </c>
      <c r="C44" s="57">
        <f t="shared" ref="C44:N44" si="10">C36+SUM(C37:C43)</f>
        <v>1804639</v>
      </c>
      <c r="D44" s="57">
        <f t="shared" si="10"/>
        <v>1727235</v>
      </c>
      <c r="E44" s="57">
        <f t="shared" si="10"/>
        <v>1732644</v>
      </c>
      <c r="F44" s="57">
        <f t="shared" si="10"/>
        <v>1114330</v>
      </c>
      <c r="G44" s="57">
        <f t="shared" si="10"/>
        <v>1002672</v>
      </c>
      <c r="H44" s="57">
        <f t="shared" si="10"/>
        <v>868951</v>
      </c>
      <c r="I44" s="57">
        <f t="shared" si="10"/>
        <v>438769</v>
      </c>
      <c r="J44" s="57">
        <f t="shared" si="10"/>
        <v>404453</v>
      </c>
      <c r="K44" s="57">
        <f t="shared" si="10"/>
        <v>378271</v>
      </c>
      <c r="L44" s="57">
        <f t="shared" si="10"/>
        <v>278014</v>
      </c>
      <c r="M44" s="57">
        <f t="shared" si="10"/>
        <v>244102</v>
      </c>
      <c r="N44" s="57">
        <f t="shared" si="10"/>
        <v>227625</v>
      </c>
    </row>
    <row r="46" spans="2:14" x14ac:dyDescent="0.25">
      <c r="B46" s="47" t="s">
        <v>230</v>
      </c>
      <c r="C46" s="55">
        <f>'Qtr Source Data'!C36</f>
        <v>18187</v>
      </c>
      <c r="D46" s="55">
        <f>'Qtr Source Data'!D36</f>
        <v>28184</v>
      </c>
      <c r="E46" s="55">
        <f>'Qtr Source Data'!E36</f>
        <v>20119</v>
      </c>
      <c r="F46" s="55">
        <f>'Qtr Source Data'!F36</f>
        <v>14424</v>
      </c>
      <c r="G46" s="55">
        <f>'Qtr Source Data'!G36</f>
        <v>18124</v>
      </c>
      <c r="H46" s="55">
        <f>'Qtr Source Data'!H36</f>
        <v>15159</v>
      </c>
      <c r="I46" s="55">
        <f>'Qtr Source Data'!I36</f>
        <v>16812</v>
      </c>
      <c r="J46" s="55">
        <f>'Qtr Source Data'!J36</f>
        <v>8321</v>
      </c>
      <c r="K46" s="55">
        <f>'Qtr Source Data'!K36</f>
        <v>8850</v>
      </c>
      <c r="L46" s="55">
        <f>'Qtr Source Data'!L36</f>
        <v>3258</v>
      </c>
      <c r="M46" s="55">
        <f>'Qtr Source Data'!M36</f>
        <v>7081</v>
      </c>
      <c r="N46" s="55">
        <f>'Qtr Source Data'!N36</f>
        <v>4775</v>
      </c>
    </row>
    <row r="47" spans="2:14" x14ac:dyDescent="0.25">
      <c r="B47" s="47" t="s">
        <v>231</v>
      </c>
      <c r="C47" s="55">
        <f>'Qtr Source Data'!C37</f>
        <v>58906</v>
      </c>
      <c r="D47" s="55">
        <f>'Qtr Source Data'!D37</f>
        <v>55336</v>
      </c>
      <c r="E47" s="55">
        <f>'Qtr Source Data'!E37</f>
        <v>54056</v>
      </c>
      <c r="F47" s="55">
        <f>'Qtr Source Data'!F37</f>
        <v>45023</v>
      </c>
      <c r="G47" s="55">
        <f>'Qtr Source Data'!G37</f>
        <v>44355</v>
      </c>
      <c r="H47" s="55">
        <f>'Qtr Source Data'!H37</f>
        <v>39217</v>
      </c>
      <c r="I47" s="55">
        <f>'Qtr Source Data'!I37</f>
        <v>45150</v>
      </c>
      <c r="J47" s="55">
        <f>'Qtr Source Data'!J37</f>
        <v>34759</v>
      </c>
      <c r="K47" s="55">
        <f>'Qtr Source Data'!K37</f>
        <v>32148</v>
      </c>
      <c r="L47" s="55">
        <f>'Qtr Source Data'!L37</f>
        <v>29675</v>
      </c>
      <c r="M47" s="55">
        <f>'Qtr Source Data'!M37</f>
        <v>28753</v>
      </c>
      <c r="N47" s="55">
        <f>'Qtr Source Data'!N37</f>
        <v>26570</v>
      </c>
    </row>
    <row r="48" spans="2:14" x14ac:dyDescent="0.25">
      <c r="B48" s="47" t="s">
        <v>232</v>
      </c>
      <c r="C48" s="55">
        <f>'Qtr Source Data'!C38</f>
        <v>73133</v>
      </c>
      <c r="D48" s="55">
        <f>'Qtr Source Data'!D38</f>
        <v>77863</v>
      </c>
      <c r="E48" s="55">
        <f>'Qtr Source Data'!E38</f>
        <v>73555</v>
      </c>
      <c r="F48" s="55">
        <f>'Qtr Source Data'!F38</f>
        <v>68001</v>
      </c>
      <c r="G48" s="55">
        <f>'Qtr Source Data'!G38</f>
        <v>125138</v>
      </c>
      <c r="H48" s="55">
        <f>'Qtr Source Data'!H38</f>
        <v>115360</v>
      </c>
      <c r="I48" s="55">
        <f>'Qtr Source Data'!I38</f>
        <v>109070</v>
      </c>
      <c r="J48" s="55">
        <f>'Qtr Source Data'!J38</f>
        <v>121373</v>
      </c>
      <c r="K48" s="55">
        <f>'Qtr Source Data'!K38</f>
        <v>111048</v>
      </c>
      <c r="L48" s="55">
        <f>'Qtr Source Data'!L38</f>
        <v>54249</v>
      </c>
      <c r="M48" s="55">
        <f>'Qtr Source Data'!M38</f>
        <v>37285</v>
      </c>
      <c r="N48" s="55">
        <f>'Qtr Source Data'!N38</f>
        <v>27770</v>
      </c>
    </row>
    <row r="49" spans="2:14" x14ac:dyDescent="0.25">
      <c r="B49" s="47" t="s">
        <v>233</v>
      </c>
      <c r="C49" s="55">
        <f>'Qtr Source Data'!C39</f>
        <v>0</v>
      </c>
      <c r="D49" s="55">
        <f>'Qtr Source Data'!D39</f>
        <v>357079</v>
      </c>
      <c r="E49" s="55">
        <f>'Qtr Source Data'!E39</f>
        <v>357458</v>
      </c>
      <c r="F49" s="55">
        <f>'Qtr Source Data'!F39</f>
        <v>357838</v>
      </c>
      <c r="G49" s="55">
        <f>'Qtr Source Data'!G39</f>
        <v>358222</v>
      </c>
      <c r="H49" s="55">
        <f>'Qtr Source Data'!H39</f>
        <v>358605</v>
      </c>
      <c r="I49" s="55">
        <f>'Qtr Source Data'!I39</f>
        <v>0</v>
      </c>
      <c r="J49" s="55">
        <f>'Qtr Source Data'!J39</f>
        <v>62516</v>
      </c>
      <c r="K49" s="55">
        <f>'Qtr Source Data'!K39</f>
        <v>62558</v>
      </c>
      <c r="L49" s="55">
        <f>'Qtr Source Data'!L39</f>
        <v>53765</v>
      </c>
      <c r="M49" s="55">
        <f>'Qtr Source Data'!M39</f>
        <v>33822</v>
      </c>
      <c r="N49" s="55">
        <f>'Qtr Source Data'!N39</f>
        <v>33845</v>
      </c>
    </row>
    <row r="50" spans="2:14" x14ac:dyDescent="0.25">
      <c r="B50" s="33" t="s">
        <v>34</v>
      </c>
      <c r="C50" s="57">
        <f t="shared" ref="C50:N50" si="11">SUM(C46:C49)</f>
        <v>150226</v>
      </c>
      <c r="D50" s="57">
        <f t="shared" si="11"/>
        <v>518462</v>
      </c>
      <c r="E50" s="57">
        <f t="shared" si="11"/>
        <v>505188</v>
      </c>
      <c r="F50" s="57">
        <f t="shared" si="11"/>
        <v>485286</v>
      </c>
      <c r="G50" s="57">
        <f t="shared" si="11"/>
        <v>545839</v>
      </c>
      <c r="H50" s="57">
        <f t="shared" si="11"/>
        <v>528341</v>
      </c>
      <c r="I50" s="57">
        <f t="shared" si="11"/>
        <v>171032</v>
      </c>
      <c r="J50" s="57">
        <f t="shared" si="11"/>
        <v>226969</v>
      </c>
      <c r="K50" s="57">
        <f t="shared" si="11"/>
        <v>214604</v>
      </c>
      <c r="L50" s="57">
        <f t="shared" si="11"/>
        <v>140947</v>
      </c>
      <c r="M50" s="57">
        <f t="shared" si="11"/>
        <v>106941</v>
      </c>
      <c r="N50" s="57">
        <f t="shared" si="11"/>
        <v>92960</v>
      </c>
    </row>
    <row r="51" spans="2:14" x14ac:dyDescent="0.25">
      <c r="B51" s="47" t="s">
        <v>234</v>
      </c>
      <c r="C51" s="55">
        <f>'Qtr Source Data'!C40</f>
        <v>599291</v>
      </c>
      <c r="D51" s="55">
        <f>'Qtr Source Data'!D40</f>
        <v>242758</v>
      </c>
      <c r="E51" s="55">
        <f>'Qtr Source Data'!E40</f>
        <v>242919</v>
      </c>
      <c r="F51" s="55">
        <f>'Qtr Source Data'!F40</f>
        <v>243079</v>
      </c>
      <c r="G51" s="55">
        <f>'Qtr Source Data'!G40</f>
        <v>243242</v>
      </c>
      <c r="H51" s="55">
        <f>'Qtr Source Data'!H40</f>
        <v>127344</v>
      </c>
      <c r="I51" s="55">
        <f>'Qtr Source Data'!I40</f>
        <v>62475</v>
      </c>
      <c r="J51" s="55">
        <f>'Qtr Source Data'!J40</f>
        <v>0</v>
      </c>
      <c r="K51" s="55">
        <f>'Qtr Source Data'!K40</f>
        <v>0</v>
      </c>
      <c r="L51" s="55">
        <f>'Qtr Source Data'!L40</f>
        <v>0</v>
      </c>
      <c r="M51" s="55">
        <f>'Qtr Source Data'!M40</f>
        <v>0</v>
      </c>
      <c r="N51" s="55">
        <f>'Qtr Source Data'!N40</f>
        <v>0</v>
      </c>
    </row>
    <row r="52" spans="2:14" x14ac:dyDescent="0.25">
      <c r="B52" s="47" t="s">
        <v>235</v>
      </c>
      <c r="C52" s="55">
        <f>'Qtr Source Data'!C41</f>
        <v>19537</v>
      </c>
      <c r="D52" s="55">
        <f>'Qtr Source Data'!D41</f>
        <v>18063</v>
      </c>
      <c r="E52" s="55">
        <f>'Qtr Source Data'!E41</f>
        <v>16460</v>
      </c>
      <c r="F52" s="55">
        <f>'Qtr Source Data'!F41</f>
        <v>15595</v>
      </c>
      <c r="G52" s="55">
        <f>'Qtr Source Data'!G41</f>
        <v>23665</v>
      </c>
      <c r="H52" s="55">
        <f>'Qtr Source Data'!H41</f>
        <v>18509</v>
      </c>
      <c r="I52" s="55">
        <f>'Qtr Source Data'!I41</f>
        <v>17797</v>
      </c>
      <c r="J52" s="55">
        <f>'Qtr Source Data'!J41</f>
        <v>17700</v>
      </c>
      <c r="K52" s="55">
        <f>'Qtr Source Data'!K41</f>
        <v>15355</v>
      </c>
      <c r="L52" s="55">
        <f>'Qtr Source Data'!L41</f>
        <v>15205</v>
      </c>
      <c r="M52" s="55">
        <f>'Qtr Source Data'!M41</f>
        <v>13677</v>
      </c>
      <c r="N52" s="55">
        <f>'Qtr Source Data'!N41</f>
        <v>12600</v>
      </c>
    </row>
    <row r="53" spans="2:14" x14ac:dyDescent="0.25">
      <c r="B53" s="47" t="s">
        <v>36</v>
      </c>
      <c r="C53" s="55">
        <f>'Qtr Source Data'!C42</f>
        <v>2236</v>
      </c>
      <c r="D53" s="55">
        <f>'Qtr Source Data'!D42</f>
        <v>3334</v>
      </c>
      <c r="E53" s="55">
        <f>'Qtr Source Data'!E42</f>
        <v>4603</v>
      </c>
      <c r="F53" s="55">
        <f>'Qtr Source Data'!F42</f>
        <v>4870</v>
      </c>
      <c r="G53" s="55">
        <f>'Qtr Source Data'!G42</f>
        <v>4945</v>
      </c>
      <c r="H53" s="55">
        <f>'Qtr Source Data'!H42</f>
        <v>1776</v>
      </c>
      <c r="I53" s="55">
        <f>'Qtr Source Data'!I42</f>
        <v>1794</v>
      </c>
      <c r="J53" s="55">
        <f>'Qtr Source Data'!J42</f>
        <v>1928</v>
      </c>
      <c r="K53" s="55">
        <f>'Qtr Source Data'!K42</f>
        <v>2259</v>
      </c>
      <c r="L53" s="55">
        <f>'Qtr Source Data'!L42</f>
        <v>2239</v>
      </c>
      <c r="M53" s="55">
        <f>'Qtr Source Data'!M42</f>
        <v>2341</v>
      </c>
      <c r="N53" s="55">
        <f>'Qtr Source Data'!N42</f>
        <v>3451</v>
      </c>
    </row>
    <row r="54" spans="2:14" x14ac:dyDescent="0.25">
      <c r="B54" s="47" t="s">
        <v>316</v>
      </c>
      <c r="C54" s="58">
        <f t="shared" ref="C54:N54" si="12">SUM(C51:C53)</f>
        <v>621064</v>
      </c>
      <c r="D54" s="58">
        <f t="shared" si="12"/>
        <v>264155</v>
      </c>
      <c r="E54" s="58">
        <f t="shared" si="12"/>
        <v>263982</v>
      </c>
      <c r="F54" s="58">
        <f t="shared" si="12"/>
        <v>263544</v>
      </c>
      <c r="G54" s="58">
        <f t="shared" si="12"/>
        <v>271852</v>
      </c>
      <c r="H54" s="58">
        <f t="shared" si="12"/>
        <v>147629</v>
      </c>
      <c r="I54" s="58">
        <f t="shared" si="12"/>
        <v>82066</v>
      </c>
      <c r="J54" s="58">
        <f t="shared" si="12"/>
        <v>19628</v>
      </c>
      <c r="K54" s="58">
        <f t="shared" si="12"/>
        <v>17614</v>
      </c>
      <c r="L54" s="58">
        <f t="shared" si="12"/>
        <v>17444</v>
      </c>
      <c r="M54" s="58">
        <f t="shared" si="12"/>
        <v>16018</v>
      </c>
      <c r="N54" s="58">
        <f t="shared" si="12"/>
        <v>16051</v>
      </c>
    </row>
    <row r="55" spans="2:14" x14ac:dyDescent="0.25">
      <c r="B55" s="33" t="s">
        <v>317</v>
      </c>
      <c r="C55" s="57">
        <f t="shared" ref="C55:N55" si="13">C50+C54</f>
        <v>771290</v>
      </c>
      <c r="D55" s="57">
        <f t="shared" si="13"/>
        <v>782617</v>
      </c>
      <c r="E55" s="57">
        <f t="shared" si="13"/>
        <v>769170</v>
      </c>
      <c r="F55" s="57">
        <f t="shared" si="13"/>
        <v>748830</v>
      </c>
      <c r="G55" s="57">
        <f t="shared" si="13"/>
        <v>817691</v>
      </c>
      <c r="H55" s="57">
        <f t="shared" si="13"/>
        <v>675970</v>
      </c>
      <c r="I55" s="57">
        <f t="shared" si="13"/>
        <v>253098</v>
      </c>
      <c r="J55" s="57">
        <f t="shared" si="13"/>
        <v>246597</v>
      </c>
      <c r="K55" s="57">
        <f t="shared" si="13"/>
        <v>232218</v>
      </c>
      <c r="L55" s="57">
        <f t="shared" si="13"/>
        <v>158391</v>
      </c>
      <c r="M55" s="57">
        <f t="shared" si="13"/>
        <v>122959</v>
      </c>
      <c r="N55" s="57">
        <f t="shared" si="13"/>
        <v>109011</v>
      </c>
    </row>
    <row r="57" spans="2:14" x14ac:dyDescent="0.25">
      <c r="B57" s="47" t="s">
        <v>236</v>
      </c>
      <c r="C57" s="55">
        <f>'Qtr Source Data'!C43</f>
        <v>116</v>
      </c>
      <c r="D57" s="55">
        <f>'Qtr Source Data'!D43</f>
        <v>103</v>
      </c>
      <c r="E57" s="55">
        <f>'Qtr Source Data'!E43</f>
        <v>102</v>
      </c>
      <c r="F57" s="55">
        <f>'Qtr Source Data'!F43</f>
        <v>103</v>
      </c>
      <c r="G57" s="55">
        <f>'Qtr Source Data'!G43</f>
        <v>104</v>
      </c>
      <c r="H57" s="55">
        <f>'Qtr Source Data'!H43</f>
        <v>105</v>
      </c>
      <c r="I57" s="55">
        <f>'Qtr Source Data'!I43</f>
        <v>105</v>
      </c>
      <c r="J57" s="55">
        <f>'Qtr Source Data'!J43</f>
        <v>108</v>
      </c>
      <c r="K57" s="55">
        <f>'Qtr Source Data'!K43</f>
        <v>109</v>
      </c>
      <c r="L57" s="55">
        <f>'Qtr Source Data'!L43</f>
        <v>111</v>
      </c>
      <c r="M57" s="55">
        <f>'Qtr Source Data'!M43</f>
        <v>112</v>
      </c>
      <c r="N57" s="55">
        <f>'Qtr Source Data'!N43</f>
        <v>111</v>
      </c>
    </row>
    <row r="58" spans="2:14" x14ac:dyDescent="0.25">
      <c r="B58" s="47" t="s">
        <v>237</v>
      </c>
      <c r="C58" s="55">
        <f>'Qtr Source Data'!C44</f>
        <v>1151697</v>
      </c>
      <c r="D58" s="55">
        <f>'Qtr Source Data'!D44</f>
        <v>1031627</v>
      </c>
      <c r="E58" s="55">
        <f>'Qtr Source Data'!E44</f>
        <v>1057837</v>
      </c>
      <c r="F58" s="55">
        <f>'Qtr Source Data'!F44</f>
        <v>1075989</v>
      </c>
      <c r="G58" s="55">
        <f>'Qtr Source Data'!G44</f>
        <v>1098242</v>
      </c>
      <c r="H58" s="55">
        <f>'Qtr Source Data'!H44</f>
        <v>1114550</v>
      </c>
      <c r="I58" s="55">
        <f>'Qtr Source Data'!I44</f>
        <v>1125738</v>
      </c>
      <c r="J58" s="55">
        <f>'Qtr Source Data'!J44</f>
        <v>1133686</v>
      </c>
      <c r="K58" s="55">
        <f>'Qtr Source Data'!K44</f>
        <v>1139266</v>
      </c>
      <c r="L58" s="55">
        <f>'Qtr Source Data'!L44</f>
        <v>1145371</v>
      </c>
      <c r="M58" s="55">
        <f>'Qtr Source Data'!M44</f>
        <v>1147586</v>
      </c>
      <c r="N58" s="55">
        <f>'Qtr Source Data'!N44</f>
        <v>1148192</v>
      </c>
    </row>
    <row r="59" spans="2:14" x14ac:dyDescent="0.25">
      <c r="B59" s="47" t="s">
        <v>238</v>
      </c>
      <c r="C59" s="55">
        <f>'Qtr Source Data'!C45</f>
        <v>-56426</v>
      </c>
      <c r="D59" s="55">
        <f>'Qtr Source Data'!D45</f>
        <v>-34739</v>
      </c>
      <c r="E59" s="55">
        <f>'Qtr Source Data'!E45</f>
        <v>-40672</v>
      </c>
      <c r="F59" s="55">
        <f>'Qtr Source Data'!F45</f>
        <v>-39915</v>
      </c>
      <c r="G59" s="55">
        <f>'Qtr Source Data'!G45</f>
        <v>-30049</v>
      </c>
      <c r="H59" s="55">
        <f>'Qtr Source Data'!H45</f>
        <v>-32233</v>
      </c>
      <c r="I59" s="55">
        <f>'Qtr Source Data'!I45</f>
        <v>-33247</v>
      </c>
      <c r="J59" s="55">
        <f>'Qtr Source Data'!J45</f>
        <v>-33350</v>
      </c>
      <c r="K59" s="55">
        <f>'Qtr Source Data'!K45</f>
        <v>-33263</v>
      </c>
      <c r="L59" s="55">
        <f>'Qtr Source Data'!L45</f>
        <v>-32997</v>
      </c>
      <c r="M59" s="55">
        <f>'Qtr Source Data'!M45</f>
        <v>-33921</v>
      </c>
      <c r="N59" s="55">
        <f>'Qtr Source Data'!N45</f>
        <v>-34104</v>
      </c>
    </row>
    <row r="60" spans="2:14" x14ac:dyDescent="0.25">
      <c r="B60" s="47" t="s">
        <v>239</v>
      </c>
      <c r="C60" s="55">
        <f>'Qtr Source Data'!C46</f>
        <v>-62038</v>
      </c>
      <c r="D60" s="55">
        <f>'Qtr Source Data'!D46</f>
        <v>-52373</v>
      </c>
      <c r="E60" s="55">
        <f>'Qtr Source Data'!E46</f>
        <v>-53793</v>
      </c>
      <c r="F60" s="55">
        <f>'Qtr Source Data'!F46</f>
        <v>-670677</v>
      </c>
      <c r="G60" s="55">
        <f>'Qtr Source Data'!G46</f>
        <v>-883316</v>
      </c>
      <c r="H60" s="55">
        <f>'Qtr Source Data'!H46</f>
        <v>-889441</v>
      </c>
      <c r="I60" s="55">
        <f>'Qtr Source Data'!I46</f>
        <v>-906925</v>
      </c>
      <c r="J60" s="55">
        <f>'Qtr Source Data'!J46</f>
        <v>-942588</v>
      </c>
      <c r="K60" s="55">
        <f>'Qtr Source Data'!K46</f>
        <v>-960059</v>
      </c>
      <c r="L60" s="55">
        <f>'Qtr Source Data'!L46</f>
        <v>-992862</v>
      </c>
      <c r="M60" s="55">
        <f>'Qtr Source Data'!M46</f>
        <v>-992634</v>
      </c>
      <c r="N60" s="55">
        <f>'Qtr Source Data'!N46</f>
        <v>-995585</v>
      </c>
    </row>
    <row r="61" spans="2:14" x14ac:dyDescent="0.25">
      <c r="B61" s="33" t="s">
        <v>318</v>
      </c>
      <c r="C61" s="57">
        <f t="shared" ref="C61:N61" si="14">SUM(C57:C60)</f>
        <v>1033349</v>
      </c>
      <c r="D61" s="57">
        <f t="shared" si="14"/>
        <v>944618</v>
      </c>
      <c r="E61" s="57">
        <f t="shared" si="14"/>
        <v>963474</v>
      </c>
      <c r="F61" s="57">
        <f t="shared" si="14"/>
        <v>365500</v>
      </c>
      <c r="G61" s="57">
        <f t="shared" si="14"/>
        <v>184981</v>
      </c>
      <c r="H61" s="57">
        <f t="shared" si="14"/>
        <v>192981</v>
      </c>
      <c r="I61" s="57">
        <f t="shared" si="14"/>
        <v>185671</v>
      </c>
      <c r="J61" s="57">
        <f t="shared" si="14"/>
        <v>157856</v>
      </c>
      <c r="K61" s="57">
        <f t="shared" si="14"/>
        <v>146053</v>
      </c>
      <c r="L61" s="57">
        <f t="shared" si="14"/>
        <v>119623</v>
      </c>
      <c r="M61" s="57">
        <f t="shared" si="14"/>
        <v>121143</v>
      </c>
      <c r="N61" s="57">
        <f t="shared" si="14"/>
        <v>118614</v>
      </c>
    </row>
    <row r="62" spans="2:14" x14ac:dyDescent="0.25">
      <c r="B62" s="33" t="s">
        <v>319</v>
      </c>
      <c r="C62" s="57">
        <f t="shared" ref="C62:N62" si="15">C55+C61</f>
        <v>1804639</v>
      </c>
      <c r="D62" s="57">
        <f t="shared" si="15"/>
        <v>1727235</v>
      </c>
      <c r="E62" s="57">
        <f t="shared" si="15"/>
        <v>1732644</v>
      </c>
      <c r="F62" s="57">
        <f t="shared" si="15"/>
        <v>1114330</v>
      </c>
      <c r="G62" s="57">
        <f t="shared" si="15"/>
        <v>1002672</v>
      </c>
      <c r="H62" s="57">
        <f t="shared" si="15"/>
        <v>868951</v>
      </c>
      <c r="I62" s="57">
        <f t="shared" si="15"/>
        <v>438769</v>
      </c>
      <c r="J62" s="57">
        <f t="shared" si="15"/>
        <v>404453</v>
      </c>
      <c r="K62" s="57">
        <f t="shared" si="15"/>
        <v>378271</v>
      </c>
      <c r="L62" s="57">
        <f t="shared" si="15"/>
        <v>278014</v>
      </c>
      <c r="M62" s="57">
        <f t="shared" si="15"/>
        <v>244102</v>
      </c>
      <c r="N62" s="57">
        <f t="shared" si="15"/>
        <v>227625</v>
      </c>
    </row>
    <row r="63" spans="2:14" x14ac:dyDescent="0.25">
      <c r="B63" s="32" t="s">
        <v>320</v>
      </c>
      <c r="C63" s="50">
        <f t="shared" ref="C63:N63" si="16">C44-C62</f>
        <v>0</v>
      </c>
      <c r="D63" s="50">
        <f t="shared" si="16"/>
        <v>0</v>
      </c>
      <c r="E63" s="50">
        <f t="shared" si="16"/>
        <v>0</v>
      </c>
      <c r="F63" s="50">
        <f t="shared" si="16"/>
        <v>0</v>
      </c>
      <c r="G63" s="50">
        <f t="shared" si="16"/>
        <v>0</v>
      </c>
      <c r="H63" s="50">
        <f t="shared" si="16"/>
        <v>0</v>
      </c>
      <c r="I63" s="50">
        <f t="shared" si="16"/>
        <v>0</v>
      </c>
      <c r="J63" s="50">
        <f t="shared" si="16"/>
        <v>0</v>
      </c>
      <c r="K63" s="50">
        <f t="shared" si="16"/>
        <v>0</v>
      </c>
      <c r="L63" s="50">
        <f t="shared" si="16"/>
        <v>0</v>
      </c>
      <c r="M63" s="50">
        <f t="shared" si="16"/>
        <v>0</v>
      </c>
      <c r="N63" s="50">
        <f t="shared" si="16"/>
        <v>0</v>
      </c>
    </row>
    <row r="64" spans="2:14" x14ac:dyDescent="0.25">
      <c r="B64" s="32" t="s">
        <v>321</v>
      </c>
      <c r="C64" s="50">
        <f>C44-'Qtr Source Data'!C47</f>
        <v>0</v>
      </c>
      <c r="D64" s="50">
        <f>D44-'Qtr Source Data'!D47</f>
        <v>0</v>
      </c>
      <c r="E64" s="50">
        <f>E44-'Qtr Source Data'!E47</f>
        <v>0</v>
      </c>
      <c r="F64" s="50">
        <f>F44-'Qtr Source Data'!F47</f>
        <v>0</v>
      </c>
      <c r="G64" s="50">
        <f>G44-'Qtr Source Data'!G47</f>
        <v>0</v>
      </c>
      <c r="H64" s="50">
        <f>H44-'Qtr Source Data'!H47</f>
        <v>0</v>
      </c>
      <c r="I64" s="50">
        <f>I44-'Qtr Source Data'!I47</f>
        <v>0</v>
      </c>
      <c r="J64" s="50">
        <f>J44-'Qtr Source Data'!J47</f>
        <v>0</v>
      </c>
      <c r="K64" s="50">
        <f>K44-'Qtr Source Data'!K47</f>
        <v>0</v>
      </c>
      <c r="L64" s="50">
        <f>L44-'Qtr Source Data'!L47</f>
        <v>0</v>
      </c>
      <c r="M64" s="50">
        <f>M44-'Qtr Source Data'!M47</f>
        <v>0</v>
      </c>
      <c r="N64" s="50">
        <f>N44-'Qtr Source Data'!N47</f>
        <v>0</v>
      </c>
    </row>
    <row r="66" spans="1:15" x14ac:dyDescent="0.25">
      <c r="B66" s="33" t="s">
        <v>322</v>
      </c>
    </row>
    <row r="67" spans="1:15" x14ac:dyDescent="0.25">
      <c r="B67" s="47" t="s">
        <v>323</v>
      </c>
      <c r="C67" s="56">
        <f t="shared" ref="C67:N67" si="17">C31+C32+C37</f>
        <v>673801</v>
      </c>
      <c r="D67" s="56">
        <f t="shared" si="17"/>
        <v>579561</v>
      </c>
      <c r="E67" s="56">
        <f t="shared" si="17"/>
        <v>612425</v>
      </c>
      <c r="F67" s="56">
        <f t="shared" si="17"/>
        <v>605389</v>
      </c>
      <c r="G67" s="56">
        <f t="shared" si="17"/>
        <v>631237</v>
      </c>
      <c r="H67" s="56">
        <f t="shared" si="17"/>
        <v>528374</v>
      </c>
      <c r="I67" s="56">
        <f t="shared" si="17"/>
        <v>126386</v>
      </c>
      <c r="J67" s="56">
        <f t="shared" si="17"/>
        <v>114114</v>
      </c>
      <c r="K67" s="56">
        <f t="shared" si="17"/>
        <v>111666</v>
      </c>
      <c r="L67" s="56">
        <f t="shared" si="17"/>
        <v>85212</v>
      </c>
      <c r="M67" s="56">
        <f t="shared" si="17"/>
        <v>67898</v>
      </c>
      <c r="N67" s="56">
        <f t="shared" si="17"/>
        <v>72314</v>
      </c>
    </row>
    <row r="68" spans="1:15" x14ac:dyDescent="0.25">
      <c r="B68" s="47" t="s">
        <v>324</v>
      </c>
      <c r="C68" s="56">
        <f t="shared" ref="C68:N68" si="18">C49+C51</f>
        <v>599291</v>
      </c>
      <c r="D68" s="56">
        <f t="shared" si="18"/>
        <v>599837</v>
      </c>
      <c r="E68" s="56">
        <f t="shared" si="18"/>
        <v>600377</v>
      </c>
      <c r="F68" s="56">
        <f t="shared" si="18"/>
        <v>600917</v>
      </c>
      <c r="G68" s="56">
        <f t="shared" si="18"/>
        <v>601464</v>
      </c>
      <c r="H68" s="56">
        <f t="shared" si="18"/>
        <v>485949</v>
      </c>
      <c r="I68" s="56">
        <f t="shared" si="18"/>
        <v>62475</v>
      </c>
      <c r="J68" s="56">
        <f t="shared" si="18"/>
        <v>62516</v>
      </c>
      <c r="K68" s="56">
        <f t="shared" si="18"/>
        <v>62558</v>
      </c>
      <c r="L68" s="56">
        <f t="shared" si="18"/>
        <v>53765</v>
      </c>
      <c r="M68" s="56">
        <f t="shared" si="18"/>
        <v>33822</v>
      </c>
      <c r="N68" s="56">
        <f t="shared" si="18"/>
        <v>33845</v>
      </c>
    </row>
    <row r="69" spans="1:15" x14ac:dyDescent="0.25">
      <c r="B69" s="47" t="s">
        <v>325</v>
      </c>
      <c r="C69" s="56">
        <f t="shared" ref="C69:N69" si="19">C67-C68</f>
        <v>74510</v>
      </c>
      <c r="D69" s="56">
        <f t="shared" si="19"/>
        <v>-20276</v>
      </c>
      <c r="E69" s="56">
        <f t="shared" si="19"/>
        <v>12048</v>
      </c>
      <c r="F69" s="56">
        <f t="shared" si="19"/>
        <v>4472</v>
      </c>
      <c r="G69" s="56">
        <f t="shared" si="19"/>
        <v>29773</v>
      </c>
      <c r="H69" s="56">
        <f t="shared" si="19"/>
        <v>42425</v>
      </c>
      <c r="I69" s="56">
        <f t="shared" si="19"/>
        <v>63911</v>
      </c>
      <c r="J69" s="56">
        <f t="shared" si="19"/>
        <v>51598</v>
      </c>
      <c r="K69" s="56">
        <f t="shared" si="19"/>
        <v>49108</v>
      </c>
      <c r="L69" s="56">
        <f t="shared" si="19"/>
        <v>31447</v>
      </c>
      <c r="M69" s="56">
        <f t="shared" si="19"/>
        <v>34076</v>
      </c>
      <c r="N69" s="56">
        <f t="shared" si="19"/>
        <v>38469</v>
      </c>
    </row>
    <row r="70" spans="1:15" x14ac:dyDescent="0.25">
      <c r="B70" s="47" t="s">
        <v>326</v>
      </c>
      <c r="C70" s="56">
        <f t="shared" ref="C70:N70" si="20">C36-C50</f>
        <v>197470</v>
      </c>
      <c r="D70" s="56">
        <f t="shared" si="20"/>
        <v>-103627</v>
      </c>
      <c r="E70" s="56">
        <f t="shared" si="20"/>
        <v>-39248</v>
      </c>
      <c r="F70" s="56">
        <f t="shared" si="20"/>
        <v>-51738</v>
      </c>
      <c r="G70" s="56">
        <f t="shared" si="20"/>
        <v>-49328</v>
      </c>
      <c r="H70" s="56">
        <f t="shared" si="20"/>
        <v>-90782</v>
      </c>
      <c r="I70" s="56">
        <f t="shared" si="20"/>
        <v>38719</v>
      </c>
      <c r="J70" s="56">
        <f t="shared" si="20"/>
        <v>-23043</v>
      </c>
      <c r="K70" s="56">
        <f t="shared" si="20"/>
        <v>-11245</v>
      </c>
      <c r="L70" s="56">
        <f t="shared" si="20"/>
        <v>-19335</v>
      </c>
      <c r="M70" s="56">
        <f t="shared" si="20"/>
        <v>3844</v>
      </c>
      <c r="N70" s="56">
        <f t="shared" si="20"/>
        <v>15741</v>
      </c>
    </row>
    <row r="72" spans="1:15" x14ac:dyDescent="0.25">
      <c r="A72" s="45" t="s">
        <v>327</v>
      </c>
      <c r="B72" s="45"/>
      <c r="C72" s="45"/>
      <c r="D72" s="45"/>
      <c r="E72" s="45"/>
      <c r="F72" s="45"/>
      <c r="G72" s="45"/>
      <c r="H72" s="45"/>
      <c r="I72" s="45"/>
      <c r="J72" s="45"/>
      <c r="K72" s="45"/>
      <c r="L72" s="45"/>
      <c r="M72" s="45"/>
      <c r="N72" s="45"/>
      <c r="O72" s="45"/>
    </row>
    <row r="73" spans="1:15" x14ac:dyDescent="0.25">
      <c r="C73" s="46" t="s">
        <v>288</v>
      </c>
      <c r="D73" s="46" t="s">
        <v>289</v>
      </c>
      <c r="E73" s="46" t="s">
        <v>290</v>
      </c>
      <c r="F73" s="46" t="s">
        <v>291</v>
      </c>
      <c r="G73" s="46" t="s">
        <v>292</v>
      </c>
      <c r="H73" s="46" t="s">
        <v>293</v>
      </c>
      <c r="I73" s="46" t="s">
        <v>294</v>
      </c>
      <c r="J73" s="46" t="s">
        <v>295</v>
      </c>
      <c r="K73" s="46" t="s">
        <v>296</v>
      </c>
      <c r="L73" s="46" t="s">
        <v>297</v>
      </c>
      <c r="M73" s="46" t="s">
        <v>298</v>
      </c>
      <c r="N73" s="46" t="s">
        <v>299</v>
      </c>
      <c r="O73" s="46" t="s">
        <v>300</v>
      </c>
    </row>
    <row r="74" spans="1:15" x14ac:dyDescent="0.25">
      <c r="B74" s="33" t="s">
        <v>328</v>
      </c>
    </row>
    <row r="75" spans="1:15" x14ac:dyDescent="0.25">
      <c r="B75" s="47" t="s">
        <v>249</v>
      </c>
      <c r="C75" s="55">
        <f>'Qtr Source Data'!D54-'Qtr Source Data'!C54</f>
        <v>-18283</v>
      </c>
      <c r="D75" s="55">
        <f>'Qtr Source Data'!E54-'Qtr Source Data'!D54</f>
        <v>9665</v>
      </c>
      <c r="E75" s="55">
        <f>'Qtr Source Data'!F54</f>
        <v>-1420</v>
      </c>
      <c r="F75" s="55">
        <f>'Qtr Source Data'!G54-'Qtr Source Data'!F54</f>
        <v>-616884</v>
      </c>
      <c r="G75" s="55">
        <f>'Qtr Source Data'!H54-'Qtr Source Data'!G54</f>
        <v>-212639</v>
      </c>
      <c r="H75" s="55">
        <f>'Qtr Source Data'!I54-'Qtr Source Data'!H54</f>
        <v>-6125</v>
      </c>
      <c r="I75" s="55">
        <f>'Qtr Source Data'!J54</f>
        <v>-17484</v>
      </c>
      <c r="J75" s="55">
        <f>'Qtr Source Data'!K54-'Qtr Source Data'!J54</f>
        <v>-35663</v>
      </c>
      <c r="K75" s="55">
        <f>'Qtr Source Data'!L54-'Qtr Source Data'!K54</f>
        <v>-17471</v>
      </c>
      <c r="L75" s="55">
        <f>'Qtr Source Data'!M54-'Qtr Source Data'!L54</f>
        <v>-32803</v>
      </c>
      <c r="M75" s="55">
        <f>'Qtr Source Data'!N54</f>
        <v>228</v>
      </c>
      <c r="N75" s="55">
        <f>'Qtr Source Data'!O54-'Qtr Source Data'!N54</f>
        <v>-2951</v>
      </c>
      <c r="O75" s="56">
        <f t="shared" ref="O75:O95" si="21">SUM(K75:N75)</f>
        <v>-52997</v>
      </c>
    </row>
    <row r="76" spans="1:15" x14ac:dyDescent="0.25">
      <c r="B76" s="47" t="s">
        <v>250</v>
      </c>
      <c r="C76" s="55">
        <f>'Qtr Source Data'!D55-'Qtr Source Data'!C55</f>
        <v>31930</v>
      </c>
      <c r="D76" s="55">
        <f>'Qtr Source Data'!E55-'Qtr Source Data'!D55</f>
        <v>31906</v>
      </c>
      <c r="E76" s="55">
        <f>'Qtr Source Data'!F55</f>
        <v>29289</v>
      </c>
      <c r="F76" s="55">
        <f>'Qtr Source Data'!G55-'Qtr Source Data'!F55</f>
        <v>18047</v>
      </c>
      <c r="G76" s="55">
        <f>'Qtr Source Data'!H55-'Qtr Source Data'!G55</f>
        <v>21931</v>
      </c>
      <c r="H76" s="55">
        <f>'Qtr Source Data'!I55-'Qtr Source Data'!H55</f>
        <v>15347</v>
      </c>
      <c r="I76" s="55">
        <f>'Qtr Source Data'!J55</f>
        <v>11257</v>
      </c>
      <c r="J76" s="55">
        <f>'Qtr Source Data'!K55-'Qtr Source Data'!J55</f>
        <v>7912</v>
      </c>
      <c r="K76" s="55">
        <f>'Qtr Source Data'!L55-'Qtr Source Data'!K55</f>
        <v>5925</v>
      </c>
      <c r="L76" s="55">
        <f>'Qtr Source Data'!M55-'Qtr Source Data'!L55</f>
        <v>6770</v>
      </c>
      <c r="M76" s="55">
        <f>'Qtr Source Data'!N55</f>
        <v>2711</v>
      </c>
      <c r="N76" s="55">
        <f>'Qtr Source Data'!O55-'Qtr Source Data'!N55</f>
        <v>2324</v>
      </c>
      <c r="O76" s="56">
        <f t="shared" si="21"/>
        <v>17730</v>
      </c>
    </row>
    <row r="77" spans="1:15" x14ac:dyDescent="0.25">
      <c r="B77" s="47" t="s">
        <v>251</v>
      </c>
      <c r="C77" s="55">
        <f>'Qtr Source Data'!D56-'Qtr Source Data'!C56</f>
        <v>56918</v>
      </c>
      <c r="D77" s="55">
        <f>'Qtr Source Data'!E56-'Qtr Source Data'!D56</f>
        <v>20773</v>
      </c>
      <c r="E77" s="55">
        <f>'Qtr Source Data'!F56</f>
        <v>19687</v>
      </c>
      <c r="F77" s="55">
        <f>'Qtr Source Data'!G56-'Qtr Source Data'!F56</f>
        <v>19706</v>
      </c>
      <c r="G77" s="55">
        <f>'Qtr Source Data'!H56-'Qtr Source Data'!G56</f>
        <v>19573</v>
      </c>
      <c r="H77" s="55">
        <f>'Qtr Source Data'!I56-'Qtr Source Data'!H56</f>
        <v>19378</v>
      </c>
      <c r="I77" s="55">
        <f>'Qtr Source Data'!J56</f>
        <v>32094</v>
      </c>
      <c r="J77" s="55">
        <f>'Qtr Source Data'!K56-'Qtr Source Data'!J56</f>
        <v>16226</v>
      </c>
      <c r="K77" s="55">
        <f>'Qtr Source Data'!L56-'Qtr Source Data'!K56</f>
        <v>15321</v>
      </c>
      <c r="L77" s="55">
        <f>'Qtr Source Data'!M56-'Qtr Source Data'!L56</f>
        <v>14996</v>
      </c>
      <c r="M77" s="55">
        <f>'Qtr Source Data'!N56</f>
        <v>13947</v>
      </c>
      <c r="N77" s="55">
        <f>'Qtr Source Data'!O56-'Qtr Source Data'!N56</f>
        <v>13045</v>
      </c>
      <c r="O77" s="56">
        <f t="shared" si="21"/>
        <v>57309</v>
      </c>
    </row>
    <row r="78" spans="1:15" x14ac:dyDescent="0.25">
      <c r="B78" s="47" t="s">
        <v>252</v>
      </c>
      <c r="C78" s="55">
        <f>'Qtr Source Data'!D57-'Qtr Source Data'!C57</f>
        <v>787</v>
      </c>
      <c r="D78" s="55">
        <f>'Qtr Source Data'!E57-'Qtr Source Data'!D57</f>
        <v>5646</v>
      </c>
      <c r="E78" s="55">
        <f>'Qtr Source Data'!F57</f>
        <v>2877</v>
      </c>
      <c r="F78" s="55">
        <f>'Qtr Source Data'!G57-'Qtr Source Data'!F57</f>
        <v>138155</v>
      </c>
      <c r="G78" s="55">
        <f>'Qtr Source Data'!H57-'Qtr Source Data'!G57</f>
        <v>71</v>
      </c>
      <c r="H78" s="55">
        <f>'Qtr Source Data'!I57-'Qtr Source Data'!H57</f>
        <v>2216</v>
      </c>
      <c r="I78" s="55">
        <f>'Qtr Source Data'!J57</f>
        <v>15</v>
      </c>
      <c r="J78" s="55">
        <f>'Qtr Source Data'!K57-'Qtr Source Data'!J57</f>
        <v>134</v>
      </c>
      <c r="K78" s="55">
        <f>'Qtr Source Data'!L57-'Qtr Source Data'!K57</f>
        <v>170</v>
      </c>
      <c r="L78" s="55">
        <f>'Qtr Source Data'!M57-'Qtr Source Data'!L57</f>
        <v>1029</v>
      </c>
      <c r="M78" s="55">
        <f>'Qtr Source Data'!N57</f>
        <v>-95</v>
      </c>
      <c r="N78" s="55">
        <f>'Qtr Source Data'!O57-'Qtr Source Data'!N57</f>
        <v>84</v>
      </c>
      <c r="O78" s="56">
        <f t="shared" si="21"/>
        <v>1188</v>
      </c>
    </row>
    <row r="79" spans="1:15" x14ac:dyDescent="0.25">
      <c r="B79" s="47" t="s">
        <v>253</v>
      </c>
      <c r="C79" s="55">
        <f>'Qtr Source Data'!D58-'Qtr Source Data'!C58</f>
        <v>1526</v>
      </c>
      <c r="D79" s="55">
        <f>'Qtr Source Data'!E58-'Qtr Source Data'!D58</f>
        <v>1544</v>
      </c>
      <c r="E79" s="55">
        <f>'Qtr Source Data'!F58</f>
        <v>1567</v>
      </c>
      <c r="F79" s="55">
        <f>'Qtr Source Data'!G58-'Qtr Source Data'!F58</f>
        <v>1574</v>
      </c>
      <c r="G79" s="55">
        <f>'Qtr Source Data'!H58-'Qtr Source Data'!G58</f>
        <v>1506</v>
      </c>
      <c r="H79" s="55">
        <f>'Qtr Source Data'!I58-'Qtr Source Data'!H58</f>
        <v>1217</v>
      </c>
      <c r="I79" s="55">
        <f>'Qtr Source Data'!J58</f>
        <v>1089</v>
      </c>
      <c r="J79" s="55">
        <f>'Qtr Source Data'!K58-'Qtr Source Data'!J58</f>
        <v>930</v>
      </c>
      <c r="K79" s="55">
        <f>'Qtr Source Data'!L58-'Qtr Source Data'!K58</f>
        <v>864</v>
      </c>
      <c r="L79" s="55">
        <f>'Qtr Source Data'!M58-'Qtr Source Data'!L58</f>
        <v>758</v>
      </c>
      <c r="M79" s="55">
        <f>'Qtr Source Data'!N58</f>
        <v>545</v>
      </c>
      <c r="N79" s="55">
        <f>'Qtr Source Data'!O58-'Qtr Source Data'!N58</f>
        <v>531</v>
      </c>
      <c r="O79" s="56">
        <f t="shared" si="21"/>
        <v>2698</v>
      </c>
    </row>
    <row r="80" spans="1:15" x14ac:dyDescent="0.25">
      <c r="B80" s="47" t="s">
        <v>254</v>
      </c>
      <c r="C80" s="55">
        <f>'Qtr Source Data'!D59-'Qtr Source Data'!C59</f>
        <v>622</v>
      </c>
      <c r="D80" s="55">
        <f>'Qtr Source Data'!E59-'Qtr Source Data'!D59</f>
        <v>546</v>
      </c>
      <c r="E80" s="55">
        <f>'Qtr Source Data'!F59</f>
        <v>541</v>
      </c>
      <c r="F80" s="55">
        <f>'Qtr Source Data'!G59-'Qtr Source Data'!F59</f>
        <v>540</v>
      </c>
      <c r="G80" s="55">
        <f>'Qtr Source Data'!H59-'Qtr Source Data'!G59</f>
        <v>547</v>
      </c>
      <c r="H80" s="55">
        <f>'Qtr Source Data'!I59-'Qtr Source Data'!H59</f>
        <v>519</v>
      </c>
      <c r="I80" s="55">
        <f>'Qtr Source Data'!J59</f>
        <v>377</v>
      </c>
      <c r="J80" s="55">
        <f>'Qtr Source Data'!K59-'Qtr Source Data'!J59</f>
        <v>41</v>
      </c>
      <c r="K80" s="55">
        <f>'Qtr Source Data'!L59-'Qtr Source Data'!K59</f>
        <v>41</v>
      </c>
      <c r="L80" s="55">
        <f>'Qtr Source Data'!M59-'Qtr Source Data'!L59</f>
        <v>41</v>
      </c>
      <c r="M80" s="55">
        <f>'Qtr Source Data'!N59</f>
        <v>31</v>
      </c>
      <c r="N80" s="55">
        <f>'Qtr Source Data'!O59-'Qtr Source Data'!N59</f>
        <v>22</v>
      </c>
      <c r="O80" s="56">
        <f t="shared" si="21"/>
        <v>135</v>
      </c>
    </row>
    <row r="81" spans="2:15" x14ac:dyDescent="0.25">
      <c r="B81" s="47" t="s">
        <v>255</v>
      </c>
      <c r="C81" s="55">
        <f>'Qtr Source Data'!D60-'Qtr Source Data'!C60</f>
        <v>3128</v>
      </c>
      <c r="D81" s="55">
        <f>'Qtr Source Data'!E60-'Qtr Source Data'!D60</f>
        <v>559</v>
      </c>
      <c r="E81" s="55">
        <f>'Qtr Source Data'!F60</f>
        <v>478</v>
      </c>
      <c r="F81" s="55">
        <f>'Qtr Source Data'!G60-'Qtr Source Data'!F60</f>
        <v>1179</v>
      </c>
      <c r="G81" s="55">
        <f>'Qtr Source Data'!H60-'Qtr Source Data'!G60</f>
        <v>367</v>
      </c>
      <c r="H81" s="55">
        <f>'Qtr Source Data'!I60-'Qtr Source Data'!H60</f>
        <v>3771</v>
      </c>
      <c r="I81" s="55">
        <f>'Qtr Source Data'!J60</f>
        <v>2287</v>
      </c>
      <c r="J81" s="55">
        <f>'Qtr Source Data'!K60-'Qtr Source Data'!J60</f>
        <v>-1729</v>
      </c>
      <c r="K81" s="55">
        <f>'Qtr Source Data'!L60-'Qtr Source Data'!K60</f>
        <v>235</v>
      </c>
      <c r="L81" s="55">
        <f>'Qtr Source Data'!M60-'Qtr Source Data'!L60</f>
        <v>1166</v>
      </c>
      <c r="M81" s="55">
        <f>'Qtr Source Data'!N60</f>
        <v>49</v>
      </c>
      <c r="N81" s="55">
        <f>'Qtr Source Data'!O60-'Qtr Source Data'!N60</f>
        <v>-1</v>
      </c>
      <c r="O81" s="56">
        <f t="shared" si="21"/>
        <v>1449</v>
      </c>
    </row>
    <row r="82" spans="2:15" x14ac:dyDescent="0.25">
      <c r="B82" s="47" t="s">
        <v>256</v>
      </c>
      <c r="C82" s="55">
        <f>'Qtr Source Data'!D61-'Qtr Source Data'!C61</f>
        <v>-32149</v>
      </c>
      <c r="D82" s="55">
        <f>'Qtr Source Data'!E61-'Qtr Source Data'!D61</f>
        <v>0</v>
      </c>
      <c r="E82" s="55">
        <f>'Qtr Source Data'!F61</f>
        <v>0</v>
      </c>
      <c r="F82" s="55">
        <f>'Qtr Source Data'!G61-'Qtr Source Data'!F61</f>
        <v>0</v>
      </c>
      <c r="G82" s="55">
        <f>'Qtr Source Data'!H61-'Qtr Source Data'!G61</f>
        <v>0</v>
      </c>
      <c r="H82" s="55">
        <f>'Qtr Source Data'!I61-'Qtr Source Data'!H61</f>
        <v>-19515</v>
      </c>
      <c r="I82" s="55">
        <f>'Qtr Source Data'!J61</f>
        <v>-7360</v>
      </c>
      <c r="J82" s="55">
        <f>'Qtr Source Data'!K61-'Qtr Source Data'!J61</f>
        <v>0</v>
      </c>
      <c r="K82" s="55">
        <f>'Qtr Source Data'!L61-'Qtr Source Data'!K61</f>
        <v>0</v>
      </c>
      <c r="L82" s="55">
        <f>'Qtr Source Data'!M61-'Qtr Source Data'!L61</f>
        <v>-478</v>
      </c>
      <c r="M82" s="55">
        <f>'Qtr Source Data'!N61</f>
        <v>-523</v>
      </c>
      <c r="N82" s="55">
        <f>'Qtr Source Data'!O61-'Qtr Source Data'!N61</f>
        <v>0</v>
      </c>
      <c r="O82" s="56">
        <f t="shared" si="21"/>
        <v>-1001</v>
      </c>
    </row>
    <row r="83" spans="2:15" x14ac:dyDescent="0.25">
      <c r="B83" s="47" t="s">
        <v>257</v>
      </c>
      <c r="C83" s="55">
        <f>'Qtr Source Data'!D62-'Qtr Source Data'!C62</f>
        <v>0</v>
      </c>
      <c r="D83" s="55">
        <f>'Qtr Source Data'!E62-'Qtr Source Data'!D62</f>
        <v>2106</v>
      </c>
      <c r="E83" s="55">
        <f>'Qtr Source Data'!F62</f>
        <v>0</v>
      </c>
      <c r="F83" s="55">
        <f>'Qtr Source Data'!G62-'Qtr Source Data'!F62</f>
        <v>0</v>
      </c>
      <c r="G83" s="55">
        <f>'Qtr Source Data'!H62-'Qtr Source Data'!G62</f>
        <v>0</v>
      </c>
      <c r="H83" s="55">
        <f>'Qtr Source Data'!I62-'Qtr Source Data'!H62</f>
        <v>27</v>
      </c>
      <c r="I83" s="55">
        <f>'Qtr Source Data'!J62</f>
        <v>-752</v>
      </c>
      <c r="J83" s="55">
        <f>'Qtr Source Data'!K62-'Qtr Source Data'!J62</f>
        <v>0</v>
      </c>
      <c r="K83" s="55">
        <f>'Qtr Source Data'!L62-'Qtr Source Data'!K62</f>
        <v>0</v>
      </c>
      <c r="L83" s="55">
        <f>'Qtr Source Data'!M62-'Qtr Source Data'!L62</f>
        <v>0</v>
      </c>
      <c r="M83" s="55">
        <f>'Qtr Source Data'!N62</f>
        <v>-5</v>
      </c>
      <c r="N83" s="55">
        <f>'Qtr Source Data'!O62-'Qtr Source Data'!N62</f>
        <v>0</v>
      </c>
      <c r="O83" s="56">
        <f t="shared" si="21"/>
        <v>-5</v>
      </c>
    </row>
    <row r="84" spans="2:15" x14ac:dyDescent="0.25">
      <c r="B84" s="47" t="s">
        <v>196</v>
      </c>
      <c r="C84" s="55">
        <f>'Qtr Source Data'!D63-'Qtr Source Data'!C63</f>
        <v>3600</v>
      </c>
      <c r="D84" s="55">
        <f>'Qtr Source Data'!E63-'Qtr Source Data'!D63</f>
        <v>0</v>
      </c>
      <c r="E84" s="55">
        <f>'Qtr Source Data'!F63</f>
        <v>0</v>
      </c>
      <c r="F84" s="55">
        <f>'Qtr Source Data'!G63-'Qtr Source Data'!F63</f>
        <v>481531</v>
      </c>
      <c r="G84" s="55">
        <f>'Qtr Source Data'!H63-'Qtr Source Data'!G63</f>
        <v>195708</v>
      </c>
      <c r="H84" s="55">
        <f>'Qtr Source Data'!I63-'Qtr Source Data'!H63</f>
        <v>0</v>
      </c>
      <c r="I84" s="55">
        <f>'Qtr Source Data'!J63</f>
        <v>0</v>
      </c>
      <c r="J84" s="55">
        <f>'Qtr Source Data'!K63-'Qtr Source Data'!J63</f>
        <v>2000</v>
      </c>
      <c r="K84" s="55">
        <f>'Qtr Source Data'!L63-'Qtr Source Data'!K63</f>
        <v>0</v>
      </c>
      <c r="L84" s="55">
        <f>'Qtr Source Data'!M63-'Qtr Source Data'!L63</f>
        <v>0</v>
      </c>
      <c r="M84" s="55">
        <f>'Qtr Source Data'!N63</f>
        <v>0</v>
      </c>
      <c r="N84" s="55">
        <f>'Qtr Source Data'!O63-'Qtr Source Data'!N63</f>
        <v>0</v>
      </c>
      <c r="O84" s="56">
        <f t="shared" si="21"/>
        <v>0</v>
      </c>
    </row>
    <row r="85" spans="2:15" x14ac:dyDescent="0.25">
      <c r="B85" s="47" t="s">
        <v>258</v>
      </c>
      <c r="C85" s="55">
        <f>'Qtr Source Data'!D64-'Qtr Source Data'!C64</f>
        <v>0</v>
      </c>
      <c r="D85" s="55">
        <f>'Qtr Source Data'!E64-'Qtr Source Data'!D64</f>
        <v>0</v>
      </c>
      <c r="E85" s="55">
        <f>'Qtr Source Data'!F64</f>
        <v>0</v>
      </c>
      <c r="F85" s="55">
        <f>'Qtr Source Data'!G64-'Qtr Source Data'!F64</f>
        <v>2189</v>
      </c>
      <c r="G85" s="55">
        <f>'Qtr Source Data'!H64-'Qtr Source Data'!G64</f>
        <v>0</v>
      </c>
      <c r="H85" s="55">
        <f>'Qtr Source Data'!I64-'Qtr Source Data'!H64</f>
        <v>3368</v>
      </c>
      <c r="I85" s="55">
        <f>'Qtr Source Data'!J64</f>
        <v>0</v>
      </c>
      <c r="J85" s="55">
        <f>'Qtr Source Data'!K64-'Qtr Source Data'!J64</f>
        <v>3004</v>
      </c>
      <c r="K85" s="55">
        <f>'Qtr Source Data'!L64-'Qtr Source Data'!K64</f>
        <v>0</v>
      </c>
      <c r="L85" s="55">
        <f>'Qtr Source Data'!M64-'Qtr Source Data'!L64</f>
        <v>4311</v>
      </c>
      <c r="M85" s="55">
        <f>'Qtr Source Data'!N64</f>
        <v>0</v>
      </c>
      <c r="N85" s="55">
        <f>'Qtr Source Data'!O64-'Qtr Source Data'!N64</f>
        <v>0</v>
      </c>
      <c r="O85" s="56">
        <f t="shared" si="21"/>
        <v>4311</v>
      </c>
    </row>
    <row r="86" spans="2:15" x14ac:dyDescent="0.25">
      <c r="B86" s="47" t="s">
        <v>259</v>
      </c>
      <c r="C86" s="55">
        <f>'Qtr Source Data'!D65-'Qtr Source Data'!C65</f>
        <v>0</v>
      </c>
      <c r="D86" s="55">
        <f>'Qtr Source Data'!E65-'Qtr Source Data'!D65</f>
        <v>0</v>
      </c>
      <c r="E86" s="55">
        <f>'Qtr Source Data'!F65</f>
        <v>0</v>
      </c>
      <c r="F86" s="55">
        <f>'Qtr Source Data'!G65-'Qtr Source Data'!F65</f>
        <v>0</v>
      </c>
      <c r="G86" s="55">
        <f>'Qtr Source Data'!H65-'Qtr Source Data'!G65</f>
        <v>0</v>
      </c>
      <c r="H86" s="55">
        <f>'Qtr Source Data'!I65-'Qtr Source Data'!H65</f>
        <v>0</v>
      </c>
      <c r="I86" s="55">
        <f>'Qtr Source Data'!J65</f>
        <v>0</v>
      </c>
      <c r="J86" s="55">
        <f>'Qtr Source Data'!K65-'Qtr Source Data'!J65</f>
        <v>6000</v>
      </c>
      <c r="K86" s="55">
        <f>'Qtr Source Data'!L65-'Qtr Source Data'!K65</f>
        <v>0</v>
      </c>
      <c r="L86" s="55">
        <f>'Qtr Source Data'!M65-'Qtr Source Data'!L65</f>
        <v>0</v>
      </c>
      <c r="M86" s="55">
        <f>'Qtr Source Data'!N65</f>
        <v>0</v>
      </c>
      <c r="N86" s="55">
        <f>'Qtr Source Data'!O65-'Qtr Source Data'!N65</f>
        <v>0</v>
      </c>
      <c r="O86" s="56">
        <f t="shared" si="21"/>
        <v>0</v>
      </c>
    </row>
    <row r="87" spans="2:15" x14ac:dyDescent="0.25">
      <c r="B87" s="47" t="s">
        <v>260</v>
      </c>
      <c r="C87" s="55">
        <f>'Qtr Source Data'!D66-'Qtr Source Data'!C66</f>
        <v>0</v>
      </c>
      <c r="D87" s="55">
        <f>'Qtr Source Data'!E66-'Qtr Source Data'!D66</f>
        <v>0</v>
      </c>
      <c r="E87" s="55">
        <f>'Qtr Source Data'!F66</f>
        <v>0</v>
      </c>
      <c r="F87" s="55">
        <f>'Qtr Source Data'!G66-'Qtr Source Data'!F66</f>
        <v>0</v>
      </c>
      <c r="G87" s="55">
        <f>'Qtr Source Data'!H66-'Qtr Source Data'!G66</f>
        <v>5100</v>
      </c>
      <c r="H87" s="55">
        <f>'Qtr Source Data'!I66-'Qtr Source Data'!H66</f>
        <v>-5100</v>
      </c>
      <c r="I87" s="55">
        <f>'Qtr Source Data'!J66</f>
        <v>0</v>
      </c>
      <c r="J87" s="55">
        <f>'Qtr Source Data'!K66-'Qtr Source Data'!J66</f>
        <v>7500</v>
      </c>
      <c r="K87" s="55">
        <f>'Qtr Source Data'!L66-'Qtr Source Data'!K66</f>
        <v>-7500</v>
      </c>
      <c r="L87" s="55">
        <f>'Qtr Source Data'!M66-'Qtr Source Data'!L66</f>
        <v>0</v>
      </c>
      <c r="M87" s="55">
        <f>'Qtr Source Data'!N66</f>
        <v>0</v>
      </c>
      <c r="N87" s="55">
        <f>'Qtr Source Data'!O66-'Qtr Source Data'!N66</f>
        <v>-3000</v>
      </c>
      <c r="O87" s="56">
        <f t="shared" si="21"/>
        <v>-10500</v>
      </c>
    </row>
    <row r="88" spans="2:15" x14ac:dyDescent="0.25">
      <c r="B88" s="47" t="s">
        <v>261</v>
      </c>
      <c r="C88" s="55">
        <f>'Qtr Source Data'!D67-'Qtr Source Data'!C67</f>
        <v>694</v>
      </c>
      <c r="D88" s="55">
        <f>'Qtr Source Data'!E67-'Qtr Source Data'!D67</f>
        <v>-839</v>
      </c>
      <c r="E88" s="55">
        <f>'Qtr Source Data'!F67</f>
        <v>-31</v>
      </c>
      <c r="F88" s="55">
        <f>'Qtr Source Data'!G67-'Qtr Source Data'!F67</f>
        <v>113</v>
      </c>
      <c r="G88" s="55">
        <f>'Qtr Source Data'!H67-'Qtr Source Data'!G67</f>
        <v>140</v>
      </c>
      <c r="H88" s="55">
        <f>'Qtr Source Data'!I67-'Qtr Source Data'!H67</f>
        <v>434</v>
      </c>
      <c r="I88" s="55">
        <f>'Qtr Source Data'!J67</f>
        <v>-28</v>
      </c>
      <c r="J88" s="55">
        <f>'Qtr Source Data'!K67-'Qtr Source Data'!J67</f>
        <v>353</v>
      </c>
      <c r="K88" s="55">
        <f>'Qtr Source Data'!L67-'Qtr Source Data'!K67</f>
        <v>724</v>
      </c>
      <c r="L88" s="55">
        <f>'Qtr Source Data'!M67-'Qtr Source Data'!L67</f>
        <v>374</v>
      </c>
      <c r="M88" s="55">
        <f>'Qtr Source Data'!N67</f>
        <v>-159</v>
      </c>
      <c r="N88" s="55">
        <f>'Qtr Source Data'!O67-'Qtr Source Data'!N67</f>
        <v>-139</v>
      </c>
      <c r="O88" s="56">
        <f t="shared" si="21"/>
        <v>800</v>
      </c>
    </row>
    <row r="89" spans="2:15" x14ac:dyDescent="0.25">
      <c r="B89" s="47" t="s">
        <v>262</v>
      </c>
      <c r="C89" s="55">
        <f>'Qtr Source Data'!D68-'Qtr Source Data'!C68</f>
        <v>-9989</v>
      </c>
      <c r="D89" s="55">
        <f>'Qtr Source Data'!E68-'Qtr Source Data'!D68</f>
        <v>-891</v>
      </c>
      <c r="E89" s="55">
        <f>'Qtr Source Data'!F68</f>
        <v>6705</v>
      </c>
      <c r="F89" s="55">
        <f>'Qtr Source Data'!G68-'Qtr Source Data'!F68</f>
        <v>3856</v>
      </c>
      <c r="G89" s="55">
        <f>'Qtr Source Data'!H68-'Qtr Source Data'!G68</f>
        <v>-2542</v>
      </c>
      <c r="H89" s="55">
        <f>'Qtr Source Data'!I68-'Qtr Source Data'!H68</f>
        <v>-248</v>
      </c>
      <c r="I89" s="55">
        <f>'Qtr Source Data'!J68</f>
        <v>-4693</v>
      </c>
      <c r="J89" s="55">
        <f>'Qtr Source Data'!K68-'Qtr Source Data'!J68</f>
        <v>10807</v>
      </c>
      <c r="K89" s="55">
        <f>'Qtr Source Data'!L68-'Qtr Source Data'!K68</f>
        <v>2478</v>
      </c>
      <c r="L89" s="55">
        <f>'Qtr Source Data'!M68-'Qtr Source Data'!L68</f>
        <v>-153</v>
      </c>
      <c r="M89" s="55">
        <f>'Qtr Source Data'!N68</f>
        <v>-2338</v>
      </c>
      <c r="N89" s="55">
        <f>'Qtr Source Data'!O68-'Qtr Source Data'!N68</f>
        <v>7154</v>
      </c>
      <c r="O89" s="56">
        <f t="shared" si="21"/>
        <v>7141</v>
      </c>
    </row>
    <row r="90" spans="2:15" x14ac:dyDescent="0.25">
      <c r="B90" s="47" t="s">
        <v>263</v>
      </c>
      <c r="C90" s="55">
        <f>'Qtr Source Data'!D69-'Qtr Source Data'!C69</f>
        <v>-14524</v>
      </c>
      <c r="D90" s="55">
        <f>'Qtr Source Data'!E69-'Qtr Source Data'!D69</f>
        <v>2918</v>
      </c>
      <c r="E90" s="55">
        <f>'Qtr Source Data'!F69</f>
        <v>3583</v>
      </c>
      <c r="F90" s="55">
        <f>'Qtr Source Data'!G69-'Qtr Source Data'!F69</f>
        <v>-15756</v>
      </c>
      <c r="G90" s="55">
        <f>'Qtr Source Data'!H69-'Qtr Source Data'!G69</f>
        <v>-43552</v>
      </c>
      <c r="H90" s="55">
        <f>'Qtr Source Data'!I69-'Qtr Source Data'!H69</f>
        <v>13993</v>
      </c>
      <c r="I90" s="55">
        <f>'Qtr Source Data'!J69</f>
        <v>5880</v>
      </c>
      <c r="J90" s="55">
        <f>'Qtr Source Data'!K69-'Qtr Source Data'!J69</f>
        <v>-6821</v>
      </c>
      <c r="K90" s="55">
        <f>'Qtr Source Data'!L69-'Qtr Source Data'!K69</f>
        <v>8763</v>
      </c>
      <c r="L90" s="55">
        <f>'Qtr Source Data'!M69-'Qtr Source Data'!L69</f>
        <v>58548</v>
      </c>
      <c r="M90" s="55">
        <f>'Qtr Source Data'!N69</f>
        <v>6018</v>
      </c>
      <c r="N90" s="55">
        <f>'Qtr Source Data'!O69-'Qtr Source Data'!N69</f>
        <v>1554</v>
      </c>
      <c r="O90" s="56">
        <f t="shared" si="21"/>
        <v>74883</v>
      </c>
    </row>
    <row r="91" spans="2:15" x14ac:dyDescent="0.25">
      <c r="B91" s="47" t="s">
        <v>264</v>
      </c>
      <c r="C91" s="55">
        <f>'Qtr Source Data'!D70-'Qtr Source Data'!C70</f>
        <v>3201</v>
      </c>
      <c r="D91" s="55">
        <f>'Qtr Source Data'!E70-'Qtr Source Data'!D70</f>
        <v>2158</v>
      </c>
      <c r="E91" s="55">
        <f>'Qtr Source Data'!F70</f>
        <v>-1270</v>
      </c>
      <c r="F91" s="55">
        <f>'Qtr Source Data'!G70-'Qtr Source Data'!F70</f>
        <v>497</v>
      </c>
      <c r="G91" s="55">
        <f>'Qtr Source Data'!H70-'Qtr Source Data'!G70</f>
        <v>304</v>
      </c>
      <c r="H91" s="55">
        <f>'Qtr Source Data'!I70-'Qtr Source Data'!H70</f>
        <v>1599</v>
      </c>
      <c r="I91" s="55">
        <f>'Qtr Source Data'!J70</f>
        <v>518</v>
      </c>
      <c r="J91" s="55">
        <f>'Qtr Source Data'!K70-'Qtr Source Data'!J70</f>
        <v>410</v>
      </c>
      <c r="K91" s="55">
        <f>'Qtr Source Data'!L70-'Qtr Source Data'!K70</f>
        <v>395</v>
      </c>
      <c r="L91" s="55">
        <f>'Qtr Source Data'!M70-'Qtr Source Data'!L70</f>
        <v>-1302</v>
      </c>
      <c r="M91" s="55">
        <f>'Qtr Source Data'!N70</f>
        <v>-268</v>
      </c>
      <c r="N91" s="55">
        <f>'Qtr Source Data'!O70-'Qtr Source Data'!N70</f>
        <v>528</v>
      </c>
      <c r="O91" s="56">
        <f t="shared" si="21"/>
        <v>-647</v>
      </c>
    </row>
    <row r="92" spans="2:15" x14ac:dyDescent="0.25">
      <c r="B92" s="47" t="s">
        <v>265</v>
      </c>
      <c r="C92" s="55">
        <f>'Qtr Source Data'!D71-'Qtr Source Data'!C71</f>
        <v>5491</v>
      </c>
      <c r="D92" s="55">
        <f>'Qtr Source Data'!E71-'Qtr Source Data'!D71</f>
        <v>8237</v>
      </c>
      <c r="E92" s="55">
        <f>'Qtr Source Data'!F71</f>
        <v>-6589</v>
      </c>
      <c r="F92" s="55">
        <f>'Qtr Source Data'!G71-'Qtr Source Data'!F71</f>
        <v>-5456</v>
      </c>
      <c r="G92" s="55">
        <f>'Qtr Source Data'!H71-'Qtr Source Data'!G71</f>
        <v>3737</v>
      </c>
      <c r="H92" s="55">
        <f>'Qtr Source Data'!I71-'Qtr Source Data'!H71</f>
        <v>-4068</v>
      </c>
      <c r="I92" s="55">
        <f>'Qtr Source Data'!J71</f>
        <v>1535</v>
      </c>
      <c r="J92" s="55">
        <f>'Qtr Source Data'!K71-'Qtr Source Data'!J71</f>
        <v>-7573</v>
      </c>
      <c r="K92" s="55">
        <f>'Qtr Source Data'!L71-'Qtr Source Data'!K71</f>
        <v>1061</v>
      </c>
      <c r="L92" s="55">
        <f>'Qtr Source Data'!M71-'Qtr Source Data'!L71</f>
        <v>-4683</v>
      </c>
      <c r="M92" s="55">
        <f>'Qtr Source Data'!N71</f>
        <v>3599</v>
      </c>
      <c r="N92" s="55">
        <f>'Qtr Source Data'!O71-'Qtr Source Data'!N71</f>
        <v>-2223</v>
      </c>
      <c r="O92" s="56">
        <f t="shared" si="21"/>
        <v>-2246</v>
      </c>
    </row>
    <row r="93" spans="2:15" x14ac:dyDescent="0.25">
      <c r="B93" s="47" t="s">
        <v>266</v>
      </c>
      <c r="C93" s="55">
        <f>'Qtr Source Data'!D72-'Qtr Source Data'!C72</f>
        <v>6173</v>
      </c>
      <c r="D93" s="55">
        <f>'Qtr Source Data'!E72-'Qtr Source Data'!D72</f>
        <v>-4124</v>
      </c>
      <c r="E93" s="55">
        <f>'Qtr Source Data'!F72</f>
        <v>-1159</v>
      </c>
      <c r="F93" s="55">
        <f>'Qtr Source Data'!G72-'Qtr Source Data'!F72</f>
        <v>-9067</v>
      </c>
      <c r="G93" s="55">
        <f>'Qtr Source Data'!H72-'Qtr Source Data'!G72</f>
        <v>-1537</v>
      </c>
      <c r="H93" s="55">
        <f>'Qtr Source Data'!I72-'Qtr Source Data'!H72</f>
        <v>-4122</v>
      </c>
      <c r="I93" s="55">
        <f>'Qtr Source Data'!J72</f>
        <v>5437</v>
      </c>
      <c r="J93" s="55">
        <f>'Qtr Source Data'!K72-'Qtr Source Data'!J72</f>
        <v>-11382</v>
      </c>
      <c r="K93" s="55">
        <f>'Qtr Source Data'!L72-'Qtr Source Data'!K72</f>
        <v>-2250</v>
      </c>
      <c r="L93" s="55">
        <f>'Qtr Source Data'!M72-'Qtr Source Data'!L72</f>
        <v>-2482</v>
      </c>
      <c r="M93" s="55">
        <f>'Qtr Source Data'!N72</f>
        <v>-608</v>
      </c>
      <c r="N93" s="55">
        <f>'Qtr Source Data'!O72-'Qtr Source Data'!N72</f>
        <v>-2231</v>
      </c>
      <c r="O93" s="56">
        <f t="shared" si="21"/>
        <v>-7571</v>
      </c>
    </row>
    <row r="94" spans="2:15" x14ac:dyDescent="0.25">
      <c r="B94" s="47" t="s">
        <v>267</v>
      </c>
      <c r="C94" s="55">
        <f>'Qtr Source Data'!D73-'Qtr Source Data'!C73</f>
        <v>-4713</v>
      </c>
      <c r="D94" s="55">
        <f>'Qtr Source Data'!E73-'Qtr Source Data'!D73</f>
        <v>-1193</v>
      </c>
      <c r="E94" s="55">
        <f>'Qtr Source Data'!F73</f>
        <v>640</v>
      </c>
      <c r="F94" s="55">
        <f>'Qtr Source Data'!G73-'Qtr Source Data'!F73</f>
        <v>-4697</v>
      </c>
      <c r="G94" s="55">
        <f>'Qtr Source Data'!H73-'Qtr Source Data'!G73</f>
        <v>50906</v>
      </c>
      <c r="H94" s="55">
        <f>'Qtr Source Data'!I73-'Qtr Source Data'!H73</f>
        <v>254</v>
      </c>
      <c r="I94" s="55">
        <f>'Qtr Source Data'!J73</f>
        <v>-4894</v>
      </c>
      <c r="J94" s="55">
        <f>'Qtr Source Data'!K73-'Qtr Source Data'!J73</f>
        <v>3781</v>
      </c>
      <c r="K94" s="55">
        <f>'Qtr Source Data'!L73-'Qtr Source Data'!K73</f>
        <v>-2188</v>
      </c>
      <c r="L94" s="55">
        <f>'Qtr Source Data'!M73-'Qtr Source Data'!L73</f>
        <v>-56422</v>
      </c>
      <c r="M94" s="55">
        <f>'Qtr Source Data'!N73</f>
        <v>-18186</v>
      </c>
      <c r="N94" s="55">
        <f>'Qtr Source Data'!O73-'Qtr Source Data'!N73</f>
        <v>-4660</v>
      </c>
      <c r="O94" s="56">
        <f t="shared" si="21"/>
        <v>-81456</v>
      </c>
    </row>
    <row r="95" spans="2:15" x14ac:dyDescent="0.25">
      <c r="B95" s="47" t="s">
        <v>268</v>
      </c>
      <c r="C95" s="55">
        <f>'Qtr Source Data'!D74-'Qtr Source Data'!C74</f>
        <v>-1605</v>
      </c>
      <c r="D95" s="55">
        <f>'Qtr Source Data'!E74-'Qtr Source Data'!D74</f>
        <v>-1527</v>
      </c>
      <c r="E95" s="55">
        <f>'Qtr Source Data'!F74</f>
        <v>-1580</v>
      </c>
      <c r="F95" s="55">
        <f>'Qtr Source Data'!G74-'Qtr Source Data'!F74</f>
        <v>-1300</v>
      </c>
      <c r="G95" s="55">
        <f>'Qtr Source Data'!H74-'Qtr Source Data'!G74</f>
        <v>-88</v>
      </c>
      <c r="H95" s="55">
        <f>'Qtr Source Data'!I74-'Qtr Source Data'!H74</f>
        <v>-4817</v>
      </c>
      <c r="I95" s="55">
        <f>'Qtr Source Data'!J74</f>
        <v>-752</v>
      </c>
      <c r="J95" s="55">
        <f>'Qtr Source Data'!K74-'Qtr Source Data'!J74</f>
        <v>-770</v>
      </c>
      <c r="K95" s="55">
        <f>'Qtr Source Data'!L74-'Qtr Source Data'!K74</f>
        <v>-1755</v>
      </c>
      <c r="L95" s="55">
        <f>'Qtr Source Data'!M74-'Qtr Source Data'!L74</f>
        <v>1321</v>
      </c>
      <c r="M95" s="55">
        <f>'Qtr Source Data'!N74</f>
        <v>-841</v>
      </c>
      <c r="N95" s="55">
        <f>'Qtr Source Data'!O74-'Qtr Source Data'!N74</f>
        <v>19</v>
      </c>
      <c r="O95" s="56">
        <f t="shared" si="21"/>
        <v>-1256</v>
      </c>
    </row>
    <row r="96" spans="2:15" x14ac:dyDescent="0.25">
      <c r="B96" s="33" t="s">
        <v>329</v>
      </c>
      <c r="C96" s="57">
        <f t="shared" ref="C96:O96" si="22">SUM(C75:C95)</f>
        <v>32807</v>
      </c>
      <c r="D96" s="57">
        <f t="shared" si="22"/>
        <v>77484</v>
      </c>
      <c r="E96" s="57">
        <f t="shared" si="22"/>
        <v>53318</v>
      </c>
      <c r="F96" s="57">
        <f t="shared" si="22"/>
        <v>14227</v>
      </c>
      <c r="G96" s="57">
        <f t="shared" si="22"/>
        <v>39532</v>
      </c>
      <c r="H96" s="57">
        <f t="shared" si="22"/>
        <v>18128</v>
      </c>
      <c r="I96" s="57">
        <f t="shared" si="22"/>
        <v>24526</v>
      </c>
      <c r="J96" s="57">
        <f t="shared" si="22"/>
        <v>-4840</v>
      </c>
      <c r="K96" s="57">
        <f t="shared" si="22"/>
        <v>4813</v>
      </c>
      <c r="L96" s="57">
        <f t="shared" si="22"/>
        <v>-9009</v>
      </c>
      <c r="M96" s="57">
        <f t="shared" si="22"/>
        <v>4105</v>
      </c>
      <c r="N96" s="57">
        <f t="shared" si="22"/>
        <v>10056</v>
      </c>
      <c r="O96" s="57">
        <f t="shared" si="22"/>
        <v>9965</v>
      </c>
    </row>
    <row r="98" spans="2:15" x14ac:dyDescent="0.25">
      <c r="B98" s="33" t="s">
        <v>330</v>
      </c>
    </row>
    <row r="99" spans="2:15" x14ac:dyDescent="0.25">
      <c r="B99" s="47" t="s">
        <v>269</v>
      </c>
      <c r="C99" s="55">
        <f>'Qtr Source Data'!D75-'Qtr Source Data'!C75</f>
        <v>-23434</v>
      </c>
      <c r="D99" s="55">
        <f>'Qtr Source Data'!E75-'Qtr Source Data'!D75</f>
        <v>-25754</v>
      </c>
      <c r="E99" s="55">
        <f>'Qtr Source Data'!F75</f>
        <v>-28017</v>
      </c>
      <c r="F99" s="55">
        <f>'Qtr Source Data'!G75-'Qtr Source Data'!F75</f>
        <v>-17800</v>
      </c>
      <c r="G99" s="55">
        <f>'Qtr Source Data'!H75-'Qtr Source Data'!G75</f>
        <v>-15842</v>
      </c>
      <c r="H99" s="55">
        <f>'Qtr Source Data'!I75-'Qtr Source Data'!H75</f>
        <v>-13294</v>
      </c>
      <c r="I99" s="55">
        <f>'Qtr Source Data'!J75</f>
        <v>-8665</v>
      </c>
      <c r="J99" s="55">
        <f>'Qtr Source Data'!K75-'Qtr Source Data'!J75</f>
        <v>-7230</v>
      </c>
      <c r="K99" s="55">
        <f>'Qtr Source Data'!L75-'Qtr Source Data'!K75</f>
        <v>-5756</v>
      </c>
      <c r="L99" s="55">
        <f>'Qtr Source Data'!M75-'Qtr Source Data'!L75</f>
        <v>-6472</v>
      </c>
      <c r="M99" s="55">
        <f>'Qtr Source Data'!N75</f>
        <v>-1042</v>
      </c>
      <c r="N99" s="55">
        <f>'Qtr Source Data'!O75-'Qtr Source Data'!N75</f>
        <v>-3658</v>
      </c>
      <c r="O99" s="56">
        <f t="shared" ref="O99:O105" si="23">SUM(K99:N99)</f>
        <v>-16928</v>
      </c>
    </row>
    <row r="100" spans="2:15" x14ac:dyDescent="0.25">
      <c r="B100" s="47" t="s">
        <v>270</v>
      </c>
      <c r="C100" s="55">
        <f>'Qtr Source Data'!D76-'Qtr Source Data'!C76</f>
        <v>0</v>
      </c>
      <c r="D100" s="55">
        <f>'Qtr Source Data'!E76-'Qtr Source Data'!D76</f>
        <v>0</v>
      </c>
      <c r="E100" s="55">
        <f>'Qtr Source Data'!F76</f>
        <v>0</v>
      </c>
      <c r="F100" s="55">
        <f>'Qtr Source Data'!G76-'Qtr Source Data'!F76</f>
        <v>0</v>
      </c>
      <c r="G100" s="55">
        <f>'Qtr Source Data'!H76-'Qtr Source Data'!G76</f>
        <v>0</v>
      </c>
      <c r="H100" s="55">
        <f>'Qtr Source Data'!I76-'Qtr Source Data'!H76</f>
        <v>0</v>
      </c>
      <c r="I100" s="55">
        <f>'Qtr Source Data'!J76</f>
        <v>0</v>
      </c>
      <c r="J100" s="55">
        <f>'Qtr Source Data'!K76-'Qtr Source Data'!J76</f>
        <v>0</v>
      </c>
      <c r="K100" s="55">
        <f>'Qtr Source Data'!L76-'Qtr Source Data'!K76</f>
        <v>0</v>
      </c>
      <c r="L100" s="55">
        <f>'Qtr Source Data'!M76-'Qtr Source Data'!L76</f>
        <v>0</v>
      </c>
      <c r="M100" s="55">
        <f>'Qtr Source Data'!N76</f>
        <v>0</v>
      </c>
      <c r="N100" s="55">
        <f>'Qtr Source Data'!O76-'Qtr Source Data'!N76</f>
        <v>0</v>
      </c>
      <c r="O100" s="56">
        <f t="shared" si="23"/>
        <v>0</v>
      </c>
    </row>
    <row r="101" spans="2:15" x14ac:dyDescent="0.25">
      <c r="B101" s="47" t="s">
        <v>271</v>
      </c>
      <c r="C101" s="55">
        <f>'Qtr Source Data'!D77-'Qtr Source Data'!C77</f>
        <v>-32866</v>
      </c>
      <c r="D101" s="55">
        <f>'Qtr Source Data'!E77-'Qtr Source Data'!D77</f>
        <v>-52664</v>
      </c>
      <c r="E101" s="55">
        <f>'Qtr Source Data'!F77</f>
        <v>-79028</v>
      </c>
      <c r="F101" s="55">
        <f>'Qtr Source Data'!G77-'Qtr Source Data'!F77</f>
        <v>-44641</v>
      </c>
      <c r="G101" s="55">
        <f>'Qtr Source Data'!H77-'Qtr Source Data'!G77</f>
        <v>-10544</v>
      </c>
      <c r="H101" s="55">
        <f>'Qtr Source Data'!I77-'Qtr Source Data'!H77</f>
        <v>-36737</v>
      </c>
      <c r="I101" s="55">
        <f>'Qtr Source Data'!J77</f>
        <v>-793</v>
      </c>
      <c r="J101" s="55">
        <f>'Qtr Source Data'!K77-'Qtr Source Data'!J77</f>
        <v>0</v>
      </c>
      <c r="K101" s="55">
        <f>'Qtr Source Data'!L77-'Qtr Source Data'!K77</f>
        <v>0</v>
      </c>
      <c r="L101" s="55">
        <f>'Qtr Source Data'!M77-'Qtr Source Data'!L77</f>
        <v>0</v>
      </c>
      <c r="M101" s="55">
        <f>'Qtr Source Data'!N77</f>
        <v>0</v>
      </c>
      <c r="N101" s="55">
        <f>'Qtr Source Data'!O77-'Qtr Source Data'!N77</f>
        <v>0</v>
      </c>
      <c r="O101" s="56">
        <f t="shared" si="23"/>
        <v>0</v>
      </c>
    </row>
    <row r="102" spans="2:15" x14ac:dyDescent="0.25">
      <c r="B102" s="47" t="s">
        <v>272</v>
      </c>
      <c r="C102" s="55">
        <f>'Qtr Source Data'!D78-'Qtr Source Data'!C78</f>
        <v>84335</v>
      </c>
      <c r="D102" s="55">
        <f>'Qtr Source Data'!E78-'Qtr Source Data'!D78</f>
        <v>36000</v>
      </c>
      <c r="E102" s="55">
        <f>'Qtr Source Data'!F78</f>
        <v>50731</v>
      </c>
      <c r="F102" s="55">
        <f>'Qtr Source Data'!G78-'Qtr Source Data'!F78</f>
        <v>39159</v>
      </c>
      <c r="G102" s="55">
        <f>'Qtr Source Data'!H78-'Qtr Source Data'!G78</f>
        <v>7017</v>
      </c>
      <c r="H102" s="55">
        <f>'Qtr Source Data'!I78-'Qtr Source Data'!H78</f>
        <v>74764</v>
      </c>
      <c r="I102" s="55">
        <f>'Qtr Source Data'!J78</f>
        <v>103214</v>
      </c>
      <c r="J102" s="55">
        <f>'Qtr Source Data'!K78-'Qtr Source Data'!J78</f>
        <v>4496</v>
      </c>
      <c r="K102" s="55">
        <f>'Qtr Source Data'!L78-'Qtr Source Data'!K78</f>
        <v>3414</v>
      </c>
      <c r="L102" s="55">
        <f>'Qtr Source Data'!M78-'Qtr Source Data'!L78</f>
        <v>18931</v>
      </c>
      <c r="M102" s="55">
        <f>'Qtr Source Data'!N78</f>
        <v>13477</v>
      </c>
      <c r="N102" s="55">
        <f>'Qtr Source Data'!O78-'Qtr Source Data'!N78</f>
        <v>6554</v>
      </c>
      <c r="O102" s="56">
        <f t="shared" si="23"/>
        <v>42376</v>
      </c>
    </row>
    <row r="103" spans="2:15" x14ac:dyDescent="0.25">
      <c r="B103" s="47" t="s">
        <v>273</v>
      </c>
      <c r="C103" s="55">
        <f>'Qtr Source Data'!D79-'Qtr Source Data'!C79</f>
        <v>0</v>
      </c>
      <c r="D103" s="55">
        <f>'Qtr Source Data'!E79-'Qtr Source Data'!D79</f>
        <v>155852</v>
      </c>
      <c r="E103" s="55">
        <f>'Qtr Source Data'!F79</f>
        <v>0</v>
      </c>
      <c r="F103" s="55">
        <f>'Qtr Source Data'!G79-'Qtr Source Data'!F79</f>
        <v>0</v>
      </c>
      <c r="G103" s="55">
        <f>'Qtr Source Data'!H79-'Qtr Source Data'!G79</f>
        <v>0</v>
      </c>
      <c r="H103" s="55">
        <f>'Qtr Source Data'!I79-'Qtr Source Data'!H79</f>
        <v>70077</v>
      </c>
      <c r="I103" s="55">
        <f>'Qtr Source Data'!J79</f>
        <v>181158</v>
      </c>
      <c r="J103" s="55">
        <f>'Qtr Source Data'!K79-'Qtr Source Data'!J79</f>
        <v>0</v>
      </c>
      <c r="K103" s="55">
        <f>'Qtr Source Data'!L79-'Qtr Source Data'!K79</f>
        <v>0</v>
      </c>
      <c r="L103" s="55">
        <f>'Qtr Source Data'!M79-'Qtr Source Data'!L79</f>
        <v>0</v>
      </c>
      <c r="M103" s="55">
        <f>'Qtr Source Data'!N79</f>
        <v>5679</v>
      </c>
      <c r="N103" s="55">
        <f>'Qtr Source Data'!O79-'Qtr Source Data'!N79</f>
        <v>0</v>
      </c>
      <c r="O103" s="56">
        <f t="shared" si="23"/>
        <v>5679</v>
      </c>
    </row>
    <row r="104" spans="2:15" x14ac:dyDescent="0.25">
      <c r="B104" s="47" t="s">
        <v>274</v>
      </c>
      <c r="C104" s="55">
        <f>'Qtr Source Data'!D80-'Qtr Source Data'!C80</f>
        <v>0</v>
      </c>
      <c r="D104" s="55">
        <f>'Qtr Source Data'!E80-'Qtr Source Data'!D80</f>
        <v>0</v>
      </c>
      <c r="E104" s="55">
        <f>'Qtr Source Data'!F80</f>
        <v>15500</v>
      </c>
      <c r="F104" s="55">
        <f>'Qtr Source Data'!G80-'Qtr Source Data'!F80</f>
        <v>0</v>
      </c>
      <c r="G104" s="55">
        <f>'Qtr Source Data'!H80-'Qtr Source Data'!G80</f>
        <v>0</v>
      </c>
      <c r="H104" s="55">
        <f>'Qtr Source Data'!I80-'Qtr Source Data'!H80</f>
        <v>0</v>
      </c>
      <c r="I104" s="55">
        <f>'Qtr Source Data'!J80</f>
        <v>0</v>
      </c>
      <c r="J104" s="55">
        <f>'Qtr Source Data'!K80-'Qtr Source Data'!J80</f>
        <v>0</v>
      </c>
      <c r="K104" s="55">
        <f>'Qtr Source Data'!L80-'Qtr Source Data'!K80</f>
        <v>0</v>
      </c>
      <c r="L104" s="55">
        <f>'Qtr Source Data'!M80-'Qtr Source Data'!L80</f>
        <v>0</v>
      </c>
      <c r="M104" s="55">
        <f>'Qtr Source Data'!N80</f>
        <v>0</v>
      </c>
      <c r="N104" s="55">
        <f>'Qtr Source Data'!O80-'Qtr Source Data'!N80</f>
        <v>0</v>
      </c>
      <c r="O104" s="56">
        <f t="shared" si="23"/>
        <v>0</v>
      </c>
    </row>
    <row r="105" spans="2:15" x14ac:dyDescent="0.25">
      <c r="B105" s="47" t="s">
        <v>275</v>
      </c>
      <c r="C105" s="55">
        <f>'Qtr Source Data'!D81-'Qtr Source Data'!C81</f>
        <v>-2249</v>
      </c>
      <c r="D105" s="55">
        <f>'Qtr Source Data'!E81-'Qtr Source Data'!D81</f>
        <v>0</v>
      </c>
      <c r="E105" s="55">
        <f>'Qtr Source Data'!F81</f>
        <v>0</v>
      </c>
      <c r="F105" s="55">
        <f>'Qtr Source Data'!G81-'Qtr Source Data'!F81</f>
        <v>0</v>
      </c>
      <c r="G105" s="55">
        <f>'Qtr Source Data'!H81-'Qtr Source Data'!G81</f>
        <v>0</v>
      </c>
      <c r="H105" s="55">
        <f>'Qtr Source Data'!I81-'Qtr Source Data'!H81</f>
        <v>0</v>
      </c>
      <c r="I105" s="55">
        <f>'Qtr Source Data'!J81</f>
        <v>0</v>
      </c>
      <c r="J105" s="55">
        <f>'Qtr Source Data'!K81-'Qtr Source Data'!J81</f>
        <v>0</v>
      </c>
      <c r="K105" s="55">
        <f>'Qtr Source Data'!L81-'Qtr Source Data'!K81</f>
        <v>0</v>
      </c>
      <c r="L105" s="55">
        <f>'Qtr Source Data'!M81-'Qtr Source Data'!L81</f>
        <v>0</v>
      </c>
      <c r="M105" s="55">
        <f>'Qtr Source Data'!N81</f>
        <v>0</v>
      </c>
      <c r="N105" s="55">
        <f>'Qtr Source Data'!O81-'Qtr Source Data'!N81</f>
        <v>0</v>
      </c>
      <c r="O105" s="56">
        <f t="shared" si="23"/>
        <v>0</v>
      </c>
    </row>
    <row r="106" spans="2:15" x14ac:dyDescent="0.25">
      <c r="B106" s="33" t="s">
        <v>331</v>
      </c>
      <c r="C106" s="57">
        <f t="shared" ref="C106:O106" si="24">SUM(C99:C105)</f>
        <v>25786</v>
      </c>
      <c r="D106" s="57">
        <f t="shared" si="24"/>
        <v>113434</v>
      </c>
      <c r="E106" s="57">
        <f t="shared" si="24"/>
        <v>-40814</v>
      </c>
      <c r="F106" s="57">
        <f t="shared" si="24"/>
        <v>-23282</v>
      </c>
      <c r="G106" s="57">
        <f t="shared" si="24"/>
        <v>-19369</v>
      </c>
      <c r="H106" s="57">
        <f t="shared" si="24"/>
        <v>94810</v>
      </c>
      <c r="I106" s="57">
        <f t="shared" si="24"/>
        <v>274914</v>
      </c>
      <c r="J106" s="57">
        <f t="shared" si="24"/>
        <v>-2734</v>
      </c>
      <c r="K106" s="57">
        <f t="shared" si="24"/>
        <v>-2342</v>
      </c>
      <c r="L106" s="57">
        <f t="shared" si="24"/>
        <v>12459</v>
      </c>
      <c r="M106" s="57">
        <f t="shared" si="24"/>
        <v>18114</v>
      </c>
      <c r="N106" s="57">
        <f t="shared" si="24"/>
        <v>2896</v>
      </c>
      <c r="O106" s="57">
        <f t="shared" si="24"/>
        <v>31127</v>
      </c>
    </row>
    <row r="108" spans="2:15" x14ac:dyDescent="0.25">
      <c r="B108" s="33" t="s">
        <v>332</v>
      </c>
    </row>
    <row r="109" spans="2:15" x14ac:dyDescent="0.25">
      <c r="B109" s="47" t="s">
        <v>276</v>
      </c>
      <c r="C109" s="55">
        <f>'Qtr Source Data'!D82-'Qtr Source Data'!C82</f>
        <v>27</v>
      </c>
      <c r="D109" s="55">
        <f>'Qtr Source Data'!E82-'Qtr Source Data'!D82</f>
        <v>1057</v>
      </c>
      <c r="E109" s="55">
        <f>'Qtr Source Data'!F82</f>
        <v>0</v>
      </c>
      <c r="F109" s="55">
        <f>'Qtr Source Data'!G82-'Qtr Source Data'!F82</f>
        <v>2190</v>
      </c>
      <c r="G109" s="55">
        <f>'Qtr Source Data'!H82-'Qtr Source Data'!G82</f>
        <v>1</v>
      </c>
      <c r="H109" s="55">
        <f>'Qtr Source Data'!I82-'Qtr Source Data'!H82</f>
        <v>445</v>
      </c>
      <c r="I109" s="55">
        <f>'Qtr Source Data'!J82</f>
        <v>0</v>
      </c>
      <c r="J109" s="55">
        <f>'Qtr Source Data'!K82-'Qtr Source Data'!J82</f>
        <v>391</v>
      </c>
      <c r="K109" s="55">
        <f>'Qtr Source Data'!L82-'Qtr Source Data'!K82</f>
        <v>1</v>
      </c>
      <c r="L109" s="55">
        <f>'Qtr Source Data'!M82-'Qtr Source Data'!L82</f>
        <v>198</v>
      </c>
      <c r="M109" s="55">
        <f>'Qtr Source Data'!N82</f>
        <v>0</v>
      </c>
      <c r="N109" s="55">
        <f>'Qtr Source Data'!O82-'Qtr Source Data'!N82</f>
        <v>68</v>
      </c>
      <c r="O109" s="56">
        <f t="shared" ref="O109:O114" si="25">SUM(K109:N109)</f>
        <v>267</v>
      </c>
    </row>
    <row r="110" spans="2:15" x14ac:dyDescent="0.25">
      <c r="B110" s="47" t="s">
        <v>277</v>
      </c>
      <c r="C110" s="55">
        <f>'Qtr Source Data'!D83-'Qtr Source Data'!C83</f>
        <v>-2789</v>
      </c>
      <c r="D110" s="55">
        <f>'Qtr Source Data'!E83-'Qtr Source Data'!D83</f>
        <v>-2583</v>
      </c>
      <c r="E110" s="55">
        <f>'Qtr Source Data'!F83</f>
        <v>-4294</v>
      </c>
      <c r="F110" s="55">
        <f>'Qtr Source Data'!G83-'Qtr Source Data'!F83</f>
        <v>-3531</v>
      </c>
      <c r="G110" s="55">
        <f>'Qtr Source Data'!H83-'Qtr Source Data'!G83</f>
        <v>-823</v>
      </c>
      <c r="H110" s="55">
        <f>'Qtr Source Data'!I83-'Qtr Source Data'!H83</f>
        <v>-591</v>
      </c>
      <c r="I110" s="55">
        <f>'Qtr Source Data'!J83</f>
        <v>-469</v>
      </c>
      <c r="J110" s="55">
        <f>'Qtr Source Data'!K83-'Qtr Source Data'!J83</f>
        <v>-568</v>
      </c>
      <c r="K110" s="55">
        <f>'Qtr Source Data'!L83-'Qtr Source Data'!K83</f>
        <v>-605</v>
      </c>
      <c r="L110" s="55">
        <f>'Qtr Source Data'!M83-'Qtr Source Data'!L83</f>
        <v>-958</v>
      </c>
      <c r="M110" s="55">
        <f>'Qtr Source Data'!N83</f>
        <v>-597</v>
      </c>
      <c r="N110" s="55">
        <f>'Qtr Source Data'!O83-'Qtr Source Data'!N83</f>
        <v>-177</v>
      </c>
      <c r="O110" s="56">
        <f t="shared" si="25"/>
        <v>-2337</v>
      </c>
    </row>
    <row r="111" spans="2:15" x14ac:dyDescent="0.25">
      <c r="B111" s="47" t="s">
        <v>278</v>
      </c>
      <c r="C111" s="55">
        <f>'Qtr Source Data'!D84-'Qtr Source Data'!C84</f>
        <v>0</v>
      </c>
      <c r="D111" s="55">
        <f>'Qtr Source Data'!E84-'Qtr Source Data'!D84</f>
        <v>0</v>
      </c>
      <c r="E111" s="55">
        <f>'Qtr Source Data'!F84</f>
        <v>0</v>
      </c>
      <c r="F111" s="55">
        <f>'Qtr Source Data'!G84-'Qtr Source Data'!F84</f>
        <v>0</v>
      </c>
      <c r="G111" s="55">
        <f>'Qtr Source Data'!H84-'Qtr Source Data'!G84</f>
        <v>0</v>
      </c>
      <c r="H111" s="55">
        <f>'Qtr Source Data'!I84-'Qtr Source Data'!H84</f>
        <v>-3450</v>
      </c>
      <c r="I111" s="55">
        <f>'Qtr Source Data'!J84</f>
        <v>0</v>
      </c>
      <c r="J111" s="55">
        <f>'Qtr Source Data'!K84-'Qtr Source Data'!J84</f>
        <v>0</v>
      </c>
      <c r="K111" s="55">
        <f>'Qtr Source Data'!L84-'Qtr Source Data'!K84</f>
        <v>0</v>
      </c>
      <c r="L111" s="55">
        <f>'Qtr Source Data'!M84-'Qtr Source Data'!L84</f>
        <v>-1621</v>
      </c>
      <c r="M111" s="55">
        <f>'Qtr Source Data'!N84</f>
        <v>0</v>
      </c>
      <c r="N111" s="55">
        <f>'Qtr Source Data'!O84-'Qtr Source Data'!N84</f>
        <v>0</v>
      </c>
      <c r="O111" s="56">
        <f t="shared" si="25"/>
        <v>-1621</v>
      </c>
    </row>
    <row r="112" spans="2:15" x14ac:dyDescent="0.25">
      <c r="B112" s="47" t="s">
        <v>279</v>
      </c>
      <c r="C112" s="55">
        <f>'Qtr Source Data'!D85-'Qtr Source Data'!C85</f>
        <v>0</v>
      </c>
      <c r="D112" s="55">
        <f>'Qtr Source Data'!E85-'Qtr Source Data'!D85</f>
        <v>-148438</v>
      </c>
      <c r="E112" s="55">
        <f>'Qtr Source Data'!F85</f>
        <v>0</v>
      </c>
      <c r="F112" s="55">
        <f>'Qtr Source Data'!G85-'Qtr Source Data'!F85</f>
        <v>0</v>
      </c>
      <c r="G112" s="55">
        <f>'Qtr Source Data'!H85-'Qtr Source Data'!G85</f>
        <v>0</v>
      </c>
      <c r="H112" s="55">
        <f>'Qtr Source Data'!I85-'Qtr Source Data'!H85</f>
        <v>-2569</v>
      </c>
      <c r="I112" s="55">
        <f>'Qtr Source Data'!J85</f>
        <v>0</v>
      </c>
      <c r="J112" s="55">
        <f>'Qtr Source Data'!K85-'Qtr Source Data'!J85</f>
        <v>0</v>
      </c>
      <c r="K112" s="55">
        <f>'Qtr Source Data'!L85-'Qtr Source Data'!K85</f>
        <v>0</v>
      </c>
      <c r="L112" s="55">
        <f>'Qtr Source Data'!M85-'Qtr Source Data'!L85</f>
        <v>0</v>
      </c>
      <c r="M112" s="55">
        <f>'Qtr Source Data'!N85</f>
        <v>0</v>
      </c>
      <c r="N112" s="55">
        <f>'Qtr Source Data'!O85-'Qtr Source Data'!N85</f>
        <v>-1721</v>
      </c>
      <c r="O112" s="56">
        <f t="shared" si="25"/>
        <v>-1721</v>
      </c>
    </row>
    <row r="113" spans="2:15" x14ac:dyDescent="0.25">
      <c r="B113" s="47" t="s">
        <v>280</v>
      </c>
      <c r="C113" s="55">
        <f>'Qtr Source Data'!D86-'Qtr Source Data'!C86</f>
        <v>-136225</v>
      </c>
      <c r="D113" s="55">
        <f>'Qtr Source Data'!E86-'Qtr Source Data'!D86</f>
        <v>0</v>
      </c>
      <c r="E113" s="55">
        <f>'Qtr Source Data'!F86</f>
        <v>0</v>
      </c>
      <c r="F113" s="55">
        <f>'Qtr Source Data'!G86-'Qtr Source Data'!F86</f>
        <v>0</v>
      </c>
      <c r="G113" s="55">
        <f>'Qtr Source Data'!H86-'Qtr Source Data'!G86</f>
        <v>0</v>
      </c>
      <c r="H113" s="55">
        <f>'Qtr Source Data'!I86-'Qtr Source Data'!H86</f>
        <v>-96520</v>
      </c>
      <c r="I113" s="55">
        <f>'Qtr Source Data'!J86</f>
        <v>-416492</v>
      </c>
      <c r="J113" s="55">
        <f>'Qtr Source Data'!K86-'Qtr Source Data'!J86</f>
        <v>0</v>
      </c>
      <c r="K113" s="55">
        <f>'Qtr Source Data'!L86-'Qtr Source Data'!K86</f>
        <v>0</v>
      </c>
      <c r="L113" s="55">
        <f>'Qtr Source Data'!M86-'Qtr Source Data'!L86</f>
        <v>-8356</v>
      </c>
      <c r="M113" s="55">
        <f>'Qtr Source Data'!N86</f>
        <v>-19450</v>
      </c>
      <c r="N113" s="55">
        <f>'Qtr Source Data'!O86-'Qtr Source Data'!N86</f>
        <v>0</v>
      </c>
      <c r="O113" s="56">
        <f t="shared" si="25"/>
        <v>-27806</v>
      </c>
    </row>
    <row r="114" spans="2:15" x14ac:dyDescent="0.25">
      <c r="B114" s="47" t="s">
        <v>281</v>
      </c>
      <c r="C114" s="55">
        <f>'Qtr Source Data'!D87-'Qtr Source Data'!C87</f>
        <v>0</v>
      </c>
      <c r="D114" s="55">
        <f>'Qtr Source Data'!E87-'Qtr Source Data'!D87</f>
        <v>0</v>
      </c>
      <c r="E114" s="55">
        <f>'Qtr Source Data'!F87</f>
        <v>0</v>
      </c>
      <c r="F114" s="55">
        <f>'Qtr Source Data'!G87-'Qtr Source Data'!F87</f>
        <v>0</v>
      </c>
      <c r="G114" s="55">
        <f>'Qtr Source Data'!H87-'Qtr Source Data'!G87</f>
        <v>0</v>
      </c>
      <c r="H114" s="55">
        <f>'Qtr Source Data'!I87-'Qtr Source Data'!H87</f>
        <v>0</v>
      </c>
      <c r="I114" s="55">
        <f>'Qtr Source Data'!J87</f>
        <v>0</v>
      </c>
      <c r="J114" s="55">
        <f>'Qtr Source Data'!K87-'Qtr Source Data'!J87</f>
        <v>0</v>
      </c>
      <c r="K114" s="55">
        <f>'Qtr Source Data'!L87-'Qtr Source Data'!K87</f>
        <v>0</v>
      </c>
      <c r="L114" s="55">
        <f>'Qtr Source Data'!M87-'Qtr Source Data'!L87</f>
        <v>0</v>
      </c>
      <c r="M114" s="55">
        <f>'Qtr Source Data'!N87</f>
        <v>0</v>
      </c>
      <c r="N114" s="55">
        <f>'Qtr Source Data'!O87-'Qtr Source Data'!N87</f>
        <v>0</v>
      </c>
      <c r="O114" s="56">
        <f t="shared" si="25"/>
        <v>0</v>
      </c>
    </row>
    <row r="115" spans="2:15" x14ac:dyDescent="0.25">
      <c r="B115" s="33" t="s">
        <v>333</v>
      </c>
      <c r="C115" s="57">
        <f t="shared" ref="C115:O115" si="26">SUM(C109:C114)</f>
        <v>-138987</v>
      </c>
      <c r="D115" s="57">
        <f t="shared" si="26"/>
        <v>-149964</v>
      </c>
      <c r="E115" s="57">
        <f t="shared" si="26"/>
        <v>-4294</v>
      </c>
      <c r="F115" s="57">
        <f t="shared" si="26"/>
        <v>-1341</v>
      </c>
      <c r="G115" s="57">
        <f t="shared" si="26"/>
        <v>-822</v>
      </c>
      <c r="H115" s="57">
        <f t="shared" si="26"/>
        <v>-102685</v>
      </c>
      <c r="I115" s="57">
        <f t="shared" si="26"/>
        <v>-416961</v>
      </c>
      <c r="J115" s="57">
        <f t="shared" si="26"/>
        <v>-177</v>
      </c>
      <c r="K115" s="57">
        <f t="shared" si="26"/>
        <v>-604</v>
      </c>
      <c r="L115" s="57">
        <f t="shared" si="26"/>
        <v>-10737</v>
      </c>
      <c r="M115" s="57">
        <f t="shared" si="26"/>
        <v>-20047</v>
      </c>
      <c r="N115" s="57">
        <f t="shared" si="26"/>
        <v>-1830</v>
      </c>
      <c r="O115" s="57">
        <f t="shared" si="26"/>
        <v>-33218</v>
      </c>
    </row>
    <row r="117" spans="2:15" x14ac:dyDescent="0.25">
      <c r="B117" s="47" t="s">
        <v>282</v>
      </c>
      <c r="C117" s="55">
        <f>'Qtr Source Data'!D88-'Qtr Source Data'!C88</f>
        <v>-576</v>
      </c>
      <c r="D117" s="55">
        <f>'Qtr Source Data'!E88-'Qtr Source Data'!D88</f>
        <v>400</v>
      </c>
      <c r="E117" s="55">
        <f>'Qtr Source Data'!F88</f>
        <v>-226</v>
      </c>
      <c r="F117" s="55">
        <f>'Qtr Source Data'!G88-'Qtr Source Data'!F88</f>
        <v>-79</v>
      </c>
      <c r="G117" s="55">
        <f>'Qtr Source Data'!H88-'Qtr Source Data'!G88</f>
        <v>156</v>
      </c>
      <c r="H117" s="55">
        <f>'Qtr Source Data'!I88-'Qtr Source Data'!H88</f>
        <v>-876</v>
      </c>
      <c r="I117" s="55">
        <f>'Qtr Source Data'!J88</f>
        <v>218</v>
      </c>
      <c r="J117" s="55">
        <f>'Qtr Source Data'!K88-'Qtr Source Data'!J88</f>
        <v>273</v>
      </c>
      <c r="K117" s="55">
        <f>'Qtr Source Data'!L88-'Qtr Source Data'!K88</f>
        <v>-651</v>
      </c>
      <c r="L117" s="55">
        <f>'Qtr Source Data'!M88-'Qtr Source Data'!L88</f>
        <v>-96</v>
      </c>
      <c r="M117" s="55">
        <f>'Qtr Source Data'!N88</f>
        <v>-418</v>
      </c>
      <c r="N117" s="55">
        <f>'Qtr Source Data'!O88-'Qtr Source Data'!N88</f>
        <v>-33</v>
      </c>
      <c r="O117" s="56">
        <f>SUM(K117:N117)</f>
        <v>-1198</v>
      </c>
    </row>
    <row r="118" spans="2:15" x14ac:dyDescent="0.25">
      <c r="B118" s="33" t="s">
        <v>334</v>
      </c>
      <c r="C118" s="57">
        <f t="shared" ref="C118:O118" si="27">C96+C106+C115+C117</f>
        <v>-80970</v>
      </c>
      <c r="D118" s="57">
        <f t="shared" si="27"/>
        <v>41354</v>
      </c>
      <c r="E118" s="57">
        <f t="shared" si="27"/>
        <v>7984</v>
      </c>
      <c r="F118" s="57">
        <f t="shared" si="27"/>
        <v>-10475</v>
      </c>
      <c r="G118" s="57">
        <f t="shared" si="27"/>
        <v>19497</v>
      </c>
      <c r="H118" s="57">
        <f t="shared" si="27"/>
        <v>9377</v>
      </c>
      <c r="I118" s="57">
        <f t="shared" si="27"/>
        <v>-117303</v>
      </c>
      <c r="J118" s="57">
        <f t="shared" si="27"/>
        <v>-7478</v>
      </c>
      <c r="K118" s="57">
        <f t="shared" si="27"/>
        <v>1216</v>
      </c>
      <c r="L118" s="57">
        <f t="shared" si="27"/>
        <v>-7383</v>
      </c>
      <c r="M118" s="57">
        <f t="shared" si="27"/>
        <v>1754</v>
      </c>
      <c r="N118" s="57">
        <f t="shared" si="27"/>
        <v>11089</v>
      </c>
      <c r="O118" s="57">
        <f t="shared" si="27"/>
        <v>6676</v>
      </c>
    </row>
    <row r="119" spans="2:15" x14ac:dyDescent="0.25">
      <c r="B119" s="32" t="s">
        <v>335</v>
      </c>
      <c r="C119" s="50">
        <f>C96-('Qtr Source Data'!D89-'Qtr Source Data'!C89)</f>
        <v>0</v>
      </c>
      <c r="D119" s="50">
        <f>D96-('Qtr Source Data'!E89-'Qtr Source Data'!D89)</f>
        <v>0</v>
      </c>
      <c r="E119" s="50">
        <f>E96-('Qtr Source Data'!F89)</f>
        <v>0</v>
      </c>
      <c r="F119" s="50">
        <f>F96-('Qtr Source Data'!G89-'Qtr Source Data'!F89)</f>
        <v>0</v>
      </c>
      <c r="G119" s="50">
        <f>G96-('Qtr Source Data'!H89-'Qtr Source Data'!G89)</f>
        <v>0</v>
      </c>
      <c r="H119" s="50">
        <f>H96-('Qtr Source Data'!I89-'Qtr Source Data'!H89)</f>
        <v>0</v>
      </c>
      <c r="I119" s="50">
        <f>I96-('Qtr Source Data'!J89)</f>
        <v>0</v>
      </c>
      <c r="J119" s="50">
        <f>J96-('Qtr Source Data'!K89-'Qtr Source Data'!J89)</f>
        <v>0</v>
      </c>
      <c r="K119" s="50">
        <f>K96-('Qtr Source Data'!L89-'Qtr Source Data'!K89)</f>
        <v>0</v>
      </c>
      <c r="L119" s="50">
        <f>L96-('Qtr Source Data'!M89-'Qtr Source Data'!L89)</f>
        <v>0</v>
      </c>
      <c r="M119" s="50">
        <f>M96-('Qtr Source Data'!N89)</f>
        <v>0</v>
      </c>
      <c r="N119" s="50">
        <f>N96-('Qtr Source Data'!O89-'Qtr Source Data'!N89)</f>
        <v>0</v>
      </c>
    </row>
    <row r="121" spans="2:15" x14ac:dyDescent="0.25">
      <c r="B121" s="33" t="s">
        <v>322</v>
      </c>
    </row>
    <row r="122" spans="2:15" x14ac:dyDescent="0.25">
      <c r="B122" s="33" t="s">
        <v>336</v>
      </c>
      <c r="C122" s="52">
        <f t="shared" ref="C122:O122" si="28">C96+C99</f>
        <v>9373</v>
      </c>
      <c r="D122" s="52">
        <f t="shared" si="28"/>
        <v>51730</v>
      </c>
      <c r="E122" s="52">
        <f t="shared" si="28"/>
        <v>25301</v>
      </c>
      <c r="F122" s="52">
        <f t="shared" si="28"/>
        <v>-3573</v>
      </c>
      <c r="G122" s="52">
        <f t="shared" si="28"/>
        <v>23690</v>
      </c>
      <c r="H122" s="52">
        <f t="shared" si="28"/>
        <v>4834</v>
      </c>
      <c r="I122" s="52">
        <f t="shared" si="28"/>
        <v>15861</v>
      </c>
      <c r="J122" s="52">
        <f t="shared" si="28"/>
        <v>-12070</v>
      </c>
      <c r="K122" s="52">
        <f t="shared" si="28"/>
        <v>-943</v>
      </c>
      <c r="L122" s="52">
        <f t="shared" si="28"/>
        <v>-15481</v>
      </c>
      <c r="M122" s="52">
        <f t="shared" si="28"/>
        <v>3063</v>
      </c>
      <c r="N122" s="52">
        <f t="shared" si="28"/>
        <v>6398</v>
      </c>
      <c r="O122" s="52">
        <f t="shared" si="28"/>
        <v>-6963</v>
      </c>
    </row>
    <row r="123" spans="2:15" x14ac:dyDescent="0.25">
      <c r="B123" s="47" t="s">
        <v>337</v>
      </c>
      <c r="C123" s="56">
        <f t="shared" ref="C123:O123" si="29">C122-C76</f>
        <v>-22557</v>
      </c>
      <c r="D123" s="56">
        <f t="shared" si="29"/>
        <v>19824</v>
      </c>
      <c r="E123" s="56">
        <f t="shared" si="29"/>
        <v>-3988</v>
      </c>
      <c r="F123" s="56">
        <f t="shared" si="29"/>
        <v>-21620</v>
      </c>
      <c r="G123" s="56">
        <f t="shared" si="29"/>
        <v>1759</v>
      </c>
      <c r="H123" s="56">
        <f t="shared" si="29"/>
        <v>-10513</v>
      </c>
      <c r="I123" s="56">
        <f t="shared" si="29"/>
        <v>4604</v>
      </c>
      <c r="J123" s="56">
        <f t="shared" si="29"/>
        <v>-19982</v>
      </c>
      <c r="K123" s="56">
        <f t="shared" si="29"/>
        <v>-6868</v>
      </c>
      <c r="L123" s="56">
        <f t="shared" si="29"/>
        <v>-22251</v>
      </c>
      <c r="M123" s="56">
        <f t="shared" si="29"/>
        <v>352</v>
      </c>
      <c r="N123" s="56">
        <f t="shared" si="29"/>
        <v>4074</v>
      </c>
      <c r="O123" s="56">
        <f t="shared" si="29"/>
        <v>-24693</v>
      </c>
    </row>
    <row r="124" spans="2:15" x14ac:dyDescent="0.25">
      <c r="B124" s="47" t="s">
        <v>338</v>
      </c>
      <c r="C124" s="56">
        <f t="shared" ref="C124:O124" si="30">C16+C77</f>
        <v>-952</v>
      </c>
      <c r="D124" s="56">
        <f t="shared" si="30"/>
        <v>34060</v>
      </c>
      <c r="E124" s="56">
        <f t="shared" si="30"/>
        <v>17196</v>
      </c>
      <c r="F124" s="56">
        <f t="shared" si="30"/>
        <v>-465301</v>
      </c>
      <c r="G124" s="56">
        <f t="shared" si="30"/>
        <v>-202717</v>
      </c>
      <c r="H124" s="56">
        <f t="shared" si="30"/>
        <v>-7942</v>
      </c>
      <c r="I124" s="56">
        <f t="shared" si="30"/>
        <v>3092</v>
      </c>
      <c r="J124" s="56">
        <f t="shared" si="30"/>
        <v>-20232</v>
      </c>
      <c r="K124" s="56">
        <f t="shared" si="30"/>
        <v>-1803</v>
      </c>
      <c r="L124" s="56">
        <f t="shared" si="30"/>
        <v>-19276</v>
      </c>
      <c r="M124" s="56">
        <f t="shared" si="30"/>
        <v>12910</v>
      </c>
      <c r="N124" s="56">
        <f t="shared" si="30"/>
        <v>9870</v>
      </c>
      <c r="O124" s="56">
        <f t="shared" si="30"/>
        <v>1701</v>
      </c>
    </row>
    <row r="125" spans="2:15" x14ac:dyDescent="0.25">
      <c r="B125" s="32" t="s">
        <v>339</v>
      </c>
      <c r="C125" s="54">
        <f t="shared" ref="C125:O125" si="31">IFERROR(C122/C6,"")</f>
        <v>5.937765276774741E-2</v>
      </c>
      <c r="D125" s="54">
        <f t="shared" si="31"/>
        <v>0.27517860277572387</v>
      </c>
      <c r="E125" s="54">
        <f t="shared" si="31"/>
        <v>0.14511614568396902</v>
      </c>
      <c r="F125" s="54">
        <f t="shared" si="31"/>
        <v>-2.190049464593281E-2</v>
      </c>
      <c r="G125" s="54">
        <f t="shared" si="31"/>
        <v>0.17343494908231022</v>
      </c>
      <c r="H125" s="54">
        <f t="shared" si="31"/>
        <v>3.3690167544813361E-2</v>
      </c>
      <c r="I125" s="54">
        <f t="shared" si="31"/>
        <v>0.13066473345580665</v>
      </c>
      <c r="J125" s="54">
        <f t="shared" si="31"/>
        <v>-0.11482115677321157</v>
      </c>
      <c r="K125" s="54">
        <f t="shared" si="31"/>
        <v>-1.2129865452393815E-2</v>
      </c>
      <c r="L125" s="54">
        <f t="shared" si="31"/>
        <v>-0.2130637636080871</v>
      </c>
      <c r="M125" s="54">
        <f t="shared" si="31"/>
        <v>4.8417691505168982E-2</v>
      </c>
      <c r="N125" s="54">
        <f t="shared" si="31"/>
        <v>0.12339678682327528</v>
      </c>
      <c r="O125" s="54">
        <f t="shared" si="31"/>
        <v>-2.6224803398716443E-2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7D32"/>
  </sheetPr>
  <dimension ref="A1:I63"/>
  <sheetViews>
    <sheetView showGridLines="0" zoomScale="110" zoomScaleNormal="110" workbookViewId="0">
      <selection activeCell="G16" sqref="G16"/>
    </sheetView>
  </sheetViews>
  <sheetFormatPr defaultColWidth="8.7109375" defaultRowHeight="15" x14ac:dyDescent="0.25"/>
  <cols>
    <col min="1" max="1" width="3" customWidth="1"/>
    <col min="2" max="2" width="51.7109375" customWidth="1"/>
    <col min="3" max="3" width="22.5703125" customWidth="1"/>
    <col min="4" max="4" width="55" customWidth="1"/>
    <col min="5" max="8" width="14" customWidth="1"/>
    <col min="9" max="9" width="70" customWidth="1"/>
  </cols>
  <sheetData>
    <row r="1" spans="1:4" ht="21.75" customHeight="1" x14ac:dyDescent="0.25">
      <c r="A1" s="61" t="s">
        <v>0</v>
      </c>
      <c r="B1" s="62"/>
      <c r="C1" s="62"/>
      <c r="D1" s="62"/>
    </row>
    <row r="3" spans="1:4" ht="15.75" customHeight="1" x14ac:dyDescent="0.25">
      <c r="A3" s="63" t="s">
        <v>1</v>
      </c>
      <c r="B3" s="62"/>
      <c r="C3" s="62"/>
      <c r="D3" s="62"/>
    </row>
    <row r="4" spans="1:4" x14ac:dyDescent="0.25">
      <c r="B4" s="1" t="s">
        <v>2</v>
      </c>
      <c r="C4" s="2" t="s">
        <v>3</v>
      </c>
    </row>
    <row r="5" spans="1:4" x14ac:dyDescent="0.25">
      <c r="B5" s="1" t="s">
        <v>4</v>
      </c>
      <c r="C5" s="2" t="e" vm="1">
        <v>#VALUE!</v>
      </c>
    </row>
    <row r="6" spans="1:4" x14ac:dyDescent="0.25">
      <c r="B6" s="1" t="s">
        <v>5</v>
      </c>
      <c r="C6" s="3" cm="1">
        <f t="array" aca="1" ref="C6" ca="1">_FV(C5,"Price")</f>
        <v>0.72</v>
      </c>
    </row>
    <row r="7" spans="1:4" x14ac:dyDescent="0.25">
      <c r="B7" s="1" t="s">
        <v>6</v>
      </c>
      <c r="C7" s="4" cm="1">
        <f t="array" aca="1" ref="C7" ca="1">(_FV(C5,"Shares outstanding",TRUE)+10322706)/1000000</f>
        <v>121.350206</v>
      </c>
    </row>
    <row r="8" spans="1:4" x14ac:dyDescent="0.25">
      <c r="B8" s="1" t="s">
        <v>7</v>
      </c>
      <c r="C8" s="5">
        <f ca="1">C6*C7</f>
        <v>87.372148319999994</v>
      </c>
    </row>
    <row r="10" spans="1:4" ht="15.75" customHeight="1" x14ac:dyDescent="0.25">
      <c r="A10" s="63" t="s">
        <v>8</v>
      </c>
      <c r="B10" s="62"/>
      <c r="C10" s="62"/>
      <c r="D10" s="62"/>
    </row>
    <row r="11" spans="1:4" ht="15.75" customHeight="1" x14ac:dyDescent="0.25">
      <c r="B11" s="1" t="s">
        <v>9</v>
      </c>
      <c r="C11" s="3">
        <v>14.161</v>
      </c>
      <c r="D11" s="27"/>
    </row>
    <row r="12" spans="1:4" ht="15.75" customHeight="1" x14ac:dyDescent="0.25">
      <c r="B12" s="1" t="s">
        <v>10</v>
      </c>
      <c r="C12" s="3">
        <v>-4.7</v>
      </c>
      <c r="D12" s="27"/>
    </row>
    <row r="13" spans="1:4" ht="15.75" customHeight="1" x14ac:dyDescent="0.25">
      <c r="B13" s="1" t="s">
        <v>11</v>
      </c>
      <c r="C13" s="3">
        <v>-5.0350000000000001</v>
      </c>
      <c r="D13" s="27"/>
    </row>
    <row r="14" spans="1:4" ht="15.75" customHeight="1" x14ac:dyDescent="0.25">
      <c r="B14" s="1" t="s">
        <v>12</v>
      </c>
      <c r="C14" s="3">
        <f>SUM(C11:C13)</f>
        <v>4.4259999999999984</v>
      </c>
      <c r="D14" s="27"/>
    </row>
    <row r="15" spans="1:4" x14ac:dyDescent="0.25">
      <c r="B15" s="1" t="s">
        <v>13</v>
      </c>
      <c r="C15" s="3">
        <f t="array" aca="1" ref="C15" ca="1">SUM(C11:C13/C7)*2</f>
        <v>7.2945900067116487E-2</v>
      </c>
      <c r="D15" s="27"/>
    </row>
    <row r="16" spans="1:4" x14ac:dyDescent="0.25">
      <c r="B16" s="1" t="s">
        <v>14</v>
      </c>
      <c r="C16" s="6">
        <v>0</v>
      </c>
      <c r="D16" s="28" t="s">
        <v>15</v>
      </c>
    </row>
    <row r="17" spans="1:4" x14ac:dyDescent="0.25">
      <c r="B17" s="1" t="s">
        <v>16</v>
      </c>
      <c r="C17" s="6">
        <v>0.1</v>
      </c>
      <c r="D17" s="28" t="s">
        <v>17</v>
      </c>
    </row>
    <row r="18" spans="1:4" x14ac:dyDescent="0.25">
      <c r="B18" s="1" t="s">
        <v>18</v>
      </c>
      <c r="C18" s="6">
        <v>0</v>
      </c>
      <c r="D18" s="28" t="s">
        <v>19</v>
      </c>
    </row>
    <row r="20" spans="1:4" ht="15.75" customHeight="1" x14ac:dyDescent="0.25">
      <c r="A20" s="63" t="s">
        <v>20</v>
      </c>
      <c r="B20" s="62"/>
      <c r="C20" s="62"/>
      <c r="D20" s="62"/>
    </row>
    <row r="21" spans="1:4" x14ac:dyDescent="0.25">
      <c r="B21" s="1" t="s">
        <v>21</v>
      </c>
      <c r="C21" s="26">
        <v>4.965E-2</v>
      </c>
      <c r="D21" s="27" t="s">
        <v>22</v>
      </c>
    </row>
    <row r="22" spans="1:4" x14ac:dyDescent="0.25">
      <c r="B22" s="1" t="s">
        <v>23</v>
      </c>
      <c r="C22" s="6">
        <v>0.1</v>
      </c>
    </row>
    <row r="23" spans="1:4" x14ac:dyDescent="0.25">
      <c r="B23" s="1" t="s">
        <v>24</v>
      </c>
      <c r="C23" s="6">
        <f>C21+(2*(0.0414))</f>
        <v>0.13245000000000001</v>
      </c>
      <c r="D23" s="27" t="s">
        <v>25</v>
      </c>
    </row>
    <row r="24" spans="1:4" x14ac:dyDescent="0.25">
      <c r="B24" s="1" t="s">
        <v>26</v>
      </c>
      <c r="C24" s="6">
        <v>0.15</v>
      </c>
      <c r="D24" s="27"/>
    </row>
    <row r="26" spans="1:4" ht="15.75" customHeight="1" x14ac:dyDescent="0.25">
      <c r="A26" s="63" t="s">
        <v>27</v>
      </c>
      <c r="B26" s="62"/>
      <c r="C26" s="62"/>
      <c r="D26" s="62"/>
    </row>
    <row r="27" spans="1:4" x14ac:dyDescent="0.25">
      <c r="B27" s="1" t="s">
        <v>28</v>
      </c>
      <c r="C27" s="3">
        <v>44.622999999999998</v>
      </c>
    </row>
    <row r="28" spans="1:4" x14ac:dyDescent="0.25">
      <c r="B28" s="1" t="s">
        <v>29</v>
      </c>
      <c r="C28" s="3">
        <v>27.690999999999999</v>
      </c>
    </row>
    <row r="29" spans="1:4" x14ac:dyDescent="0.25">
      <c r="B29" s="1" t="s">
        <v>30</v>
      </c>
      <c r="C29" s="3">
        <v>10.734</v>
      </c>
    </row>
    <row r="30" spans="1:4" x14ac:dyDescent="0.25">
      <c r="B30" s="1" t="s">
        <v>31</v>
      </c>
      <c r="C30" s="3">
        <v>0</v>
      </c>
    </row>
    <row r="31" spans="1:4" x14ac:dyDescent="0.25">
      <c r="B31" s="1" t="s">
        <v>32</v>
      </c>
      <c r="C31" s="3">
        <f>14.301+11.352</f>
        <v>25.652999999999999</v>
      </c>
    </row>
    <row r="32" spans="1:4" x14ac:dyDescent="0.25">
      <c r="B32" s="1" t="s">
        <v>33</v>
      </c>
      <c r="C32" s="3">
        <v>94.947999999999993</v>
      </c>
    </row>
    <row r="33" spans="1:9" x14ac:dyDescent="0.25">
      <c r="B33" s="1" t="s">
        <v>34</v>
      </c>
      <c r="C33" s="3">
        <v>92.96</v>
      </c>
    </row>
    <row r="34" spans="1:9" x14ac:dyDescent="0.25">
      <c r="B34" s="1" t="s">
        <v>35</v>
      </c>
      <c r="C34" s="3">
        <v>0</v>
      </c>
    </row>
    <row r="35" spans="1:9" x14ac:dyDescent="0.25">
      <c r="B35" s="1" t="s">
        <v>36</v>
      </c>
      <c r="C35" s="3">
        <v>16.050999999999998</v>
      </c>
    </row>
    <row r="36" spans="1:9" x14ac:dyDescent="0.25">
      <c r="B36" s="1" t="s">
        <v>37</v>
      </c>
      <c r="C36" s="3">
        <v>0</v>
      </c>
      <c r="D36" s="28" t="s">
        <v>38</v>
      </c>
    </row>
    <row r="38" spans="1:9" ht="15.75" customHeight="1" x14ac:dyDescent="0.25">
      <c r="A38" s="63" t="s">
        <v>39</v>
      </c>
      <c r="B38" s="62"/>
      <c r="C38" s="62"/>
      <c r="D38" s="62"/>
    </row>
    <row r="39" spans="1:9" x14ac:dyDescent="0.25">
      <c r="B39" s="1" t="s">
        <v>40</v>
      </c>
      <c r="C39" s="6">
        <v>0.02</v>
      </c>
    </row>
    <row r="40" spans="1:9" x14ac:dyDescent="0.25">
      <c r="B40" s="1" t="s">
        <v>41</v>
      </c>
      <c r="C40" s="6">
        <v>0.9</v>
      </c>
    </row>
    <row r="41" spans="1:9" x14ac:dyDescent="0.25">
      <c r="B41" s="1" t="s">
        <v>42</v>
      </c>
      <c r="C41" s="6">
        <v>0.7</v>
      </c>
    </row>
    <row r="42" spans="1:9" x14ac:dyDescent="0.25">
      <c r="B42" s="1" t="s">
        <v>43</v>
      </c>
      <c r="C42" s="6">
        <v>0.7</v>
      </c>
    </row>
    <row r="43" spans="1:9" x14ac:dyDescent="0.25">
      <c r="B43" s="1" t="s">
        <v>44</v>
      </c>
      <c r="C43" s="6">
        <v>0.4</v>
      </c>
    </row>
    <row r="44" spans="1:9" x14ac:dyDescent="0.25">
      <c r="B44" s="1" t="s">
        <v>45</v>
      </c>
      <c r="C44" s="7">
        <f>C32*0.01</f>
        <v>0.94947999999999999</v>
      </c>
      <c r="D44" s="28" t="s">
        <v>46</v>
      </c>
    </row>
    <row r="46" spans="1:9" ht="15.75" customHeight="1" x14ac:dyDescent="0.25">
      <c r="A46" s="63" t="s">
        <v>47</v>
      </c>
      <c r="B46" s="62"/>
      <c r="C46" s="62"/>
      <c r="D46" s="62"/>
      <c r="E46" s="31"/>
      <c r="F46" s="31"/>
      <c r="G46" s="31"/>
      <c r="H46" s="31"/>
      <c r="I46" s="31"/>
    </row>
    <row r="47" spans="1:9" x14ac:dyDescent="0.25">
      <c r="B47" s="1" t="s">
        <v>48</v>
      </c>
      <c r="C47" s="7">
        <v>49.2</v>
      </c>
      <c r="D47" s="28"/>
    </row>
    <row r="48" spans="1:9" x14ac:dyDescent="0.25">
      <c r="C48" s="32" t="s">
        <v>49</v>
      </c>
    </row>
    <row r="49" spans="1:9" x14ac:dyDescent="0.25">
      <c r="B49" s="33" t="s">
        <v>50</v>
      </c>
      <c r="C49" s="33" t="s">
        <v>51</v>
      </c>
      <c r="D49" s="33" t="s">
        <v>52</v>
      </c>
      <c r="E49" s="33" t="s">
        <v>53</v>
      </c>
      <c r="F49" s="33" t="s">
        <v>54</v>
      </c>
      <c r="G49" s="33" t="s">
        <v>55</v>
      </c>
      <c r="H49" s="33" t="s">
        <v>56</v>
      </c>
      <c r="I49" s="33" t="s">
        <v>57</v>
      </c>
    </row>
    <row r="50" spans="1:9" ht="48" customHeight="1" x14ac:dyDescent="0.25">
      <c r="B50" s="2" t="s">
        <v>58</v>
      </c>
      <c r="C50" s="9">
        <v>14.6</v>
      </c>
      <c r="D50" s="2" t="s">
        <v>59</v>
      </c>
      <c r="E50" s="34">
        <f>930/3.8</f>
        <v>244.73684210526318</v>
      </c>
      <c r="F50" s="34"/>
      <c r="G50" s="34"/>
      <c r="H50" s="34">
        <f>930/789.8</f>
        <v>1.177513294504938</v>
      </c>
      <c r="I50" s="35" t="s">
        <v>60</v>
      </c>
    </row>
    <row r="51" spans="1:9" ht="24" x14ac:dyDescent="0.25">
      <c r="B51" s="2" t="s">
        <v>61</v>
      </c>
      <c r="C51" s="9">
        <v>10.3</v>
      </c>
      <c r="D51" s="2" t="s">
        <v>62</v>
      </c>
      <c r="E51" s="34">
        <v>18.32</v>
      </c>
      <c r="F51" s="34">
        <v>5.85</v>
      </c>
      <c r="G51" s="34">
        <v>11.74</v>
      </c>
      <c r="H51" s="34">
        <v>3.26</v>
      </c>
      <c r="I51" s="35" t="s">
        <v>63</v>
      </c>
    </row>
    <row r="52" spans="1:9" ht="24" x14ac:dyDescent="0.25">
      <c r="B52" s="2" t="s">
        <v>64</v>
      </c>
      <c r="C52" s="9">
        <v>6</v>
      </c>
      <c r="D52" s="2" t="s">
        <v>62</v>
      </c>
      <c r="E52" s="34">
        <v>11.05</v>
      </c>
      <c r="F52" s="34">
        <v>1.99</v>
      </c>
      <c r="G52" s="34">
        <v>6.12</v>
      </c>
      <c r="H52" s="34">
        <v>1.1000000000000001</v>
      </c>
      <c r="I52" s="35" t="s">
        <v>65</v>
      </c>
    </row>
    <row r="53" spans="1:9" x14ac:dyDescent="0.25">
      <c r="B53" s="36"/>
      <c r="C53" s="37"/>
      <c r="D53" s="36"/>
      <c r="E53" s="34"/>
      <c r="F53" s="34"/>
      <c r="G53" s="34"/>
      <c r="H53" s="34"/>
      <c r="I53" s="32"/>
    </row>
    <row r="54" spans="1:9" x14ac:dyDescent="0.25">
      <c r="B54" s="38"/>
      <c r="C54" s="34"/>
      <c r="D54" s="38"/>
      <c r="E54" s="34"/>
      <c r="F54" s="34"/>
      <c r="G54" s="34"/>
      <c r="H54" s="34"/>
      <c r="I54" s="32"/>
    </row>
    <row r="55" spans="1:9" ht="15.75" customHeight="1" x14ac:dyDescent="0.25">
      <c r="A55" s="39"/>
      <c r="B55" s="40" t="s">
        <v>66</v>
      </c>
      <c r="C55" s="41">
        <f>IFERROR(MEDIAN(C50:C54),"")</f>
        <v>10.3</v>
      </c>
      <c r="D55" s="39"/>
      <c r="E55" s="41">
        <f>IFERROR(MEDIAN(E50:E54),"")</f>
        <v>18.32</v>
      </c>
      <c r="F55" s="41">
        <f>IFERROR(MEDIAN(F50:F54),"")</f>
        <v>3.92</v>
      </c>
      <c r="G55" s="41">
        <f>IFERROR(MEDIAN(G50:G54),"")</f>
        <v>8.93</v>
      </c>
      <c r="H55" s="41">
        <f>IFERROR(MEDIAN(H50:H54),"")</f>
        <v>1.177513294504938</v>
      </c>
    </row>
    <row r="56" spans="1:9" x14ac:dyDescent="0.25">
      <c r="A56" s="39"/>
      <c r="B56" s="40" t="s">
        <v>67</v>
      </c>
      <c r="C56" s="41">
        <f>IFERROR(AVERAGEIF($D$50:$D$54,"Trading",C50:C54),"")</f>
        <v>8.15</v>
      </c>
      <c r="D56" s="42"/>
      <c r="E56" s="41">
        <f>IFERROR(AVERAGEIF($D$50:$D$54,"Trading",E50:E54),"")</f>
        <v>14.685</v>
      </c>
      <c r="F56" s="41">
        <f>IFERROR(AVERAGEIF($D$50:$D$54,"Trading",F50:F54),"")</f>
        <v>3.92</v>
      </c>
      <c r="G56" s="41">
        <f>IFERROR(AVERAGEIF($D$50:$D$54,"Trading",G50:G54),"")</f>
        <v>8.93</v>
      </c>
      <c r="H56" s="41">
        <f>IFERROR(AVERAGEIF($D$50:$D$54,"Trading",H50:H54),"")</f>
        <v>2.1799999999999997</v>
      </c>
    </row>
    <row r="57" spans="1:9" ht="24" x14ac:dyDescent="0.25">
      <c r="B57" s="33" t="s">
        <v>68</v>
      </c>
      <c r="C57" s="43">
        <f ca="1">IF('Quarterly Financials'!O124&lt;=0,"n/m",(Assumptions!$C$8+('Quarterly Financials'!N68-'Quarterly Financials'!N67)/1000)/('Quarterly Financials'!O124/1000))</f>
        <v>28.749646278659608</v>
      </c>
      <c r="E57" s="43" t="str">
        <f>IF('Quarterly Financials'!O22&lt;=0,"n/m",Assumptions!$C$8/('Quarterly Financials'!O22/1000))</f>
        <v>n/m</v>
      </c>
      <c r="F57" s="43">
        <f ca="1">IF('Quarterly Financials'!N61&lt;=0,"n/m",Assumptions!$C$8/('Quarterly Financials'!N61/1000))</f>
        <v>0.73660907076736293</v>
      </c>
      <c r="G57" s="43" t="str">
        <f>IF('Quarterly Financials'!O16&lt;=0,"n/m",(Assumptions!$C$8+('Quarterly Financials'!N68-'Quarterly Financials'!N67)/1000)/('Quarterly Financials'!O16/1000))</f>
        <v>n/m</v>
      </c>
      <c r="H57" s="43">
        <f ca="1">(Assumptions!$C$8+('Quarterly Financials'!N68-'Quarterly Financials'!N67)/1000)/('Quarterly Financials'!O6/1000)</f>
        <v>0.1841843243243243</v>
      </c>
      <c r="I57" s="35" t="s">
        <v>69</v>
      </c>
    </row>
    <row r="59" spans="1:9" x14ac:dyDescent="0.25">
      <c r="B59" s="32" t="s">
        <v>70</v>
      </c>
    </row>
    <row r="60" spans="1:9" x14ac:dyDescent="0.25">
      <c r="B60" s="32" t="s">
        <v>71</v>
      </c>
    </row>
    <row r="62" spans="1:9" x14ac:dyDescent="0.25">
      <c r="A62" s="63" t="s">
        <v>72</v>
      </c>
      <c r="B62" s="62"/>
      <c r="C62" s="62"/>
      <c r="D62" s="62"/>
      <c r="E62" s="31"/>
      <c r="F62" s="31"/>
      <c r="G62" s="31"/>
      <c r="H62" s="31"/>
      <c r="I62" s="31"/>
    </row>
    <row r="63" spans="1:9" x14ac:dyDescent="0.25">
      <c r="B63" s="1" t="s">
        <v>73</v>
      </c>
      <c r="C63" s="6">
        <v>0.33</v>
      </c>
      <c r="D63" s="28"/>
    </row>
  </sheetData>
  <mergeCells count="8">
    <mergeCell ref="A1:D1"/>
    <mergeCell ref="A62:D62"/>
    <mergeCell ref="A20:D20"/>
    <mergeCell ref="A3:D3"/>
    <mergeCell ref="A38:D38"/>
    <mergeCell ref="A26:D26"/>
    <mergeCell ref="A10:D10"/>
    <mergeCell ref="A46:D4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F8F00"/>
  </sheetPr>
  <dimension ref="A1:L34"/>
  <sheetViews>
    <sheetView showGridLines="0" tabSelected="1" zoomScaleNormal="100" workbookViewId="0">
      <selection activeCell="E30" sqref="E30"/>
    </sheetView>
  </sheetViews>
  <sheetFormatPr defaultColWidth="8.7109375" defaultRowHeight="15" x14ac:dyDescent="0.25"/>
  <cols>
    <col min="1" max="1" width="3" customWidth="1"/>
    <col min="2" max="2" width="30" customWidth="1"/>
    <col min="3" max="12" width="17.140625" customWidth="1"/>
    <col min="13" max="13" width="4" customWidth="1"/>
  </cols>
  <sheetData>
    <row r="1" spans="1:12" ht="21.75" customHeight="1" x14ac:dyDescent="0.25">
      <c r="A1" s="61" t="s">
        <v>74</v>
      </c>
      <c r="B1" s="62"/>
      <c r="C1" s="62"/>
      <c r="D1" s="62"/>
      <c r="E1" s="62"/>
      <c r="F1" s="62"/>
      <c r="G1" s="62"/>
      <c r="H1" s="62"/>
      <c r="I1" s="62"/>
      <c r="J1" s="62"/>
      <c r="K1" s="62"/>
      <c r="L1" s="62"/>
    </row>
    <row r="3" spans="1:12" x14ac:dyDescent="0.25">
      <c r="B3" s="8" t="s">
        <v>75</v>
      </c>
      <c r="C3" s="10" t="str">
        <f>Assumptions!C4</f>
        <v>Chegg, Inc.</v>
      </c>
    </row>
    <row r="5" spans="1:12" ht="15.75" customHeight="1" x14ac:dyDescent="0.25">
      <c r="A5" s="63" t="s">
        <v>76</v>
      </c>
      <c r="B5" s="62"/>
      <c r="C5" s="62"/>
      <c r="D5" s="62"/>
      <c r="E5" s="62"/>
      <c r="F5" s="62"/>
      <c r="G5" s="62"/>
      <c r="H5" s="62"/>
      <c r="I5" s="62"/>
      <c r="J5" s="62"/>
      <c r="K5" s="62"/>
      <c r="L5" s="62"/>
    </row>
    <row r="6" spans="1:12" x14ac:dyDescent="0.25">
      <c r="C6" s="11" t="s">
        <v>77</v>
      </c>
      <c r="D6" s="11" t="s">
        <v>78</v>
      </c>
      <c r="E6" s="11" t="s">
        <v>79</v>
      </c>
      <c r="F6" s="11" t="s">
        <v>80</v>
      </c>
      <c r="G6" s="11" t="s">
        <v>81</v>
      </c>
      <c r="H6" s="11" t="s">
        <v>82</v>
      </c>
      <c r="I6" s="11" t="s">
        <v>83</v>
      </c>
      <c r="J6" s="11" t="s">
        <v>84</v>
      </c>
      <c r="K6" s="11" t="s">
        <v>85</v>
      </c>
      <c r="L6" s="11" t="s">
        <v>86</v>
      </c>
    </row>
    <row r="7" spans="1:12" x14ac:dyDescent="0.25">
      <c r="B7" s="1" t="s">
        <v>87</v>
      </c>
      <c r="C7" s="12">
        <f>Assumptions!$C$14*(1+Assumptions!$C$16)^(COLUMN()-2)</f>
        <v>4.4259999999999984</v>
      </c>
      <c r="D7" s="12">
        <f>Assumptions!$C$14*(1+Assumptions!$C$16)^(COLUMN()-2)</f>
        <v>4.4259999999999984</v>
      </c>
      <c r="E7" s="12">
        <f>Assumptions!$C$14*(1+Assumptions!$C$16)^(COLUMN()-2)</f>
        <v>4.4259999999999984</v>
      </c>
      <c r="F7" s="12">
        <f>Assumptions!$C$14*(1+Assumptions!$C$16)^(COLUMN()-2)</f>
        <v>4.4259999999999984</v>
      </c>
      <c r="G7" s="12">
        <f>Assumptions!$C$14*(1+Assumptions!$C$16)^(COLUMN()-2)</f>
        <v>4.4259999999999984</v>
      </c>
      <c r="H7" s="12">
        <f>Assumptions!$C$14*(1+Assumptions!$C$16)^(COLUMN()-2)</f>
        <v>4.4259999999999984</v>
      </c>
      <c r="I7" s="12">
        <f>Assumptions!$C$14*(1+Assumptions!$C$16)^(COLUMN()-2)</f>
        <v>4.4259999999999984</v>
      </c>
      <c r="J7" s="12">
        <f>Assumptions!$C$14*(1+Assumptions!$C$16)^(COLUMN()-2)</f>
        <v>4.4259999999999984</v>
      </c>
      <c r="K7" s="12">
        <f>Assumptions!$C$14*(1+Assumptions!$C$16)^(COLUMN()-2)</f>
        <v>4.4259999999999984</v>
      </c>
      <c r="L7" s="12">
        <f>Assumptions!$C$14*(1+Assumptions!$C$16)^(COLUMN()-2)</f>
        <v>4.4259999999999984</v>
      </c>
    </row>
    <row r="8" spans="1:12" x14ac:dyDescent="0.25">
      <c r="B8" s="1" t="s">
        <v>88</v>
      </c>
      <c r="C8" s="12">
        <f ca="1">Assumptions!$C$15*(1+Assumptions!$C$16)^(COLUMN()-2)</f>
        <v>7.2945900067116487E-2</v>
      </c>
      <c r="D8" s="12">
        <f ca="1">Assumptions!$C$15*(1+Assumptions!$C$16)^(COLUMN()-2)</f>
        <v>7.2945900067116487E-2</v>
      </c>
      <c r="E8" s="12">
        <f ca="1">Assumptions!$C$15*(1+Assumptions!$C$16)^(COLUMN()-2)</f>
        <v>7.2945900067116487E-2</v>
      </c>
      <c r="F8" s="12">
        <f ca="1">Assumptions!$C$15*(1+Assumptions!$C$16)^(COLUMN()-2)</f>
        <v>7.2945900067116487E-2</v>
      </c>
      <c r="G8" s="12">
        <f ca="1">Assumptions!$C$15*(1+Assumptions!$C$16)^(COLUMN()-2)</f>
        <v>7.2945900067116487E-2</v>
      </c>
      <c r="H8" s="12">
        <f ca="1">Assumptions!$C$15*(1+Assumptions!$C$16)^(COLUMN()-2)</f>
        <v>7.2945900067116487E-2</v>
      </c>
      <c r="I8" s="12">
        <f ca="1">Assumptions!$C$15*(1+Assumptions!$C$16)^(COLUMN()-2)</f>
        <v>7.2945900067116487E-2</v>
      </c>
      <c r="J8" s="12">
        <f ca="1">Assumptions!$C$15*(1+Assumptions!$C$16)^(COLUMN()-2)</f>
        <v>7.2945900067116487E-2</v>
      </c>
      <c r="K8" s="12">
        <f ca="1">Assumptions!$C$15*(1+Assumptions!$C$16)^(COLUMN()-2)</f>
        <v>7.2945900067116487E-2</v>
      </c>
      <c r="L8" s="12">
        <f ca="1">Assumptions!$C$15*(1+Assumptions!$C$16)^(COLUMN()-2)</f>
        <v>7.2945900067116487E-2</v>
      </c>
    </row>
    <row r="10" spans="1:12" ht="15.75" customHeight="1" x14ac:dyDescent="0.25">
      <c r="A10" s="63" t="s">
        <v>89</v>
      </c>
      <c r="B10" s="62"/>
      <c r="C10" s="62"/>
      <c r="D10" s="62"/>
      <c r="E10" s="62"/>
      <c r="F10" s="62"/>
      <c r="G10" s="62"/>
      <c r="H10" s="62"/>
      <c r="I10" s="62"/>
      <c r="J10" s="62"/>
      <c r="K10" s="62"/>
      <c r="L10" s="62"/>
    </row>
    <row r="11" spans="1:12" x14ac:dyDescent="0.25">
      <c r="C11" s="11" t="s">
        <v>77</v>
      </c>
      <c r="D11" s="11" t="s">
        <v>78</v>
      </c>
      <c r="E11" s="11" t="s">
        <v>79</v>
      </c>
      <c r="F11" s="11" t="s">
        <v>80</v>
      </c>
      <c r="G11" s="11" t="s">
        <v>81</v>
      </c>
      <c r="H11" s="11" t="s">
        <v>82</v>
      </c>
      <c r="I11" s="11" t="s">
        <v>83</v>
      </c>
      <c r="J11" s="11" t="s">
        <v>84</v>
      </c>
      <c r="K11" s="11" t="s">
        <v>85</v>
      </c>
      <c r="L11" s="11" t="s">
        <v>86</v>
      </c>
    </row>
    <row r="12" spans="1:12" x14ac:dyDescent="0.25">
      <c r="B12" s="1" t="s">
        <v>87</v>
      </c>
      <c r="C12" s="12">
        <f>Assumptions!$C$14*(1+Assumptions!$C$17)^(COLUMN()-2)</f>
        <v>4.8685999999999989</v>
      </c>
      <c r="D12" s="12">
        <f>Assumptions!$C$14*(1+Assumptions!$C$17)^(COLUMN()-2)</f>
        <v>5.355459999999999</v>
      </c>
      <c r="E12" s="12">
        <f>Assumptions!$C$14*(1+Assumptions!$C$17)^(COLUMN()-2)</f>
        <v>5.891006</v>
      </c>
      <c r="F12" s="12">
        <f>Assumptions!$C$14*(1+Assumptions!$C$17)^(COLUMN()-2)</f>
        <v>6.4801065999999992</v>
      </c>
      <c r="G12" s="12">
        <f>Assumptions!$C$14*(1+Assumptions!$C$17)^(COLUMN()-2)</f>
        <v>7.1281172599999998</v>
      </c>
      <c r="H12" s="12">
        <f>Assumptions!$C$14*(1+Assumptions!$C$17)^(COLUMN()-2)</f>
        <v>7.8409289860000007</v>
      </c>
      <c r="I12" s="12">
        <f>Assumptions!$C$14*(1+Assumptions!$C$17)^(COLUMN()-2)</f>
        <v>8.6250218846000024</v>
      </c>
      <c r="J12" s="12">
        <f>Assumptions!$C$14*(1+Assumptions!$C$17)^(COLUMN()-2)</f>
        <v>9.4875240730600012</v>
      </c>
      <c r="K12" s="12">
        <f>Assumptions!$C$14*(1+Assumptions!$C$17)^(COLUMN()-2)</f>
        <v>10.436276480366002</v>
      </c>
      <c r="L12" s="12">
        <f>Assumptions!$C$14*(1+Assumptions!$C$17)^(COLUMN()-2)</f>
        <v>11.479904128402604</v>
      </c>
    </row>
    <row r="13" spans="1:12" x14ac:dyDescent="0.25">
      <c r="B13" s="1" t="s">
        <v>88</v>
      </c>
      <c r="C13" s="12">
        <f ca="1">Assumptions!$C$15*(1+Assumptions!$C$17)^(COLUMN()-2)</f>
        <v>8.0240490073828136E-2</v>
      </c>
      <c r="D13" s="12">
        <f ca="1">Assumptions!$C$15*(1+Assumptions!$C$17)^(COLUMN()-2)</f>
        <v>8.8264539081210958E-2</v>
      </c>
      <c r="E13" s="12">
        <f ca="1">Assumptions!$C$15*(1+Assumptions!$C$17)^(COLUMN()-2)</f>
        <v>9.7090992989332076E-2</v>
      </c>
      <c r="F13" s="12">
        <f ca="1">Assumptions!$C$15*(1+Assumptions!$C$17)^(COLUMN()-2)</f>
        <v>0.10680009228826527</v>
      </c>
      <c r="G13" s="12">
        <f ca="1">Assumptions!$C$15*(1+Assumptions!$C$17)^(COLUMN()-2)</f>
        <v>0.11748010151709182</v>
      </c>
      <c r="H13" s="12">
        <f ca="1">Assumptions!$C$15*(1+Assumptions!$C$17)^(COLUMN()-2)</f>
        <v>0.12922811166880102</v>
      </c>
      <c r="I13" s="12">
        <f ca="1">Assumptions!$C$15*(1+Assumptions!$C$17)^(COLUMN()-2)</f>
        <v>0.14215092283568112</v>
      </c>
      <c r="J13" s="12">
        <f ca="1">Assumptions!$C$15*(1+Assumptions!$C$17)^(COLUMN()-2)</f>
        <v>0.15636601511924922</v>
      </c>
      <c r="K13" s="12">
        <f ca="1">Assumptions!$C$15*(1+Assumptions!$C$17)^(COLUMN()-2)</f>
        <v>0.17200261663117417</v>
      </c>
      <c r="L13" s="12">
        <f ca="1">Assumptions!$C$15*(1+Assumptions!$C$17)^(COLUMN()-2)</f>
        <v>0.18920287829429161</v>
      </c>
    </row>
    <row r="15" spans="1:12" ht="15.75" customHeight="1" x14ac:dyDescent="0.25">
      <c r="A15" s="63" t="s">
        <v>76</v>
      </c>
      <c r="B15" s="62"/>
      <c r="C15" s="62"/>
      <c r="D15" s="62"/>
      <c r="E15" s="62"/>
      <c r="F15" s="62"/>
      <c r="G15" s="62"/>
      <c r="H15" s="62"/>
      <c r="I15" s="62"/>
      <c r="J15" s="62"/>
      <c r="K15" s="62"/>
      <c r="L15" s="62"/>
    </row>
    <row r="16" spans="1:12" ht="30" customHeight="1" x14ac:dyDescent="0.25">
      <c r="B16" s="13" t="s">
        <v>90</v>
      </c>
      <c r="C16" s="13" t="s">
        <v>91</v>
      </c>
      <c r="D16" s="13" t="s">
        <v>92</v>
      </c>
      <c r="E16" s="13" t="s">
        <v>93</v>
      </c>
      <c r="F16" s="13" t="s">
        <v>94</v>
      </c>
      <c r="G16" s="13" t="s">
        <v>95</v>
      </c>
    </row>
    <row r="17" spans="1:12" x14ac:dyDescent="0.25">
      <c r="B17" s="1" t="s">
        <v>96</v>
      </c>
      <c r="C17" s="14">
        <f>Assumptions!C22</f>
        <v>0.1</v>
      </c>
      <c r="D17" s="12">
        <f ca="1">NPV(C17,C8:L8)</f>
        <v>0.44822097804842476</v>
      </c>
      <c r="E17" s="12">
        <f ca="1">L8*(1+Assumptions!$C$18)/(C17-Assumptions!$C$18)</f>
        <v>0.72945900067116487</v>
      </c>
      <c r="F17" s="12">
        <f ca="1">E17/(1+C17)^10</f>
        <v>0.28123802262273973</v>
      </c>
      <c r="G17" s="15">
        <f ca="1">D17+F17</f>
        <v>0.72945900067116454</v>
      </c>
    </row>
    <row r="18" spans="1:12" x14ac:dyDescent="0.25">
      <c r="B18" s="1" t="s">
        <v>97</v>
      </c>
      <c r="C18" s="14">
        <f>Assumptions!C23</f>
        <v>0.13245000000000001</v>
      </c>
      <c r="D18" s="12">
        <f ca="1">NPV(C18,C8:L8)</f>
        <v>0.39197653470480609</v>
      </c>
      <c r="E18" s="12">
        <f ca="1">L8*(1+Assumptions!$C$18)/(C18-Assumptions!$C$18)</f>
        <v>0.55074292236403533</v>
      </c>
      <c r="F18" s="12">
        <f ca="1">E18/(1+C18)^10</f>
        <v>0.15876638765922929</v>
      </c>
      <c r="G18" s="15">
        <f ca="1">D18+F18</f>
        <v>0.55074292236403544</v>
      </c>
    </row>
    <row r="19" spans="1:12" x14ac:dyDescent="0.25">
      <c r="B19" s="1" t="s">
        <v>98</v>
      </c>
      <c r="C19" s="14">
        <f>Assumptions!C24</f>
        <v>0.15</v>
      </c>
      <c r="D19" s="12">
        <f ca="1">NPV(C19,C8:L8)</f>
        <v>0.36609859464154221</v>
      </c>
      <c r="E19" s="12">
        <f ca="1">L8*(1+Assumptions!$C$18)/(C19-Assumptions!$C$18)</f>
        <v>0.48630600044744327</v>
      </c>
      <c r="F19" s="12">
        <f ca="1">E19/(1+C19)^10</f>
        <v>0.12020740580590124</v>
      </c>
      <c r="G19" s="15">
        <f ca="1">D19+F19</f>
        <v>0.48630600044744343</v>
      </c>
    </row>
    <row r="21" spans="1:12" ht="15.75" customHeight="1" x14ac:dyDescent="0.25">
      <c r="A21" s="63" t="s">
        <v>99</v>
      </c>
      <c r="B21" s="62"/>
      <c r="C21" s="62"/>
      <c r="D21" s="62"/>
      <c r="E21" s="62"/>
      <c r="F21" s="62"/>
      <c r="G21" s="62"/>
      <c r="H21" s="62"/>
      <c r="I21" s="62"/>
      <c r="J21" s="62"/>
      <c r="K21" s="62"/>
      <c r="L21" s="62"/>
    </row>
    <row r="22" spans="1:12" ht="30" customHeight="1" x14ac:dyDescent="0.25">
      <c r="B22" s="13" t="s">
        <v>90</v>
      </c>
      <c r="C22" s="13" t="s">
        <v>91</v>
      </c>
      <c r="D22" s="13" t="s">
        <v>92</v>
      </c>
      <c r="E22" s="13" t="s">
        <v>93</v>
      </c>
      <c r="F22" s="13" t="s">
        <v>94</v>
      </c>
      <c r="G22" s="13" t="s">
        <v>95</v>
      </c>
    </row>
    <row r="23" spans="1:12" x14ac:dyDescent="0.25">
      <c r="B23" s="1" t="s">
        <v>96</v>
      </c>
      <c r="C23" s="14">
        <f>Assumptions!C22</f>
        <v>0.1</v>
      </c>
      <c r="D23" s="12">
        <f ca="1">NPV(C23,C13:L13)</f>
        <v>0.72945900067116487</v>
      </c>
      <c r="E23" s="12">
        <f ca="1">L13*(1+Assumptions!$C$18)/(C23-Assumptions!$C$18)</f>
        <v>1.8920287829429161</v>
      </c>
      <c r="F23" s="12">
        <f ca="1">E23/(1+C23)^10</f>
        <v>0.72945900067116487</v>
      </c>
      <c r="G23" s="15">
        <f ca="1">D23+F23</f>
        <v>1.4589180013423297</v>
      </c>
    </row>
    <row r="24" spans="1:12" x14ac:dyDescent="0.25">
      <c r="B24" s="1" t="s">
        <v>97</v>
      </c>
      <c r="C24" s="14">
        <f>Assumptions!C23</f>
        <v>0.13245000000000001</v>
      </c>
      <c r="D24" s="12">
        <f ca="1">NPV(C24,C13:L13)</f>
        <v>0.62383411873876804</v>
      </c>
      <c r="E24" s="12">
        <f ca="1">L13*(1+Assumptions!$C$18)/(C24-Assumptions!$C$18)</f>
        <v>1.4284853023351574</v>
      </c>
      <c r="F24" s="12">
        <f ca="1">E24/(1+C24)^10</f>
        <v>0.41179912090844001</v>
      </c>
      <c r="G24" s="15">
        <f ca="1">D24+F24</f>
        <v>1.0356332396472081</v>
      </c>
    </row>
    <row r="25" spans="1:12" x14ac:dyDescent="0.25">
      <c r="B25" s="1" t="s">
        <v>98</v>
      </c>
      <c r="C25" s="14">
        <f>Assumptions!C24</f>
        <v>0.15</v>
      </c>
      <c r="D25" s="12">
        <f ca="1">NPV(C25,C13:L13)</f>
        <v>0.57591252836768103</v>
      </c>
      <c r="E25" s="12">
        <f ca="1">L13*(1+Assumptions!$C$18)/(C25-Assumptions!$C$18)</f>
        <v>1.2613525219619441</v>
      </c>
      <c r="F25" s="12">
        <f ca="1">E25/(1+C25)^10</f>
        <v>0.31178705245723753</v>
      </c>
      <c r="G25" s="15">
        <f ca="1">D25+F25</f>
        <v>0.88769958082491862</v>
      </c>
    </row>
    <row r="27" spans="1:12" ht="15.75" customHeight="1" x14ac:dyDescent="0.25">
      <c r="A27" s="63" t="s">
        <v>100</v>
      </c>
      <c r="B27" s="62"/>
      <c r="C27" s="62"/>
      <c r="D27" s="62"/>
      <c r="E27" s="62"/>
      <c r="F27" s="62"/>
      <c r="G27" s="62"/>
      <c r="H27" s="62"/>
      <c r="I27" s="62"/>
      <c r="J27" s="62"/>
      <c r="K27" s="62"/>
      <c r="L27" s="62"/>
    </row>
    <row r="28" spans="1:12" ht="30" customHeight="1" x14ac:dyDescent="0.25">
      <c r="C28" s="29" t="s">
        <v>101</v>
      </c>
      <c r="D28" s="29" t="s">
        <v>102</v>
      </c>
    </row>
    <row r="29" spans="1:12" x14ac:dyDescent="0.25">
      <c r="B29" s="1" t="s">
        <v>103</v>
      </c>
      <c r="C29" s="17">
        <f ca="1">G17</f>
        <v>0.72945900067116454</v>
      </c>
      <c r="D29" s="17">
        <f ca="1">G23</f>
        <v>1.4589180013423297</v>
      </c>
    </row>
    <row r="30" spans="1:12" x14ac:dyDescent="0.25">
      <c r="B30" s="1" t="s">
        <v>104</v>
      </c>
      <c r="C30" s="17">
        <f ca="1">G18</f>
        <v>0.55074292236403544</v>
      </c>
      <c r="D30" s="17">
        <f ca="1">G24</f>
        <v>1.0356332396472081</v>
      </c>
    </row>
    <row r="31" spans="1:12" x14ac:dyDescent="0.25">
      <c r="B31" s="1" t="s">
        <v>105</v>
      </c>
      <c r="C31" s="17">
        <f ca="1">G19</f>
        <v>0.48630600044744343</v>
      </c>
      <c r="D31" s="17">
        <f ca="1">G25</f>
        <v>0.88769958082491862</v>
      </c>
    </row>
    <row r="32" spans="1:12" x14ac:dyDescent="0.25">
      <c r="B32" s="8" t="s">
        <v>106</v>
      </c>
      <c r="C32" s="15">
        <f ca="1">MIN(C29:D31)</f>
        <v>0.48630600044744343</v>
      </c>
      <c r="D32" s="15">
        <f ca="1">MAX(C29:D31)</f>
        <v>1.4589180013423297</v>
      </c>
    </row>
    <row r="34" ht="22.35" customHeight="1" x14ac:dyDescent="0.25"/>
  </sheetData>
  <mergeCells count="6">
    <mergeCell ref="A15:L15"/>
    <mergeCell ref="A10:L10"/>
    <mergeCell ref="A1:L1"/>
    <mergeCell ref="A5:L5"/>
    <mergeCell ref="A27:L27"/>
    <mergeCell ref="A21:L2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33C00"/>
  </sheetPr>
  <dimension ref="A1:E34"/>
  <sheetViews>
    <sheetView showGridLines="0" zoomScaleNormal="100" workbookViewId="0">
      <selection activeCell="H16" sqref="H16"/>
    </sheetView>
  </sheetViews>
  <sheetFormatPr defaultColWidth="8.7109375" defaultRowHeight="15" x14ac:dyDescent="0.25"/>
  <cols>
    <col min="1" max="1" width="3" customWidth="1"/>
    <col min="2" max="2" width="61.85546875" customWidth="1"/>
    <col min="3" max="5" width="16" customWidth="1"/>
    <col min="6" max="6" width="4" customWidth="1"/>
  </cols>
  <sheetData>
    <row r="1" spans="1:5" ht="21.75" customHeight="1" x14ac:dyDescent="0.25">
      <c r="A1" s="61" t="s">
        <v>107</v>
      </c>
      <c r="B1" s="62"/>
      <c r="C1" s="62"/>
      <c r="D1" s="62"/>
      <c r="E1" s="62"/>
    </row>
    <row r="3" spans="1:5" x14ac:dyDescent="0.25">
      <c r="B3" s="8" t="s">
        <v>75</v>
      </c>
      <c r="C3" s="10" t="str">
        <f>Assumptions!C4</f>
        <v>Chegg, Inc.</v>
      </c>
    </row>
    <row r="5" spans="1:5" ht="15.75" customHeight="1" x14ac:dyDescent="0.25">
      <c r="A5" s="63" t="s">
        <v>108</v>
      </c>
      <c r="B5" s="62"/>
      <c r="C5" s="62"/>
      <c r="D5" s="62"/>
      <c r="E5" s="62"/>
    </row>
    <row r="6" spans="1:5" x14ac:dyDescent="0.25">
      <c r="C6" s="16" t="s">
        <v>109</v>
      </c>
    </row>
    <row r="7" spans="1:5" x14ac:dyDescent="0.25">
      <c r="B7" s="1" t="s">
        <v>28</v>
      </c>
      <c r="C7" s="22">
        <f>Assumptions!C27</f>
        <v>44.622999999999998</v>
      </c>
    </row>
    <row r="8" spans="1:5" x14ac:dyDescent="0.25">
      <c r="B8" s="1" t="s">
        <v>110</v>
      </c>
      <c r="C8" s="22">
        <f>Assumptions!C28</f>
        <v>27.690999999999999</v>
      </c>
    </row>
    <row r="9" spans="1:5" x14ac:dyDescent="0.25">
      <c r="B9" s="1" t="s">
        <v>30</v>
      </c>
      <c r="C9" s="22">
        <f>Assumptions!C29</f>
        <v>10.734</v>
      </c>
    </row>
    <row r="10" spans="1:5" x14ac:dyDescent="0.25">
      <c r="B10" s="1" t="s">
        <v>31</v>
      </c>
      <c r="C10" s="22">
        <f>Assumptions!C30</f>
        <v>0</v>
      </c>
    </row>
    <row r="11" spans="1:5" x14ac:dyDescent="0.25">
      <c r="B11" s="1" t="s">
        <v>32</v>
      </c>
      <c r="C11" s="22">
        <f>Assumptions!C31</f>
        <v>25.652999999999999</v>
      </c>
    </row>
    <row r="12" spans="1:5" x14ac:dyDescent="0.25">
      <c r="B12" s="8" t="s">
        <v>111</v>
      </c>
      <c r="C12" s="30">
        <f>SUM(C7:C11)</f>
        <v>108.70099999999999</v>
      </c>
    </row>
    <row r="13" spans="1:5" x14ac:dyDescent="0.25">
      <c r="B13" s="1" t="s">
        <v>112</v>
      </c>
      <c r="C13" s="22">
        <f>-Assumptions!C33</f>
        <v>-92.96</v>
      </c>
    </row>
    <row r="14" spans="1:5" x14ac:dyDescent="0.25">
      <c r="B14" s="1" t="s">
        <v>113</v>
      </c>
      <c r="C14" s="22">
        <f>-Assumptions!C34</f>
        <v>0</v>
      </c>
    </row>
    <row r="15" spans="1:5" x14ac:dyDescent="0.25">
      <c r="B15" s="1" t="s">
        <v>114</v>
      </c>
      <c r="C15" s="22">
        <f>-Assumptions!C35</f>
        <v>-16.050999999999998</v>
      </c>
    </row>
    <row r="16" spans="1:5" x14ac:dyDescent="0.25">
      <c r="B16" s="1" t="s">
        <v>115</v>
      </c>
      <c r="C16" s="22">
        <f>-Assumptions!C36</f>
        <v>0</v>
      </c>
    </row>
    <row r="17" spans="1:5" x14ac:dyDescent="0.25">
      <c r="B17" s="8" t="s">
        <v>116</v>
      </c>
      <c r="C17" s="15">
        <f>C12+SUM(C13:C16)</f>
        <v>-0.31000000000000227</v>
      </c>
    </row>
    <row r="18" spans="1:5" x14ac:dyDescent="0.25">
      <c r="B18" s="8" t="s">
        <v>117</v>
      </c>
      <c r="C18" s="15">
        <f ca="1">C17/Assumptions!C7</f>
        <v>-2.554589812562842E-3</v>
      </c>
    </row>
    <row r="19" spans="1:5" x14ac:dyDescent="0.25">
      <c r="B19" s="28" t="s">
        <v>118</v>
      </c>
      <c r="C19" s="28"/>
      <c r="D19" s="28"/>
      <c r="E19" s="28"/>
    </row>
    <row r="21" spans="1:5" ht="15.75" customHeight="1" x14ac:dyDescent="0.25">
      <c r="A21" s="63" t="s">
        <v>119</v>
      </c>
      <c r="B21" s="62"/>
      <c r="C21" s="62"/>
      <c r="D21" s="62"/>
      <c r="E21" s="62"/>
    </row>
    <row r="22" spans="1:5" x14ac:dyDescent="0.25">
      <c r="C22" s="16" t="s">
        <v>120</v>
      </c>
      <c r="D22" s="16" t="s">
        <v>121</v>
      </c>
    </row>
    <row r="23" spans="1:5" x14ac:dyDescent="0.25">
      <c r="B23" s="1" t="s">
        <v>122</v>
      </c>
      <c r="C23" s="22">
        <f>Assumptions!C27</f>
        <v>44.622999999999998</v>
      </c>
      <c r="D23" s="22">
        <f>Assumptions!C27</f>
        <v>44.622999999999998</v>
      </c>
    </row>
    <row r="24" spans="1:5" x14ac:dyDescent="0.25">
      <c r="B24" s="1" t="s">
        <v>123</v>
      </c>
      <c r="C24" s="22">
        <f>Assumptions!C28*(1-Assumptions!C39)</f>
        <v>27.137179999999997</v>
      </c>
      <c r="D24" s="22">
        <f>Assumptions!C28*(1-Assumptions!C39)</f>
        <v>27.137179999999997</v>
      </c>
    </row>
    <row r="25" spans="1:5" x14ac:dyDescent="0.25">
      <c r="B25" s="1" t="s">
        <v>124</v>
      </c>
      <c r="C25" s="22">
        <f>Assumptions!C29*Assumptions!C40</f>
        <v>9.6606000000000005</v>
      </c>
      <c r="D25" s="22">
        <f>Assumptions!C29*Assumptions!C41</f>
        <v>7.5137999999999998</v>
      </c>
    </row>
    <row r="26" spans="1:5" x14ac:dyDescent="0.25">
      <c r="B26" s="1" t="s">
        <v>125</v>
      </c>
      <c r="C26" s="22">
        <f>Assumptions!C30*Assumptions!C42</f>
        <v>0</v>
      </c>
      <c r="D26" s="22">
        <f>Assumptions!C30*Assumptions!C43</f>
        <v>0</v>
      </c>
    </row>
    <row r="27" spans="1:5" x14ac:dyDescent="0.25">
      <c r="B27" s="1" t="s">
        <v>126</v>
      </c>
      <c r="C27" s="22">
        <f>Assumptions!C31*Assumptions!C40</f>
        <v>23.087699999999998</v>
      </c>
      <c r="D27" s="22">
        <f>Assumptions!C31*Assumptions!C41</f>
        <v>17.957099999999997</v>
      </c>
    </row>
    <row r="28" spans="1:5" x14ac:dyDescent="0.25">
      <c r="B28" s="1" t="s">
        <v>127</v>
      </c>
      <c r="C28" s="22">
        <f>Assumptions!C44</f>
        <v>0.94947999999999999</v>
      </c>
      <c r="D28" s="22">
        <f>Assumptions!C44*0.7</f>
        <v>0.664636</v>
      </c>
      <c r="E28" s="28"/>
    </row>
    <row r="29" spans="1:5" x14ac:dyDescent="0.25">
      <c r="B29" s="8" t="s">
        <v>128</v>
      </c>
      <c r="C29" s="30">
        <f>SUM(C23:C28)</f>
        <v>105.45795999999999</v>
      </c>
      <c r="D29" s="30">
        <f>SUM(D23:D28)</f>
        <v>97.895715999999993</v>
      </c>
    </row>
    <row r="30" spans="1:5" x14ac:dyDescent="0.25">
      <c r="B30" s="1" t="s">
        <v>129</v>
      </c>
      <c r="C30" s="22">
        <f>-(Assumptions!C33+Assumptions!C34+Assumptions!C35+Assumptions!C36)</f>
        <v>-109.011</v>
      </c>
      <c r="D30" s="22">
        <f>-(Assumptions!C33+Assumptions!C34+Assumptions!C35+Assumptions!C36)</f>
        <v>-109.011</v>
      </c>
    </row>
    <row r="31" spans="1:5" x14ac:dyDescent="0.25">
      <c r="B31" s="8" t="s">
        <v>130</v>
      </c>
      <c r="C31" s="15">
        <f>C29+C30</f>
        <v>-3.55304000000001</v>
      </c>
      <c r="D31" s="15">
        <f>D29+D30</f>
        <v>-11.115284000000003</v>
      </c>
    </row>
    <row r="32" spans="1:5" x14ac:dyDescent="0.25">
      <c r="B32" s="8" t="s">
        <v>131</v>
      </c>
      <c r="C32" s="15">
        <f ca="1">C31/Assumptions!C7</f>
        <v>-2.9279225121381418E-2</v>
      </c>
      <c r="D32" s="15">
        <f ca="1">D31/Assumptions!C7</f>
        <v>-9.1596746032717918E-2</v>
      </c>
    </row>
    <row r="34" spans="2:5" ht="22.35" customHeight="1" x14ac:dyDescent="0.25">
      <c r="B34" s="28"/>
      <c r="C34" s="28"/>
      <c r="D34" s="28"/>
      <c r="E34" s="28"/>
    </row>
  </sheetData>
  <mergeCells count="3">
    <mergeCell ref="A21:E21"/>
    <mergeCell ref="A1:E1"/>
    <mergeCell ref="A5:E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C24"/>
  <sheetViews>
    <sheetView showGridLines="0" zoomScaleNormal="100" workbookViewId="0">
      <selection activeCell="C25" sqref="C25"/>
    </sheetView>
  </sheetViews>
  <sheetFormatPr defaultColWidth="8.7109375" defaultRowHeight="15" x14ac:dyDescent="0.25"/>
  <cols>
    <col min="1" max="1" width="3" customWidth="1"/>
    <col min="2" max="2" width="61.85546875" bestFit="1" customWidth="1"/>
    <col min="3" max="3" width="18" customWidth="1"/>
    <col min="4" max="4" width="4" customWidth="1"/>
  </cols>
  <sheetData>
    <row r="1" spans="1:3" ht="21.75" customHeight="1" x14ac:dyDescent="0.25">
      <c r="A1" s="61" t="s">
        <v>132</v>
      </c>
      <c r="B1" s="62"/>
      <c r="C1" s="62"/>
    </row>
    <row r="3" spans="1:3" x14ac:dyDescent="0.25">
      <c r="B3" s="8" t="s">
        <v>75</v>
      </c>
      <c r="C3" s="10" t="str">
        <f>Assumptions!C4</f>
        <v>Chegg, Inc.</v>
      </c>
    </row>
    <row r="4" spans="1:3" x14ac:dyDescent="0.25">
      <c r="B4" s="8" t="s">
        <v>133</v>
      </c>
      <c r="C4" s="18">
        <f>Assumptions!C47</f>
        <v>49.2</v>
      </c>
    </row>
    <row r="6" spans="1:3" ht="15.75" customHeight="1" x14ac:dyDescent="0.25">
      <c r="A6" s="63" t="s">
        <v>134</v>
      </c>
      <c r="B6" s="62"/>
      <c r="C6" s="62"/>
    </row>
    <row r="7" spans="1:3" x14ac:dyDescent="0.25">
      <c r="B7" s="1" t="s">
        <v>135</v>
      </c>
      <c r="C7" s="20">
        <f>AVERAGEIF(Assumptions!$D$50:$D$54,"Transaction",Assumptions!$C$50:$C$54)</f>
        <v>14.6</v>
      </c>
    </row>
    <row r="8" spans="1:3" x14ac:dyDescent="0.25">
      <c r="B8" s="1" t="s">
        <v>136</v>
      </c>
      <c r="C8" s="21">
        <f>COUNTIF(Assumptions!$D$50:$D$54,"Transaction")</f>
        <v>1</v>
      </c>
    </row>
    <row r="9" spans="1:3" x14ac:dyDescent="0.25">
      <c r="B9" s="1" t="s">
        <v>137</v>
      </c>
      <c r="C9" s="5">
        <f>C4*C7</f>
        <v>718.32</v>
      </c>
    </row>
    <row r="10" spans="1:3" x14ac:dyDescent="0.25">
      <c r="B10" s="1" t="s">
        <v>138</v>
      </c>
      <c r="C10" s="18">
        <f>-(Assumptions!C34)</f>
        <v>0</v>
      </c>
    </row>
    <row r="11" spans="1:3" x14ac:dyDescent="0.25">
      <c r="B11" s="1" t="s">
        <v>139</v>
      </c>
      <c r="C11" s="18">
        <f>Assumptions!C27</f>
        <v>44.622999999999998</v>
      </c>
    </row>
    <row r="12" spans="1:3" x14ac:dyDescent="0.25">
      <c r="B12" s="8" t="s">
        <v>140</v>
      </c>
      <c r="C12" s="19">
        <f>C9-Assumptions!C34+Assumptions!C27</f>
        <v>762.9430000000001</v>
      </c>
    </row>
    <row r="13" spans="1:3" x14ac:dyDescent="0.25">
      <c r="B13" s="8" t="s">
        <v>141</v>
      </c>
      <c r="C13" s="15">
        <f ca="1">C12/Assumptions!C7</f>
        <v>6.2871174689229621</v>
      </c>
    </row>
    <row r="14" spans="1:3" x14ac:dyDescent="0.25">
      <c r="B14" s="28" t="s">
        <v>142</v>
      </c>
      <c r="C14" s="28"/>
    </row>
    <row r="16" spans="1:3" ht="15.75" customHeight="1" x14ac:dyDescent="0.25">
      <c r="A16" s="63" t="s">
        <v>143</v>
      </c>
      <c r="B16" s="62"/>
      <c r="C16" s="62"/>
    </row>
    <row r="17" spans="2:3" x14ac:dyDescent="0.25">
      <c r="B17" s="1" t="s">
        <v>135</v>
      </c>
      <c r="C17" s="20">
        <f>AVERAGEIF(Assumptions!$D$50:$D$54,"Trading",Assumptions!$C$50:$C$54)</f>
        <v>8.15</v>
      </c>
    </row>
    <row r="18" spans="2:3" x14ac:dyDescent="0.25">
      <c r="B18" s="1" t="s">
        <v>136</v>
      </c>
      <c r="C18" s="21">
        <f>COUNTIF(Assumptions!$D$50:$D$54,"Trading")</f>
        <v>2</v>
      </c>
    </row>
    <row r="19" spans="2:3" x14ac:dyDescent="0.25">
      <c r="B19" s="1" t="s">
        <v>137</v>
      </c>
      <c r="C19" s="5">
        <f>C4*C17</f>
        <v>400.98</v>
      </c>
    </row>
    <row r="20" spans="2:3" x14ac:dyDescent="0.25">
      <c r="B20" s="1" t="s">
        <v>138</v>
      </c>
      <c r="C20" s="18">
        <f>-(Assumptions!C34)</f>
        <v>0</v>
      </c>
    </row>
    <row r="21" spans="2:3" x14ac:dyDescent="0.25">
      <c r="B21" s="1" t="s">
        <v>139</v>
      </c>
      <c r="C21" s="18">
        <f>Assumptions!C27</f>
        <v>44.622999999999998</v>
      </c>
    </row>
    <row r="22" spans="2:3" x14ac:dyDescent="0.25">
      <c r="B22" s="8" t="s">
        <v>140</v>
      </c>
      <c r="C22" s="19">
        <f>C19-Assumptions!C34+Assumptions!C27</f>
        <v>445.60300000000001</v>
      </c>
    </row>
    <row r="23" spans="2:3" x14ac:dyDescent="0.25">
      <c r="B23" s="8" t="s">
        <v>141</v>
      </c>
      <c r="C23" s="15">
        <f ca="1">C22/Assumptions!C7</f>
        <v>3.6720415620884896</v>
      </c>
    </row>
    <row r="24" spans="2:3" ht="32.85" customHeight="1" x14ac:dyDescent="0.25">
      <c r="B24" s="28" t="s">
        <v>144</v>
      </c>
      <c r="C24" s="28"/>
    </row>
  </sheetData>
  <mergeCells count="3">
    <mergeCell ref="A1:C1"/>
    <mergeCell ref="A16:C16"/>
    <mergeCell ref="A6:C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D27"/>
  <sheetViews>
    <sheetView showGridLines="0" zoomScaleNormal="100" workbookViewId="0">
      <selection activeCell="C23" sqref="C23"/>
    </sheetView>
  </sheetViews>
  <sheetFormatPr defaultColWidth="8.7109375" defaultRowHeight="15" x14ac:dyDescent="0.25"/>
  <cols>
    <col min="1" max="1" width="3" customWidth="1"/>
    <col min="2" max="2" width="43.5703125" customWidth="1"/>
    <col min="3" max="3" width="16" customWidth="1"/>
    <col min="4" max="4" width="55" customWidth="1"/>
    <col min="5" max="5" width="4" customWidth="1"/>
  </cols>
  <sheetData>
    <row r="1" spans="1:4" ht="21.75" customHeight="1" x14ac:dyDescent="0.25">
      <c r="A1" s="61" t="s">
        <v>145</v>
      </c>
      <c r="B1" s="62"/>
      <c r="C1" s="62"/>
      <c r="D1" s="62"/>
    </row>
    <row r="3" spans="1:4" x14ac:dyDescent="0.25">
      <c r="B3" s="8" t="s">
        <v>75</v>
      </c>
      <c r="C3" s="10" t="str">
        <f>Assumptions!C4</f>
        <v>Chegg, Inc.</v>
      </c>
    </row>
    <row r="4" spans="1:4" x14ac:dyDescent="0.25">
      <c r="B4" s="8" t="s">
        <v>146</v>
      </c>
      <c r="C4" s="22">
        <f ca="1">Assumptions!C6</f>
        <v>0.72</v>
      </c>
    </row>
    <row r="6" spans="1:4" ht="15.75" customHeight="1" x14ac:dyDescent="0.25">
      <c r="A6" s="63" t="s">
        <v>147</v>
      </c>
      <c r="B6" s="62"/>
      <c r="C6" s="62"/>
      <c r="D6" s="62"/>
    </row>
    <row r="7" spans="1:4" x14ac:dyDescent="0.25">
      <c r="C7" s="16" t="s">
        <v>148</v>
      </c>
      <c r="D7" s="16" t="s">
        <v>149</v>
      </c>
    </row>
    <row r="8" spans="1:4" x14ac:dyDescent="0.25">
      <c r="B8" s="1" t="s">
        <v>150</v>
      </c>
      <c r="C8" s="23">
        <f ca="1">'DCF NPV'!C32</f>
        <v>0.48630600044744343</v>
      </c>
      <c r="D8" s="27" t="s">
        <v>151</v>
      </c>
    </row>
    <row r="9" spans="1:4" x14ac:dyDescent="0.25">
      <c r="B9" s="1" t="s">
        <v>152</v>
      </c>
      <c r="C9" s="23">
        <f ca="1">'DCF NPV'!D32</f>
        <v>1.4589180013423297</v>
      </c>
      <c r="D9" s="27" t="s">
        <v>153</v>
      </c>
    </row>
    <row r="10" spans="1:4" x14ac:dyDescent="0.25">
      <c r="B10" s="1" t="s">
        <v>154</v>
      </c>
      <c r="C10" s="23">
        <f ca="1">Liquidation!C18</f>
        <v>-2.554589812562842E-3</v>
      </c>
      <c r="D10" s="27" t="s">
        <v>155</v>
      </c>
    </row>
    <row r="11" spans="1:4" x14ac:dyDescent="0.25">
      <c r="B11" s="1" t="s">
        <v>156</v>
      </c>
      <c r="C11" s="23">
        <f ca="1">Liquidation!C32</f>
        <v>-2.9279225121381418E-2</v>
      </c>
      <c r="D11" s="27" t="s">
        <v>157</v>
      </c>
    </row>
    <row r="12" spans="1:4" x14ac:dyDescent="0.25">
      <c r="B12" s="1" t="s">
        <v>158</v>
      </c>
      <c r="C12" s="23">
        <f ca="1">Liquidation!D32</f>
        <v>-9.1596746032717918E-2</v>
      </c>
      <c r="D12" s="27" t="s">
        <v>157</v>
      </c>
    </row>
    <row r="13" spans="1:4" x14ac:dyDescent="0.25">
      <c r="B13" s="1" t="s">
        <v>159</v>
      </c>
      <c r="C13" s="23">
        <f ca="1">'Market Multiples'!C13</f>
        <v>6.2871174689229621</v>
      </c>
      <c r="D13" s="27" t="s">
        <v>160</v>
      </c>
    </row>
    <row r="14" spans="1:4" x14ac:dyDescent="0.25">
      <c r="B14" s="1" t="s">
        <v>161</v>
      </c>
      <c r="C14" s="23">
        <f ca="1">'Market Multiples'!C23</f>
        <v>3.6720415620884896</v>
      </c>
      <c r="D14" s="27" t="s">
        <v>162</v>
      </c>
    </row>
    <row r="16" spans="1:4" ht="15.75" customHeight="1" x14ac:dyDescent="0.25">
      <c r="A16" s="63" t="s">
        <v>163</v>
      </c>
      <c r="B16" s="62"/>
      <c r="C16" s="62"/>
      <c r="D16" s="62"/>
    </row>
    <row r="17" spans="2:4" x14ac:dyDescent="0.25">
      <c r="B17" s="8" t="s">
        <v>164</v>
      </c>
      <c r="C17" s="15">
        <f ca="1">MIN(C8:C14)</f>
        <v>-9.1596746032717918E-2</v>
      </c>
    </row>
    <row r="18" spans="2:4" x14ac:dyDescent="0.25">
      <c r="B18" s="8" t="s">
        <v>165</v>
      </c>
      <c r="C18" s="15">
        <f ca="1">MAX(C8:C14)</f>
        <v>6.2871174689229621</v>
      </c>
    </row>
    <row r="19" spans="2:4" x14ac:dyDescent="0.25">
      <c r="B19" s="1" t="s">
        <v>166</v>
      </c>
      <c r="C19" s="22">
        <f ca="1">C4</f>
        <v>0.72</v>
      </c>
    </row>
    <row r="20" spans="2:4" x14ac:dyDescent="0.25">
      <c r="B20" s="1" t="s">
        <v>167</v>
      </c>
      <c r="C20" s="24" t="str">
        <f ca="1">IF(C17&lt;=0,"n/a - lowest estimate is zero or negative",1-C4/C17)</f>
        <v>n/a - lowest estimate is zero or negative</v>
      </c>
    </row>
    <row r="21" spans="2:4" x14ac:dyDescent="0.25">
      <c r="B21" s="1" t="s">
        <v>168</v>
      </c>
      <c r="C21" s="14">
        <f>Assumptions!C63</f>
        <v>0.33</v>
      </c>
    </row>
    <row r="22" spans="2:4" x14ac:dyDescent="0.25">
      <c r="B22" s="1" t="s">
        <v>169</v>
      </c>
      <c r="C22" s="12">
        <f ca="1">C17*(1-C21)</f>
        <v>-6.1369819841920997E-2</v>
      </c>
    </row>
    <row r="23" spans="2:4" x14ac:dyDescent="0.25">
      <c r="B23" s="8" t="s">
        <v>170</v>
      </c>
      <c r="C23" s="25" t="str">
        <f ca="1">IF(ISNUMBER(C20),IF(C20&gt;=C21,"Yes - price is at/below your target","No - price is above your target"),"n/a - see note above")</f>
        <v>n/a - see note above</v>
      </c>
    </row>
    <row r="25" spans="2:4" ht="32.85" customHeight="1" x14ac:dyDescent="0.25">
      <c r="B25" s="64" t="s">
        <v>171</v>
      </c>
      <c r="C25" s="62"/>
      <c r="D25" s="62"/>
    </row>
    <row r="27" spans="2:4" ht="22.35" customHeight="1" x14ac:dyDescent="0.25">
      <c r="B27" s="64" t="s">
        <v>172</v>
      </c>
      <c r="C27" s="62"/>
      <c r="D27" s="62"/>
    </row>
  </sheetData>
  <mergeCells count="5">
    <mergeCell ref="A1:D1"/>
    <mergeCell ref="A6:D6"/>
    <mergeCell ref="B27:D27"/>
    <mergeCell ref="A16:D16"/>
    <mergeCell ref="B25:D2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91"/>
  <sheetViews>
    <sheetView showGridLines="0" workbookViewId="0">
      <pane xSplit="2" ySplit="3" topLeftCell="C19" activePane="bottomRight" state="frozen"/>
      <selection pane="topRight"/>
      <selection pane="bottomLeft"/>
      <selection pane="bottomRight" activeCell="C46" sqref="C46:C47"/>
    </sheetView>
  </sheetViews>
  <sheetFormatPr defaultRowHeight="15" x14ac:dyDescent="0.25"/>
  <cols>
    <col min="1" max="1" width="3" customWidth="1"/>
    <col min="2" max="2" width="52" customWidth="1"/>
    <col min="3" max="17" width="14" customWidth="1"/>
  </cols>
  <sheetData>
    <row r="1" spans="1:17" ht="18" x14ac:dyDescent="0.25">
      <c r="A1" s="44" t="s">
        <v>173</v>
      </c>
    </row>
    <row r="2" spans="1:17" x14ac:dyDescent="0.25">
      <c r="B2" s="60" t="s">
        <v>341</v>
      </c>
    </row>
    <row r="4" spans="1:17" x14ac:dyDescent="0.25">
      <c r="A4" s="45" t="s">
        <v>174</v>
      </c>
      <c r="B4" s="45"/>
      <c r="C4" s="45"/>
      <c r="D4" s="45"/>
      <c r="E4" s="45"/>
      <c r="F4" s="45"/>
      <c r="G4" s="45"/>
      <c r="H4" s="45"/>
      <c r="I4" s="45"/>
      <c r="J4" s="45"/>
      <c r="K4" s="45"/>
      <c r="L4" s="45"/>
      <c r="M4" s="45"/>
      <c r="N4" s="45"/>
      <c r="O4" s="45"/>
      <c r="P4" s="45"/>
      <c r="Q4" s="45"/>
    </row>
    <row r="5" spans="1:17" x14ac:dyDescent="0.25">
      <c r="B5" s="33" t="s">
        <v>175</v>
      </c>
      <c r="C5" s="46" t="s">
        <v>176</v>
      </c>
      <c r="D5" s="46" t="s">
        <v>177</v>
      </c>
      <c r="E5" s="46" t="s">
        <v>178</v>
      </c>
      <c r="F5" s="46" t="s">
        <v>179</v>
      </c>
      <c r="G5" s="46" t="s">
        <v>180</v>
      </c>
      <c r="H5" s="46" t="s">
        <v>181</v>
      </c>
      <c r="I5" s="46" t="s">
        <v>182</v>
      </c>
      <c r="J5" s="46" t="s">
        <v>183</v>
      </c>
      <c r="K5" s="46" t="s">
        <v>184</v>
      </c>
      <c r="L5" s="46" t="s">
        <v>185</v>
      </c>
      <c r="M5" s="46" t="s">
        <v>186</v>
      </c>
      <c r="N5" s="46" t="s">
        <v>187</v>
      </c>
      <c r="O5" s="46" t="s">
        <v>188</v>
      </c>
      <c r="P5" s="46" t="s">
        <v>189</v>
      </c>
      <c r="Q5" s="46" t="s">
        <v>190</v>
      </c>
    </row>
    <row r="6" spans="1:17" x14ac:dyDescent="0.25">
      <c r="B6" s="47" t="s">
        <v>191</v>
      </c>
      <c r="C6" s="48">
        <v>157854</v>
      </c>
      <c r="D6" s="48">
        <v>528308</v>
      </c>
      <c r="E6" s="48">
        <v>716295</v>
      </c>
      <c r="F6" s="48">
        <v>174350</v>
      </c>
      <c r="G6" s="48">
        <v>163147</v>
      </c>
      <c r="H6" s="48">
        <v>136593</v>
      </c>
      <c r="I6" s="48">
        <v>474090</v>
      </c>
      <c r="J6" s="48">
        <v>617574</v>
      </c>
      <c r="K6" s="48">
        <v>121387</v>
      </c>
      <c r="L6" s="48">
        <v>105120</v>
      </c>
      <c r="M6" s="48">
        <v>77742</v>
      </c>
      <c r="N6" s="48">
        <v>304249</v>
      </c>
      <c r="O6" s="48">
        <v>376908</v>
      </c>
      <c r="P6" s="48">
        <v>63262</v>
      </c>
      <c r="Q6" s="48">
        <v>51849</v>
      </c>
    </row>
    <row r="7" spans="1:17" x14ac:dyDescent="0.25">
      <c r="B7" s="47" t="s">
        <v>192</v>
      </c>
      <c r="C7" s="48">
        <v>83575</v>
      </c>
      <c r="D7" s="48">
        <v>180137</v>
      </c>
      <c r="E7" s="48">
        <v>225941</v>
      </c>
      <c r="F7" s="48">
        <v>46497</v>
      </c>
      <c r="G7" s="48">
        <v>45411</v>
      </c>
      <c r="H7" s="48">
        <v>43420</v>
      </c>
      <c r="I7" s="48">
        <v>135328</v>
      </c>
      <c r="J7" s="48">
        <v>180927</v>
      </c>
      <c r="K7" s="48">
        <v>53973</v>
      </c>
      <c r="L7" s="48">
        <v>35478</v>
      </c>
      <c r="M7" s="48">
        <v>31701</v>
      </c>
      <c r="N7" s="48">
        <v>121152</v>
      </c>
      <c r="O7" s="48">
        <v>152151</v>
      </c>
      <c r="P7" s="48">
        <v>25374</v>
      </c>
      <c r="Q7" s="48">
        <v>23567</v>
      </c>
    </row>
    <row r="8" spans="1:17" x14ac:dyDescent="0.25">
      <c r="B8" s="47" t="s">
        <v>193</v>
      </c>
      <c r="C8" s="48">
        <v>46202</v>
      </c>
      <c r="D8" s="48">
        <v>145981</v>
      </c>
      <c r="E8" s="48">
        <v>191705</v>
      </c>
      <c r="F8" s="48">
        <v>44435</v>
      </c>
      <c r="G8" s="48">
        <v>43651</v>
      </c>
      <c r="H8" s="48">
        <v>41337</v>
      </c>
      <c r="I8" s="48">
        <v>129423</v>
      </c>
      <c r="J8" s="48">
        <v>170431</v>
      </c>
      <c r="K8" s="48">
        <v>29428</v>
      </c>
      <c r="L8" s="48">
        <v>28717</v>
      </c>
      <c r="M8" s="48">
        <v>18350</v>
      </c>
      <c r="N8" s="48">
        <v>76495</v>
      </c>
      <c r="O8" s="48">
        <v>93453</v>
      </c>
      <c r="P8" s="48">
        <v>9139</v>
      </c>
      <c r="Q8" s="48">
        <v>7398</v>
      </c>
    </row>
    <row r="9" spans="1:17" x14ac:dyDescent="0.25">
      <c r="B9" s="47" t="s">
        <v>194</v>
      </c>
      <c r="C9" s="48">
        <v>28872</v>
      </c>
      <c r="D9" s="48">
        <v>96845</v>
      </c>
      <c r="E9" s="48">
        <v>126591</v>
      </c>
      <c r="F9" s="48">
        <v>30375</v>
      </c>
      <c r="G9" s="48">
        <v>23545</v>
      </c>
      <c r="H9" s="48">
        <v>26508</v>
      </c>
      <c r="I9" s="48">
        <v>80428</v>
      </c>
      <c r="J9" s="48">
        <v>108329</v>
      </c>
      <c r="K9" s="48">
        <v>25614</v>
      </c>
      <c r="L9" s="48">
        <v>17417</v>
      </c>
      <c r="M9" s="48">
        <v>11583</v>
      </c>
      <c r="N9" s="48">
        <v>54614</v>
      </c>
      <c r="O9" s="48">
        <v>68754</v>
      </c>
      <c r="P9" s="48">
        <v>10606</v>
      </c>
      <c r="Q9" s="48">
        <v>9468</v>
      </c>
    </row>
    <row r="10" spans="1:17" x14ac:dyDescent="0.25">
      <c r="B10" s="47" t="s">
        <v>195</v>
      </c>
      <c r="C10" s="48">
        <v>53475</v>
      </c>
      <c r="D10" s="48">
        <v>182757</v>
      </c>
      <c r="E10" s="48">
        <v>236183</v>
      </c>
      <c r="F10" s="48">
        <v>55534</v>
      </c>
      <c r="G10" s="48">
        <v>54016</v>
      </c>
      <c r="H10" s="48">
        <v>51910</v>
      </c>
      <c r="I10" s="48">
        <v>161460</v>
      </c>
      <c r="J10" s="48">
        <v>217756</v>
      </c>
      <c r="K10" s="48">
        <v>39374</v>
      </c>
      <c r="L10" s="48">
        <v>59966</v>
      </c>
      <c r="M10" s="48">
        <v>33232</v>
      </c>
      <c r="N10" s="48">
        <v>132572</v>
      </c>
      <c r="O10" s="48">
        <v>177406</v>
      </c>
      <c r="P10" s="48">
        <v>19180</v>
      </c>
      <c r="Q10" s="48">
        <v>14591</v>
      </c>
    </row>
    <row r="11" spans="1:17" x14ac:dyDescent="0.25">
      <c r="B11" s="47" t="s">
        <v>196</v>
      </c>
      <c r="C11" s="48">
        <v>3600</v>
      </c>
      <c r="D11" s="48">
        <v>3600</v>
      </c>
      <c r="E11" s="48">
        <v>3600</v>
      </c>
      <c r="F11" s="48">
        <v>0</v>
      </c>
      <c r="G11" s="48">
        <v>481531</v>
      </c>
      <c r="H11" s="48">
        <v>195708</v>
      </c>
      <c r="I11" s="48">
        <v>677239</v>
      </c>
      <c r="J11" s="48">
        <v>677239</v>
      </c>
      <c r="K11" s="48">
        <v>2000</v>
      </c>
      <c r="L11" s="48">
        <v>0</v>
      </c>
      <c r="M11" s="48">
        <v>0</v>
      </c>
      <c r="N11" s="48">
        <v>2000</v>
      </c>
      <c r="O11" s="48">
        <v>2000</v>
      </c>
      <c r="P11" s="48">
        <v>0</v>
      </c>
      <c r="Q11" s="48">
        <v>0</v>
      </c>
    </row>
    <row r="12" spans="1:17" x14ac:dyDescent="0.25">
      <c r="B12" s="47" t="s">
        <v>197</v>
      </c>
      <c r="C12" s="48">
        <v>-733</v>
      </c>
      <c r="D12" s="48">
        <v>-3115</v>
      </c>
      <c r="E12" s="48">
        <v>-3773</v>
      </c>
      <c r="F12" s="48">
        <v>-650</v>
      </c>
      <c r="G12" s="48">
        <v>-651</v>
      </c>
      <c r="H12" s="48">
        <v>-658</v>
      </c>
      <c r="I12" s="48">
        <v>-1959</v>
      </c>
      <c r="J12" s="48">
        <v>-2590</v>
      </c>
      <c r="K12" s="48">
        <v>-467</v>
      </c>
      <c r="L12" s="48">
        <v>-41</v>
      </c>
      <c r="M12" s="48">
        <v>-41</v>
      </c>
      <c r="N12" s="48">
        <v>-549</v>
      </c>
      <c r="O12" s="48">
        <v>-590</v>
      </c>
      <c r="P12" s="48">
        <v>-31</v>
      </c>
      <c r="Q12" s="48">
        <v>-22</v>
      </c>
    </row>
    <row r="13" spans="1:17" x14ac:dyDescent="0.25">
      <c r="B13" s="47" t="s">
        <v>198</v>
      </c>
      <c r="C13" s="48">
        <v>40492</v>
      </c>
      <c r="D13" s="48">
        <v>116671</v>
      </c>
      <c r="E13" s="48">
        <v>121810</v>
      </c>
      <c r="F13" s="48">
        <v>10780</v>
      </c>
      <c r="G13" s="48">
        <v>7119</v>
      </c>
      <c r="H13" s="48">
        <v>7586</v>
      </c>
      <c r="I13" s="48">
        <v>25485</v>
      </c>
      <c r="J13" s="48">
        <v>51332</v>
      </c>
      <c r="K13" s="48">
        <v>12997</v>
      </c>
      <c r="L13" s="48">
        <v>2059</v>
      </c>
      <c r="M13" s="48">
        <v>1377</v>
      </c>
      <c r="N13" s="48">
        <v>16433</v>
      </c>
      <c r="O13" s="48">
        <v>17304</v>
      </c>
      <c r="P13" s="48">
        <v>1156</v>
      </c>
      <c r="Q13" s="48">
        <v>638</v>
      </c>
    </row>
    <row r="14" spans="1:17" x14ac:dyDescent="0.25">
      <c r="B14" s="47" t="s">
        <v>199</v>
      </c>
      <c r="C14" s="48">
        <v>-172</v>
      </c>
      <c r="D14" s="48">
        <v>-24029</v>
      </c>
      <c r="E14" s="48">
        <v>-32132</v>
      </c>
      <c r="F14" s="48">
        <v>-9059</v>
      </c>
      <c r="G14" s="48">
        <v>-138345</v>
      </c>
      <c r="H14" s="48">
        <v>2723</v>
      </c>
      <c r="I14" s="48">
        <v>-144681</v>
      </c>
      <c r="J14" s="48">
        <v>-148702</v>
      </c>
      <c r="K14" s="48">
        <v>-1012</v>
      </c>
      <c r="L14" s="48">
        <v>-1223</v>
      </c>
      <c r="M14" s="48">
        <v>-1683</v>
      </c>
      <c r="N14" s="48">
        <v>-3918</v>
      </c>
      <c r="O14" s="48">
        <v>-3279</v>
      </c>
      <c r="P14" s="48">
        <v>140</v>
      </c>
      <c r="Q14" s="48">
        <v>-392</v>
      </c>
    </row>
    <row r="15" spans="1:17" x14ac:dyDescent="0.25">
      <c r="B15" s="47" t="s">
        <v>200</v>
      </c>
      <c r="C15" s="48">
        <v>-18283</v>
      </c>
      <c r="D15" s="48">
        <v>8515</v>
      </c>
      <c r="E15" s="48">
        <v>18180</v>
      </c>
      <c r="F15" s="48">
        <v>-1420</v>
      </c>
      <c r="G15" s="48">
        <v>-616884</v>
      </c>
      <c r="H15" s="48">
        <v>-212639</v>
      </c>
      <c r="I15" s="48">
        <v>-830943</v>
      </c>
      <c r="J15" s="48">
        <v>-837068</v>
      </c>
      <c r="K15" s="48">
        <v>-17484</v>
      </c>
      <c r="L15" s="48">
        <v>-35663</v>
      </c>
      <c r="M15" s="48">
        <v>-17471</v>
      </c>
      <c r="N15" s="48">
        <v>-70618</v>
      </c>
      <c r="O15" s="48">
        <v>-103421</v>
      </c>
      <c r="P15" s="48">
        <v>228</v>
      </c>
      <c r="Q15" s="48">
        <v>-2951</v>
      </c>
    </row>
    <row r="16" spans="1:17" x14ac:dyDescent="0.25">
      <c r="B16" s="47" t="s">
        <v>201</v>
      </c>
      <c r="C16" s="49">
        <v>-0.16</v>
      </c>
      <c r="F16" s="49">
        <v>-0.01</v>
      </c>
      <c r="G16" s="49">
        <v>-6.01</v>
      </c>
      <c r="H16" s="49">
        <v>-2.0499999999999998</v>
      </c>
      <c r="K16" s="49">
        <v>-0.17</v>
      </c>
      <c r="L16" s="49">
        <v>-0.33</v>
      </c>
      <c r="M16" s="49">
        <v>-0.16</v>
      </c>
      <c r="P16" s="49">
        <v>0</v>
      </c>
      <c r="Q16" s="49">
        <v>-0.03</v>
      </c>
    </row>
    <row r="17" spans="1:17" x14ac:dyDescent="0.25">
      <c r="B17" s="47" t="s">
        <v>202</v>
      </c>
      <c r="C17" s="49">
        <v>-0.16</v>
      </c>
      <c r="F17" s="49">
        <v>-0.01</v>
      </c>
      <c r="G17" s="49">
        <v>-6.01</v>
      </c>
      <c r="H17" s="49">
        <v>-2.0499999999999998</v>
      </c>
      <c r="K17" s="49">
        <v>-0.17</v>
      </c>
      <c r="L17" s="49">
        <v>-0.33</v>
      </c>
      <c r="M17" s="49">
        <v>-0.16</v>
      </c>
      <c r="P17" s="49">
        <v>0</v>
      </c>
      <c r="Q17" s="49">
        <v>-0.03</v>
      </c>
    </row>
    <row r="18" spans="1:17" x14ac:dyDescent="0.25">
      <c r="B18" s="47" t="s">
        <v>203</v>
      </c>
      <c r="C18" s="48">
        <v>115407</v>
      </c>
      <c r="F18" s="48">
        <v>102343</v>
      </c>
      <c r="G18" s="48">
        <v>102604</v>
      </c>
      <c r="H18" s="48">
        <v>103723</v>
      </c>
      <c r="K18" s="48">
        <v>105159</v>
      </c>
      <c r="L18" s="48">
        <v>106908</v>
      </c>
      <c r="M18" s="48">
        <v>108450</v>
      </c>
      <c r="P18" s="48">
        <v>111726</v>
      </c>
      <c r="Q18" s="48">
        <v>111422</v>
      </c>
    </row>
    <row r="19" spans="1:17" x14ac:dyDescent="0.25">
      <c r="B19" s="47" t="s">
        <v>204</v>
      </c>
      <c r="C19" s="48">
        <v>115407</v>
      </c>
      <c r="F19" s="48">
        <v>102343</v>
      </c>
      <c r="G19" s="48">
        <v>102604</v>
      </c>
      <c r="H19" s="48">
        <v>103723</v>
      </c>
      <c r="K19" s="48">
        <v>105159</v>
      </c>
      <c r="L19" s="48">
        <v>106908</v>
      </c>
      <c r="M19" s="48">
        <v>108450</v>
      </c>
      <c r="P19" s="48">
        <v>112130</v>
      </c>
      <c r="Q19" s="48">
        <v>111422</v>
      </c>
    </row>
    <row r="22" spans="1:17" x14ac:dyDescent="0.25">
      <c r="A22" s="45" t="s">
        <v>205</v>
      </c>
      <c r="B22" s="45"/>
      <c r="C22" s="45"/>
      <c r="D22" s="45"/>
      <c r="E22" s="45"/>
      <c r="F22" s="45"/>
      <c r="G22" s="45"/>
      <c r="H22" s="45"/>
      <c r="I22" s="45"/>
      <c r="J22" s="45"/>
      <c r="K22" s="45"/>
      <c r="L22" s="45"/>
      <c r="M22" s="45"/>
      <c r="N22" s="45"/>
      <c r="O22" s="45"/>
      <c r="P22" s="45"/>
      <c r="Q22" s="45"/>
    </row>
    <row r="23" spans="1:17" x14ac:dyDescent="0.25">
      <c r="B23" s="33" t="s">
        <v>206</v>
      </c>
      <c r="C23" s="46" t="s">
        <v>207</v>
      </c>
      <c r="D23" s="46" t="s">
        <v>208</v>
      </c>
      <c r="E23" s="46" t="s">
        <v>209</v>
      </c>
      <c r="F23" s="46" t="s">
        <v>210</v>
      </c>
      <c r="G23" s="46" t="s">
        <v>211</v>
      </c>
      <c r="H23" s="46" t="s">
        <v>212</v>
      </c>
      <c r="I23" s="46" t="s">
        <v>213</v>
      </c>
      <c r="J23" s="46" t="s">
        <v>214</v>
      </c>
      <c r="K23" s="46" t="s">
        <v>215</v>
      </c>
      <c r="L23" s="46" t="s">
        <v>216</v>
      </c>
      <c r="M23" s="46" t="s">
        <v>217</v>
      </c>
      <c r="N23" s="46" t="s">
        <v>218</v>
      </c>
    </row>
    <row r="24" spans="1:17" x14ac:dyDescent="0.25">
      <c r="B24" s="47" t="s">
        <v>219</v>
      </c>
      <c r="C24" s="48">
        <v>94419</v>
      </c>
      <c r="D24" s="48">
        <v>135757</v>
      </c>
      <c r="E24" s="48">
        <v>143747</v>
      </c>
      <c r="F24" s="48">
        <v>133068</v>
      </c>
      <c r="G24" s="48">
        <v>152073</v>
      </c>
      <c r="H24" s="48">
        <v>161475</v>
      </c>
      <c r="I24" s="48">
        <v>44105</v>
      </c>
      <c r="J24" s="48">
        <v>36825</v>
      </c>
      <c r="K24" s="48">
        <v>38180</v>
      </c>
      <c r="L24" s="48">
        <v>31146</v>
      </c>
      <c r="M24" s="48">
        <v>33526</v>
      </c>
      <c r="N24" s="48">
        <v>44623</v>
      </c>
    </row>
    <row r="25" spans="1:17" x14ac:dyDescent="0.25">
      <c r="B25" s="47" t="s">
        <v>220</v>
      </c>
      <c r="C25" s="48">
        <v>166841</v>
      </c>
      <c r="D25" s="48">
        <v>194257</v>
      </c>
      <c r="E25" s="48">
        <v>247013</v>
      </c>
      <c r="F25" s="48">
        <v>212396</v>
      </c>
      <c r="G25" s="48">
        <v>209003</v>
      </c>
      <c r="H25" s="48">
        <v>154249</v>
      </c>
      <c r="I25" s="48">
        <v>44188</v>
      </c>
      <c r="J25" s="48">
        <v>48815</v>
      </c>
      <c r="K25" s="48">
        <v>58209</v>
      </c>
      <c r="L25" s="48">
        <v>41674</v>
      </c>
      <c r="M25" s="48">
        <v>32388</v>
      </c>
      <c r="N25" s="48">
        <v>27691</v>
      </c>
    </row>
    <row r="26" spans="1:17" x14ac:dyDescent="0.25">
      <c r="B26" s="47" t="s">
        <v>221</v>
      </c>
      <c r="C26" s="48">
        <v>30480</v>
      </c>
      <c r="D26" s="48">
        <v>31404</v>
      </c>
      <c r="E26" s="48">
        <v>24741</v>
      </c>
      <c r="F26" s="48">
        <v>20964</v>
      </c>
      <c r="G26" s="48">
        <v>23749</v>
      </c>
      <c r="H26" s="48">
        <v>23641</v>
      </c>
      <c r="I26" s="48">
        <v>28549</v>
      </c>
      <c r="J26" s="48">
        <v>18055</v>
      </c>
      <c r="K26" s="48">
        <v>15440</v>
      </c>
      <c r="L26" s="48">
        <v>15604</v>
      </c>
      <c r="M26" s="48">
        <v>17795</v>
      </c>
      <c r="N26" s="48">
        <v>10734</v>
      </c>
    </row>
    <row r="27" spans="1:17" x14ac:dyDescent="0.25">
      <c r="B27" s="47" t="s">
        <v>222</v>
      </c>
      <c r="C27" s="48">
        <v>30761</v>
      </c>
      <c r="D27" s="48">
        <v>20980</v>
      </c>
      <c r="E27" s="48">
        <v>20429</v>
      </c>
      <c r="F27" s="48">
        <v>30841</v>
      </c>
      <c r="G27" s="48">
        <v>24706</v>
      </c>
      <c r="H27" s="48">
        <v>17100</v>
      </c>
      <c r="I27" s="48">
        <v>14514</v>
      </c>
      <c r="J27" s="48">
        <v>23683</v>
      </c>
      <c r="K27" s="48">
        <v>18742</v>
      </c>
      <c r="L27" s="48">
        <v>16331</v>
      </c>
      <c r="M27" s="48">
        <v>12128</v>
      </c>
      <c r="N27" s="48">
        <v>11352</v>
      </c>
    </row>
    <row r="28" spans="1:17" x14ac:dyDescent="0.25">
      <c r="B28" s="47" t="s">
        <v>32</v>
      </c>
      <c r="C28" s="48">
        <v>25195</v>
      </c>
      <c r="D28" s="48">
        <v>32437</v>
      </c>
      <c r="E28" s="48">
        <v>30010</v>
      </c>
      <c r="F28" s="48">
        <v>36279</v>
      </c>
      <c r="G28" s="48">
        <v>86980</v>
      </c>
      <c r="H28" s="48">
        <v>81094</v>
      </c>
      <c r="I28" s="48">
        <v>78395</v>
      </c>
      <c r="J28" s="48">
        <v>76548</v>
      </c>
      <c r="K28" s="48">
        <v>72788</v>
      </c>
      <c r="L28" s="48">
        <v>16857</v>
      </c>
      <c r="M28" s="48">
        <v>14948</v>
      </c>
      <c r="N28" s="48">
        <v>14301</v>
      </c>
    </row>
    <row r="29" spans="1:17" x14ac:dyDescent="0.25">
      <c r="B29" s="47" t="s">
        <v>223</v>
      </c>
      <c r="C29" s="48">
        <v>412541</v>
      </c>
      <c r="D29" s="48">
        <v>249547</v>
      </c>
      <c r="E29" s="48">
        <v>221665</v>
      </c>
      <c r="F29" s="48">
        <v>259925</v>
      </c>
      <c r="G29" s="48">
        <v>270161</v>
      </c>
      <c r="H29" s="48">
        <v>212650</v>
      </c>
      <c r="I29" s="48">
        <v>38093</v>
      </c>
      <c r="J29" s="48">
        <v>28474</v>
      </c>
      <c r="K29" s="48">
        <v>15277</v>
      </c>
      <c r="L29" s="48">
        <v>12392</v>
      </c>
      <c r="M29" s="48">
        <v>1984</v>
      </c>
      <c r="N29" s="48">
        <v>0</v>
      </c>
    </row>
    <row r="30" spans="1:17" x14ac:dyDescent="0.25">
      <c r="B30" s="47" t="s">
        <v>224</v>
      </c>
      <c r="C30" s="48">
        <v>168735</v>
      </c>
      <c r="D30" s="48">
        <v>183073</v>
      </c>
      <c r="E30" s="48">
        <v>188430</v>
      </c>
      <c r="F30" s="48">
        <v>179278</v>
      </c>
      <c r="G30" s="48">
        <v>177882</v>
      </c>
      <c r="H30" s="48">
        <v>170648</v>
      </c>
      <c r="I30" s="48">
        <v>144971</v>
      </c>
      <c r="J30" s="48">
        <v>135491</v>
      </c>
      <c r="K30" s="48">
        <v>125598</v>
      </c>
      <c r="L30" s="48">
        <v>115168</v>
      </c>
      <c r="M30" s="48">
        <v>105127</v>
      </c>
      <c r="N30" s="48">
        <v>94948</v>
      </c>
    </row>
    <row r="31" spans="1:17" x14ac:dyDescent="0.25">
      <c r="B31" s="47" t="s">
        <v>225</v>
      </c>
      <c r="C31" s="48">
        <v>617690</v>
      </c>
      <c r="D31" s="48">
        <v>631995</v>
      </c>
      <c r="E31" s="48">
        <v>628784</v>
      </c>
      <c r="F31" s="48">
        <v>189769</v>
      </c>
      <c r="G31" s="48">
        <v>0</v>
      </c>
      <c r="H31" s="48">
        <v>0</v>
      </c>
      <c r="I31" s="48">
        <v>0</v>
      </c>
      <c r="J31" s="48">
        <v>0</v>
      </c>
      <c r="K31" s="48">
        <v>0</v>
      </c>
      <c r="L31" s="48">
        <v>0</v>
      </c>
      <c r="M31" s="48">
        <v>0</v>
      </c>
      <c r="N31" s="48">
        <v>0</v>
      </c>
    </row>
    <row r="32" spans="1:17" x14ac:dyDescent="0.25">
      <c r="B32" s="47" t="s">
        <v>226</v>
      </c>
      <c r="C32" s="48">
        <v>56638</v>
      </c>
      <c r="D32" s="48">
        <v>52430</v>
      </c>
      <c r="E32" s="48">
        <v>48143</v>
      </c>
      <c r="F32" s="48">
        <v>12848</v>
      </c>
      <c r="G32" s="48">
        <v>11424</v>
      </c>
      <c r="H32" s="48">
        <v>10347</v>
      </c>
      <c r="I32" s="48">
        <v>9271</v>
      </c>
      <c r="J32" s="48">
        <v>8194</v>
      </c>
      <c r="K32" s="48">
        <v>7117</v>
      </c>
      <c r="L32" s="48">
        <v>6041</v>
      </c>
      <c r="M32" s="48">
        <v>4964</v>
      </c>
      <c r="N32" s="48">
        <v>3957</v>
      </c>
    </row>
    <row r="33" spans="2:14" x14ac:dyDescent="0.25">
      <c r="B33" s="47" t="s">
        <v>227</v>
      </c>
      <c r="C33" s="48">
        <v>26568</v>
      </c>
      <c r="D33" s="48">
        <v>25130</v>
      </c>
      <c r="E33" s="48">
        <v>23521</v>
      </c>
      <c r="F33" s="48">
        <v>21508</v>
      </c>
      <c r="G33" s="48">
        <v>29071</v>
      </c>
      <c r="H33" s="48">
        <v>22256</v>
      </c>
      <c r="I33" s="48">
        <v>21479</v>
      </c>
      <c r="J33" s="48">
        <v>19418</v>
      </c>
      <c r="K33" s="48">
        <v>18088</v>
      </c>
      <c r="L33" s="48">
        <v>13188</v>
      </c>
      <c r="M33" s="48">
        <v>12113</v>
      </c>
      <c r="N33" s="48">
        <v>11505</v>
      </c>
    </row>
    <row r="34" spans="2:14" x14ac:dyDescent="0.25">
      <c r="B34" s="47" t="s">
        <v>228</v>
      </c>
      <c r="C34" s="48">
        <v>145807</v>
      </c>
      <c r="D34" s="48">
        <v>141843</v>
      </c>
      <c r="E34" s="48">
        <v>140200</v>
      </c>
      <c r="F34" s="48">
        <v>2287</v>
      </c>
      <c r="G34" s="48">
        <v>2308</v>
      </c>
      <c r="H34" s="48">
        <v>0</v>
      </c>
      <c r="I34" s="48">
        <v>0</v>
      </c>
      <c r="J34" s="48">
        <v>0</v>
      </c>
      <c r="K34" s="48">
        <v>0</v>
      </c>
      <c r="L34" s="48">
        <v>0</v>
      </c>
      <c r="M34" s="48">
        <v>0</v>
      </c>
      <c r="N34" s="48">
        <v>0</v>
      </c>
    </row>
    <row r="35" spans="2:14" x14ac:dyDescent="0.25">
      <c r="B35" s="47" t="s">
        <v>229</v>
      </c>
      <c r="C35" s="48">
        <v>28964</v>
      </c>
      <c r="D35" s="48">
        <v>28382</v>
      </c>
      <c r="E35" s="48">
        <v>15961</v>
      </c>
      <c r="F35" s="48">
        <v>15167</v>
      </c>
      <c r="G35" s="48">
        <v>15315</v>
      </c>
      <c r="H35" s="48">
        <v>15491</v>
      </c>
      <c r="I35" s="48">
        <v>15204</v>
      </c>
      <c r="J35" s="48">
        <v>8950</v>
      </c>
      <c r="K35" s="48">
        <v>8832</v>
      </c>
      <c r="L35" s="48">
        <v>9613</v>
      </c>
      <c r="M35" s="48">
        <v>9129</v>
      </c>
      <c r="N35" s="48">
        <v>8514</v>
      </c>
    </row>
    <row r="36" spans="2:14" x14ac:dyDescent="0.25">
      <c r="B36" s="47" t="s">
        <v>230</v>
      </c>
      <c r="C36" s="48">
        <v>18187</v>
      </c>
      <c r="D36" s="48">
        <v>28184</v>
      </c>
      <c r="E36" s="48">
        <v>20119</v>
      </c>
      <c r="F36" s="48">
        <v>14424</v>
      </c>
      <c r="G36" s="48">
        <v>18124</v>
      </c>
      <c r="H36" s="48">
        <v>15159</v>
      </c>
      <c r="I36" s="48">
        <v>16812</v>
      </c>
      <c r="J36" s="48">
        <v>8321</v>
      </c>
      <c r="K36" s="48">
        <v>8850</v>
      </c>
      <c r="L36" s="48">
        <v>3258</v>
      </c>
      <c r="M36" s="48">
        <v>7081</v>
      </c>
      <c r="N36" s="48">
        <v>4775</v>
      </c>
    </row>
    <row r="37" spans="2:14" x14ac:dyDescent="0.25">
      <c r="B37" s="47" t="s">
        <v>231</v>
      </c>
      <c r="C37" s="48">
        <v>58906</v>
      </c>
      <c r="D37" s="48">
        <v>55336</v>
      </c>
      <c r="E37" s="48">
        <v>54056</v>
      </c>
      <c r="F37" s="48">
        <v>45023</v>
      </c>
      <c r="G37" s="48">
        <v>44355</v>
      </c>
      <c r="H37" s="48">
        <v>39217</v>
      </c>
      <c r="I37" s="48">
        <v>45150</v>
      </c>
      <c r="J37" s="48">
        <v>34759</v>
      </c>
      <c r="K37" s="48">
        <v>32148</v>
      </c>
      <c r="L37" s="48">
        <v>29675</v>
      </c>
      <c r="M37" s="48">
        <v>28753</v>
      </c>
      <c r="N37" s="48">
        <v>26570</v>
      </c>
    </row>
    <row r="38" spans="2:14" x14ac:dyDescent="0.25">
      <c r="B38" s="47" t="s">
        <v>232</v>
      </c>
      <c r="C38" s="48">
        <v>73133</v>
      </c>
      <c r="D38" s="48">
        <v>77863</v>
      </c>
      <c r="E38" s="48">
        <v>73555</v>
      </c>
      <c r="F38" s="48">
        <v>68001</v>
      </c>
      <c r="G38" s="48">
        <v>125138</v>
      </c>
      <c r="H38" s="48">
        <v>115360</v>
      </c>
      <c r="I38" s="48">
        <v>109070</v>
      </c>
      <c r="J38" s="48">
        <v>121373</v>
      </c>
      <c r="K38" s="48">
        <v>111048</v>
      </c>
      <c r="L38" s="48">
        <v>54249</v>
      </c>
      <c r="M38" s="48">
        <v>37285</v>
      </c>
      <c r="N38" s="48">
        <v>27770</v>
      </c>
    </row>
    <row r="39" spans="2:14" x14ac:dyDescent="0.25">
      <c r="B39" s="47" t="s">
        <v>233</v>
      </c>
      <c r="C39" s="48">
        <v>0</v>
      </c>
      <c r="D39" s="48">
        <v>357079</v>
      </c>
      <c r="E39" s="48">
        <v>357458</v>
      </c>
      <c r="F39" s="48">
        <v>357838</v>
      </c>
      <c r="G39" s="48">
        <v>358222</v>
      </c>
      <c r="H39" s="48">
        <v>358605</v>
      </c>
      <c r="I39" s="48">
        <v>0</v>
      </c>
      <c r="J39" s="48">
        <v>62516</v>
      </c>
      <c r="K39" s="48">
        <v>62558</v>
      </c>
      <c r="L39" s="48">
        <v>53765</v>
      </c>
      <c r="M39" s="48">
        <v>33822</v>
      </c>
      <c r="N39" s="48">
        <v>33845</v>
      </c>
    </row>
    <row r="40" spans="2:14" x14ac:dyDescent="0.25">
      <c r="B40" s="47" t="s">
        <v>234</v>
      </c>
      <c r="C40" s="48">
        <v>599291</v>
      </c>
      <c r="D40" s="48">
        <v>242758</v>
      </c>
      <c r="E40" s="48">
        <v>242919</v>
      </c>
      <c r="F40" s="48">
        <v>243079</v>
      </c>
      <c r="G40" s="48">
        <v>243242</v>
      </c>
      <c r="H40" s="48">
        <v>127344</v>
      </c>
      <c r="I40" s="48">
        <v>62475</v>
      </c>
      <c r="J40" s="48">
        <v>0</v>
      </c>
      <c r="K40" s="48">
        <v>0</v>
      </c>
      <c r="L40" s="48">
        <v>0</v>
      </c>
      <c r="M40" s="48">
        <v>0</v>
      </c>
      <c r="N40" s="48">
        <v>0</v>
      </c>
    </row>
    <row r="41" spans="2:14" x14ac:dyDescent="0.25">
      <c r="B41" s="47" t="s">
        <v>235</v>
      </c>
      <c r="C41" s="48">
        <v>19537</v>
      </c>
      <c r="D41" s="48">
        <v>18063</v>
      </c>
      <c r="E41" s="48">
        <v>16460</v>
      </c>
      <c r="F41" s="48">
        <v>15595</v>
      </c>
      <c r="G41" s="48">
        <v>23665</v>
      </c>
      <c r="H41" s="48">
        <v>18509</v>
      </c>
      <c r="I41" s="48">
        <v>17797</v>
      </c>
      <c r="J41" s="48">
        <v>17700</v>
      </c>
      <c r="K41" s="48">
        <v>15355</v>
      </c>
      <c r="L41" s="48">
        <v>15205</v>
      </c>
      <c r="M41" s="48">
        <v>13677</v>
      </c>
      <c r="N41" s="48">
        <v>12600</v>
      </c>
    </row>
    <row r="42" spans="2:14" x14ac:dyDescent="0.25">
      <c r="B42" s="47" t="s">
        <v>36</v>
      </c>
      <c r="C42" s="48">
        <v>2236</v>
      </c>
      <c r="D42" s="48">
        <v>3334</v>
      </c>
      <c r="E42" s="48">
        <v>4603</v>
      </c>
      <c r="F42" s="48">
        <v>4870</v>
      </c>
      <c r="G42" s="48">
        <v>4945</v>
      </c>
      <c r="H42" s="48">
        <v>1776</v>
      </c>
      <c r="I42" s="48">
        <v>1794</v>
      </c>
      <c r="J42" s="48">
        <v>1928</v>
      </c>
      <c r="K42" s="48">
        <v>2259</v>
      </c>
      <c r="L42" s="48">
        <v>2239</v>
      </c>
      <c r="M42" s="48">
        <v>2341</v>
      </c>
      <c r="N42" s="48">
        <v>3451</v>
      </c>
    </row>
    <row r="43" spans="2:14" x14ac:dyDescent="0.25">
      <c r="B43" s="47" t="s">
        <v>236</v>
      </c>
      <c r="C43" s="48">
        <v>116</v>
      </c>
      <c r="D43" s="48">
        <v>103</v>
      </c>
      <c r="E43" s="48">
        <v>102</v>
      </c>
      <c r="F43" s="48">
        <v>103</v>
      </c>
      <c r="G43" s="48">
        <v>104</v>
      </c>
      <c r="H43" s="48">
        <v>105</v>
      </c>
      <c r="I43" s="48">
        <v>105</v>
      </c>
      <c r="J43" s="48">
        <v>108</v>
      </c>
      <c r="K43" s="48">
        <v>109</v>
      </c>
      <c r="L43" s="48">
        <v>111</v>
      </c>
      <c r="M43" s="48">
        <v>112</v>
      </c>
      <c r="N43" s="48">
        <v>111</v>
      </c>
    </row>
    <row r="44" spans="2:14" x14ac:dyDescent="0.25">
      <c r="B44" s="47" t="s">
        <v>237</v>
      </c>
      <c r="C44" s="48">
        <v>1151697</v>
      </c>
      <c r="D44" s="48">
        <v>1031627</v>
      </c>
      <c r="E44" s="48">
        <v>1057837</v>
      </c>
      <c r="F44" s="48">
        <v>1075989</v>
      </c>
      <c r="G44" s="48">
        <v>1098242</v>
      </c>
      <c r="H44" s="48">
        <v>1114550</v>
      </c>
      <c r="I44" s="48">
        <v>1125738</v>
      </c>
      <c r="J44" s="48">
        <v>1133686</v>
      </c>
      <c r="K44" s="48">
        <v>1139266</v>
      </c>
      <c r="L44" s="48">
        <v>1145371</v>
      </c>
      <c r="M44" s="48">
        <v>1147586</v>
      </c>
      <c r="N44" s="48">
        <v>1148192</v>
      </c>
    </row>
    <row r="45" spans="2:14" x14ac:dyDescent="0.25">
      <c r="B45" s="47" t="s">
        <v>238</v>
      </c>
      <c r="C45" s="48">
        <v>-56426</v>
      </c>
      <c r="D45" s="48">
        <v>-34739</v>
      </c>
      <c r="E45" s="48">
        <v>-40672</v>
      </c>
      <c r="F45" s="48">
        <v>-39915</v>
      </c>
      <c r="G45" s="48">
        <v>-30049</v>
      </c>
      <c r="H45" s="48">
        <v>-32233</v>
      </c>
      <c r="I45" s="48">
        <v>-33247</v>
      </c>
      <c r="J45" s="48">
        <v>-33350</v>
      </c>
      <c r="K45" s="48">
        <v>-33263</v>
      </c>
      <c r="L45" s="48">
        <v>-32997</v>
      </c>
      <c r="M45" s="48">
        <v>-33921</v>
      </c>
      <c r="N45" s="48">
        <v>-34104</v>
      </c>
    </row>
    <row r="46" spans="2:14" x14ac:dyDescent="0.25">
      <c r="B46" s="47" t="s">
        <v>239</v>
      </c>
      <c r="C46" s="48">
        <v>-62038</v>
      </c>
      <c r="D46" s="48">
        <v>-52373</v>
      </c>
      <c r="E46" s="48">
        <v>-53793</v>
      </c>
      <c r="F46" s="48">
        <v>-670677</v>
      </c>
      <c r="G46" s="48">
        <v>-883316</v>
      </c>
      <c r="H46" s="48">
        <v>-889441</v>
      </c>
      <c r="I46" s="48">
        <v>-906925</v>
      </c>
      <c r="J46" s="48">
        <v>-942588</v>
      </c>
      <c r="K46" s="48">
        <v>-960059</v>
      </c>
      <c r="L46" s="48">
        <v>-992862</v>
      </c>
      <c r="M46" s="48">
        <v>-992634</v>
      </c>
      <c r="N46" s="48">
        <v>-995585</v>
      </c>
    </row>
    <row r="47" spans="2:14" x14ac:dyDescent="0.25">
      <c r="B47" s="47" t="s">
        <v>240</v>
      </c>
      <c r="C47" s="48">
        <v>1804639</v>
      </c>
      <c r="D47" s="48">
        <v>1727235</v>
      </c>
      <c r="E47" s="48">
        <v>1732644</v>
      </c>
      <c r="F47" s="48">
        <v>1114330</v>
      </c>
      <c r="G47" s="48">
        <v>1002672</v>
      </c>
      <c r="H47" s="48">
        <v>868951</v>
      </c>
      <c r="I47" s="48">
        <v>438769</v>
      </c>
      <c r="J47" s="48">
        <v>404453</v>
      </c>
      <c r="K47" s="48">
        <v>378271</v>
      </c>
      <c r="L47" s="48">
        <v>278014</v>
      </c>
      <c r="M47" s="48">
        <v>244102</v>
      </c>
      <c r="N47" s="48">
        <v>227625</v>
      </c>
    </row>
    <row r="48" spans="2:14" x14ac:dyDescent="0.25">
      <c r="B48" s="47" t="s">
        <v>241</v>
      </c>
      <c r="C48" s="48">
        <v>771290</v>
      </c>
      <c r="D48" s="48">
        <v>782617</v>
      </c>
      <c r="E48" s="48">
        <v>769170</v>
      </c>
      <c r="F48" s="48">
        <v>748830</v>
      </c>
      <c r="G48" s="48">
        <v>817691</v>
      </c>
      <c r="H48" s="48">
        <v>675970</v>
      </c>
      <c r="I48" s="48">
        <v>253098</v>
      </c>
      <c r="J48" s="48">
        <v>246597</v>
      </c>
      <c r="K48" s="48">
        <v>232218</v>
      </c>
      <c r="L48" s="48">
        <v>158391</v>
      </c>
      <c r="M48" s="48">
        <v>122959</v>
      </c>
      <c r="N48" s="48">
        <v>109011</v>
      </c>
    </row>
    <row r="49" spans="1:17" x14ac:dyDescent="0.25">
      <c r="B49" s="47" t="s">
        <v>242</v>
      </c>
      <c r="C49" s="48">
        <v>1033349</v>
      </c>
      <c r="D49" s="48">
        <v>944618</v>
      </c>
      <c r="E49" s="48">
        <v>963474</v>
      </c>
      <c r="F49" s="48">
        <v>365500</v>
      </c>
      <c r="G49" s="48">
        <v>184981</v>
      </c>
      <c r="H49" s="48">
        <v>192981</v>
      </c>
      <c r="I49" s="48">
        <v>185671</v>
      </c>
      <c r="J49" s="48">
        <v>157856</v>
      </c>
      <c r="K49" s="48">
        <v>146053</v>
      </c>
      <c r="L49" s="48">
        <v>119623</v>
      </c>
      <c r="M49" s="48">
        <v>121143</v>
      </c>
      <c r="N49" s="48">
        <v>118614</v>
      </c>
    </row>
    <row r="52" spans="1:17" x14ac:dyDescent="0.25">
      <c r="A52" s="45" t="s">
        <v>243</v>
      </c>
      <c r="B52" s="45"/>
      <c r="C52" s="45"/>
      <c r="D52" s="45"/>
      <c r="E52" s="45"/>
      <c r="F52" s="45"/>
      <c r="G52" s="45"/>
      <c r="H52" s="45"/>
      <c r="I52" s="45"/>
      <c r="J52" s="45"/>
      <c r="K52" s="45"/>
      <c r="L52" s="45"/>
      <c r="M52" s="45"/>
      <c r="N52" s="45"/>
      <c r="O52" s="45"/>
      <c r="P52" s="45"/>
      <c r="Q52" s="45"/>
    </row>
    <row r="53" spans="1:17" x14ac:dyDescent="0.25">
      <c r="B53" s="33" t="s">
        <v>244</v>
      </c>
      <c r="C53" s="46" t="s">
        <v>245</v>
      </c>
      <c r="D53" s="46" t="s">
        <v>177</v>
      </c>
      <c r="E53" s="46" t="s">
        <v>178</v>
      </c>
      <c r="F53" s="46" t="s">
        <v>179</v>
      </c>
      <c r="G53" s="46" t="s">
        <v>246</v>
      </c>
      <c r="H53" s="46" t="s">
        <v>182</v>
      </c>
      <c r="I53" s="46" t="s">
        <v>183</v>
      </c>
      <c r="J53" s="46" t="s">
        <v>184</v>
      </c>
      <c r="K53" s="46" t="s">
        <v>247</v>
      </c>
      <c r="L53" s="46" t="s">
        <v>187</v>
      </c>
      <c r="M53" s="46" t="s">
        <v>188</v>
      </c>
      <c r="N53" s="46" t="s">
        <v>189</v>
      </c>
      <c r="O53" s="46" t="s">
        <v>248</v>
      </c>
    </row>
    <row r="54" spans="1:17" x14ac:dyDescent="0.25">
      <c r="B54" s="47" t="s">
        <v>249</v>
      </c>
      <c r="C54" s="48">
        <v>26798</v>
      </c>
      <c r="D54" s="48">
        <v>8515</v>
      </c>
      <c r="E54" s="48">
        <v>18180</v>
      </c>
      <c r="F54" s="48">
        <v>-1420</v>
      </c>
      <c r="G54" s="48">
        <v>-618304</v>
      </c>
      <c r="H54" s="48">
        <v>-830943</v>
      </c>
      <c r="I54" s="48">
        <v>-837068</v>
      </c>
      <c r="J54" s="48">
        <v>-17484</v>
      </c>
      <c r="K54" s="48">
        <v>-53147</v>
      </c>
      <c r="L54" s="48">
        <v>-70618</v>
      </c>
      <c r="M54" s="48">
        <v>-103421</v>
      </c>
      <c r="N54" s="48">
        <v>228</v>
      </c>
      <c r="O54" s="48">
        <v>-2723</v>
      </c>
    </row>
    <row r="55" spans="1:17" x14ac:dyDescent="0.25">
      <c r="B55" s="47" t="s">
        <v>250</v>
      </c>
      <c r="C55" s="48">
        <v>69666</v>
      </c>
      <c r="D55" s="48">
        <v>101596</v>
      </c>
      <c r="E55" s="48">
        <v>133502</v>
      </c>
      <c r="F55" s="48">
        <v>29289</v>
      </c>
      <c r="G55" s="48">
        <v>47336</v>
      </c>
      <c r="H55" s="48">
        <v>69267</v>
      </c>
      <c r="I55" s="48">
        <v>84614</v>
      </c>
      <c r="J55" s="48">
        <v>11257</v>
      </c>
      <c r="K55" s="48">
        <v>19169</v>
      </c>
      <c r="L55" s="48">
        <v>25094</v>
      </c>
      <c r="M55" s="48">
        <v>31864</v>
      </c>
      <c r="N55" s="48">
        <v>2711</v>
      </c>
      <c r="O55" s="48">
        <v>5035</v>
      </c>
    </row>
    <row r="56" spans="1:17" x14ac:dyDescent="0.25">
      <c r="B56" s="47" t="s">
        <v>251</v>
      </c>
      <c r="C56" s="48">
        <v>52027</v>
      </c>
      <c r="D56" s="48">
        <v>108945</v>
      </c>
      <c r="E56" s="48">
        <v>129718</v>
      </c>
      <c r="F56" s="48">
        <v>19687</v>
      </c>
      <c r="G56" s="48">
        <v>39393</v>
      </c>
      <c r="H56" s="48">
        <v>58966</v>
      </c>
      <c r="I56" s="48">
        <v>78344</v>
      </c>
      <c r="J56" s="48">
        <v>32094</v>
      </c>
      <c r="K56" s="48">
        <v>48320</v>
      </c>
      <c r="L56" s="48">
        <v>63641</v>
      </c>
      <c r="M56" s="48">
        <v>78637</v>
      </c>
      <c r="N56" s="48">
        <v>13947</v>
      </c>
      <c r="O56" s="48">
        <v>26992</v>
      </c>
    </row>
    <row r="57" spans="1:17" x14ac:dyDescent="0.25">
      <c r="B57" s="47" t="s">
        <v>252</v>
      </c>
      <c r="C57" s="48">
        <v>20142</v>
      </c>
      <c r="D57" s="48">
        <v>20929</v>
      </c>
      <c r="E57" s="48">
        <v>26575</v>
      </c>
      <c r="F57" s="48">
        <v>2877</v>
      </c>
      <c r="G57" s="48">
        <v>141032</v>
      </c>
      <c r="H57" s="48">
        <v>141103</v>
      </c>
      <c r="I57" s="48">
        <v>143319</v>
      </c>
      <c r="J57" s="48">
        <v>15</v>
      </c>
      <c r="K57" s="48">
        <v>149</v>
      </c>
      <c r="L57" s="48">
        <v>319</v>
      </c>
      <c r="M57" s="48">
        <v>1348</v>
      </c>
      <c r="N57" s="48">
        <v>-95</v>
      </c>
      <c r="O57" s="48">
        <v>-11</v>
      </c>
    </row>
    <row r="58" spans="1:17" x14ac:dyDescent="0.25">
      <c r="B58" s="47" t="s">
        <v>253</v>
      </c>
      <c r="C58" s="48">
        <v>3009</v>
      </c>
      <c r="D58" s="48">
        <v>4535</v>
      </c>
      <c r="E58" s="48">
        <v>6079</v>
      </c>
      <c r="F58" s="48">
        <v>1567</v>
      </c>
      <c r="G58" s="48">
        <v>3141</v>
      </c>
      <c r="H58" s="48">
        <v>4647</v>
      </c>
      <c r="I58" s="48">
        <v>5864</v>
      </c>
      <c r="J58" s="48">
        <v>1089</v>
      </c>
      <c r="K58" s="48">
        <v>2019</v>
      </c>
      <c r="L58" s="48">
        <v>2883</v>
      </c>
      <c r="M58" s="48">
        <v>3641</v>
      </c>
      <c r="N58" s="48">
        <v>545</v>
      </c>
      <c r="O58" s="48">
        <v>1076</v>
      </c>
    </row>
    <row r="59" spans="1:17" x14ac:dyDescent="0.25">
      <c r="B59" s="47" t="s">
        <v>254</v>
      </c>
      <c r="C59" s="48">
        <v>1988</v>
      </c>
      <c r="D59" s="48">
        <v>2610</v>
      </c>
      <c r="E59" s="48">
        <v>3156</v>
      </c>
      <c r="F59" s="48">
        <v>541</v>
      </c>
      <c r="G59" s="48">
        <v>1081</v>
      </c>
      <c r="H59" s="48">
        <v>1628</v>
      </c>
      <c r="I59" s="48">
        <v>2147</v>
      </c>
      <c r="J59" s="48">
        <v>377</v>
      </c>
      <c r="K59" s="48">
        <v>418</v>
      </c>
      <c r="L59" s="48">
        <v>459</v>
      </c>
      <c r="M59" s="48">
        <v>500</v>
      </c>
      <c r="N59" s="48">
        <v>31</v>
      </c>
      <c r="O59" s="48">
        <v>53</v>
      </c>
    </row>
    <row r="60" spans="1:17" x14ac:dyDescent="0.25">
      <c r="B60" s="47" t="s">
        <v>255</v>
      </c>
      <c r="C60" s="48">
        <v>450</v>
      </c>
      <c r="D60" s="48">
        <v>3578</v>
      </c>
      <c r="E60" s="48">
        <v>4137</v>
      </c>
      <c r="F60" s="48">
        <v>478</v>
      </c>
      <c r="G60" s="48">
        <v>1657</v>
      </c>
      <c r="H60" s="48">
        <v>2024</v>
      </c>
      <c r="I60" s="48">
        <v>5795</v>
      </c>
      <c r="J60" s="48">
        <v>2287</v>
      </c>
      <c r="K60" s="48">
        <v>558</v>
      </c>
      <c r="L60" s="48">
        <v>793</v>
      </c>
      <c r="M60" s="48">
        <v>1959</v>
      </c>
      <c r="N60" s="48">
        <v>49</v>
      </c>
      <c r="O60" s="48">
        <v>48</v>
      </c>
    </row>
    <row r="61" spans="1:17" x14ac:dyDescent="0.25">
      <c r="B61" s="47" t="s">
        <v>256</v>
      </c>
      <c r="C61" s="48">
        <v>-53777</v>
      </c>
      <c r="D61" s="48">
        <v>-85926</v>
      </c>
      <c r="E61" s="48">
        <v>-85926</v>
      </c>
      <c r="F61" s="48">
        <v>0</v>
      </c>
      <c r="G61" s="48">
        <v>0</v>
      </c>
      <c r="H61" s="48">
        <v>0</v>
      </c>
      <c r="I61" s="48">
        <v>-19515</v>
      </c>
      <c r="J61" s="48">
        <v>-7360</v>
      </c>
      <c r="K61" s="48">
        <v>-7360</v>
      </c>
      <c r="L61" s="48">
        <v>-7360</v>
      </c>
      <c r="M61" s="48">
        <v>-7838</v>
      </c>
      <c r="N61" s="48">
        <v>-523</v>
      </c>
      <c r="O61" s="48">
        <v>-523</v>
      </c>
    </row>
    <row r="62" spans="1:17" x14ac:dyDescent="0.25">
      <c r="B62" s="47" t="s">
        <v>257</v>
      </c>
      <c r="E62" s="48">
        <v>2106</v>
      </c>
      <c r="F62" s="48">
        <v>0</v>
      </c>
      <c r="G62" s="48">
        <v>0</v>
      </c>
      <c r="H62" s="48">
        <v>0</v>
      </c>
      <c r="I62" s="48">
        <v>27</v>
      </c>
      <c r="J62" s="48">
        <v>-752</v>
      </c>
      <c r="K62" s="48">
        <v>-752</v>
      </c>
      <c r="L62" s="48">
        <v>-752</v>
      </c>
      <c r="M62" s="48">
        <v>-752</v>
      </c>
      <c r="N62" s="48">
        <v>-5</v>
      </c>
      <c r="O62" s="48">
        <v>-5</v>
      </c>
    </row>
    <row r="63" spans="1:17" x14ac:dyDescent="0.25">
      <c r="B63" s="47" t="s">
        <v>196</v>
      </c>
      <c r="C63" s="48">
        <v>0</v>
      </c>
      <c r="D63" s="48">
        <v>3600</v>
      </c>
      <c r="E63" s="48">
        <v>3600</v>
      </c>
      <c r="G63" s="48">
        <v>481531</v>
      </c>
      <c r="H63" s="48">
        <v>677239</v>
      </c>
      <c r="I63" s="48">
        <v>677239</v>
      </c>
      <c r="K63" s="48">
        <v>2000</v>
      </c>
      <c r="L63" s="48">
        <v>2000</v>
      </c>
      <c r="M63" s="48">
        <v>2000</v>
      </c>
      <c r="O63" s="48">
        <v>0</v>
      </c>
    </row>
    <row r="64" spans="1:17" x14ac:dyDescent="0.25">
      <c r="B64" s="47" t="s">
        <v>258</v>
      </c>
      <c r="C64" s="48">
        <v>0</v>
      </c>
      <c r="D64" s="48">
        <v>0</v>
      </c>
      <c r="E64" s="48">
        <v>0</v>
      </c>
      <c r="G64" s="48">
        <v>2189</v>
      </c>
      <c r="H64" s="48">
        <v>2189</v>
      </c>
      <c r="I64" s="48">
        <v>5557</v>
      </c>
      <c r="K64" s="48">
        <v>3004</v>
      </c>
      <c r="L64" s="48">
        <v>3004</v>
      </c>
      <c r="M64" s="48">
        <v>7315</v>
      </c>
      <c r="O64" s="48">
        <v>0</v>
      </c>
    </row>
    <row r="65" spans="2:15" x14ac:dyDescent="0.25">
      <c r="B65" s="47" t="s">
        <v>259</v>
      </c>
      <c r="E65" s="48">
        <v>0</v>
      </c>
      <c r="G65" s="48">
        <v>0</v>
      </c>
      <c r="H65" s="48">
        <v>0</v>
      </c>
      <c r="I65" s="48">
        <v>0</v>
      </c>
      <c r="K65" s="48">
        <v>6000</v>
      </c>
      <c r="L65" s="48">
        <v>6000</v>
      </c>
      <c r="M65" s="48">
        <v>6000</v>
      </c>
      <c r="O65" s="48">
        <v>0</v>
      </c>
    </row>
    <row r="66" spans="2:15" x14ac:dyDescent="0.25">
      <c r="B66" s="47" t="s">
        <v>260</v>
      </c>
      <c r="C66" s="48">
        <v>7000</v>
      </c>
      <c r="D66" s="48">
        <v>7000</v>
      </c>
      <c r="E66" s="48">
        <v>7000</v>
      </c>
      <c r="G66" s="48">
        <v>0</v>
      </c>
      <c r="H66" s="48">
        <v>5100</v>
      </c>
      <c r="I66" s="48">
        <v>0</v>
      </c>
      <c r="K66" s="48">
        <v>7500</v>
      </c>
      <c r="L66" s="48">
        <v>0</v>
      </c>
      <c r="M66" s="48">
        <v>0</v>
      </c>
      <c r="O66" s="48">
        <v>-3000</v>
      </c>
    </row>
    <row r="67" spans="2:15" x14ac:dyDescent="0.25">
      <c r="B67" s="47" t="s">
        <v>261</v>
      </c>
      <c r="C67" s="48">
        <v>-1083</v>
      </c>
      <c r="D67" s="48">
        <v>-389</v>
      </c>
      <c r="E67" s="48">
        <v>-1228</v>
      </c>
      <c r="F67" s="48">
        <v>-31</v>
      </c>
      <c r="G67" s="48">
        <v>82</v>
      </c>
      <c r="H67" s="48">
        <v>222</v>
      </c>
      <c r="I67" s="48">
        <v>656</v>
      </c>
      <c r="J67" s="48">
        <v>-28</v>
      </c>
      <c r="K67" s="48">
        <v>325</v>
      </c>
      <c r="L67" s="48">
        <v>1049</v>
      </c>
      <c r="M67" s="48">
        <v>1423</v>
      </c>
      <c r="N67" s="48">
        <v>-159</v>
      </c>
      <c r="O67" s="48">
        <v>-298</v>
      </c>
    </row>
    <row r="68" spans="2:15" x14ac:dyDescent="0.25">
      <c r="B68" s="47" t="s">
        <v>262</v>
      </c>
      <c r="C68" s="48">
        <v>3081</v>
      </c>
      <c r="D68" s="48">
        <v>-6908</v>
      </c>
      <c r="E68" s="48">
        <v>-7799</v>
      </c>
      <c r="F68" s="48">
        <v>6705</v>
      </c>
      <c r="G68" s="48">
        <v>10561</v>
      </c>
      <c r="H68" s="48">
        <v>8019</v>
      </c>
      <c r="I68" s="48">
        <v>7771</v>
      </c>
      <c r="J68" s="48">
        <v>-4693</v>
      </c>
      <c r="K68" s="48">
        <v>6114</v>
      </c>
      <c r="L68" s="48">
        <v>8592</v>
      </c>
      <c r="M68" s="48">
        <v>8439</v>
      </c>
      <c r="N68" s="48">
        <v>-2338</v>
      </c>
      <c r="O68" s="48">
        <v>4816</v>
      </c>
    </row>
    <row r="69" spans="2:15" x14ac:dyDescent="0.25">
      <c r="B69" s="47" t="s">
        <v>263</v>
      </c>
      <c r="C69" s="48">
        <v>15082</v>
      </c>
      <c r="D69" s="48">
        <v>558</v>
      </c>
      <c r="E69" s="48">
        <v>3476</v>
      </c>
      <c r="F69" s="48">
        <v>3583</v>
      </c>
      <c r="G69" s="48">
        <v>-12173</v>
      </c>
      <c r="H69" s="48">
        <v>-55725</v>
      </c>
      <c r="I69" s="48">
        <v>-41732</v>
      </c>
      <c r="J69" s="48">
        <v>5880</v>
      </c>
      <c r="K69" s="48">
        <v>-941</v>
      </c>
      <c r="L69" s="48">
        <v>7822</v>
      </c>
      <c r="M69" s="48">
        <v>66370</v>
      </c>
      <c r="N69" s="48">
        <v>6018</v>
      </c>
      <c r="O69" s="48">
        <v>7572</v>
      </c>
    </row>
    <row r="70" spans="2:15" x14ac:dyDescent="0.25">
      <c r="B70" s="47" t="s">
        <v>264</v>
      </c>
      <c r="C70" s="48">
        <v>5470</v>
      </c>
      <c r="D70" s="48">
        <v>8671</v>
      </c>
      <c r="E70" s="48">
        <v>10829</v>
      </c>
      <c r="F70" s="48">
        <v>-1270</v>
      </c>
      <c r="G70" s="48">
        <v>-773</v>
      </c>
      <c r="H70" s="48">
        <v>-469</v>
      </c>
      <c r="I70" s="48">
        <v>1130</v>
      </c>
      <c r="J70" s="48">
        <v>518</v>
      </c>
      <c r="K70" s="48">
        <v>928</v>
      </c>
      <c r="L70" s="48">
        <v>1323</v>
      </c>
      <c r="M70" s="48">
        <v>21</v>
      </c>
      <c r="N70" s="48">
        <v>-268</v>
      </c>
      <c r="O70" s="48">
        <v>260</v>
      </c>
    </row>
    <row r="71" spans="2:15" x14ac:dyDescent="0.25">
      <c r="B71" s="47" t="s">
        <v>265</v>
      </c>
      <c r="C71" s="48">
        <v>-671</v>
      </c>
      <c r="D71" s="48">
        <v>4820</v>
      </c>
      <c r="E71" s="48">
        <v>13057</v>
      </c>
      <c r="F71" s="48">
        <v>-6589</v>
      </c>
      <c r="G71" s="48">
        <v>-12045</v>
      </c>
      <c r="H71" s="48">
        <v>-8308</v>
      </c>
      <c r="I71" s="48">
        <v>-12376</v>
      </c>
      <c r="J71" s="48">
        <v>1535</v>
      </c>
      <c r="K71" s="48">
        <v>-6038</v>
      </c>
      <c r="L71" s="48">
        <v>-4977</v>
      </c>
      <c r="M71" s="48">
        <v>-9660</v>
      </c>
      <c r="N71" s="48">
        <v>3599</v>
      </c>
      <c r="O71" s="48">
        <v>1376</v>
      </c>
    </row>
    <row r="72" spans="2:15" x14ac:dyDescent="0.25">
      <c r="B72" s="47" t="s">
        <v>266</v>
      </c>
      <c r="C72" s="48">
        <v>-3634</v>
      </c>
      <c r="D72" s="48">
        <v>2539</v>
      </c>
      <c r="E72" s="48">
        <v>-1585</v>
      </c>
      <c r="F72" s="48">
        <v>-1159</v>
      </c>
      <c r="G72" s="48">
        <v>-10226</v>
      </c>
      <c r="H72" s="48">
        <v>-11763</v>
      </c>
      <c r="I72" s="48">
        <v>-15885</v>
      </c>
      <c r="J72" s="48">
        <v>5437</v>
      </c>
      <c r="K72" s="48">
        <v>-5945</v>
      </c>
      <c r="L72" s="48">
        <v>-8195</v>
      </c>
      <c r="M72" s="48">
        <v>-10677</v>
      </c>
      <c r="N72" s="48">
        <v>-608</v>
      </c>
      <c r="O72" s="48">
        <v>-2839</v>
      </c>
    </row>
    <row r="73" spans="2:15" x14ac:dyDescent="0.25">
      <c r="B73" s="47" t="s">
        <v>267</v>
      </c>
      <c r="C73" s="48">
        <v>-1436</v>
      </c>
      <c r="D73" s="48">
        <v>-6149</v>
      </c>
      <c r="E73" s="48">
        <v>-7342</v>
      </c>
      <c r="F73" s="48">
        <v>640</v>
      </c>
      <c r="G73" s="48">
        <v>-4057</v>
      </c>
      <c r="H73" s="48">
        <v>46849</v>
      </c>
      <c r="I73" s="48">
        <v>47103</v>
      </c>
      <c r="J73" s="48">
        <v>-4894</v>
      </c>
      <c r="K73" s="48">
        <v>-1113</v>
      </c>
      <c r="L73" s="48">
        <v>-3301</v>
      </c>
      <c r="M73" s="48">
        <v>-59723</v>
      </c>
      <c r="N73" s="48">
        <v>-18186</v>
      </c>
      <c r="O73" s="48">
        <v>-22846</v>
      </c>
    </row>
    <row r="74" spans="2:15" x14ac:dyDescent="0.25">
      <c r="B74" s="47" t="s">
        <v>268</v>
      </c>
      <c r="C74" s="48">
        <v>-8205</v>
      </c>
      <c r="D74" s="48">
        <v>-9810</v>
      </c>
      <c r="E74" s="48">
        <v>-11337</v>
      </c>
      <c r="F74" s="48">
        <v>-1580</v>
      </c>
      <c r="G74" s="48">
        <v>-2880</v>
      </c>
      <c r="H74" s="48">
        <v>-2968</v>
      </c>
      <c r="I74" s="48">
        <v>-7785</v>
      </c>
      <c r="J74" s="48">
        <v>-752</v>
      </c>
      <c r="K74" s="48">
        <v>-1522</v>
      </c>
      <c r="L74" s="48">
        <v>-3277</v>
      </c>
      <c r="M74" s="48">
        <v>-1956</v>
      </c>
      <c r="N74" s="48">
        <v>-841</v>
      </c>
      <c r="O74" s="48">
        <v>-822</v>
      </c>
    </row>
    <row r="75" spans="2:15" x14ac:dyDescent="0.25">
      <c r="B75" s="47" t="s">
        <v>269</v>
      </c>
      <c r="C75" s="48">
        <v>-33864</v>
      </c>
      <c r="D75" s="48">
        <v>-57298</v>
      </c>
      <c r="E75" s="48">
        <v>-83052</v>
      </c>
      <c r="F75" s="48">
        <v>-28017</v>
      </c>
      <c r="G75" s="48">
        <v>-45817</v>
      </c>
      <c r="H75" s="48">
        <v>-61659</v>
      </c>
      <c r="I75" s="48">
        <v>-74953</v>
      </c>
      <c r="J75" s="48">
        <v>-8665</v>
      </c>
      <c r="K75" s="48">
        <v>-15895</v>
      </c>
      <c r="L75" s="48">
        <v>-21651</v>
      </c>
      <c r="M75" s="48">
        <v>-28123</v>
      </c>
      <c r="N75" s="48">
        <v>-1042</v>
      </c>
      <c r="O75" s="48">
        <v>-4700</v>
      </c>
    </row>
    <row r="76" spans="2:15" x14ac:dyDescent="0.25">
      <c r="B76" s="47" t="s">
        <v>270</v>
      </c>
      <c r="C76" s="48">
        <v>9787</v>
      </c>
      <c r="D76" s="48">
        <v>9787</v>
      </c>
      <c r="E76" s="48">
        <v>9787</v>
      </c>
      <c r="I76" s="48">
        <v>0</v>
      </c>
      <c r="M76" s="48">
        <v>0</v>
      </c>
    </row>
    <row r="77" spans="2:15" x14ac:dyDescent="0.25">
      <c r="B77" s="47" t="s">
        <v>271</v>
      </c>
      <c r="C77" s="48">
        <v>-552409</v>
      </c>
      <c r="D77" s="48">
        <v>-585275</v>
      </c>
      <c r="E77" s="48">
        <v>-637939</v>
      </c>
      <c r="F77" s="48">
        <v>-79028</v>
      </c>
      <c r="G77" s="48">
        <v>-123669</v>
      </c>
      <c r="H77" s="48">
        <v>-134213</v>
      </c>
      <c r="I77" s="48">
        <v>-170950</v>
      </c>
      <c r="J77" s="48">
        <v>-793</v>
      </c>
      <c r="K77" s="48">
        <v>-793</v>
      </c>
      <c r="L77" s="48">
        <v>-793</v>
      </c>
      <c r="M77" s="48">
        <v>-793</v>
      </c>
      <c r="N77" s="48">
        <v>0</v>
      </c>
      <c r="O77" s="48">
        <v>0</v>
      </c>
    </row>
    <row r="78" spans="2:15" x14ac:dyDescent="0.25">
      <c r="B78" s="47" t="s">
        <v>272</v>
      </c>
      <c r="C78" s="48">
        <v>476862</v>
      </c>
      <c r="D78" s="48">
        <v>561197</v>
      </c>
      <c r="E78" s="48">
        <v>597197</v>
      </c>
      <c r="F78" s="48">
        <v>50731</v>
      </c>
      <c r="G78" s="48">
        <v>89890</v>
      </c>
      <c r="H78" s="48">
        <v>96907</v>
      </c>
      <c r="I78" s="48">
        <v>171671</v>
      </c>
      <c r="J78" s="48">
        <v>103214</v>
      </c>
      <c r="K78" s="48">
        <v>107710</v>
      </c>
      <c r="L78" s="48">
        <v>111124</v>
      </c>
      <c r="M78" s="48">
        <v>130055</v>
      </c>
      <c r="N78" s="48">
        <v>13477</v>
      </c>
      <c r="O78" s="48">
        <v>20031</v>
      </c>
    </row>
    <row r="79" spans="2:15" x14ac:dyDescent="0.25">
      <c r="B79" s="47" t="s">
        <v>273</v>
      </c>
      <c r="C79" s="48">
        <v>238681</v>
      </c>
      <c r="D79" s="48">
        <v>238681</v>
      </c>
      <c r="E79" s="48">
        <v>394533</v>
      </c>
      <c r="F79" s="48">
        <v>0</v>
      </c>
      <c r="G79" s="48">
        <v>0</v>
      </c>
      <c r="H79" s="48">
        <v>0</v>
      </c>
      <c r="I79" s="48">
        <v>70077</v>
      </c>
      <c r="J79" s="48">
        <v>181158</v>
      </c>
      <c r="K79" s="48">
        <v>181158</v>
      </c>
      <c r="L79" s="48">
        <v>181158</v>
      </c>
      <c r="M79" s="48">
        <v>181158</v>
      </c>
      <c r="N79" s="48">
        <v>5679</v>
      </c>
      <c r="O79" s="48">
        <v>5679</v>
      </c>
    </row>
    <row r="80" spans="2:15" x14ac:dyDescent="0.25">
      <c r="B80" s="47" t="s">
        <v>274</v>
      </c>
      <c r="C80" s="48">
        <v>0</v>
      </c>
      <c r="D80" s="48">
        <v>0</v>
      </c>
      <c r="E80" s="48">
        <v>0</v>
      </c>
      <c r="F80" s="48">
        <v>15500</v>
      </c>
      <c r="G80" s="48">
        <v>15500</v>
      </c>
      <c r="H80" s="48">
        <v>15500</v>
      </c>
      <c r="I80" s="48">
        <v>15500</v>
      </c>
      <c r="J80" s="48">
        <v>0</v>
      </c>
      <c r="K80" s="48">
        <v>0</v>
      </c>
      <c r="L80" s="48">
        <v>0</v>
      </c>
      <c r="M80" s="48">
        <v>0</v>
      </c>
    </row>
    <row r="81" spans="2:15" x14ac:dyDescent="0.25">
      <c r="B81" s="47" t="s">
        <v>275</v>
      </c>
      <c r="C81" s="48">
        <v>-9604</v>
      </c>
      <c r="D81" s="48">
        <v>-11853</v>
      </c>
      <c r="E81" s="48">
        <v>-11853</v>
      </c>
      <c r="I81" s="48">
        <v>0</v>
      </c>
      <c r="M81" s="48">
        <v>0</v>
      </c>
    </row>
    <row r="82" spans="2:15" x14ac:dyDescent="0.25">
      <c r="B82" s="47" t="s">
        <v>276</v>
      </c>
      <c r="C82" s="48">
        <v>3081</v>
      </c>
      <c r="D82" s="48">
        <v>3108</v>
      </c>
      <c r="E82" s="48">
        <v>4165</v>
      </c>
      <c r="G82" s="48">
        <v>2190</v>
      </c>
      <c r="H82" s="48">
        <v>2191</v>
      </c>
      <c r="I82" s="48">
        <v>2636</v>
      </c>
      <c r="K82" s="48">
        <v>391</v>
      </c>
      <c r="L82" s="48">
        <v>392</v>
      </c>
      <c r="M82" s="48">
        <v>590</v>
      </c>
      <c r="O82" s="48">
        <v>68</v>
      </c>
    </row>
    <row r="83" spans="2:15" x14ac:dyDescent="0.25">
      <c r="B83" s="47" t="s">
        <v>277</v>
      </c>
      <c r="C83" s="48">
        <v>-11068</v>
      </c>
      <c r="D83" s="48">
        <v>-13857</v>
      </c>
      <c r="E83" s="48">
        <v>-16440</v>
      </c>
      <c r="F83" s="48">
        <v>-4294</v>
      </c>
      <c r="G83" s="48">
        <v>-7825</v>
      </c>
      <c r="H83" s="48">
        <v>-8648</v>
      </c>
      <c r="I83" s="48">
        <v>-9239</v>
      </c>
      <c r="J83" s="48">
        <v>-469</v>
      </c>
      <c r="K83" s="48">
        <v>-1037</v>
      </c>
      <c r="L83" s="48">
        <v>-1642</v>
      </c>
      <c r="M83" s="48">
        <v>-2600</v>
      </c>
      <c r="N83" s="48">
        <v>-597</v>
      </c>
      <c r="O83" s="48">
        <v>-774</v>
      </c>
    </row>
    <row r="84" spans="2:15" x14ac:dyDescent="0.25">
      <c r="B84" s="47" t="s">
        <v>278</v>
      </c>
      <c r="E84" s="48">
        <v>0</v>
      </c>
      <c r="I84" s="48">
        <v>-3450</v>
      </c>
      <c r="M84" s="48">
        <v>-1621</v>
      </c>
    </row>
    <row r="85" spans="2:15" x14ac:dyDescent="0.25">
      <c r="B85" s="47" t="s">
        <v>279</v>
      </c>
      <c r="C85" s="48">
        <v>-186368</v>
      </c>
      <c r="D85" s="48">
        <v>-186368</v>
      </c>
      <c r="E85" s="48">
        <v>-334806</v>
      </c>
      <c r="I85" s="48">
        <v>-2569</v>
      </c>
      <c r="M85" s="48">
        <v>0</v>
      </c>
      <c r="O85" s="48">
        <v>-1721</v>
      </c>
    </row>
    <row r="86" spans="2:15" x14ac:dyDescent="0.25">
      <c r="B86" s="47" t="s">
        <v>280</v>
      </c>
      <c r="C86" s="48">
        <v>-369761</v>
      </c>
      <c r="D86" s="48">
        <v>-505986</v>
      </c>
      <c r="E86" s="48">
        <v>-505986</v>
      </c>
      <c r="G86" s="48">
        <v>0</v>
      </c>
      <c r="H86" s="48">
        <v>0</v>
      </c>
      <c r="I86" s="48">
        <v>-96520</v>
      </c>
      <c r="J86" s="48">
        <v>-416492</v>
      </c>
      <c r="K86" s="48">
        <v>-416492</v>
      </c>
      <c r="L86" s="48">
        <v>-416492</v>
      </c>
      <c r="M86" s="48">
        <v>-424848</v>
      </c>
      <c r="N86" s="48">
        <v>-19450</v>
      </c>
      <c r="O86" s="48">
        <v>-19450</v>
      </c>
    </row>
    <row r="87" spans="2:15" x14ac:dyDescent="0.25">
      <c r="B87" s="47" t="s">
        <v>281</v>
      </c>
      <c r="C87" s="48">
        <v>297</v>
      </c>
      <c r="D87" s="48">
        <v>297</v>
      </c>
      <c r="E87" s="48">
        <v>297</v>
      </c>
      <c r="I87" s="48">
        <v>0</v>
      </c>
      <c r="M87" s="48">
        <v>0</v>
      </c>
    </row>
    <row r="88" spans="2:15" x14ac:dyDescent="0.25">
      <c r="B88" s="47" t="s">
        <v>282</v>
      </c>
      <c r="C88" s="48">
        <v>197</v>
      </c>
      <c r="D88" s="48">
        <v>-379</v>
      </c>
      <c r="E88" s="48">
        <v>21</v>
      </c>
      <c r="F88" s="48">
        <v>-226</v>
      </c>
      <c r="G88" s="48">
        <v>-305</v>
      </c>
      <c r="H88" s="48">
        <v>-149</v>
      </c>
      <c r="I88" s="48">
        <v>-1025</v>
      </c>
      <c r="J88" s="48">
        <v>218</v>
      </c>
      <c r="K88" s="48">
        <v>491</v>
      </c>
      <c r="L88" s="48">
        <v>-160</v>
      </c>
      <c r="M88" s="48">
        <v>-256</v>
      </c>
      <c r="N88" s="48">
        <v>-418</v>
      </c>
      <c r="O88" s="48">
        <v>-451</v>
      </c>
    </row>
    <row r="89" spans="2:15" x14ac:dyDescent="0.25">
      <c r="B89" s="47" t="s">
        <v>283</v>
      </c>
      <c r="C89" s="48">
        <v>135907</v>
      </c>
      <c r="D89" s="48">
        <v>168714</v>
      </c>
      <c r="E89" s="48">
        <v>246198</v>
      </c>
      <c r="F89" s="48">
        <v>53318</v>
      </c>
      <c r="G89" s="48">
        <v>67545</v>
      </c>
      <c r="H89" s="48">
        <v>107077</v>
      </c>
      <c r="I89" s="48">
        <v>125205</v>
      </c>
      <c r="J89" s="48">
        <v>24526</v>
      </c>
      <c r="K89" s="48">
        <v>19686</v>
      </c>
      <c r="L89" s="48">
        <v>24499</v>
      </c>
      <c r="M89" s="48">
        <v>15490</v>
      </c>
      <c r="N89" s="48">
        <v>4105</v>
      </c>
      <c r="O89" s="48">
        <v>14161</v>
      </c>
    </row>
    <row r="90" spans="2:15" x14ac:dyDescent="0.25">
      <c r="B90" s="47" t="s">
        <v>284</v>
      </c>
      <c r="C90" s="48">
        <v>129453</v>
      </c>
      <c r="D90" s="48">
        <v>155239</v>
      </c>
      <c r="E90" s="48">
        <v>268673</v>
      </c>
      <c r="F90" s="48">
        <v>-40814</v>
      </c>
      <c r="G90" s="48">
        <v>-64096</v>
      </c>
      <c r="H90" s="48">
        <v>-83465</v>
      </c>
      <c r="I90" s="48">
        <v>11345</v>
      </c>
      <c r="J90" s="48">
        <v>274914</v>
      </c>
      <c r="K90" s="48">
        <v>272180</v>
      </c>
      <c r="L90" s="48">
        <v>269838</v>
      </c>
      <c r="M90" s="48">
        <v>282297</v>
      </c>
      <c r="N90" s="48">
        <v>18114</v>
      </c>
      <c r="O90" s="48">
        <v>21010</v>
      </c>
    </row>
    <row r="91" spans="2:15" x14ac:dyDescent="0.25">
      <c r="B91" s="47" t="s">
        <v>285</v>
      </c>
      <c r="C91" s="48">
        <v>-563819</v>
      </c>
      <c r="D91" s="48">
        <v>-702806</v>
      </c>
      <c r="E91" s="48">
        <v>-852770</v>
      </c>
      <c r="F91" s="48">
        <v>-4294</v>
      </c>
      <c r="G91" s="48">
        <v>-5635</v>
      </c>
      <c r="H91" s="48">
        <v>-6457</v>
      </c>
      <c r="I91" s="48">
        <v>-109142</v>
      </c>
      <c r="J91" s="48">
        <v>-416961</v>
      </c>
      <c r="K91" s="48">
        <v>-417138</v>
      </c>
      <c r="L91" s="48">
        <v>-417742</v>
      </c>
      <c r="M91" s="48">
        <v>-428479</v>
      </c>
      <c r="N91" s="48">
        <v>-20047</v>
      </c>
      <c r="O91" s="48">
        <v>-21877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Quarterly Financials</vt:lpstr>
      <vt:lpstr>Assumptions</vt:lpstr>
      <vt:lpstr>DCF NPV</vt:lpstr>
      <vt:lpstr>Liquidation</vt:lpstr>
      <vt:lpstr>Market Multiples</vt:lpstr>
      <vt:lpstr>Summary</vt:lpstr>
      <vt:lpstr>Qtr Source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Samuel Heier</cp:lastModifiedBy>
  <cp:revision>0</cp:revision>
  <dcterms:created xsi:type="dcterms:W3CDTF">2026-09-18T19:06:33Z</dcterms:created>
  <dcterms:modified xsi:type="dcterms:W3CDTF">2026-09-21T21:17:20Z</dcterms:modified>
  <dc:language>en-US</dc:language>
</cp:coreProperties>
</file>
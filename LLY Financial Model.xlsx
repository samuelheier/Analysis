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uelh\Downloads\"/>
    </mc:Choice>
  </mc:AlternateContent>
  <xr:revisionPtr revIDLastSave="0" documentId="13_ncr:1_{887B8487-F59A-4A01-9B2A-298668478AC7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Main" sheetId="1" r:id="rId1"/>
    <sheet name="Model" sheetId="2" r:id="rId2"/>
    <sheet name="Mounjaro" sheetId="4" r:id="rId3"/>
    <sheet name="Zepbound" sheetId="5" r:id="rId4"/>
    <sheet name="Trulicity" sheetId="6" r:id="rId5"/>
    <sheet name="Retatrutide" sheetId="7" r:id="rId6"/>
    <sheet name="Foundayo" sheetId="8" r:id="rId7"/>
    <sheet name="Basaglar" sheetId="9" r:id="rId8"/>
    <sheet name="Humalog" sheetId="10" r:id="rId9"/>
    <sheet name="Humulin" sheetId="11" r:id="rId10"/>
    <sheet name="Jardiance" sheetId="12" r:id="rId11"/>
    <sheet name="Verzenio" sheetId="13" r:id="rId12"/>
    <sheet name="Cyramza" sheetId="14" r:id="rId13"/>
    <sheet name="Erbitux" sheetId="15" r:id="rId14"/>
    <sheet name="Retevmo" sheetId="16" r:id="rId15"/>
    <sheet name="Tyvyt" sheetId="17" r:id="rId16"/>
    <sheet name="Jaypirca" sheetId="18" r:id="rId17"/>
    <sheet name="Inluriyo" sheetId="19" r:id="rId18"/>
    <sheet name="Ebglyss" sheetId="20" r:id="rId19"/>
    <sheet name="Olumiant" sheetId="21" r:id="rId20"/>
    <sheet name="Omvoh" sheetId="22" r:id="rId21"/>
    <sheet name="Taltz" sheetId="23" r:id="rId22"/>
    <sheet name="Emgality" sheetId="24" r:id="rId23"/>
    <sheet name="Kisunla" sheetId="25" r:id="rId2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34" i="2" l="1"/>
  <c r="F132" i="2"/>
  <c r="F130" i="2"/>
  <c r="S197" i="2"/>
  <c r="S195" i="2"/>
  <c r="S193" i="2"/>
  <c r="S192" i="2"/>
  <c r="S189" i="2"/>
  <c r="S188" i="2"/>
  <c r="F154" i="2"/>
  <c r="E175" i="2"/>
  <c r="D175" i="2"/>
  <c r="C175" i="2"/>
  <c r="F160" i="2"/>
  <c r="F152" i="2"/>
  <c r="F119" i="2" s="1"/>
  <c r="F151" i="2"/>
  <c r="F113" i="2" s="1"/>
  <c r="F121" i="2"/>
  <c r="F120" i="2"/>
  <c r="F110" i="2"/>
  <c r="F108" i="2"/>
  <c r="F107" i="2"/>
  <c r="F106" i="2"/>
  <c r="F105" i="2"/>
  <c r="C84" i="2"/>
  <c r="D84" i="2"/>
  <c r="D169" i="2" s="1"/>
  <c r="E84" i="2"/>
  <c r="E169" i="2" s="1"/>
  <c r="C86" i="2"/>
  <c r="D86" i="2"/>
  <c r="E86" i="2"/>
  <c r="C87" i="2"/>
  <c r="D87" i="2"/>
  <c r="E87" i="2"/>
  <c r="C88" i="2"/>
  <c r="D88" i="2"/>
  <c r="E88" i="2"/>
  <c r="C89" i="2"/>
  <c r="D89" i="2"/>
  <c r="E89" i="2"/>
  <c r="F89" i="2"/>
  <c r="C90" i="2"/>
  <c r="D90" i="2"/>
  <c r="E90" i="2"/>
  <c r="F90" i="2"/>
  <c r="C92" i="2"/>
  <c r="D92" i="2"/>
  <c r="E92" i="2"/>
  <c r="C95" i="2"/>
  <c r="D95" i="2"/>
  <c r="E95" i="2"/>
  <c r="F95" i="2"/>
  <c r="L82" i="2"/>
  <c r="M82" i="2"/>
  <c r="N82" i="2"/>
  <c r="O82" i="2"/>
  <c r="P82" i="2"/>
  <c r="G89" i="2" l="1"/>
  <c r="C169" i="2"/>
  <c r="C166" i="2"/>
  <c r="F131" i="2"/>
  <c r="F150" i="2"/>
  <c r="S190" i="2"/>
  <c r="S191" i="2" s="1"/>
  <c r="S194" i="2" s="1"/>
  <c r="S196" i="2" s="1"/>
  <c r="S198" i="2" s="1"/>
  <c r="H89" i="2"/>
  <c r="G90" i="2"/>
  <c r="H90" i="2" s="1"/>
  <c r="D166" i="2"/>
  <c r="E166" i="2"/>
  <c r="F156" i="2"/>
  <c r="F122" i="2"/>
  <c r="K82" i="2"/>
  <c r="J82" i="2"/>
  <c r="I82" i="2"/>
  <c r="H82" i="2"/>
  <c r="G82" i="2"/>
  <c r="F82" i="2"/>
  <c r="D81" i="2"/>
  <c r="C81" i="2"/>
  <c r="D80" i="2"/>
  <c r="C80" i="2"/>
  <c r="D78" i="2"/>
  <c r="C78" i="2"/>
  <c r="D77" i="2"/>
  <c r="C77" i="2"/>
  <c r="D76" i="2"/>
  <c r="C76" i="2"/>
  <c r="D75" i="2"/>
  <c r="C75" i="2"/>
  <c r="D73" i="2"/>
  <c r="C73" i="2"/>
  <c r="D72" i="2"/>
  <c r="C72" i="2"/>
  <c r="D71" i="2"/>
  <c r="C71" i="2"/>
  <c r="D70" i="2"/>
  <c r="C70" i="2"/>
  <c r="D69" i="2"/>
  <c r="D68" i="2"/>
  <c r="C68" i="2"/>
  <c r="E67" i="2"/>
  <c r="D67" i="2"/>
  <c r="C67" i="2"/>
  <c r="D65" i="2"/>
  <c r="C65" i="2"/>
  <c r="D64" i="2"/>
  <c r="D63" i="2"/>
  <c r="C63" i="2"/>
  <c r="D62" i="2"/>
  <c r="E61" i="2"/>
  <c r="D61" i="2"/>
  <c r="C61" i="2"/>
  <c r="E60" i="2"/>
  <c r="D60" i="2"/>
  <c r="C60" i="2"/>
  <c r="D59" i="2"/>
  <c r="C59" i="2"/>
  <c r="E58" i="2"/>
  <c r="D58" i="2"/>
  <c r="C58" i="2"/>
  <c r="E57" i="2"/>
  <c r="D57" i="2"/>
  <c r="C57" i="2"/>
  <c r="O47" i="2"/>
  <c r="N47" i="2"/>
  <c r="M47" i="2"/>
  <c r="L47" i="2"/>
  <c r="K47" i="2"/>
  <c r="J47" i="2"/>
  <c r="I47" i="2"/>
  <c r="H47" i="2"/>
  <c r="G47" i="2"/>
  <c r="Q47" i="2" s="1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N30" i="2"/>
  <c r="O29" i="2"/>
  <c r="N29" i="2"/>
  <c r="N28" i="2" s="1"/>
  <c r="P28" i="2"/>
  <c r="M28" i="2"/>
  <c r="L28" i="2"/>
  <c r="K28" i="2"/>
  <c r="J28" i="2"/>
  <c r="I28" i="2"/>
  <c r="H28" i="2"/>
  <c r="G28" i="2"/>
  <c r="F28" i="2"/>
  <c r="E28" i="2"/>
  <c r="D28" i="2"/>
  <c r="C28" i="2"/>
  <c r="C79" i="2" s="1"/>
  <c r="N27" i="2"/>
  <c r="N26" i="2"/>
  <c r="O25" i="2"/>
  <c r="N25" i="2"/>
  <c r="N24" i="2"/>
  <c r="P23" i="2"/>
  <c r="M23" i="2"/>
  <c r="L23" i="2"/>
  <c r="K23" i="2"/>
  <c r="J23" i="2"/>
  <c r="I23" i="2"/>
  <c r="H23" i="2"/>
  <c r="G23" i="2"/>
  <c r="F23" i="2"/>
  <c r="E23" i="2"/>
  <c r="D23" i="2"/>
  <c r="C23" i="2"/>
  <c r="N22" i="2"/>
  <c r="N21" i="2"/>
  <c r="O20" i="2"/>
  <c r="N20" i="2"/>
  <c r="N19" i="2"/>
  <c r="O18" i="2"/>
  <c r="N18" i="2"/>
  <c r="F18" i="2"/>
  <c r="O17" i="2"/>
  <c r="N17" i="2"/>
  <c r="P15" i="2"/>
  <c r="K15" i="2"/>
  <c r="J15" i="2"/>
  <c r="I15" i="2"/>
  <c r="H15" i="2"/>
  <c r="G15" i="2"/>
  <c r="F15" i="2"/>
  <c r="E15" i="2"/>
  <c r="D15" i="2"/>
  <c r="C15" i="2"/>
  <c r="N14" i="2"/>
  <c r="O13" i="2"/>
  <c r="N13" i="2"/>
  <c r="F13" i="2"/>
  <c r="N12" i="2"/>
  <c r="O11" i="2"/>
  <c r="N11" i="2"/>
  <c r="F11" i="2"/>
  <c r="F5" i="2" s="1"/>
  <c r="F31" i="2" s="1"/>
  <c r="N8" i="2"/>
  <c r="E59" i="2" s="1"/>
  <c r="P5" i="2"/>
  <c r="M5" i="2"/>
  <c r="L5" i="2"/>
  <c r="K5" i="2"/>
  <c r="J5" i="2"/>
  <c r="I5" i="2"/>
  <c r="H5" i="2"/>
  <c r="G5" i="2"/>
  <c r="E5" i="2"/>
  <c r="D5" i="2"/>
  <c r="C5" i="2"/>
  <c r="F24" i="1"/>
  <c r="E24" i="1"/>
  <c r="H23" i="1"/>
  <c r="F23" i="1"/>
  <c r="E23" i="1"/>
  <c r="F22" i="1"/>
  <c r="E22" i="1"/>
  <c r="F21" i="1"/>
  <c r="E21" i="1"/>
  <c r="H20" i="1"/>
  <c r="F20" i="1"/>
  <c r="E20" i="1"/>
  <c r="F19" i="1"/>
  <c r="E19" i="1"/>
  <c r="F18" i="1"/>
  <c r="E18" i="1"/>
  <c r="F17" i="1"/>
  <c r="E17" i="1"/>
  <c r="F16" i="1"/>
  <c r="E16" i="1"/>
  <c r="H15" i="1"/>
  <c r="F15" i="1"/>
  <c r="E15" i="1"/>
  <c r="H14" i="1"/>
  <c r="F14" i="1"/>
  <c r="E14" i="1"/>
  <c r="H13" i="1"/>
  <c r="F13" i="1"/>
  <c r="E13" i="1"/>
  <c r="F12" i="1"/>
  <c r="E12" i="1"/>
  <c r="F11" i="1"/>
  <c r="E11" i="1"/>
  <c r="H10" i="1"/>
  <c r="F10" i="1"/>
  <c r="E10" i="1"/>
  <c r="F9" i="1"/>
  <c r="E9" i="1"/>
  <c r="H8" i="1"/>
  <c r="F8" i="1"/>
  <c r="E8" i="1"/>
  <c r="F7" i="1"/>
  <c r="E7" i="1"/>
  <c r="B7" i="1"/>
  <c r="F6" i="1"/>
  <c r="E6" i="1"/>
  <c r="F5" i="1"/>
  <c r="E5" i="1"/>
  <c r="B5" i="1"/>
  <c r="B8" i="1" s="1"/>
  <c r="F4" i="1"/>
  <c r="E4" i="1"/>
  <c r="F3" i="1"/>
  <c r="E3" i="1"/>
  <c r="N5" i="2" l="1"/>
  <c r="N15" i="2"/>
  <c r="N23" i="2"/>
  <c r="C66" i="2"/>
  <c r="O28" i="2"/>
  <c r="C74" i="2"/>
  <c r="D85" i="2"/>
  <c r="O23" i="2"/>
  <c r="C85" i="2"/>
  <c r="E85" i="2"/>
  <c r="I89" i="2"/>
  <c r="D31" i="2"/>
  <c r="E31" i="2"/>
  <c r="M22" i="2"/>
  <c r="J89" i="2"/>
  <c r="I90" i="2"/>
  <c r="J90" i="2" s="1"/>
  <c r="K90" i="2" s="1"/>
  <c r="C56" i="2"/>
  <c r="C31" i="2"/>
  <c r="D56" i="2"/>
  <c r="G31" i="2"/>
  <c r="H31" i="2"/>
  <c r="I31" i="2"/>
  <c r="J31" i="2"/>
  <c r="E56" i="2"/>
  <c r="K31" i="2"/>
  <c r="N31" i="2"/>
  <c r="C62" i="2"/>
  <c r="E62" i="2"/>
  <c r="E63" i="2"/>
  <c r="O12" i="2"/>
  <c r="C64" i="2"/>
  <c r="E64" i="2"/>
  <c r="E65" i="2"/>
  <c r="D66" i="2"/>
  <c r="E68" i="2"/>
  <c r="C69" i="2"/>
  <c r="E69" i="2"/>
  <c r="E70" i="2"/>
  <c r="O19" i="2"/>
  <c r="E71" i="2"/>
  <c r="E72" i="2"/>
  <c r="D74" i="2"/>
  <c r="E74" i="2"/>
  <c r="E75" i="2"/>
  <c r="E76" i="2"/>
  <c r="E77" i="2"/>
  <c r="E78" i="2"/>
  <c r="D79" i="2"/>
  <c r="E79" i="2"/>
  <c r="E80" i="2"/>
  <c r="E81" i="2"/>
  <c r="C51" i="2"/>
  <c r="C50" i="2"/>
  <c r="C49" i="2"/>
  <c r="C48" i="2"/>
  <c r="C41" i="2"/>
  <c r="D51" i="2"/>
  <c r="D50" i="2"/>
  <c r="D49" i="2"/>
  <c r="D48" i="2"/>
  <c r="D41" i="2"/>
  <c r="E51" i="2"/>
  <c r="E50" i="2"/>
  <c r="E49" i="2"/>
  <c r="E48" i="2"/>
  <c r="E41" i="2"/>
  <c r="F51" i="2"/>
  <c r="F50" i="2"/>
  <c r="F49" i="2"/>
  <c r="F48" i="2"/>
  <c r="F41" i="2"/>
  <c r="G51" i="2"/>
  <c r="G50" i="2"/>
  <c r="G49" i="2"/>
  <c r="G48" i="2"/>
  <c r="G41" i="2"/>
  <c r="H51" i="2"/>
  <c r="H50" i="2"/>
  <c r="H49" i="2"/>
  <c r="H48" i="2"/>
  <c r="H41" i="2"/>
  <c r="I51" i="2"/>
  <c r="I50" i="2"/>
  <c r="I49" i="2"/>
  <c r="I48" i="2"/>
  <c r="I41" i="2"/>
  <c r="J51" i="2"/>
  <c r="J50" i="2"/>
  <c r="J49" i="2"/>
  <c r="J48" i="2"/>
  <c r="J41" i="2"/>
  <c r="K51" i="2"/>
  <c r="K50" i="2"/>
  <c r="K49" i="2"/>
  <c r="K48" i="2"/>
  <c r="K41" i="2"/>
  <c r="L51" i="2"/>
  <c r="L50" i="2"/>
  <c r="L49" i="2"/>
  <c r="L48" i="2"/>
  <c r="L41" i="2"/>
  <c r="M51" i="2"/>
  <c r="M50" i="2"/>
  <c r="M49" i="2"/>
  <c r="M48" i="2"/>
  <c r="M41" i="2"/>
  <c r="N51" i="2"/>
  <c r="N50" i="2"/>
  <c r="N49" i="2"/>
  <c r="N48" i="2"/>
  <c r="N41" i="2"/>
  <c r="O51" i="2"/>
  <c r="Q51" i="2" s="1"/>
  <c r="O50" i="2"/>
  <c r="Q50" i="2" s="1"/>
  <c r="O49" i="2"/>
  <c r="Q49" i="2" s="1"/>
  <c r="O48" i="2"/>
  <c r="O41" i="2"/>
  <c r="K89" i="2" l="1"/>
  <c r="M15" i="2"/>
  <c r="L22" i="2"/>
  <c r="C82" i="2"/>
  <c r="L89" i="2"/>
  <c r="M89" i="2"/>
  <c r="N89" i="2" s="1"/>
  <c r="O89" i="2" s="1"/>
  <c r="L90" i="2"/>
  <c r="E91" i="2"/>
  <c r="D91" i="2"/>
  <c r="C91" i="2"/>
  <c r="C83" i="2"/>
  <c r="O52" i="2"/>
  <c r="O43" i="2"/>
  <c r="O44" i="2" s="1"/>
  <c r="N52" i="2"/>
  <c r="N43" i="2"/>
  <c r="N44" i="2" s="1"/>
  <c r="M52" i="2"/>
  <c r="M43" i="2"/>
  <c r="M44" i="2" s="1"/>
  <c r="L52" i="2"/>
  <c r="L43" i="2"/>
  <c r="L44" i="2" s="1"/>
  <c r="K52" i="2"/>
  <c r="K43" i="2"/>
  <c r="E93" i="2" s="1"/>
  <c r="E94" i="2" s="1"/>
  <c r="J52" i="2"/>
  <c r="J43" i="2"/>
  <c r="J44" i="2" s="1"/>
  <c r="I52" i="2"/>
  <c r="I43" i="2"/>
  <c r="I44" i="2" s="1"/>
  <c r="H52" i="2"/>
  <c r="H43" i="2"/>
  <c r="H44" i="2" s="1"/>
  <c r="G52" i="2"/>
  <c r="G43" i="2"/>
  <c r="D93" i="2" s="1"/>
  <c r="D94" i="2" s="1"/>
  <c r="F52" i="2"/>
  <c r="F43" i="2"/>
  <c r="F44" i="2" s="1"/>
  <c r="E52" i="2"/>
  <c r="E43" i="2"/>
  <c r="E44" i="2" s="1"/>
  <c r="D52" i="2"/>
  <c r="D43" i="2"/>
  <c r="D44" i="2" s="1"/>
  <c r="C52" i="2"/>
  <c r="Q52" i="2" s="1"/>
  <c r="C43" i="2"/>
  <c r="C93" i="2" s="1"/>
  <c r="C94" i="2" s="1"/>
  <c r="Q48" i="2"/>
  <c r="O15" i="2"/>
  <c r="O5" i="2"/>
  <c r="F56" i="2"/>
  <c r="D82" i="2"/>
  <c r="D83" i="2" s="1"/>
  <c r="M90" i="2" l="1"/>
  <c r="N90" i="2" s="1"/>
  <c r="C173" i="2"/>
  <c r="C165" i="2"/>
  <c r="C170" i="2"/>
  <c r="C167" i="2"/>
  <c r="C172" i="2"/>
  <c r="C164" i="2"/>
  <c r="C174" i="2"/>
  <c r="C171" i="2"/>
  <c r="C168" i="2"/>
  <c r="L15" i="2"/>
  <c r="E73" i="2"/>
  <c r="D170" i="2"/>
  <c r="D167" i="2"/>
  <c r="D172" i="2"/>
  <c r="D164" i="2"/>
  <c r="D174" i="2"/>
  <c r="D171" i="2"/>
  <c r="D168" i="2"/>
  <c r="D173" i="2"/>
  <c r="D165" i="2"/>
  <c r="P89" i="2"/>
  <c r="M31" i="2"/>
  <c r="O90" i="2"/>
  <c r="P90" i="2" s="1"/>
  <c r="F83" i="2"/>
  <c r="G56" i="2"/>
  <c r="O31" i="2"/>
  <c r="C44" i="2"/>
  <c r="G44" i="2"/>
  <c r="K44" i="2"/>
  <c r="L31" i="2" l="1"/>
  <c r="E66" i="2"/>
  <c r="G83" i="2"/>
  <c r="F84" i="2"/>
  <c r="F85" i="2"/>
  <c r="H56" i="2"/>
  <c r="F114" i="2" l="1"/>
  <c r="F101" i="2"/>
  <c r="F136" i="2" s="1"/>
  <c r="E82" i="2"/>
  <c r="E83" i="2" s="1"/>
  <c r="H83" i="2"/>
  <c r="F86" i="2"/>
  <c r="F87" i="2"/>
  <c r="F88" i="2"/>
  <c r="F133" i="2" s="1"/>
  <c r="F145" i="2" s="1"/>
  <c r="G84" i="2"/>
  <c r="G85" i="2"/>
  <c r="I56" i="2"/>
  <c r="F91" i="2" l="1"/>
  <c r="F183" i="2" s="1"/>
  <c r="E167" i="2"/>
  <c r="E172" i="2"/>
  <c r="E164" i="2"/>
  <c r="E174" i="2"/>
  <c r="E171" i="2"/>
  <c r="E168" i="2"/>
  <c r="E173" i="2"/>
  <c r="E165" i="2"/>
  <c r="E170" i="2"/>
  <c r="I83" i="2"/>
  <c r="I84" i="2" s="1"/>
  <c r="G86" i="2"/>
  <c r="G87" i="2"/>
  <c r="G88" i="2"/>
  <c r="G91" i="2"/>
  <c r="G183" i="2" s="1"/>
  <c r="F92" i="2"/>
  <c r="F93" i="2"/>
  <c r="H84" i="2"/>
  <c r="H85" i="2"/>
  <c r="J56" i="2"/>
  <c r="F100" i="2" l="1"/>
  <c r="F128" i="2"/>
  <c r="F123" i="2"/>
  <c r="F117" i="2"/>
  <c r="F141" i="2"/>
  <c r="F103" i="2"/>
  <c r="F116" i="2"/>
  <c r="F129" i="2"/>
  <c r="F99" i="2"/>
  <c r="F115" i="2"/>
  <c r="F102" i="2"/>
  <c r="F137" i="2" s="1"/>
  <c r="J83" i="2"/>
  <c r="H86" i="2"/>
  <c r="H87" i="2"/>
  <c r="H88" i="2"/>
  <c r="F94" i="2"/>
  <c r="G92" i="2"/>
  <c r="G93" i="2" s="1"/>
  <c r="I85" i="2"/>
  <c r="K56" i="2"/>
  <c r="J84" i="2" l="1"/>
  <c r="F135" i="2"/>
  <c r="H91" i="2"/>
  <c r="F148" i="2"/>
  <c r="F109" i="2"/>
  <c r="F138" i="2"/>
  <c r="F118" i="2"/>
  <c r="F124" i="2" s="1"/>
  <c r="F139" i="2"/>
  <c r="K83" i="2"/>
  <c r="I86" i="2"/>
  <c r="I87" i="2"/>
  <c r="I88" i="2"/>
  <c r="I91" i="2"/>
  <c r="I183" i="2" s="1"/>
  <c r="G94" i="2"/>
  <c r="J85" i="2"/>
  <c r="L56" i="2"/>
  <c r="L83" i="2" s="1"/>
  <c r="L84" i="2" s="1"/>
  <c r="K84" i="2" l="1"/>
  <c r="H92" i="2"/>
  <c r="H183" i="2"/>
  <c r="F159" i="2"/>
  <c r="F161" i="2" s="1"/>
  <c r="F98" i="2" s="1"/>
  <c r="H93" i="2"/>
  <c r="F104" i="2"/>
  <c r="F111" i="2" s="1"/>
  <c r="F125" i="2" s="1"/>
  <c r="L85" i="2"/>
  <c r="J86" i="2"/>
  <c r="J87" i="2"/>
  <c r="J88" i="2"/>
  <c r="I92" i="2"/>
  <c r="I93" i="2"/>
  <c r="K85" i="2"/>
  <c r="M56" i="2"/>
  <c r="M83" i="2" s="1"/>
  <c r="M84" i="2" s="1"/>
  <c r="J91" i="2" l="1"/>
  <c r="J183" i="2" s="1"/>
  <c r="H94" i="2"/>
  <c r="M85" i="2"/>
  <c r="K86" i="2"/>
  <c r="K87" i="2"/>
  <c r="K88" i="2"/>
  <c r="I94" i="2"/>
  <c r="J92" i="2"/>
  <c r="J93" i="2"/>
  <c r="L86" i="2"/>
  <c r="L87" i="2"/>
  <c r="L88" i="2"/>
  <c r="N56" i="2"/>
  <c r="N83" i="2" s="1"/>
  <c r="N84" i="2" s="1"/>
  <c r="L91" i="2" l="1"/>
  <c r="L183" i="2" s="1"/>
  <c r="K91" i="2"/>
  <c r="K183" i="2" s="1"/>
  <c r="N85" i="2"/>
  <c r="L92" i="2"/>
  <c r="L93" i="2"/>
  <c r="J94" i="2"/>
  <c r="K92" i="2"/>
  <c r="K93" i="2"/>
  <c r="M86" i="2"/>
  <c r="M87" i="2"/>
  <c r="M88" i="2"/>
  <c r="P56" i="2"/>
  <c r="P83" i="2" s="1"/>
  <c r="P84" i="2" s="1"/>
  <c r="O56" i="2"/>
  <c r="O83" i="2" s="1"/>
  <c r="O84" i="2" s="1"/>
  <c r="M91" i="2" l="1"/>
  <c r="M183" i="2" s="1"/>
  <c r="L94" i="2"/>
  <c r="M92" i="2"/>
  <c r="M93" i="2"/>
  <c r="K94" i="2"/>
  <c r="N86" i="2"/>
  <c r="N87" i="2"/>
  <c r="N88" i="2"/>
  <c r="N91" i="2"/>
  <c r="N183" i="2" s="1"/>
  <c r="O85" i="2"/>
  <c r="P85" i="2"/>
  <c r="M94" i="2" l="1"/>
  <c r="N92" i="2"/>
  <c r="N93" i="2"/>
  <c r="P86" i="2"/>
  <c r="P87" i="2"/>
  <c r="P88" i="2"/>
  <c r="P91" i="2"/>
  <c r="P183" i="2" s="1"/>
  <c r="O86" i="2"/>
  <c r="O87" i="2"/>
  <c r="O88" i="2"/>
  <c r="O91" i="2"/>
  <c r="O183" i="2" s="1"/>
  <c r="N94" i="2" l="1"/>
  <c r="O92" i="2"/>
  <c r="O93" i="2"/>
  <c r="P92" i="2"/>
  <c r="P93" i="2"/>
  <c r="P94" i="2" l="1"/>
  <c r="O9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7" authorId="0" shapeId="0" xr:uid="{00000000-0006-0000-0000-000001000000}">
      <text>
        <r>
          <rPr>
            <sz val="10"/>
            <rFont val="Arial"/>
            <family val="2"/>
          </rPr>
          <t>Sam Heier:
Lilly books 100% of sales but pays Chugai a tiered royalty (mid-single-digits to low-teens). Source: Chugai/Lilly Form 10-K, https://www.chugai-pharm.co.jp/english/news/detail/20240222083000_1049.html</t>
        </r>
      </text>
    </comment>
    <comment ref="G8" authorId="0" shapeId="0" xr:uid="{00000000-0006-0000-0000-000002000000}">
      <text>
        <r>
          <rPr>
            <sz val="10"/>
            <rFont val="Arial"/>
            <family val="2"/>
          </rPr>
          <t>Sam Heier:
Lilly is strategic lead and books Basaglar revenue within the Boehringer Ingelheim diabetes alliance. Source: BI/Lilly, https://investor.lilly.com/news-releases/news-release-details/boehringer-ingelheim-and-lilly-modernise-alliance-focus-full</t>
        </r>
      </text>
    </comment>
    <comment ref="G11" authorId="0" shapeId="0" xr:uid="{00000000-0006-0000-0000-000003000000}">
      <text>
        <r>
          <rPr>
            <sz val="10"/>
            <rFont val="Arial"/>
            <family val="2"/>
          </rPr>
          <t>Sam Heier:
Jardiance is part of Lilly's alliance with Boehringer Ingelheim. Lilly does NOT book product sales; it reports only royalties received on BI's net sales of Jardiance. Source: Lilly SEC filing (Q3 2022 sales &amp; earnings), https://www.sec.gov/Archives/edgar/data/59478/000005947822000248/q322lillysalesandearningsp.htm</t>
        </r>
      </text>
    </comment>
    <comment ref="G14" authorId="0" shapeId="0" xr:uid="{00000000-0006-0000-0000-000004000000}">
      <text>
        <r>
          <rPr>
            <sz val="10"/>
            <rFont val="Arial"/>
            <family val="2"/>
          </rPr>
          <t>Sam Heier:
Erbitux economics are territorial/legacy: Lilly (via ImClone) holds North American rights while Merck KGaA markets ex-US; Lilly's interest is a share/royalty rather than full product sales. Worth confirming against the latest 10-K.</t>
        </r>
      </text>
    </comment>
    <comment ref="G16" authorId="0" shapeId="0" xr:uid="{00000000-0006-0000-0000-000005000000}">
      <text>
        <r>
          <rPr>
            <sz val="10"/>
            <rFont val="Arial"/>
            <family val="2"/>
          </rPr>
          <t>Sam Heier:
Tyvyt (sintilimab) is co-developed with Innovent and sold in China; Lilly shares economics in licensed territories rather than booking 100%. Not FDA-approved in the US. Source: Eli Lilly, https://investor.lilly.com/news-releases/news-release-details/tyvyt-sintilimab-injection-combined-alimta-pemetrexed-and</t>
        </r>
      </text>
    </comment>
    <comment ref="G19" authorId="0" shapeId="0" xr:uid="{00000000-0006-0000-0000-000006000000}">
      <text>
        <r>
          <rPr>
            <sz val="10"/>
            <rFont val="Arial"/>
            <family val="2"/>
          </rPr>
          <t>Sam Heier:
Lilly holds rights outside Europe and books those sales; Almirall licenses lebrikizumab in Europe.</t>
        </r>
      </text>
    </comment>
    <comment ref="G20" authorId="0" shapeId="0" xr:uid="{00000000-0006-0000-0000-000007000000}">
      <text>
        <r>
          <rPr>
            <sz val="10"/>
            <rFont val="Arial"/>
            <family val="2"/>
          </rPr>
          <t>Sam Heier:
Discovered by Incyte and licensed to Lilly; Lilly books sales and pays Incyte royalties. Source: Lilly/Incyte, https://investor.lilly.com/news-releases/news-release-details/fda-approves-lilly-and-incytes-olumiantr-baricitinib-first-and</t>
        </r>
      </text>
    </comment>
  </commentList>
</comments>
</file>

<file path=xl/sharedStrings.xml><?xml version="1.0" encoding="utf-8"?>
<sst xmlns="http://schemas.openxmlformats.org/spreadsheetml/2006/main" count="501" uniqueCount="270">
  <si>
    <t>LLY</t>
  </si>
  <si>
    <t>Name</t>
  </si>
  <si>
    <t>Indication</t>
  </si>
  <si>
    <t>Mechanism</t>
  </si>
  <si>
    <t>Economics</t>
  </si>
  <si>
    <t>Approved</t>
  </si>
  <si>
    <t xml:space="preserve">Price </t>
  </si>
  <si>
    <t>Mounjaro</t>
  </si>
  <si>
    <t>Shares</t>
  </si>
  <si>
    <t>Zepbound</t>
  </si>
  <si>
    <t>Market Cap</t>
  </si>
  <si>
    <t>Trulicity</t>
  </si>
  <si>
    <t>Cash</t>
  </si>
  <si>
    <t>Retatrutide</t>
  </si>
  <si>
    <t>TBD</t>
  </si>
  <si>
    <t>Debt</t>
  </si>
  <si>
    <t>Foundayo</t>
  </si>
  <si>
    <t>EV</t>
  </si>
  <si>
    <t>Basaglar</t>
  </si>
  <si>
    <t>Humalog</t>
  </si>
  <si>
    <t>Humulin</t>
  </si>
  <si>
    <t>Jardiance</t>
  </si>
  <si>
    <t>Royalty only</t>
  </si>
  <si>
    <t>Verzenio</t>
  </si>
  <si>
    <t>Cyramza</t>
  </si>
  <si>
    <t>Erbitux</t>
  </si>
  <si>
    <t>Royalty / share</t>
  </si>
  <si>
    <t>Retevmo</t>
  </si>
  <si>
    <t>Tyvyt</t>
  </si>
  <si>
    <t>Not FDA approved</t>
  </si>
  <si>
    <t>Jaypirca</t>
  </si>
  <si>
    <t>Inluriyo</t>
  </si>
  <si>
    <t>Ebglyss</t>
  </si>
  <si>
    <t>Olumiant</t>
  </si>
  <si>
    <t>Omvoh</t>
  </si>
  <si>
    <t>Taltz</t>
  </si>
  <si>
    <t>Emgality</t>
  </si>
  <si>
    <t>Kisunla</t>
  </si>
  <si>
    <t>Eli Lilly and Company (LLY)</t>
  </si>
  <si>
    <t xml:space="preserve">Quarterly Income Statement </t>
  </si>
  <si>
    <t>Q1'23</t>
  </si>
  <si>
    <t>Q2'23</t>
  </si>
  <si>
    <t>Q3'23</t>
  </si>
  <si>
    <t>Q4'23</t>
  </si>
  <si>
    <t>Q1'24</t>
  </si>
  <si>
    <t>Q2'24</t>
  </si>
  <si>
    <t>Q3'24</t>
  </si>
  <si>
    <t>Q4'24</t>
  </si>
  <si>
    <t>Q1'25</t>
  </si>
  <si>
    <t>Q2'25</t>
  </si>
  <si>
    <t>Q3'25</t>
  </si>
  <si>
    <t>Q4'25</t>
  </si>
  <si>
    <t>Q1'26</t>
  </si>
  <si>
    <t>Q2'26</t>
  </si>
  <si>
    <t>Diabetes</t>
  </si>
  <si>
    <t xml:space="preserve">Humulin </t>
  </si>
  <si>
    <t xml:space="preserve">Oncology </t>
  </si>
  <si>
    <t>Immunology</t>
  </si>
  <si>
    <t xml:space="preserve">Neuroscience </t>
  </si>
  <si>
    <t>Other / Misc</t>
  </si>
  <si>
    <t>Total Revenue</t>
  </si>
  <si>
    <t>COGS</t>
  </si>
  <si>
    <t>Gross Margin</t>
  </si>
  <si>
    <t>R&amp;D</t>
  </si>
  <si>
    <t>SG&amp;A</t>
  </si>
  <si>
    <t>IPR&amp;D</t>
  </si>
  <si>
    <t>Asset Impairement/Resturcturing</t>
  </si>
  <si>
    <t>Other expenses</t>
  </si>
  <si>
    <t>Pre Tax Income</t>
  </si>
  <si>
    <t>Taxes</t>
  </si>
  <si>
    <t>Net Income</t>
  </si>
  <si>
    <t>EPS</t>
  </si>
  <si>
    <t>Revenue Growth Rate</t>
  </si>
  <si>
    <t>Gross Margin %</t>
  </si>
  <si>
    <t>R&amp;D %</t>
  </si>
  <si>
    <t>SG&amp;A %</t>
  </si>
  <si>
    <t>IPR&amp;D &amp;</t>
  </si>
  <si>
    <t>Tax rate</t>
  </si>
  <si>
    <t>Annual Income Statement</t>
  </si>
  <si>
    <t>FY'23</t>
  </si>
  <si>
    <t>FY'24</t>
  </si>
  <si>
    <t>FY'25</t>
  </si>
  <si>
    <t>FY'26</t>
  </si>
  <si>
    <t>FY'27</t>
  </si>
  <si>
    <t>FY'28</t>
  </si>
  <si>
    <t>FY'29</t>
  </si>
  <si>
    <t>FY'30</t>
  </si>
  <si>
    <t>FY'31</t>
  </si>
  <si>
    <t>Other</t>
  </si>
  <si>
    <t>Balance Sheet</t>
  </si>
  <si>
    <t>Cash and cash equivalents</t>
  </si>
  <si>
    <t>Accounts receivable</t>
  </si>
  <si>
    <t>Other receivables</t>
  </si>
  <si>
    <t>Inventories</t>
  </si>
  <si>
    <t>Prepaid expenses</t>
  </si>
  <si>
    <t>Other current assets</t>
  </si>
  <si>
    <t>Total current assets</t>
  </si>
  <si>
    <t>Investments</t>
  </si>
  <si>
    <t>Goodwill</t>
  </si>
  <si>
    <t>Other intangibles, net</t>
  </si>
  <si>
    <t>Deferred tax assets</t>
  </si>
  <si>
    <t>Property and equipment, net</t>
  </si>
  <si>
    <t>Other noncurrent assets</t>
  </si>
  <si>
    <t>Total assets</t>
  </si>
  <si>
    <t>Short-term borrowings and current maturities</t>
  </si>
  <si>
    <t>Accounts payable</t>
  </si>
  <si>
    <t>Employee compensation</t>
  </si>
  <si>
    <t>Sales rebates and discounts</t>
  </si>
  <si>
    <t>Other current liabilities</t>
  </si>
  <si>
    <t>Total current liabilities</t>
  </si>
  <si>
    <t>Long-term debt</t>
  </si>
  <si>
    <t>Long-term income taxes payable</t>
  </si>
  <si>
    <t>Other noncurrent liabilities</t>
  </si>
  <si>
    <t>Total noncurrent liabilities</t>
  </si>
  <si>
    <t>Total equity</t>
  </si>
  <si>
    <t>Total liabilities and equity</t>
  </si>
  <si>
    <t>Check (Assets less Liab. &amp; Equity)</t>
  </si>
  <si>
    <t>Cash Flow Statement</t>
  </si>
  <si>
    <t>Net income</t>
  </si>
  <si>
    <t>Depreciation and amortization</t>
  </si>
  <si>
    <t>Change in deferred income taxes</t>
  </si>
  <si>
    <t>Stock-based compensation expense</t>
  </si>
  <si>
    <t>Gains on sale of product rights</t>
  </si>
  <si>
    <t>Acquired in-process research and development</t>
  </si>
  <si>
    <t>Other operating activities, net</t>
  </si>
  <si>
    <t>Receivables - (increase) decrease</t>
  </si>
  <si>
    <t>Inventories - (increase) decrease</t>
  </si>
  <si>
    <t>Prepaid exp. and other assets - (incr.) decr.</t>
  </si>
  <si>
    <t>Accounts payable and other liab. - incr. (decr.)</t>
  </si>
  <si>
    <t>Net Cash Provided by Operating Activities</t>
  </si>
  <si>
    <t>Purchases of property and equipment</t>
  </si>
  <si>
    <t>Proceeds from sales of noncurrent investments</t>
  </si>
  <si>
    <t>Purchases of noncurrent investments</t>
  </si>
  <si>
    <t>Proceeds from sale of product rights</t>
  </si>
  <si>
    <t>Purchases of in-process research and development</t>
  </si>
  <si>
    <t>Cash paid for acquisitions, net of cash acquired</t>
  </si>
  <si>
    <t>Other investing activities, net</t>
  </si>
  <si>
    <t>Net Cash Used for Investing Activities</t>
  </si>
  <si>
    <t>Dividends paid</t>
  </si>
  <si>
    <t>Net change in short-term borrowings</t>
  </si>
  <si>
    <t>Proceeds from issuance of long-term debt</t>
  </si>
  <si>
    <t>Repayments of long-term debt</t>
  </si>
  <si>
    <t>Purchases of common stock</t>
  </si>
  <si>
    <t>Other financing activities, net</t>
  </si>
  <si>
    <t>Net Cash Provided by (Used for) Financing Activities</t>
  </si>
  <si>
    <t>Effect of exchange rate changes on cash</t>
  </si>
  <si>
    <t>Net Increase (Decrease) in Cash</t>
  </si>
  <si>
    <t>Cash and cash equivalents at beginning of year</t>
  </si>
  <si>
    <t>Cash and Cash Equivalents at End of Year</t>
  </si>
  <si>
    <t>Projection Drivers</t>
  </si>
  <si>
    <t>Model Inputs</t>
  </si>
  <si>
    <t>Accounts receivable (% of revenue)</t>
  </si>
  <si>
    <t>FY26 dividend / share</t>
  </si>
  <si>
    <t>Other receivables (% of revenue)</t>
  </si>
  <si>
    <t>DPS growth, FY27+</t>
  </si>
  <si>
    <t>Inventories (% of COGS)</t>
  </si>
  <si>
    <t>Buybacks ($mm/yr)</t>
  </si>
  <si>
    <t>Prepaid expenses (% of revenue)</t>
  </si>
  <si>
    <t>Chg. in ST debt ($mm)</t>
  </si>
  <si>
    <t>Other current assets (% of revenue)</t>
  </si>
  <si>
    <t>Chg. in LT debt ($mm)</t>
  </si>
  <si>
    <t>Accounts payable (% of COGS)</t>
  </si>
  <si>
    <t>Employee compensation (% of revenue)</t>
  </si>
  <si>
    <t>Sales rebates and discounts (% of rev.)</t>
  </si>
  <si>
    <t>Other current liabilities (% of rev.)</t>
  </si>
  <si>
    <t>Capital expenditures (% of revenue)</t>
  </si>
  <si>
    <t>D&amp;A (% of revenue)</t>
  </si>
  <si>
    <t>Stock-based compensation ($mm)</t>
  </si>
  <si>
    <t>Dividends per share ($)</t>
  </si>
  <si>
    <t>Dividends paid ($mm)</t>
  </si>
  <si>
    <t>Share repurchases ($mm)</t>
  </si>
  <si>
    <t>Net change in short-term borrowings ($mm)</t>
  </si>
  <si>
    <t>Net change in long-term debt ($mm)</t>
  </si>
  <si>
    <t>Discounted Cash Flow</t>
  </si>
  <si>
    <t>DCF Assumptions</t>
  </si>
  <si>
    <t>EBIT (Pre-Tax Income excl. Other)</t>
  </si>
  <si>
    <t>Valuation date</t>
  </si>
  <si>
    <t>31-Dec-2025</t>
  </si>
  <si>
    <t>NOPAT</t>
  </si>
  <si>
    <t>WACC</t>
  </si>
  <si>
    <t>(+) Depreciation and amortization</t>
  </si>
  <si>
    <t>Terminal growth</t>
  </si>
  <si>
    <t>(-) Capital expenditures</t>
  </si>
  <si>
    <t>(-) Increase in net working capital</t>
  </si>
  <si>
    <t>Unlevered Free Cash Flow</t>
  </si>
  <si>
    <t>Discount period</t>
  </si>
  <si>
    <t>PV of terminal value</t>
  </si>
  <si>
    <t>Discount factor</t>
  </si>
  <si>
    <t>Enterprise Value</t>
  </si>
  <si>
    <t>PV of Unlevered Free Cash Flow</t>
  </si>
  <si>
    <t>(-) Total debt</t>
  </si>
  <si>
    <t>(+) Cash</t>
  </si>
  <si>
    <t>Equity Value</t>
  </si>
  <si>
    <t>Shares outstanding</t>
  </si>
  <si>
    <t>Implied value / share</t>
  </si>
  <si>
    <t>Current price</t>
  </si>
  <si>
    <t>Implied upside / (down)</t>
  </si>
  <si>
    <t xml:space="preserve">Brand </t>
  </si>
  <si>
    <t>Generic</t>
  </si>
  <si>
    <t>TIRZEPATIDE</t>
  </si>
  <si>
    <t>Type 2 Diabetes</t>
  </si>
  <si>
    <t>MOA</t>
  </si>
  <si>
    <t>Dual GIP/GLP-1 Receptor Agonist</t>
  </si>
  <si>
    <t>Tirzepatide</t>
  </si>
  <si>
    <t>Obesity &amp; Obstructive Sleep Apnea</t>
  </si>
  <si>
    <t>dulaglutide</t>
  </si>
  <si>
    <t>Type-2 Diabetes</t>
  </si>
  <si>
    <t>GLP-1 Agonist</t>
  </si>
  <si>
    <t>None</t>
  </si>
  <si>
    <t xml:space="preserve">Obesity &amp; Type 2 Diabetes </t>
  </si>
  <si>
    <t>GIP / GLP-1 / Glucagon Triple Receptor Agonist</t>
  </si>
  <si>
    <t>Orforglipron</t>
  </si>
  <si>
    <t>Obesity / Chronic Weight Management</t>
  </si>
  <si>
    <t>GLP-1 Receptor Agonist (oral, nonpeptide)</t>
  </si>
  <si>
    <t>Insulin Glargine</t>
  </si>
  <si>
    <t>Type 1 and Type 2 Diabetes</t>
  </si>
  <si>
    <t>Long-Acting Insulin</t>
  </si>
  <si>
    <t>Insulin Lispro</t>
  </si>
  <si>
    <t>Rapid-Acting Insulin</t>
  </si>
  <si>
    <t>Human Insulin</t>
  </si>
  <si>
    <t>Insulin (short- and intermediate-acting)</t>
  </si>
  <si>
    <t>empagliflozin</t>
  </si>
  <si>
    <t>Type 2 Diabetes &amp; Heart Failure</t>
  </si>
  <si>
    <t>SGLT2 Inhibitors</t>
  </si>
  <si>
    <t>abemaciclib</t>
  </si>
  <si>
    <t>Breast Cancer</t>
  </si>
  <si>
    <t>CDK4/6 inhibitors</t>
  </si>
  <si>
    <t>Ramucirumab</t>
  </si>
  <si>
    <t>Gastric, NSCLC, and Colorectal Cancer</t>
  </si>
  <si>
    <t>VEGFR2 Antagonist (Monoclonal Antibody)</t>
  </si>
  <si>
    <t>Cetuximab</t>
  </si>
  <si>
    <t>Colorectal and Head &amp; Neck Cancer</t>
  </si>
  <si>
    <t>EGFR Inhibitor (Monoclonal Antibody)</t>
  </si>
  <si>
    <t>Selpercatinib</t>
  </si>
  <si>
    <t>RET-Altered NSCLC and Thyroid Cancer</t>
  </si>
  <si>
    <t>RET Kinase Inhibitor</t>
  </si>
  <si>
    <t>Sintilimab</t>
  </si>
  <si>
    <t>Hodgkin Lymphoma, NSCLC &amp; other cancers (approved in China; not FDA-approved)</t>
  </si>
  <si>
    <t>PD-1 Inhibitor (Monoclonal Antibody)</t>
  </si>
  <si>
    <t>Pirtobrutinib</t>
  </si>
  <si>
    <t>Non-Hodgkin Lymphoma</t>
  </si>
  <si>
    <t>Bruton’s tyrosine kinase (BTK) inhibitor</t>
  </si>
  <si>
    <t>Imlunestrant</t>
  </si>
  <si>
    <t>Estrogen Antagonist</t>
  </si>
  <si>
    <t>Lebrikizumab</t>
  </si>
  <si>
    <t>Eczema</t>
  </si>
  <si>
    <t>interleukin-13 antagonist</t>
  </si>
  <si>
    <t>Baricitinib</t>
  </si>
  <si>
    <t>Rheumatoid Arthritis, Alopecia Areata, COVID-19</t>
  </si>
  <si>
    <t>JAK (Janus Kinase) Inhibitor</t>
  </si>
  <si>
    <t>Mirikizumab-Mrkz</t>
  </si>
  <si>
    <t>Crohn's Disease &amp; Ulcerative Colitis</t>
  </si>
  <si>
    <t>interleukin-23 antagonist</t>
  </si>
  <si>
    <t>Ixekizumab</t>
  </si>
  <si>
    <t>Plaque Psoriasis &amp; Psoriatic Arthritis</t>
  </si>
  <si>
    <t>interleukin antagonist</t>
  </si>
  <si>
    <t>Galcanezumab</t>
  </si>
  <si>
    <t>Migraine Prevention and Cluster Headache</t>
  </si>
  <si>
    <t>CGRP Antagonist (Monoclonal Antibody)</t>
  </si>
  <si>
    <t>donanemab-azbt</t>
  </si>
  <si>
    <t>Alzheimer's Disease</t>
  </si>
  <si>
    <t>amyloid beta-directed antibody</t>
  </si>
  <si>
    <t>FY'32</t>
  </si>
  <si>
    <t>FY'33</t>
  </si>
  <si>
    <t>FY'34</t>
  </si>
  <si>
    <t>FY'35</t>
  </si>
  <si>
    <t>FY'36</t>
  </si>
  <si>
    <t>PV of FY'26-FY'36 FCF</t>
  </si>
  <si>
    <t>Terminal value at FY'36</t>
  </si>
  <si>
    <t>Assumptions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</si>
</sst>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6" formatCode="0.0%"/>
    <numFmt numFmtId="167" formatCode="0.000"/>
  </numFmts>
  <fonts count="14" x14ac:knownFonts="1">
    <font>
      <sz val="12"/>
      <color theme="1"/>
      <name val="Aptos Narrow"/>
      <family val="2"/>
      <charset val="1"/>
    </font>
    <font>
      <sz val="10"/>
      <name val="Arial"/>
      <family val="2"/>
    </font>
    <font>
      <b/>
      <sz val="12"/>
      <color theme="1"/>
      <name val="Aptos Narrow"/>
      <family val="2"/>
      <charset val="1"/>
    </font>
    <font>
      <b/>
      <sz val="10"/>
      <name val="Arial"/>
      <family val="2"/>
      <charset val="1"/>
    </font>
    <font>
      <i/>
      <sz val="12"/>
      <color theme="1"/>
      <name val="Aptos Narrow"/>
      <family val="2"/>
      <charset val="1"/>
    </font>
    <font>
      <b/>
      <sz val="14"/>
      <color theme="1"/>
      <name val="Aptos Narrow"/>
      <family val="2"/>
      <charset val="1"/>
    </font>
    <font>
      <sz val="12"/>
      <color rgb="FF000000"/>
      <name val="Aptos Narrow"/>
      <family val="2"/>
      <charset val="1"/>
    </font>
    <font>
      <b/>
      <sz val="12"/>
      <color theme="1"/>
      <name val="Aptos Narrow"/>
      <family val="2"/>
    </font>
    <font>
      <sz val="12"/>
      <color theme="1"/>
      <name val="Aptos Narrow"/>
      <family val="2"/>
    </font>
    <font>
      <sz val="12"/>
      <name val="Aptos Narrow"/>
      <family val="2"/>
    </font>
    <font>
      <b/>
      <sz val="12"/>
      <name val="Aptos Narrow"/>
      <family val="2"/>
    </font>
    <font>
      <i/>
      <sz val="12"/>
      <name val="Aptos Narrow"/>
      <family val="2"/>
    </font>
    <font>
      <sz val="12"/>
      <color theme="1"/>
      <name val="Aptos Narrow"/>
      <family val="2"/>
      <charset val="1"/>
    </font>
    <font>
      <sz val="8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2"/>
        <bgColor rgb="FFC1E5F5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FFFF00"/>
        <bgColor rgb="FFFFFF00"/>
      </patternFill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</borders>
  <cellStyleXfs count="4">
    <xf numFmtId="0" fontId="0" fillId="0" borderId="0"/>
    <xf numFmtId="43" fontId="12" fillId="0" borderId="0"/>
    <xf numFmtId="44" fontId="12" fillId="0" borderId="0"/>
    <xf numFmtId="9" fontId="12" fillId="0" borderId="0"/>
  </cellStyleXfs>
  <cellXfs count="77">
    <xf numFmtId="0" fontId="0" fillId="0" borderId="0" xfId="0"/>
    <xf numFmtId="0" fontId="2" fillId="0" borderId="1" xfId="0" applyFont="1" applyBorder="1"/>
    <xf numFmtId="0" fontId="0" fillId="0" borderId="2" xfId="0" applyBorder="1"/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44" fontId="0" fillId="0" borderId="0" xfId="2" applyFont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43" fontId="0" fillId="0" borderId="0" xfId="1" applyFont="1"/>
    <xf numFmtId="14" fontId="4" fillId="0" borderId="5" xfId="0" applyNumberFormat="1" applyFont="1" applyBorder="1" applyAlignment="1">
      <alignment horizontal="center"/>
    </xf>
    <xf numFmtId="44" fontId="0" fillId="0" borderId="0" xfId="0" applyNumberFormat="1"/>
    <xf numFmtId="0" fontId="4" fillId="0" borderId="0" xfId="0" applyFont="1" applyAlignment="1">
      <alignment horizontal="center"/>
    </xf>
    <xf numFmtId="0" fontId="4" fillId="0" borderId="5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9" fontId="0" fillId="0" borderId="7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/>
    <xf numFmtId="0" fontId="0" fillId="0" borderId="9" xfId="0" applyBorder="1"/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2" fillId="0" borderId="7" xfId="0" applyFont="1" applyBorder="1"/>
    <xf numFmtId="164" fontId="2" fillId="0" borderId="0" xfId="0" applyNumberFormat="1" applyFont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164" fontId="0" fillId="0" borderId="0" xfId="2" applyNumberFormat="1" applyFont="1"/>
    <xf numFmtId="164" fontId="0" fillId="0" borderId="5" xfId="2" applyNumberFormat="1" applyFont="1" applyBorder="1"/>
    <xf numFmtId="164" fontId="0" fillId="2" borderId="0" xfId="2" applyNumberFormat="1" applyFont="1" applyFill="1"/>
    <xf numFmtId="0" fontId="0" fillId="3" borderId="0" xfId="0" applyFill="1"/>
    <xf numFmtId="164" fontId="0" fillId="2" borderId="5" xfId="2" applyNumberFormat="1" applyFont="1" applyFill="1" applyBorder="1"/>
    <xf numFmtId="164" fontId="2" fillId="0" borderId="0" xfId="2" applyNumberFormat="1" applyFont="1"/>
    <xf numFmtId="164" fontId="2" fillId="0" borderId="5" xfId="2" applyNumberFormat="1" applyFont="1" applyBorder="1"/>
    <xf numFmtId="164" fontId="0" fillId="0" borderId="0" xfId="0" applyNumberFormat="1"/>
    <xf numFmtId="164" fontId="0" fillId="0" borderId="5" xfId="0" applyNumberFormat="1" applyBorder="1"/>
    <xf numFmtId="0" fontId="6" fillId="0" borderId="0" xfId="0" applyFont="1"/>
    <xf numFmtId="0" fontId="0" fillId="0" borderId="5" xfId="0" applyBorder="1"/>
    <xf numFmtId="0" fontId="2" fillId="0" borderId="0" xfId="0" applyFont="1"/>
    <xf numFmtId="164" fontId="2" fillId="0" borderId="0" xfId="0" applyNumberFormat="1" applyFont="1"/>
    <xf numFmtId="44" fontId="0" fillId="0" borderId="5" xfId="0" applyNumberFormat="1" applyBorder="1"/>
    <xf numFmtId="43" fontId="0" fillId="0" borderId="5" xfId="1" applyFont="1" applyBorder="1"/>
    <xf numFmtId="0" fontId="4" fillId="0" borderId="0" xfId="0" applyFont="1"/>
    <xf numFmtId="43" fontId="4" fillId="0" borderId="0" xfId="1" applyFont="1"/>
    <xf numFmtId="9" fontId="4" fillId="0" borderId="0" xfId="3" applyFont="1"/>
    <xf numFmtId="9" fontId="4" fillId="0" borderId="5" xfId="3" applyFont="1" applyBorder="1"/>
    <xf numFmtId="9" fontId="4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7" fillId="0" borderId="5" xfId="0" applyNumberFormat="1" applyFont="1" applyBorder="1"/>
    <xf numFmtId="43" fontId="0" fillId="0" borderId="0" xfId="0" applyNumberFormat="1"/>
    <xf numFmtId="43" fontId="0" fillId="0" borderId="5" xfId="0" applyNumberFormat="1" applyBorder="1"/>
    <xf numFmtId="0" fontId="9" fillId="0" borderId="9" xfId="0" applyFont="1" applyBorder="1"/>
    <xf numFmtId="0" fontId="9" fillId="0" borderId="9" xfId="0" applyFont="1" applyBorder="1" applyAlignment="1">
      <alignment horizontal="center"/>
    </xf>
    <xf numFmtId="0" fontId="10" fillId="0" borderId="0" xfId="0" applyFont="1"/>
    <xf numFmtId="164" fontId="10" fillId="0" borderId="0" xfId="0" applyNumberFormat="1" applyFont="1"/>
    <xf numFmtId="0" fontId="9" fillId="0" borderId="0" xfId="0" applyFont="1"/>
    <xf numFmtId="164" fontId="9" fillId="0" borderId="0" xfId="0" applyNumberFormat="1" applyFont="1"/>
    <xf numFmtId="44" fontId="9" fillId="0" borderId="0" xfId="0" applyNumberFormat="1" applyFont="1"/>
    <xf numFmtId="43" fontId="9" fillId="0" borderId="0" xfId="0" applyNumberFormat="1" applyFont="1"/>
    <xf numFmtId="0" fontId="11" fillId="0" borderId="0" xfId="0" applyFont="1"/>
    <xf numFmtId="164" fontId="11" fillId="0" borderId="0" xfId="0" applyNumberFormat="1" applyFont="1"/>
    <xf numFmtId="0" fontId="9" fillId="0" borderId="7" xfId="0" applyFont="1" applyBorder="1"/>
    <xf numFmtId="166" fontId="11" fillId="0" borderId="0" xfId="0" applyNumberFormat="1" applyFont="1"/>
    <xf numFmtId="166" fontId="9" fillId="0" borderId="0" xfId="0" applyNumberFormat="1" applyFont="1"/>
    <xf numFmtId="44" fontId="11" fillId="0" borderId="0" xfId="0" applyNumberFormat="1" applyFont="1"/>
    <xf numFmtId="1" fontId="9" fillId="0" borderId="0" xfId="0" applyNumberFormat="1" applyFont="1"/>
    <xf numFmtId="167" fontId="9" fillId="0" borderId="0" xfId="0" applyNumberFormat="1" applyFont="1"/>
    <xf numFmtId="166" fontId="9" fillId="0" borderId="9" xfId="0" applyNumberFormat="1" applyFont="1" applyBorder="1" applyAlignment="1">
      <alignment horizontal="center"/>
    </xf>
    <xf numFmtId="44" fontId="9" fillId="4" borderId="7" xfId="0" applyNumberFormat="1" applyFont="1" applyFill="1" applyBorder="1"/>
    <xf numFmtId="0" fontId="9" fillId="0" borderId="10" xfId="0" applyFont="1" applyBorder="1" applyAlignment="1">
      <alignment horizontal="center"/>
    </xf>
    <xf numFmtId="164" fontId="9" fillId="0" borderId="5" xfId="0" applyNumberFormat="1" applyFont="1" applyBorder="1"/>
    <xf numFmtId="164" fontId="10" fillId="0" borderId="5" xfId="0" applyNumberFormat="1" applyFont="1" applyBorder="1"/>
    <xf numFmtId="164" fontId="11" fillId="0" borderId="5" xfId="0" applyNumberFormat="1" applyFont="1" applyBorder="1"/>
    <xf numFmtId="166" fontId="11" fillId="0" borderId="5" xfId="0" applyNumberFormat="1" applyFont="1" applyBorder="1"/>
    <xf numFmtId="0" fontId="7" fillId="0" borderId="7" xfId="0" applyFont="1" applyBorder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colors>
    <indexedColors>
      <rgbColor rgb="FF000000"/>
      <rgbColor rgb="FFE8E8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FAC3F01-F6B2-4FA8-B28A-3DEBA42FDC6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5bb60593-198e-4e6b-9f25-7e41498dbc0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29"/>
  <sheetViews>
    <sheetView workbookViewId="0">
      <selection activeCell="B16" sqref="B16"/>
    </sheetView>
  </sheetViews>
  <sheetFormatPr defaultColWidth="11" defaultRowHeight="15.75" x14ac:dyDescent="0.25"/>
  <cols>
    <col min="2" max="2" width="22.125" customWidth="1"/>
    <col min="3" max="3" width="2.875" customWidth="1"/>
    <col min="4" max="4" width="20.5" customWidth="1"/>
    <col min="5" max="5" width="69.625" customWidth="1"/>
    <col min="6" max="6" width="38.875" customWidth="1"/>
    <col min="7" max="7" width="13.5" customWidth="1"/>
    <col min="8" max="8" width="16.125" customWidth="1"/>
    <col min="9" max="9" width="14" customWidth="1"/>
  </cols>
  <sheetData>
    <row r="2" spans="1:8" x14ac:dyDescent="0.25">
      <c r="A2" s="1" t="s">
        <v>0</v>
      </c>
      <c r="B2" s="2"/>
      <c r="D2" s="3" t="s">
        <v>1</v>
      </c>
      <c r="E2" s="4" t="s">
        <v>2</v>
      </c>
      <c r="F2" s="4" t="s">
        <v>3</v>
      </c>
      <c r="G2" s="4" t="s">
        <v>4</v>
      </c>
      <c r="H2" s="5" t="s">
        <v>5</v>
      </c>
    </row>
    <row r="3" spans="1:8" x14ac:dyDescent="0.25">
      <c r="A3" t="s">
        <v>6</v>
      </c>
      <c r="B3" s="6">
        <v>1213.4000000000001</v>
      </c>
      <c r="D3" s="7" t="s">
        <v>7</v>
      </c>
      <c r="E3" s="8" t="str">
        <f>Mounjaro!C4</f>
        <v>Type 2 Diabetes</v>
      </c>
      <c r="F3" s="8" t="str">
        <f>Mounjaro!C5</f>
        <v>Dual GIP/GLP-1 Receptor Agonist</v>
      </c>
      <c r="G3" s="9">
        <v>1</v>
      </c>
      <c r="H3" s="10">
        <v>44694</v>
      </c>
    </row>
    <row r="4" spans="1:8" x14ac:dyDescent="0.25">
      <c r="A4" t="s">
        <v>8</v>
      </c>
      <c r="B4" s="11">
        <v>895.9</v>
      </c>
      <c r="D4" s="7" t="s">
        <v>9</v>
      </c>
      <c r="E4" s="8" t="str">
        <f>Zepbound!C4</f>
        <v>Obesity &amp; Obstructive Sleep Apnea</v>
      </c>
      <c r="F4" s="8" t="str">
        <f>Zepbound!C5</f>
        <v>Dual GIP/GLP-1 Receptor Agonist</v>
      </c>
      <c r="G4" s="9">
        <v>1</v>
      </c>
      <c r="H4" s="10">
        <v>45238</v>
      </c>
    </row>
    <row r="5" spans="1:8" x14ac:dyDescent="0.25">
      <c r="A5" t="s">
        <v>10</v>
      </c>
      <c r="B5" s="6">
        <f>B3*B4</f>
        <v>1087085.06</v>
      </c>
      <c r="D5" s="7" t="s">
        <v>11</v>
      </c>
      <c r="E5" s="8" t="str">
        <f>Trulicity!C4</f>
        <v>Type-2 Diabetes</v>
      </c>
      <c r="F5" s="8" t="str">
        <f>Trulicity!C5</f>
        <v>GLP-1 Agonist</v>
      </c>
      <c r="G5" s="9">
        <v>1</v>
      </c>
      <c r="H5" s="10">
        <v>41900</v>
      </c>
    </row>
    <row r="6" spans="1:8" x14ac:dyDescent="0.25">
      <c r="A6" t="s">
        <v>12</v>
      </c>
      <c r="B6" s="6">
        <v>7268</v>
      </c>
      <c r="D6" s="7" t="s">
        <v>13</v>
      </c>
      <c r="E6" s="8" t="str">
        <f>Retatrutide!C4</f>
        <v xml:space="preserve">Obesity &amp; Type 2 Diabetes </v>
      </c>
      <c r="F6" s="8" t="str">
        <f>Retatrutide!C5</f>
        <v>GIP / GLP-1 / Glucagon Triple Receptor Agonist</v>
      </c>
      <c r="G6" s="9">
        <v>1</v>
      </c>
      <c r="H6" s="12" t="s">
        <v>14</v>
      </c>
    </row>
    <row r="7" spans="1:8" x14ac:dyDescent="0.25">
      <c r="A7" t="s">
        <v>15</v>
      </c>
      <c r="B7" s="6">
        <f>1635+40868</f>
        <v>42503</v>
      </c>
      <c r="D7" s="7" t="s">
        <v>16</v>
      </c>
      <c r="E7" s="8" t="str">
        <f>Foundayo!C4</f>
        <v>Obesity / Chronic Weight Management</v>
      </c>
      <c r="F7" s="8" t="str">
        <f>Foundayo!C5</f>
        <v>GLP-1 Receptor Agonist (oral, nonpeptide)</v>
      </c>
      <c r="G7" s="9">
        <v>1</v>
      </c>
      <c r="H7" s="10">
        <v>46113</v>
      </c>
    </row>
    <row r="8" spans="1:8" x14ac:dyDescent="0.25">
      <c r="A8" t="s">
        <v>17</v>
      </c>
      <c r="B8" s="13">
        <f>B5+B7-B6</f>
        <v>1122320.06</v>
      </c>
      <c r="D8" s="7" t="s">
        <v>18</v>
      </c>
      <c r="E8" s="8" t="str">
        <f>Basaglar!C4</f>
        <v>Type 1 and Type 2 Diabetes</v>
      </c>
      <c r="F8" s="8" t="str">
        <f>Basaglar!C5</f>
        <v>Long-Acting Insulin</v>
      </c>
      <c r="G8" s="9">
        <v>1</v>
      </c>
      <c r="H8" s="10">
        <f>DATE(2015,12,16)</f>
        <v>42354</v>
      </c>
    </row>
    <row r="9" spans="1:8" x14ac:dyDescent="0.25">
      <c r="D9" s="7" t="s">
        <v>19</v>
      </c>
      <c r="E9" s="8" t="str">
        <f>Humalog!C4</f>
        <v>Type 1 and Type 2 Diabetes</v>
      </c>
      <c r="F9" s="8" t="str">
        <f>Humalog!C5</f>
        <v>Rapid-Acting Insulin</v>
      </c>
      <c r="G9" s="9">
        <v>1</v>
      </c>
      <c r="H9" s="10">
        <v>35230</v>
      </c>
    </row>
    <row r="10" spans="1:8" x14ac:dyDescent="0.25">
      <c r="D10" s="7" t="s">
        <v>20</v>
      </c>
      <c r="E10" s="8" t="str">
        <f>Humulin!C4</f>
        <v>Type 1 and Type 2 Diabetes</v>
      </c>
      <c r="F10" s="8" t="str">
        <f>Humulin!C5</f>
        <v>Insulin (short- and intermediate-acting)</v>
      </c>
      <c r="G10" s="9">
        <v>1</v>
      </c>
      <c r="H10" s="10">
        <f>DATE(1982,10,28)</f>
        <v>30252</v>
      </c>
    </row>
    <row r="11" spans="1:8" x14ac:dyDescent="0.25">
      <c r="D11" s="7" t="s">
        <v>21</v>
      </c>
      <c r="E11" s="8" t="str">
        <f>Jardiance!C4</f>
        <v>Type 2 Diabetes &amp; Heart Failure</v>
      </c>
      <c r="F11" s="8" t="str">
        <f>Jardiance!C5</f>
        <v>SGLT2 Inhibitors</v>
      </c>
      <c r="G11" s="14" t="s">
        <v>22</v>
      </c>
      <c r="H11" s="10">
        <v>41852</v>
      </c>
    </row>
    <row r="12" spans="1:8" x14ac:dyDescent="0.25">
      <c r="D12" s="7" t="s">
        <v>23</v>
      </c>
      <c r="E12" s="8" t="str">
        <f>Verzenio!C4</f>
        <v>Breast Cancer</v>
      </c>
      <c r="F12" s="8" t="str">
        <f>Verzenio!C5</f>
        <v>CDK4/6 inhibitors</v>
      </c>
      <c r="G12" s="9">
        <v>1</v>
      </c>
      <c r="H12" s="10">
        <v>43006</v>
      </c>
    </row>
    <row r="13" spans="1:8" x14ac:dyDescent="0.25">
      <c r="D13" s="7" t="s">
        <v>24</v>
      </c>
      <c r="E13" s="8" t="str">
        <f>Cyramza!C4</f>
        <v>Gastric, NSCLC, and Colorectal Cancer</v>
      </c>
      <c r="F13" s="8" t="str">
        <f>Cyramza!C5</f>
        <v>VEGFR2 Antagonist (Monoclonal Antibody)</v>
      </c>
      <c r="G13" s="9">
        <v>1</v>
      </c>
      <c r="H13" s="10">
        <f>DATE(2014,4,21)</f>
        <v>41750</v>
      </c>
    </row>
    <row r="14" spans="1:8" x14ac:dyDescent="0.25">
      <c r="D14" s="7" t="s">
        <v>25</v>
      </c>
      <c r="E14" s="8" t="str">
        <f>Erbitux!C4</f>
        <v>Colorectal and Head &amp; Neck Cancer</v>
      </c>
      <c r="F14" s="8" t="str">
        <f>Erbitux!C5</f>
        <v>EGFR Inhibitor (Monoclonal Antibody)</v>
      </c>
      <c r="G14" s="14" t="s">
        <v>26</v>
      </c>
      <c r="H14" s="10">
        <f>DATE(2004,2,12)</f>
        <v>38029</v>
      </c>
    </row>
    <row r="15" spans="1:8" x14ac:dyDescent="0.25">
      <c r="D15" s="7" t="s">
        <v>27</v>
      </c>
      <c r="E15" s="8" t="str">
        <f>Retevmo!C4</f>
        <v>RET-Altered NSCLC and Thyroid Cancer</v>
      </c>
      <c r="F15" s="8" t="str">
        <f>Retevmo!C5</f>
        <v>RET Kinase Inhibitor</v>
      </c>
      <c r="G15" s="9">
        <v>1</v>
      </c>
      <c r="H15" s="10">
        <f>DATE(2020,5,8)</f>
        <v>43959</v>
      </c>
    </row>
    <row r="16" spans="1:8" x14ac:dyDescent="0.25">
      <c r="D16" s="7" t="s">
        <v>28</v>
      </c>
      <c r="E16" s="8" t="str">
        <f>Tyvyt!C4</f>
        <v>Hodgkin Lymphoma, NSCLC &amp; other cancers (approved in China; not FDA-approved)</v>
      </c>
      <c r="F16" s="8" t="str">
        <f>Tyvyt!C5</f>
        <v>PD-1 Inhibitor (Monoclonal Antibody)</v>
      </c>
      <c r="G16" s="14" t="s">
        <v>26</v>
      </c>
      <c r="H16" s="15" t="s">
        <v>29</v>
      </c>
    </row>
    <row r="17" spans="3:8" x14ac:dyDescent="0.25">
      <c r="D17" s="7" t="s">
        <v>30</v>
      </c>
      <c r="E17" s="8" t="str">
        <f>Jaypirca!C4</f>
        <v>Non-Hodgkin Lymphoma</v>
      </c>
      <c r="F17" s="8" t="str">
        <f>Jaypirca!C5</f>
        <v>Bruton’s tyrosine kinase (BTK) inhibitor</v>
      </c>
      <c r="G17" s="9">
        <v>1</v>
      </c>
      <c r="H17" s="10">
        <v>44953</v>
      </c>
    </row>
    <row r="18" spans="3:8" x14ac:dyDescent="0.25">
      <c r="D18" s="7" t="s">
        <v>31</v>
      </c>
      <c r="E18" s="8" t="str">
        <f>Inluriyo!C4</f>
        <v>Breast Cancer</v>
      </c>
      <c r="F18" s="8" t="str">
        <f>Inluriyo!C5</f>
        <v>Estrogen Antagonist</v>
      </c>
      <c r="G18" s="9">
        <v>1</v>
      </c>
      <c r="H18" s="10">
        <v>45925</v>
      </c>
    </row>
    <row r="19" spans="3:8" x14ac:dyDescent="0.25">
      <c r="D19" s="7" t="s">
        <v>32</v>
      </c>
      <c r="E19" s="8" t="str">
        <f>Ebglyss!C4</f>
        <v>Eczema</v>
      </c>
      <c r="F19" s="8" t="str">
        <f>Ebglyss!C5</f>
        <v>interleukin-13 antagonist</v>
      </c>
      <c r="G19" s="9">
        <v>1</v>
      </c>
      <c r="H19" s="10">
        <v>45548</v>
      </c>
    </row>
    <row r="20" spans="3:8" x14ac:dyDescent="0.25">
      <c r="D20" s="7" t="s">
        <v>33</v>
      </c>
      <c r="E20" s="8" t="str">
        <f>Olumiant!C4</f>
        <v>Rheumatoid Arthritis, Alopecia Areata, COVID-19</v>
      </c>
      <c r="F20" s="8" t="str">
        <f>Olumiant!C5</f>
        <v>JAK (Janus Kinase) Inhibitor</v>
      </c>
      <c r="G20" s="9">
        <v>1</v>
      </c>
      <c r="H20" s="10">
        <f>DATE(2018,5,31)</f>
        <v>43251</v>
      </c>
    </row>
    <row r="21" spans="3:8" x14ac:dyDescent="0.25">
      <c r="D21" s="7" t="s">
        <v>34</v>
      </c>
      <c r="E21" s="8" t="str">
        <f>Omvoh!C4</f>
        <v>Crohn's Disease &amp; Ulcerative Colitis</v>
      </c>
      <c r="F21" s="8" t="str">
        <f>Omvoh!C5</f>
        <v>interleukin-23 antagonist</v>
      </c>
      <c r="G21" s="9">
        <v>1</v>
      </c>
      <c r="H21" s="10">
        <v>45225</v>
      </c>
    </row>
    <row r="22" spans="3:8" x14ac:dyDescent="0.25">
      <c r="D22" s="7" t="s">
        <v>35</v>
      </c>
      <c r="E22" s="8" t="str">
        <f>Taltz!C4</f>
        <v>Plaque Psoriasis &amp; Psoriatic Arthritis</v>
      </c>
      <c r="F22" s="8" t="str">
        <f>Taltz!C5</f>
        <v>interleukin antagonist</v>
      </c>
      <c r="G22" s="9">
        <v>1</v>
      </c>
      <c r="H22" s="10">
        <v>42451</v>
      </c>
    </row>
    <row r="23" spans="3:8" x14ac:dyDescent="0.25">
      <c r="D23" s="7" t="s">
        <v>36</v>
      </c>
      <c r="E23" s="8" t="str">
        <f>Emgality!C4</f>
        <v>Migraine Prevention and Cluster Headache</v>
      </c>
      <c r="F23" s="8" t="str">
        <f>Emgality!C5</f>
        <v>CGRP Antagonist (Monoclonal Antibody)</v>
      </c>
      <c r="G23" s="9">
        <v>1</v>
      </c>
      <c r="H23" s="10">
        <f>DATE(2018,9,27)</f>
        <v>43370</v>
      </c>
    </row>
    <row r="24" spans="3:8" x14ac:dyDescent="0.25">
      <c r="D24" s="16" t="s">
        <v>37</v>
      </c>
      <c r="E24" s="17" t="str">
        <f>Kisunla!C4</f>
        <v>Alzheimer's Disease</v>
      </c>
      <c r="F24" s="17" t="str">
        <f>Kisunla!C5</f>
        <v>amyloid beta-directed antibody</v>
      </c>
      <c r="G24" s="18">
        <v>1</v>
      </c>
      <c r="H24" s="19">
        <v>45475</v>
      </c>
    </row>
    <row r="26" spans="3:8" x14ac:dyDescent="0.25">
      <c r="D26" s="20"/>
      <c r="E26" s="8"/>
      <c r="F26" s="8"/>
    </row>
    <row r="28" spans="3:8" x14ac:dyDescent="0.25">
      <c r="C28" s="8"/>
    </row>
    <row r="29" spans="3:8" x14ac:dyDescent="0.25">
      <c r="C29" s="8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K236"/>
  <sheetViews>
    <sheetView tabSelected="1" topLeftCell="A43" zoomScale="90" zoomScaleNormal="90" workbookViewId="0">
      <pane xSplit="2" topLeftCell="C1" activePane="topRight" state="frozen"/>
      <selection pane="topRight" activeCell="I57" sqref="I57"/>
    </sheetView>
  </sheetViews>
  <sheetFormatPr defaultColWidth="11" defaultRowHeight="15.75" x14ac:dyDescent="0.25"/>
  <cols>
    <col min="1" max="1" width="2.375" customWidth="1"/>
    <col min="2" max="2" width="32.625" customWidth="1"/>
    <col min="3" max="12" width="13.375" customWidth="1"/>
    <col min="13" max="13" width="14" customWidth="1"/>
    <col min="14" max="14" width="15.125" customWidth="1"/>
    <col min="15" max="16" width="13.375" customWidth="1"/>
    <col min="17" max="17" width="13.5" customWidth="1"/>
    <col min="18" max="18" width="20" bestFit="1" customWidth="1"/>
    <col min="19" max="19" width="11.375" bestFit="1" customWidth="1"/>
    <col min="20" max="20" width="13.5" customWidth="1"/>
    <col min="21" max="31" width="13.375" customWidth="1"/>
    <col min="32" max="38" width="13.125" customWidth="1"/>
    <col min="39" max="91" width="12.5" customWidth="1"/>
  </cols>
  <sheetData>
    <row r="1" spans="2:16" ht="9.75" customHeight="1" x14ac:dyDescent="0.25"/>
    <row r="2" spans="2:16" ht="18.75" customHeight="1" x14ac:dyDescent="0.3">
      <c r="B2" s="21" t="s">
        <v>38</v>
      </c>
    </row>
    <row r="4" spans="2:16" ht="16.5" customHeight="1" thickBot="1" x14ac:dyDescent="0.3">
      <c r="B4" s="22" t="s">
        <v>39</v>
      </c>
      <c r="C4" s="23" t="s">
        <v>40</v>
      </c>
      <c r="D4" s="23" t="s">
        <v>41</v>
      </c>
      <c r="E4" s="23" t="s">
        <v>42</v>
      </c>
      <c r="F4" s="23" t="s">
        <v>43</v>
      </c>
      <c r="G4" s="23" t="s">
        <v>44</v>
      </c>
      <c r="H4" s="23" t="s">
        <v>45</v>
      </c>
      <c r="I4" s="23" t="s">
        <v>46</v>
      </c>
      <c r="J4" s="23" t="s">
        <v>47</v>
      </c>
      <c r="K4" s="23" t="s">
        <v>48</v>
      </c>
      <c r="L4" s="23" t="s">
        <v>49</v>
      </c>
      <c r="M4" s="23" t="s">
        <v>50</v>
      </c>
      <c r="N4" s="23" t="s">
        <v>51</v>
      </c>
      <c r="O4" s="24" t="s">
        <v>52</v>
      </c>
      <c r="P4" s="23" t="s">
        <v>53</v>
      </c>
    </row>
    <row r="5" spans="2:16" x14ac:dyDescent="0.25">
      <c r="B5" s="25" t="s">
        <v>54</v>
      </c>
      <c r="C5" s="26">
        <f t="shared" ref="C5:P5" si="0">SUM(C6:C14)</f>
        <v>4045.3</v>
      </c>
      <c r="D5" s="26">
        <f t="shared" si="0"/>
        <v>4260.3999999999996</v>
      </c>
      <c r="E5" s="26">
        <f t="shared" si="0"/>
        <v>4565.3999999999996</v>
      </c>
      <c r="F5" s="26">
        <f t="shared" si="0"/>
        <v>5588.7000000000007</v>
      </c>
      <c r="G5" s="26">
        <f t="shared" si="0"/>
        <v>5369.2</v>
      </c>
      <c r="H5" s="26">
        <f t="shared" si="0"/>
        <v>7858.8000000000011</v>
      </c>
      <c r="I5" s="26">
        <f t="shared" si="0"/>
        <v>7261.6</v>
      </c>
      <c r="J5" s="26">
        <f t="shared" si="0"/>
        <v>8962.6999999999989</v>
      </c>
      <c r="K5" s="26">
        <f t="shared" si="0"/>
        <v>9147</v>
      </c>
      <c r="L5" s="26">
        <f t="shared" si="0"/>
        <v>11185.800000000001</v>
      </c>
      <c r="M5" s="26">
        <f t="shared" si="0"/>
        <v>13051.800000000001</v>
      </c>
      <c r="N5" s="26">
        <f t="shared" si="0"/>
        <v>14526.3</v>
      </c>
      <c r="O5" s="27">
        <f t="shared" si="0"/>
        <v>15790.900000000001</v>
      </c>
      <c r="P5" s="26">
        <f t="shared" si="0"/>
        <v>0</v>
      </c>
    </row>
    <row r="6" spans="2:16" x14ac:dyDescent="0.25">
      <c r="B6" t="s">
        <v>7</v>
      </c>
      <c r="C6" s="28">
        <v>568.5</v>
      </c>
      <c r="D6" s="28">
        <v>979.7</v>
      </c>
      <c r="E6" s="28">
        <v>1409.3</v>
      </c>
      <c r="F6" s="28">
        <v>2205.6</v>
      </c>
      <c r="G6" s="28">
        <v>1806.5</v>
      </c>
      <c r="H6" s="28">
        <v>3090.8</v>
      </c>
      <c r="I6" s="28">
        <v>3112.7</v>
      </c>
      <c r="J6" s="28">
        <v>3530</v>
      </c>
      <c r="K6" s="28">
        <v>3842</v>
      </c>
      <c r="L6" s="28">
        <v>5198.8999999999996</v>
      </c>
      <c r="M6" s="28">
        <v>6515.1</v>
      </c>
      <c r="N6" s="28">
        <v>7409</v>
      </c>
      <c r="O6" s="29">
        <v>8662</v>
      </c>
      <c r="P6" s="13"/>
    </row>
    <row r="7" spans="2:16" x14ac:dyDescent="0.25">
      <c r="B7" t="s">
        <v>9</v>
      </c>
      <c r="C7" s="30"/>
      <c r="D7" s="30"/>
      <c r="E7" s="30"/>
      <c r="F7" s="28">
        <v>175.8</v>
      </c>
      <c r="G7" s="28">
        <v>517.4</v>
      </c>
      <c r="H7" s="28">
        <v>1243.2</v>
      </c>
      <c r="I7" s="28">
        <v>1257.8</v>
      </c>
      <c r="J7" s="28">
        <v>1907</v>
      </c>
      <c r="K7" s="28">
        <v>2312</v>
      </c>
      <c r="L7" s="28">
        <v>3381.4</v>
      </c>
      <c r="M7" s="28">
        <v>3588</v>
      </c>
      <c r="N7" s="28">
        <v>4261</v>
      </c>
      <c r="O7" s="29">
        <v>4160</v>
      </c>
      <c r="P7" s="13"/>
    </row>
    <row r="8" spans="2:16" x14ac:dyDescent="0.25">
      <c r="B8" t="s">
        <v>11</v>
      </c>
      <c r="C8" s="28">
        <v>1977.1</v>
      </c>
      <c r="D8" s="28">
        <v>1812.5</v>
      </c>
      <c r="E8" s="28">
        <v>1673.6</v>
      </c>
      <c r="F8" s="28">
        <v>1669.3</v>
      </c>
      <c r="G8" s="28">
        <v>1456.3</v>
      </c>
      <c r="H8" s="28">
        <v>1245.5999999999999</v>
      </c>
      <c r="I8" s="28">
        <v>1301.4000000000001</v>
      </c>
      <c r="J8" s="28">
        <v>1250.2</v>
      </c>
      <c r="K8" s="28">
        <v>1095</v>
      </c>
      <c r="L8" s="28">
        <v>1092.2</v>
      </c>
      <c r="M8" s="28">
        <v>1051.8</v>
      </c>
      <c r="N8" s="28">
        <f>4276-M8-L8-K8</f>
        <v>1037</v>
      </c>
      <c r="O8" s="29">
        <v>919</v>
      </c>
      <c r="P8" s="13"/>
    </row>
    <row r="9" spans="2:16" x14ac:dyDescent="0.25">
      <c r="B9" s="31" t="s">
        <v>13</v>
      </c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2"/>
      <c r="P9" s="13"/>
    </row>
    <row r="10" spans="2:16" x14ac:dyDescent="0.25">
      <c r="B10" s="31" t="s">
        <v>16</v>
      </c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2"/>
      <c r="P10" s="13"/>
    </row>
    <row r="11" spans="2:16" x14ac:dyDescent="0.25">
      <c r="B11" t="s">
        <v>18</v>
      </c>
      <c r="C11" s="28">
        <v>209.3</v>
      </c>
      <c r="D11" s="28">
        <v>154.19999999999999</v>
      </c>
      <c r="E11" s="28">
        <v>179.6</v>
      </c>
      <c r="F11" s="28">
        <f>728.3-E11-D11-C11</f>
        <v>185.19999999999993</v>
      </c>
      <c r="G11" s="28">
        <v>157.6</v>
      </c>
      <c r="H11" s="28">
        <v>180.8</v>
      </c>
      <c r="I11" s="28">
        <v>161.6</v>
      </c>
      <c r="J11" s="28">
        <v>176.9</v>
      </c>
      <c r="K11" s="28">
        <v>173.6</v>
      </c>
      <c r="L11" s="28">
        <v>145</v>
      </c>
      <c r="M11" s="28">
        <v>162.19999999999999</v>
      </c>
      <c r="N11" s="28">
        <f>+J11</f>
        <v>176.9</v>
      </c>
      <c r="O11" s="29">
        <f>+K11-10</f>
        <v>163.6</v>
      </c>
      <c r="P11" s="13"/>
    </row>
    <row r="12" spans="2:16" x14ac:dyDescent="0.25">
      <c r="B12" t="s">
        <v>19</v>
      </c>
      <c r="C12" s="28">
        <v>460.9</v>
      </c>
      <c r="D12" s="28">
        <v>440.4</v>
      </c>
      <c r="E12" s="28">
        <v>395.4</v>
      </c>
      <c r="F12" s="28">
        <v>366.6</v>
      </c>
      <c r="G12" s="28">
        <v>538.70000000000005</v>
      </c>
      <c r="H12" s="28">
        <v>631.6</v>
      </c>
      <c r="I12" s="28">
        <v>534.6</v>
      </c>
      <c r="J12" s="28">
        <v>619.9</v>
      </c>
      <c r="K12" s="28">
        <v>537.20000000000005</v>
      </c>
      <c r="L12" s="28">
        <v>503.1</v>
      </c>
      <c r="M12" s="28">
        <v>599.1</v>
      </c>
      <c r="N12" s="28">
        <f>+M12-5</f>
        <v>594.1</v>
      </c>
      <c r="O12" s="29">
        <f>+N12--15</f>
        <v>609.1</v>
      </c>
      <c r="P12" s="13"/>
    </row>
    <row r="13" spans="2:16" x14ac:dyDescent="0.25">
      <c r="B13" t="s">
        <v>55</v>
      </c>
      <c r="C13" s="28">
        <v>252</v>
      </c>
      <c r="D13" s="28">
        <v>205.3</v>
      </c>
      <c r="E13" s="28">
        <v>206.7</v>
      </c>
      <c r="F13" s="28">
        <f>852.1-E13-D13-C13</f>
        <v>188.10000000000008</v>
      </c>
      <c r="G13" s="28">
        <v>206.2</v>
      </c>
      <c r="H13" s="28">
        <v>223.6</v>
      </c>
      <c r="I13" s="28">
        <v>207.1</v>
      </c>
      <c r="J13" s="28">
        <v>280.3</v>
      </c>
      <c r="K13" s="28">
        <v>173.2</v>
      </c>
      <c r="L13" s="28">
        <v>175.2</v>
      </c>
      <c r="M13" s="28">
        <v>176.6</v>
      </c>
      <c r="N13" s="28">
        <f>+J13</f>
        <v>280.3</v>
      </c>
      <c r="O13" s="29">
        <f>+K13-10</f>
        <v>163.19999999999999</v>
      </c>
      <c r="P13" s="13"/>
    </row>
    <row r="14" spans="2:16" x14ac:dyDescent="0.25">
      <c r="B14" t="s">
        <v>21</v>
      </c>
      <c r="C14" s="28">
        <v>577.5</v>
      </c>
      <c r="D14" s="28">
        <v>668.3</v>
      </c>
      <c r="E14" s="28">
        <v>700.8</v>
      </c>
      <c r="F14" s="28">
        <v>798.1</v>
      </c>
      <c r="G14" s="28">
        <v>686.5</v>
      </c>
      <c r="H14" s="28">
        <v>1243.2</v>
      </c>
      <c r="I14" s="28">
        <v>686.4</v>
      </c>
      <c r="J14" s="28">
        <v>1198.4000000000001</v>
      </c>
      <c r="K14" s="28">
        <v>1014</v>
      </c>
      <c r="L14" s="28">
        <v>690</v>
      </c>
      <c r="M14" s="28">
        <v>959</v>
      </c>
      <c r="N14" s="28">
        <f>3431-K14-L14-M14</f>
        <v>768</v>
      </c>
      <c r="O14" s="29">
        <v>1114</v>
      </c>
      <c r="P14" s="13"/>
    </row>
    <row r="15" spans="2:16" x14ac:dyDescent="0.25">
      <c r="B15" s="25" t="s">
        <v>56</v>
      </c>
      <c r="C15" s="33">
        <f t="shared" ref="C15:P15" si="1">SUM(C16:C22)</f>
        <v>1230.0000000000002</v>
      </c>
      <c r="D15" s="33">
        <f t="shared" si="1"/>
        <v>1518.6</v>
      </c>
      <c r="E15" s="33">
        <f t="shared" si="1"/>
        <v>1596.7</v>
      </c>
      <c r="F15" s="33">
        <f t="shared" si="1"/>
        <v>1736.2</v>
      </c>
      <c r="G15" s="33">
        <f t="shared" si="1"/>
        <v>1660.7</v>
      </c>
      <c r="H15" s="33">
        <f t="shared" si="1"/>
        <v>2043.2000000000003</v>
      </c>
      <c r="I15" s="33">
        <f t="shared" si="1"/>
        <v>2102.6</v>
      </c>
      <c r="J15" s="33">
        <f t="shared" si="1"/>
        <v>2328.1999999999998</v>
      </c>
      <c r="K15" s="33">
        <f t="shared" si="1"/>
        <v>1853.3000000000002</v>
      </c>
      <c r="L15" s="33">
        <f t="shared" si="1"/>
        <v>2317.6000000000004</v>
      </c>
      <c r="M15" s="33">
        <f t="shared" si="1"/>
        <v>2326</v>
      </c>
      <c r="N15" s="33">
        <f t="shared" si="1"/>
        <v>2468.5</v>
      </c>
      <c r="O15" s="34">
        <f t="shared" si="1"/>
        <v>2268.4</v>
      </c>
      <c r="P15" s="33">
        <f t="shared" si="1"/>
        <v>0</v>
      </c>
    </row>
    <row r="16" spans="2:16" x14ac:dyDescent="0.25">
      <c r="B16" t="s">
        <v>23</v>
      </c>
      <c r="C16" s="28">
        <v>750.9</v>
      </c>
      <c r="D16" s="28">
        <v>926.8</v>
      </c>
      <c r="E16" s="28">
        <v>1040.2</v>
      </c>
      <c r="F16" s="28">
        <v>1145.4000000000001</v>
      </c>
      <c r="G16" s="28">
        <v>1050.3</v>
      </c>
      <c r="H16" s="28">
        <v>1331.9</v>
      </c>
      <c r="I16" s="28">
        <v>1369.3</v>
      </c>
      <c r="J16" s="28">
        <v>1555</v>
      </c>
      <c r="K16" s="28">
        <v>1158.9000000000001</v>
      </c>
      <c r="L16" s="28">
        <v>1489.3</v>
      </c>
      <c r="M16" s="28">
        <v>1470.2</v>
      </c>
      <c r="N16" s="28">
        <v>1604</v>
      </c>
      <c r="O16" s="29">
        <v>1302</v>
      </c>
      <c r="P16" s="13"/>
    </row>
    <row r="17" spans="2:16" x14ac:dyDescent="0.25">
      <c r="B17" t="s">
        <v>24</v>
      </c>
      <c r="C17" s="28">
        <v>236.8</v>
      </c>
      <c r="D17" s="28">
        <v>260.3</v>
      </c>
      <c r="E17" s="28">
        <v>224.1</v>
      </c>
      <c r="F17" s="28">
        <v>253.6</v>
      </c>
      <c r="G17" s="28">
        <v>229.9</v>
      </c>
      <c r="H17" s="28">
        <v>248.9</v>
      </c>
      <c r="I17" s="28">
        <v>236</v>
      </c>
      <c r="J17" s="28">
        <v>258.60000000000002</v>
      </c>
      <c r="K17" s="28">
        <v>224.9</v>
      </c>
      <c r="L17" s="28">
        <v>253.7</v>
      </c>
      <c r="M17" s="28">
        <v>245.5</v>
      </c>
      <c r="N17" s="28">
        <f>+J17</f>
        <v>258.60000000000002</v>
      </c>
      <c r="O17" s="29">
        <f>+K17+34</f>
        <v>258.89999999999998</v>
      </c>
      <c r="P17" s="13"/>
    </row>
    <row r="18" spans="2:16" x14ac:dyDescent="0.25">
      <c r="B18" t="s">
        <v>25</v>
      </c>
      <c r="C18" s="28">
        <v>129.9</v>
      </c>
      <c r="D18" s="28">
        <v>162.5</v>
      </c>
      <c r="E18" s="28">
        <v>153.9</v>
      </c>
      <c r="F18" s="28">
        <f>596.5-E18-D18-C18</f>
        <v>150.20000000000002</v>
      </c>
      <c r="G18" s="28">
        <v>144.6</v>
      </c>
      <c r="H18" s="28">
        <v>155.80000000000001</v>
      </c>
      <c r="I18" s="28">
        <v>152</v>
      </c>
      <c r="J18" s="28">
        <v>175</v>
      </c>
      <c r="K18" s="28">
        <v>149</v>
      </c>
      <c r="L18" s="28">
        <v>183.7</v>
      </c>
      <c r="M18" s="28">
        <v>198.6</v>
      </c>
      <c r="N18" s="28">
        <f>+J18</f>
        <v>175</v>
      </c>
      <c r="O18" s="29">
        <f>+K18+34</f>
        <v>183</v>
      </c>
      <c r="P18" s="13"/>
    </row>
    <row r="19" spans="2:16" x14ac:dyDescent="0.25">
      <c r="B19" t="s">
        <v>27</v>
      </c>
      <c r="C19" s="28">
        <v>51.4</v>
      </c>
      <c r="D19" s="28">
        <v>65.400000000000006</v>
      </c>
      <c r="E19" s="28">
        <v>63.4</v>
      </c>
      <c r="F19" s="28">
        <v>73.400000000000006</v>
      </c>
      <c r="G19" s="28">
        <v>69.2</v>
      </c>
      <c r="H19" s="28">
        <v>91.2</v>
      </c>
      <c r="I19" s="28">
        <v>114</v>
      </c>
      <c r="J19" s="28">
        <v>90</v>
      </c>
      <c r="K19" s="28">
        <v>91</v>
      </c>
      <c r="L19" s="28">
        <v>125.3</v>
      </c>
      <c r="M19" s="28">
        <v>112</v>
      </c>
      <c r="N19" s="28">
        <f>+M19+5</f>
        <v>117</v>
      </c>
      <c r="O19" s="29">
        <f>+N19+34</f>
        <v>151</v>
      </c>
      <c r="P19" s="13"/>
    </row>
    <row r="20" spans="2:16" x14ac:dyDescent="0.25">
      <c r="B20" t="s">
        <v>28</v>
      </c>
      <c r="C20" s="28">
        <v>61</v>
      </c>
      <c r="D20" s="28">
        <v>103.6</v>
      </c>
      <c r="E20" s="28">
        <v>115.1</v>
      </c>
      <c r="F20" s="28">
        <v>113.6</v>
      </c>
      <c r="G20" s="28">
        <v>116.7</v>
      </c>
      <c r="H20" s="28">
        <v>123</v>
      </c>
      <c r="I20" s="28">
        <v>150.19999999999999</v>
      </c>
      <c r="J20" s="28">
        <v>136</v>
      </c>
      <c r="K20" s="28">
        <v>137.5</v>
      </c>
      <c r="L20" s="28">
        <v>137.30000000000001</v>
      </c>
      <c r="M20" s="28">
        <v>141.80000000000001</v>
      </c>
      <c r="N20" s="28">
        <f>+J20</f>
        <v>136</v>
      </c>
      <c r="O20" s="29">
        <f>+K20+34+2</f>
        <v>173.5</v>
      </c>
      <c r="P20" s="13"/>
    </row>
    <row r="21" spans="2:16" x14ac:dyDescent="0.25">
      <c r="B21" t="s">
        <v>30</v>
      </c>
      <c r="C21" s="30"/>
      <c r="D21" s="30"/>
      <c r="E21" s="30"/>
      <c r="F21" s="30"/>
      <c r="G21" s="28">
        <v>50</v>
      </c>
      <c r="H21" s="28">
        <v>92.4</v>
      </c>
      <c r="I21" s="28">
        <v>81.099999999999994</v>
      </c>
      <c r="J21" s="28">
        <v>113.6</v>
      </c>
      <c r="K21" s="28">
        <v>92</v>
      </c>
      <c r="L21" s="28">
        <v>123.3</v>
      </c>
      <c r="M21" s="28">
        <v>142.9</v>
      </c>
      <c r="N21" s="28">
        <f>+M21+10</f>
        <v>152.9</v>
      </c>
      <c r="O21" s="29">
        <v>165</v>
      </c>
      <c r="P21" s="13"/>
    </row>
    <row r="22" spans="2:16" x14ac:dyDescent="0.25">
      <c r="B22" t="s">
        <v>31</v>
      </c>
      <c r="C22" s="30"/>
      <c r="D22" s="30"/>
      <c r="E22" s="30"/>
      <c r="F22" s="30"/>
      <c r="G22" s="30"/>
      <c r="H22" s="30"/>
      <c r="I22" s="30"/>
      <c r="J22" s="30"/>
      <c r="K22" s="30"/>
      <c r="L22" s="28">
        <f>M22-10</f>
        <v>5</v>
      </c>
      <c r="M22" s="28">
        <f>N22-10</f>
        <v>15</v>
      </c>
      <c r="N22" s="28">
        <f>O22-10</f>
        <v>25</v>
      </c>
      <c r="O22" s="29">
        <v>35</v>
      </c>
      <c r="P22" s="13"/>
    </row>
    <row r="23" spans="2:16" x14ac:dyDescent="0.25">
      <c r="B23" s="25" t="s">
        <v>57</v>
      </c>
      <c r="C23" s="33">
        <f t="shared" ref="C23:P23" si="2">SUM(C24:C27)</f>
        <v>755.9</v>
      </c>
      <c r="D23" s="33">
        <f t="shared" si="2"/>
        <v>922.8</v>
      </c>
      <c r="E23" s="33">
        <f t="shared" si="2"/>
        <v>975.6</v>
      </c>
      <c r="F23" s="33">
        <f t="shared" si="2"/>
        <v>1028.0999999999999</v>
      </c>
      <c r="G23" s="33">
        <f t="shared" si="2"/>
        <v>834</v>
      </c>
      <c r="H23" s="33">
        <f t="shared" si="2"/>
        <v>1082.3000000000002</v>
      </c>
      <c r="I23" s="33">
        <f t="shared" si="2"/>
        <v>1185.8</v>
      </c>
      <c r="J23" s="33">
        <f t="shared" si="2"/>
        <v>1290.9000000000001</v>
      </c>
      <c r="K23" s="33">
        <f t="shared" si="2"/>
        <v>1088.0999999999999</v>
      </c>
      <c r="L23" s="33">
        <f t="shared" si="2"/>
        <v>1255.5999999999999</v>
      </c>
      <c r="M23" s="33">
        <f t="shared" si="2"/>
        <v>1362.4</v>
      </c>
      <c r="N23" s="33">
        <f t="shared" si="2"/>
        <v>1535.5</v>
      </c>
      <c r="O23" s="34">
        <f t="shared" si="2"/>
        <v>1202.7</v>
      </c>
      <c r="P23" s="33">
        <f t="shared" si="2"/>
        <v>0</v>
      </c>
    </row>
    <row r="24" spans="2:16" x14ac:dyDescent="0.25">
      <c r="B24" t="s">
        <v>32</v>
      </c>
      <c r="C24" s="30"/>
      <c r="D24" s="30"/>
      <c r="E24" s="30"/>
      <c r="F24" s="30"/>
      <c r="G24" s="28">
        <v>3.1</v>
      </c>
      <c r="H24" s="28">
        <v>4.3</v>
      </c>
      <c r="I24" s="28">
        <v>14.9</v>
      </c>
      <c r="J24" s="28">
        <v>20.399999999999999</v>
      </c>
      <c r="K24" s="28">
        <v>60.2</v>
      </c>
      <c r="L24" s="28">
        <v>86.8</v>
      </c>
      <c r="M24" s="28">
        <v>127.1</v>
      </c>
      <c r="N24" s="28">
        <f>+M24+5</f>
        <v>132.1</v>
      </c>
      <c r="O24" s="29">
        <v>145</v>
      </c>
      <c r="P24" s="13"/>
    </row>
    <row r="25" spans="2:16" x14ac:dyDescent="0.25">
      <c r="B25" t="s">
        <v>33</v>
      </c>
      <c r="C25" s="28">
        <v>228.9</v>
      </c>
      <c r="D25" s="28">
        <v>218.9</v>
      </c>
      <c r="E25" s="28">
        <v>231.4</v>
      </c>
      <c r="F25" s="28">
        <v>243.5</v>
      </c>
      <c r="G25" s="28">
        <v>217.4</v>
      </c>
      <c r="H25" s="28">
        <v>227.7</v>
      </c>
      <c r="I25" s="28">
        <v>250.8</v>
      </c>
      <c r="J25" s="28">
        <v>261.60000000000002</v>
      </c>
      <c r="K25" s="28">
        <v>228.7</v>
      </c>
      <c r="L25" s="28">
        <v>246.4</v>
      </c>
      <c r="M25" s="28">
        <v>268.89999999999998</v>
      </c>
      <c r="N25" s="28">
        <f>+J25</f>
        <v>261.60000000000002</v>
      </c>
      <c r="O25" s="29">
        <f>+K25+16</f>
        <v>244.7</v>
      </c>
      <c r="P25" s="13"/>
    </row>
    <row r="26" spans="2:16" x14ac:dyDescent="0.25">
      <c r="B26" t="s">
        <v>34</v>
      </c>
      <c r="C26" s="30"/>
      <c r="D26" s="30"/>
      <c r="E26" s="30"/>
      <c r="F26" s="30"/>
      <c r="G26" s="28">
        <v>9.4</v>
      </c>
      <c r="H26" s="28">
        <v>25.6</v>
      </c>
      <c r="I26" s="28">
        <v>40.5</v>
      </c>
      <c r="J26" s="28">
        <v>56.9</v>
      </c>
      <c r="K26" s="28">
        <v>37.200000000000003</v>
      </c>
      <c r="L26" s="28">
        <v>74.8</v>
      </c>
      <c r="M26" s="28">
        <v>64.900000000000006</v>
      </c>
      <c r="N26" s="28">
        <f>+M26+25</f>
        <v>89.9</v>
      </c>
      <c r="O26" s="29">
        <v>80</v>
      </c>
      <c r="P26" s="13"/>
    </row>
    <row r="27" spans="2:16" x14ac:dyDescent="0.25">
      <c r="B27" t="s">
        <v>35</v>
      </c>
      <c r="C27" s="28">
        <v>527</v>
      </c>
      <c r="D27" s="28">
        <v>703.9</v>
      </c>
      <c r="E27" s="28">
        <v>744.2</v>
      </c>
      <c r="F27" s="28">
        <v>784.6</v>
      </c>
      <c r="G27" s="28">
        <v>604.1</v>
      </c>
      <c r="H27" s="28">
        <v>824.7</v>
      </c>
      <c r="I27" s="28">
        <v>879.6</v>
      </c>
      <c r="J27" s="28">
        <v>952</v>
      </c>
      <c r="K27" s="28">
        <v>762</v>
      </c>
      <c r="L27" s="28">
        <v>847.6</v>
      </c>
      <c r="M27" s="28">
        <v>901.5</v>
      </c>
      <c r="N27" s="28">
        <f>3563-K27-L27-M27</f>
        <v>1051.9000000000001</v>
      </c>
      <c r="O27" s="29">
        <v>733</v>
      </c>
      <c r="P27" s="13"/>
    </row>
    <row r="28" spans="2:16" x14ac:dyDescent="0.25">
      <c r="B28" s="25" t="s">
        <v>58</v>
      </c>
      <c r="C28" s="33">
        <f t="shared" ref="C28:P28" si="3">SUM(C29:C30)</f>
        <v>154.30000000000001</v>
      </c>
      <c r="D28" s="33">
        <f t="shared" si="3"/>
        <v>169.3</v>
      </c>
      <c r="E28" s="33">
        <f t="shared" si="3"/>
        <v>168.5</v>
      </c>
      <c r="F28" s="33">
        <f t="shared" si="3"/>
        <v>186.1</v>
      </c>
      <c r="G28" s="33">
        <f t="shared" si="3"/>
        <v>225.7</v>
      </c>
      <c r="H28" s="33">
        <f t="shared" si="3"/>
        <v>192</v>
      </c>
      <c r="I28" s="33">
        <f t="shared" si="3"/>
        <v>204.3</v>
      </c>
      <c r="J28" s="33">
        <f t="shared" si="3"/>
        <v>257.7</v>
      </c>
      <c r="K28" s="33">
        <f t="shared" si="3"/>
        <v>146.1</v>
      </c>
      <c r="L28" s="33">
        <f t="shared" si="3"/>
        <v>249.7</v>
      </c>
      <c r="M28" s="33">
        <f t="shared" si="3"/>
        <v>246.1</v>
      </c>
      <c r="N28" s="33">
        <f t="shared" si="3"/>
        <v>370.18000000000006</v>
      </c>
      <c r="O28" s="34">
        <f t="shared" si="3"/>
        <v>261.06</v>
      </c>
      <c r="P28" s="33">
        <f t="shared" si="3"/>
        <v>0</v>
      </c>
    </row>
    <row r="29" spans="2:16" x14ac:dyDescent="0.25">
      <c r="B29" t="s">
        <v>36</v>
      </c>
      <c r="C29" s="28">
        <v>154.30000000000001</v>
      </c>
      <c r="D29" s="28">
        <v>169.3</v>
      </c>
      <c r="E29" s="28">
        <v>168.5</v>
      </c>
      <c r="F29" s="28">
        <v>186.1</v>
      </c>
      <c r="G29" s="28">
        <v>225.7</v>
      </c>
      <c r="H29" s="28">
        <v>192</v>
      </c>
      <c r="I29" s="28">
        <v>202.9</v>
      </c>
      <c r="J29" s="28">
        <v>249.8</v>
      </c>
      <c r="K29" s="28">
        <v>124.6</v>
      </c>
      <c r="L29" s="28">
        <v>201.1</v>
      </c>
      <c r="M29" s="28">
        <v>175.7</v>
      </c>
      <c r="N29" s="28">
        <f>+J29*1.1</f>
        <v>274.78000000000003</v>
      </c>
      <c r="O29" s="29">
        <f>+K29*1.1</f>
        <v>137.06</v>
      </c>
      <c r="P29" s="13"/>
    </row>
    <row r="30" spans="2:16" x14ac:dyDescent="0.25">
      <c r="B30" t="s">
        <v>37</v>
      </c>
      <c r="C30" s="30"/>
      <c r="D30" s="30"/>
      <c r="E30" s="30"/>
      <c r="F30" s="30"/>
      <c r="G30" s="30"/>
      <c r="H30" s="30"/>
      <c r="I30" s="28">
        <v>1.4</v>
      </c>
      <c r="J30" s="28">
        <v>7.9</v>
      </c>
      <c r="K30" s="28">
        <v>21.5</v>
      </c>
      <c r="L30" s="28">
        <v>48.6</v>
      </c>
      <c r="M30" s="28">
        <v>70.400000000000006</v>
      </c>
      <c r="N30" s="28">
        <f>+M30+25</f>
        <v>95.4</v>
      </c>
      <c r="O30" s="29">
        <v>124</v>
      </c>
      <c r="P30" s="13"/>
    </row>
    <row r="31" spans="2:16" x14ac:dyDescent="0.25">
      <c r="B31" t="s">
        <v>59</v>
      </c>
      <c r="C31" s="35">
        <f t="shared" ref="C31:O31" si="4">C33-(C5+C15+C23+C28)</f>
        <v>774.5</v>
      </c>
      <c r="D31" s="35">
        <f t="shared" si="4"/>
        <v>1441</v>
      </c>
      <c r="E31" s="35">
        <f t="shared" si="4"/>
        <v>2192.4000000000005</v>
      </c>
      <c r="F31" s="35">
        <f t="shared" si="4"/>
        <v>814.29999999999927</v>
      </c>
      <c r="G31" s="35">
        <f t="shared" si="4"/>
        <v>678.40000000000055</v>
      </c>
      <c r="H31" s="35">
        <f t="shared" si="4"/>
        <v>126.49999999999636</v>
      </c>
      <c r="I31" s="35">
        <f t="shared" si="4"/>
        <v>684.80000000000109</v>
      </c>
      <c r="J31" s="35">
        <f t="shared" si="4"/>
        <v>693.30000000000109</v>
      </c>
      <c r="K31" s="35">
        <f t="shared" si="4"/>
        <v>494.5</v>
      </c>
      <c r="L31" s="35">
        <f t="shared" si="4"/>
        <v>548.99999999999818</v>
      </c>
      <c r="M31" s="35">
        <f t="shared" si="4"/>
        <v>614.5</v>
      </c>
      <c r="N31" s="35">
        <f t="shared" si="4"/>
        <v>391.52000000000044</v>
      </c>
      <c r="O31" s="36">
        <f t="shared" si="4"/>
        <v>275.93999999999505</v>
      </c>
      <c r="P31" s="13"/>
    </row>
    <row r="32" spans="2:16" x14ac:dyDescent="0.25">
      <c r="B32" s="37"/>
      <c r="O32" s="38"/>
      <c r="P32" s="13"/>
    </row>
    <row r="33" spans="2:36" x14ac:dyDescent="0.25">
      <c r="B33" s="39" t="s">
        <v>60</v>
      </c>
      <c r="C33" s="33">
        <v>6960</v>
      </c>
      <c r="D33" s="33">
        <v>8312.1</v>
      </c>
      <c r="E33" s="33">
        <v>9498.6</v>
      </c>
      <c r="F33" s="33">
        <v>9353.4</v>
      </c>
      <c r="G33" s="33">
        <v>8768</v>
      </c>
      <c r="H33" s="33">
        <v>11302.8</v>
      </c>
      <c r="I33" s="33">
        <v>11439.1</v>
      </c>
      <c r="J33" s="33">
        <v>13532.8</v>
      </c>
      <c r="K33" s="33">
        <v>12729</v>
      </c>
      <c r="L33" s="33">
        <v>15557.7</v>
      </c>
      <c r="M33" s="33">
        <v>17600.8</v>
      </c>
      <c r="N33" s="33">
        <v>19292</v>
      </c>
      <c r="O33" s="34">
        <v>19799</v>
      </c>
      <c r="P33" s="40"/>
    </row>
    <row r="34" spans="2:36" x14ac:dyDescent="0.25">
      <c r="B34" t="s">
        <v>61</v>
      </c>
      <c r="C34" s="28">
        <v>1626.7</v>
      </c>
      <c r="D34" s="28">
        <v>1807.4</v>
      </c>
      <c r="E34" s="28">
        <v>1860.1</v>
      </c>
      <c r="F34" s="28">
        <v>1788</v>
      </c>
      <c r="G34" s="28">
        <v>1673.5</v>
      </c>
      <c r="H34" s="28">
        <v>2170.1999999999998</v>
      </c>
      <c r="I34" s="28">
        <v>2170.8000000000002</v>
      </c>
      <c r="J34" s="28">
        <v>2403.8000000000002</v>
      </c>
      <c r="K34" s="28">
        <v>2225</v>
      </c>
      <c r="L34" s="28">
        <v>2447.8000000000002</v>
      </c>
      <c r="M34" s="28">
        <v>3008.3</v>
      </c>
      <c r="N34" s="28">
        <v>3371.7</v>
      </c>
      <c r="O34" s="29">
        <v>3577</v>
      </c>
      <c r="P34" s="35"/>
    </row>
    <row r="35" spans="2:36" x14ac:dyDescent="0.25">
      <c r="B35" s="39" t="s">
        <v>62</v>
      </c>
      <c r="C35" s="33">
        <f t="shared" ref="C35:O35" si="5">C33-C34</f>
        <v>5333.3</v>
      </c>
      <c r="D35" s="33">
        <f t="shared" si="5"/>
        <v>6504.7000000000007</v>
      </c>
      <c r="E35" s="33">
        <f t="shared" si="5"/>
        <v>7638.5</v>
      </c>
      <c r="F35" s="33">
        <f t="shared" si="5"/>
        <v>7565.4</v>
      </c>
      <c r="G35" s="33">
        <f t="shared" si="5"/>
        <v>7094.5</v>
      </c>
      <c r="H35" s="33">
        <f t="shared" si="5"/>
        <v>9132.5999999999985</v>
      </c>
      <c r="I35" s="33">
        <f t="shared" si="5"/>
        <v>9268.2999999999993</v>
      </c>
      <c r="J35" s="33">
        <f t="shared" si="5"/>
        <v>11129</v>
      </c>
      <c r="K35" s="33">
        <f t="shared" si="5"/>
        <v>10504</v>
      </c>
      <c r="L35" s="33">
        <f t="shared" si="5"/>
        <v>13109.900000000001</v>
      </c>
      <c r="M35" s="33">
        <f t="shared" si="5"/>
        <v>14592.5</v>
      </c>
      <c r="N35" s="33">
        <f t="shared" si="5"/>
        <v>15920.3</v>
      </c>
      <c r="O35" s="34">
        <f t="shared" si="5"/>
        <v>16222</v>
      </c>
      <c r="P35" s="40"/>
    </row>
    <row r="36" spans="2:36" x14ac:dyDescent="0.25">
      <c r="B36" t="s">
        <v>63</v>
      </c>
      <c r="C36" s="28">
        <v>1985.1</v>
      </c>
      <c r="D36" s="28">
        <v>2356.5</v>
      </c>
      <c r="E36" s="28">
        <v>2409.1</v>
      </c>
      <c r="F36" s="28">
        <v>2562.6999999999998</v>
      </c>
      <c r="G36" s="28">
        <v>2522.8000000000002</v>
      </c>
      <c r="H36" s="28">
        <v>2711.2</v>
      </c>
      <c r="I36" s="28">
        <v>2734.1</v>
      </c>
      <c r="J36" s="28">
        <v>3022.5</v>
      </c>
      <c r="K36" s="28">
        <v>2734</v>
      </c>
      <c r="L36" s="28">
        <v>3336.1</v>
      </c>
      <c r="M36" s="28">
        <v>3465.7</v>
      </c>
      <c r="N36" s="28">
        <v>3801.5</v>
      </c>
      <c r="O36" s="29">
        <v>3510</v>
      </c>
      <c r="P36" s="35"/>
    </row>
    <row r="37" spans="2:36" ht="15.75" customHeight="1" x14ac:dyDescent="0.25">
      <c r="B37" t="s">
        <v>64</v>
      </c>
      <c r="C37" s="28">
        <v>1749.2</v>
      </c>
      <c r="D37" s="28">
        <v>1925.4</v>
      </c>
      <c r="E37" s="28">
        <v>1803.9</v>
      </c>
      <c r="F37" s="28">
        <v>1924.6</v>
      </c>
      <c r="G37" s="28">
        <v>1952.2</v>
      </c>
      <c r="H37" s="28">
        <v>2117.3000000000002</v>
      </c>
      <c r="I37" s="28">
        <v>2099.8000000000002</v>
      </c>
      <c r="J37" s="28">
        <v>2424.5</v>
      </c>
      <c r="K37" s="28">
        <v>2468</v>
      </c>
      <c r="L37" s="28">
        <v>2753</v>
      </c>
      <c r="M37" s="28">
        <v>2740.7</v>
      </c>
      <c r="N37" s="28">
        <v>3131.4</v>
      </c>
      <c r="O37" s="29">
        <v>2934</v>
      </c>
      <c r="P37" s="35"/>
    </row>
    <row r="38" spans="2:36" x14ac:dyDescent="0.25">
      <c r="B38" t="s">
        <v>65</v>
      </c>
      <c r="C38" s="28">
        <v>105</v>
      </c>
      <c r="D38" s="28">
        <v>97.1</v>
      </c>
      <c r="E38" s="28">
        <v>2975.1</v>
      </c>
      <c r="F38" s="28">
        <v>622.6</v>
      </c>
      <c r="G38" s="28">
        <v>110.5</v>
      </c>
      <c r="H38" s="28">
        <v>154.30000000000001</v>
      </c>
      <c r="I38" s="28">
        <v>2826.4</v>
      </c>
      <c r="J38" s="28">
        <v>189.2</v>
      </c>
      <c r="K38" s="28">
        <v>1572</v>
      </c>
      <c r="L38" s="28">
        <v>153</v>
      </c>
      <c r="M38" s="28">
        <v>655.7</v>
      </c>
      <c r="N38" s="28">
        <v>528.79999999999995</v>
      </c>
      <c r="O38" s="29">
        <v>584</v>
      </c>
      <c r="P38" s="35"/>
    </row>
    <row r="39" spans="2:36" x14ac:dyDescent="0.25">
      <c r="B39" t="s">
        <v>66</v>
      </c>
      <c r="C39" s="28">
        <v>0</v>
      </c>
      <c r="D39" s="28">
        <v>0</v>
      </c>
      <c r="E39" s="28">
        <v>0</v>
      </c>
      <c r="F39" s="28">
        <v>67.7</v>
      </c>
      <c r="G39" s="28">
        <v>0</v>
      </c>
      <c r="H39" s="28">
        <v>435</v>
      </c>
      <c r="I39" s="28">
        <v>81.599999999999994</v>
      </c>
      <c r="J39" s="28">
        <v>344</v>
      </c>
      <c r="K39" s="28">
        <v>35</v>
      </c>
      <c r="L39" s="28">
        <v>0</v>
      </c>
      <c r="M39" s="28">
        <v>364.9</v>
      </c>
      <c r="N39" s="28">
        <v>84.1</v>
      </c>
      <c r="O39" s="29">
        <v>279</v>
      </c>
      <c r="P39" s="35"/>
    </row>
    <row r="40" spans="2:36" x14ac:dyDescent="0.25">
      <c r="B40" t="s">
        <v>67</v>
      </c>
      <c r="C40" s="28">
        <v>-35.700000000000003</v>
      </c>
      <c r="D40" s="28">
        <v>36.799999999999997</v>
      </c>
      <c r="E40" s="28">
        <v>23.2</v>
      </c>
      <c r="F40" s="28">
        <v>121</v>
      </c>
      <c r="G40" s="28">
        <v>-27.1</v>
      </c>
      <c r="H40" s="28">
        <v>197.6</v>
      </c>
      <c r="I40" s="28">
        <v>-62</v>
      </c>
      <c r="J40" s="28">
        <v>110.2</v>
      </c>
      <c r="K40" s="28">
        <v>239</v>
      </c>
      <c r="L40" s="28">
        <v>90.6</v>
      </c>
      <c r="M40" s="28">
        <v>133.1</v>
      </c>
      <c r="N40" s="28">
        <v>108.3</v>
      </c>
      <c r="O40" s="29">
        <v>65</v>
      </c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</row>
    <row r="41" spans="2:36" x14ac:dyDescent="0.25">
      <c r="B41" t="s">
        <v>68</v>
      </c>
      <c r="C41" s="28">
        <f t="shared" ref="C41:O41" si="6">C35-(SUM(C36:C40))</f>
        <v>1529.6999999999998</v>
      </c>
      <c r="D41" s="28">
        <f t="shared" si="6"/>
        <v>2088.9000000000005</v>
      </c>
      <c r="E41" s="28">
        <f t="shared" si="6"/>
        <v>427.19999999999982</v>
      </c>
      <c r="F41" s="28">
        <f t="shared" si="6"/>
        <v>2266.8000000000002</v>
      </c>
      <c r="G41" s="28">
        <f t="shared" si="6"/>
        <v>2536.1000000000004</v>
      </c>
      <c r="H41" s="28">
        <f t="shared" si="6"/>
        <v>3517.199999999998</v>
      </c>
      <c r="I41" s="28">
        <f t="shared" si="6"/>
        <v>1588.3999999999996</v>
      </c>
      <c r="J41" s="28">
        <f t="shared" si="6"/>
        <v>5038.6000000000004</v>
      </c>
      <c r="K41" s="28">
        <f t="shared" si="6"/>
        <v>3456</v>
      </c>
      <c r="L41" s="28">
        <f t="shared" si="6"/>
        <v>6777.2000000000007</v>
      </c>
      <c r="M41" s="28">
        <f t="shared" si="6"/>
        <v>7232.4000000000005</v>
      </c>
      <c r="N41" s="28">
        <f t="shared" si="6"/>
        <v>8266.1999999999989</v>
      </c>
      <c r="O41" s="29">
        <f t="shared" si="6"/>
        <v>8850</v>
      </c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</row>
    <row r="42" spans="2:36" x14ac:dyDescent="0.25">
      <c r="B42" t="s">
        <v>69</v>
      </c>
      <c r="C42" s="28">
        <v>184.8</v>
      </c>
      <c r="D42" s="28">
        <v>325.7</v>
      </c>
      <c r="E42" s="28">
        <v>484.6</v>
      </c>
      <c r="F42" s="28">
        <v>319.10000000000002</v>
      </c>
      <c r="G42" s="28">
        <v>293.2</v>
      </c>
      <c r="H42" s="28">
        <v>550.20000000000005</v>
      </c>
      <c r="I42" s="28">
        <v>618.1</v>
      </c>
      <c r="J42" s="28">
        <v>628.9</v>
      </c>
      <c r="K42" s="28">
        <v>697</v>
      </c>
      <c r="L42" s="28">
        <v>1115.9000000000001</v>
      </c>
      <c r="M42" s="28">
        <v>1649.9</v>
      </c>
      <c r="N42" s="28">
        <v>1628.5</v>
      </c>
      <c r="O42" s="29">
        <v>1454</v>
      </c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</row>
    <row r="43" spans="2:36" x14ac:dyDescent="0.25">
      <c r="B43" s="39" t="s">
        <v>70</v>
      </c>
      <c r="C43" s="33">
        <f t="shared" ref="C43:O43" si="7">C41-C42</f>
        <v>1344.8999999999999</v>
      </c>
      <c r="D43" s="33">
        <f t="shared" si="7"/>
        <v>1763.2000000000005</v>
      </c>
      <c r="E43" s="33">
        <f t="shared" si="7"/>
        <v>-57.400000000000205</v>
      </c>
      <c r="F43" s="33">
        <f t="shared" si="7"/>
        <v>1947.7000000000003</v>
      </c>
      <c r="G43" s="33">
        <f t="shared" si="7"/>
        <v>2242.9000000000005</v>
      </c>
      <c r="H43" s="33">
        <f t="shared" si="7"/>
        <v>2966.9999999999982</v>
      </c>
      <c r="I43" s="33">
        <f t="shared" si="7"/>
        <v>970.29999999999961</v>
      </c>
      <c r="J43" s="33">
        <f t="shared" si="7"/>
        <v>4409.7000000000007</v>
      </c>
      <c r="K43" s="33">
        <f t="shared" si="7"/>
        <v>2759</v>
      </c>
      <c r="L43" s="33">
        <f t="shared" si="7"/>
        <v>5661.3000000000011</v>
      </c>
      <c r="M43" s="33">
        <f t="shared" si="7"/>
        <v>5582.5</v>
      </c>
      <c r="N43" s="33">
        <f t="shared" si="7"/>
        <v>6637.6999999999989</v>
      </c>
      <c r="O43" s="34">
        <f t="shared" si="7"/>
        <v>7396</v>
      </c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</row>
    <row r="44" spans="2:36" x14ac:dyDescent="0.25">
      <c r="B44" t="s">
        <v>71</v>
      </c>
      <c r="C44" s="13">
        <f t="shared" ref="C44:O44" si="8">C43/C45</f>
        <v>1.4888741281966122</v>
      </c>
      <c r="D44" s="13">
        <f t="shared" si="8"/>
        <v>1.9526024363233672</v>
      </c>
      <c r="E44" s="13">
        <f t="shared" si="8"/>
        <v>-6.3791953767504114E-2</v>
      </c>
      <c r="F44" s="13">
        <f t="shared" si="8"/>
        <v>2.1617092119866816</v>
      </c>
      <c r="G44" s="13">
        <f t="shared" si="8"/>
        <v>2.4816331046691755</v>
      </c>
      <c r="H44" s="13">
        <f t="shared" si="8"/>
        <v>3.2813536828135348</v>
      </c>
      <c r="I44" s="13">
        <f t="shared" si="8"/>
        <v>1.0721546961325963</v>
      </c>
      <c r="J44" s="13">
        <f t="shared" si="8"/>
        <v>4.8779867256637175</v>
      </c>
      <c r="K44" s="13">
        <f t="shared" si="8"/>
        <v>3.0635132134132799</v>
      </c>
      <c r="L44" s="13">
        <f t="shared" si="8"/>
        <v>6.2917314958879764</v>
      </c>
      <c r="M44" s="13">
        <f t="shared" si="8"/>
        <v>6.2110591900311531</v>
      </c>
      <c r="N44" s="13">
        <f t="shared" si="8"/>
        <v>7.3916481069042304</v>
      </c>
      <c r="O44" s="41">
        <f t="shared" si="8"/>
        <v>8.2553856457193877</v>
      </c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 spans="2:36" x14ac:dyDescent="0.25">
      <c r="B45" t="s">
        <v>8</v>
      </c>
      <c r="C45" s="11">
        <v>903.3</v>
      </c>
      <c r="D45" s="11">
        <v>903</v>
      </c>
      <c r="E45" s="11">
        <v>899.8</v>
      </c>
      <c r="F45" s="11">
        <v>901</v>
      </c>
      <c r="G45" s="11">
        <v>903.8</v>
      </c>
      <c r="H45" s="11">
        <v>904.2</v>
      </c>
      <c r="I45" s="11">
        <v>905</v>
      </c>
      <c r="J45" s="11">
        <v>904</v>
      </c>
      <c r="K45" s="11">
        <v>900.6</v>
      </c>
      <c r="L45" s="11">
        <v>899.8</v>
      </c>
      <c r="M45" s="11">
        <v>898.8</v>
      </c>
      <c r="N45" s="11">
        <v>898</v>
      </c>
      <c r="O45" s="42">
        <v>895.9</v>
      </c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</row>
    <row r="46" spans="2:36" x14ac:dyDescent="0.25"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41"/>
      <c r="Q46" s="76" t="s">
        <v>269</v>
      </c>
    </row>
    <row r="47" spans="2:36" x14ac:dyDescent="0.25">
      <c r="B47" s="43" t="s">
        <v>72</v>
      </c>
      <c r="C47" s="44">
        <v>0</v>
      </c>
      <c r="D47" s="44">
        <v>0</v>
      </c>
      <c r="E47" s="44">
        <v>0</v>
      </c>
      <c r="F47" s="44">
        <v>0</v>
      </c>
      <c r="G47" s="45">
        <f t="shared" ref="G47:O47" si="9">(G33-C33)/C33</f>
        <v>0.25977011494252872</v>
      </c>
      <c r="H47" s="45">
        <f t="shared" si="9"/>
        <v>0.35980077236799352</v>
      </c>
      <c r="I47" s="45">
        <f t="shared" si="9"/>
        <v>0.20429326427052408</v>
      </c>
      <c r="J47" s="45">
        <f t="shared" si="9"/>
        <v>0.44683216798169645</v>
      </c>
      <c r="K47" s="45">
        <f t="shared" si="9"/>
        <v>0.45175638686131386</v>
      </c>
      <c r="L47" s="45">
        <f t="shared" si="9"/>
        <v>0.37644654421913171</v>
      </c>
      <c r="M47" s="45">
        <f t="shared" si="9"/>
        <v>0.53865251636929468</v>
      </c>
      <c r="N47" s="45">
        <f t="shared" si="9"/>
        <v>0.42557342161267447</v>
      </c>
      <c r="O47" s="46">
        <f t="shared" si="9"/>
        <v>0.55542462094430045</v>
      </c>
      <c r="Q47" s="47">
        <f>AVERAGE(G47:O47)</f>
        <v>0.402061089952162</v>
      </c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</row>
    <row r="48" spans="2:36" x14ac:dyDescent="0.25">
      <c r="B48" s="43" t="s">
        <v>73</v>
      </c>
      <c r="C48" s="45">
        <f t="shared" ref="C48:O48" si="10">C35/C33</f>
        <v>0.76627873563218396</v>
      </c>
      <c r="D48" s="45">
        <f t="shared" si="10"/>
        <v>0.78255795767615888</v>
      </c>
      <c r="E48" s="45">
        <f t="shared" si="10"/>
        <v>0.80417114101025411</v>
      </c>
      <c r="F48" s="45">
        <f t="shared" si="10"/>
        <v>0.80883956636089549</v>
      </c>
      <c r="G48" s="45">
        <f t="shared" si="10"/>
        <v>0.80913549270072993</v>
      </c>
      <c r="H48" s="45">
        <f t="shared" si="10"/>
        <v>0.80799447924408108</v>
      </c>
      <c r="I48" s="45">
        <f t="shared" si="10"/>
        <v>0.81022982577300651</v>
      </c>
      <c r="J48" s="45">
        <f t="shared" si="10"/>
        <v>0.82237231023882718</v>
      </c>
      <c r="K48" s="45">
        <f t="shared" si="10"/>
        <v>0.82520229397438916</v>
      </c>
      <c r="L48" s="45">
        <f t="shared" si="10"/>
        <v>0.8426631185843666</v>
      </c>
      <c r="M48" s="45">
        <f t="shared" si="10"/>
        <v>0.82908163265306123</v>
      </c>
      <c r="N48" s="45">
        <f t="shared" si="10"/>
        <v>0.82522807381297947</v>
      </c>
      <c r="O48" s="46">
        <f t="shared" si="10"/>
        <v>0.81933430981362698</v>
      </c>
      <c r="Q48" s="47">
        <f>AVERAGE(C48:O48)</f>
        <v>0.81177607211342762</v>
      </c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</row>
    <row r="49" spans="2:36" x14ac:dyDescent="0.25">
      <c r="B49" s="43" t="s">
        <v>74</v>
      </c>
      <c r="C49" s="45">
        <f t="shared" ref="C49:O49" si="11">C36/C35</f>
        <v>0.37220857630360188</v>
      </c>
      <c r="D49" s="45">
        <f t="shared" si="11"/>
        <v>0.36227650775593029</v>
      </c>
      <c r="E49" s="45">
        <f t="shared" si="11"/>
        <v>0.31538914708385152</v>
      </c>
      <c r="F49" s="45">
        <f t="shared" si="11"/>
        <v>0.33873952467813995</v>
      </c>
      <c r="G49" s="45">
        <f t="shared" si="11"/>
        <v>0.3555994079921066</v>
      </c>
      <c r="H49" s="45">
        <f t="shared" si="11"/>
        <v>0.29687055165013254</v>
      </c>
      <c r="I49" s="45">
        <f t="shared" si="11"/>
        <v>0.29499476710939437</v>
      </c>
      <c r="J49" s="45">
        <f t="shared" si="11"/>
        <v>0.27158774373259054</v>
      </c>
      <c r="K49" s="45">
        <f t="shared" si="11"/>
        <v>0.26028179741051027</v>
      </c>
      <c r="L49" s="45">
        <f t="shared" si="11"/>
        <v>0.25447181137918667</v>
      </c>
      <c r="M49" s="45">
        <f t="shared" si="11"/>
        <v>0.23749871509336987</v>
      </c>
      <c r="N49" s="45">
        <f t="shared" si="11"/>
        <v>0.23878318875900581</v>
      </c>
      <c r="O49" s="46">
        <f t="shared" si="11"/>
        <v>0.21637282702502775</v>
      </c>
      <c r="Q49" s="47">
        <f>O49</f>
        <v>0.21637282702502775</v>
      </c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</row>
    <row r="50" spans="2:36" x14ac:dyDescent="0.25">
      <c r="B50" s="43" t="s">
        <v>75</v>
      </c>
      <c r="C50" s="45">
        <f t="shared" ref="C50:O50" si="12">C37/C35</f>
        <v>0.32797704985656162</v>
      </c>
      <c r="D50" s="45">
        <f t="shared" si="12"/>
        <v>0.29600135286792623</v>
      </c>
      <c r="E50" s="45">
        <f t="shared" si="12"/>
        <v>0.23615893172743341</v>
      </c>
      <c r="F50" s="45">
        <f t="shared" si="12"/>
        <v>0.25439500885610805</v>
      </c>
      <c r="G50" s="45">
        <f t="shared" si="12"/>
        <v>0.27517090704066532</v>
      </c>
      <c r="H50" s="45">
        <f t="shared" si="12"/>
        <v>0.23183978275627976</v>
      </c>
      <c r="I50" s="45">
        <f t="shared" si="12"/>
        <v>0.22655718956011353</v>
      </c>
      <c r="J50" s="45">
        <f t="shared" si="12"/>
        <v>0.21785425465001348</v>
      </c>
      <c r="K50" s="45">
        <f t="shared" si="12"/>
        <v>0.23495811119573495</v>
      </c>
      <c r="L50" s="45">
        <f t="shared" si="12"/>
        <v>0.20999397401963399</v>
      </c>
      <c r="M50" s="45">
        <f t="shared" si="12"/>
        <v>0.18781565872879902</v>
      </c>
      <c r="N50" s="45">
        <f t="shared" si="12"/>
        <v>0.19669227338680806</v>
      </c>
      <c r="O50" s="46">
        <f t="shared" si="12"/>
        <v>0.18086549130810012</v>
      </c>
      <c r="Q50" s="47">
        <f>O50</f>
        <v>0.18086549130810012</v>
      </c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</row>
    <row r="51" spans="2:36" x14ac:dyDescent="0.25">
      <c r="B51" s="43" t="s">
        <v>76</v>
      </c>
      <c r="C51" s="45">
        <f t="shared" ref="C51:O51" si="13">C38/C35</f>
        <v>1.9687623047644046E-2</v>
      </c>
      <c r="D51" s="45">
        <f t="shared" si="13"/>
        <v>1.4927667686442108E-2</v>
      </c>
      <c r="E51" s="45">
        <f t="shared" si="13"/>
        <v>0.38948746481639063</v>
      </c>
      <c r="F51" s="45">
        <f t="shared" si="13"/>
        <v>8.2295714701139402E-2</v>
      </c>
      <c r="G51" s="45">
        <f t="shared" si="13"/>
        <v>1.5575445767848334E-2</v>
      </c>
      <c r="H51" s="45">
        <f t="shared" si="13"/>
        <v>1.6895517158311984E-2</v>
      </c>
      <c r="I51" s="45">
        <f t="shared" si="13"/>
        <v>0.30495344345780784</v>
      </c>
      <c r="J51" s="45">
        <f t="shared" si="13"/>
        <v>1.7000628987330398E-2</v>
      </c>
      <c r="K51" s="45">
        <f t="shared" si="13"/>
        <v>0.14965727341964966</v>
      </c>
      <c r="L51" s="45">
        <f t="shared" si="13"/>
        <v>1.1670569569561933E-2</v>
      </c>
      <c r="M51" s="45">
        <f t="shared" si="13"/>
        <v>4.4934041459653934E-2</v>
      </c>
      <c r="N51" s="45">
        <f t="shared" si="13"/>
        <v>3.3215454482641654E-2</v>
      </c>
      <c r="O51" s="46">
        <f t="shared" si="13"/>
        <v>3.6000493157440513E-2</v>
      </c>
      <c r="Q51" s="47">
        <f>O51</f>
        <v>3.6000493157440513E-2</v>
      </c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</row>
    <row r="52" spans="2:36" x14ac:dyDescent="0.25">
      <c r="B52" s="43" t="s">
        <v>77</v>
      </c>
      <c r="C52" s="45">
        <f t="shared" ref="C52:O52" si="14">C42/C41</f>
        <v>0.12080800156893511</v>
      </c>
      <c r="D52" s="45">
        <f t="shared" si="14"/>
        <v>0.15591938340753503</v>
      </c>
      <c r="E52" s="45">
        <f t="shared" si="14"/>
        <v>1.1343632958801504</v>
      </c>
      <c r="F52" s="45">
        <f t="shared" si="14"/>
        <v>0.14077113110993472</v>
      </c>
      <c r="G52" s="45">
        <f t="shared" si="14"/>
        <v>0.11561058317889671</v>
      </c>
      <c r="H52" s="45">
        <f t="shared" si="14"/>
        <v>0.15643125213237813</v>
      </c>
      <c r="I52" s="45">
        <f t="shared" si="14"/>
        <v>0.38913371946612957</v>
      </c>
      <c r="J52" s="45">
        <f t="shared" si="14"/>
        <v>0.12481641725876234</v>
      </c>
      <c r="K52" s="45">
        <f t="shared" si="14"/>
        <v>0.20167824074074073</v>
      </c>
      <c r="L52" s="45">
        <f t="shared" si="14"/>
        <v>0.16465501977217731</v>
      </c>
      <c r="M52" s="45">
        <f t="shared" si="14"/>
        <v>0.22812620983352691</v>
      </c>
      <c r="N52" s="45">
        <f t="shared" si="14"/>
        <v>0.19700708910986914</v>
      </c>
      <c r="O52" s="46">
        <f t="shared" si="14"/>
        <v>0.16429378531073446</v>
      </c>
      <c r="Q52" s="47">
        <f>AVERAGE(C52:O52)</f>
        <v>0.25335493298229006</v>
      </c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</row>
    <row r="55" spans="2:36" ht="16.5" customHeight="1" thickBot="1" x14ac:dyDescent="0.3">
      <c r="B55" s="22" t="s">
        <v>78</v>
      </c>
      <c r="C55" s="23" t="s">
        <v>79</v>
      </c>
      <c r="D55" s="23" t="s">
        <v>80</v>
      </c>
      <c r="E55" s="24" t="s">
        <v>81</v>
      </c>
      <c r="F55" s="23" t="s">
        <v>82</v>
      </c>
      <c r="G55" s="23" t="s">
        <v>83</v>
      </c>
      <c r="H55" s="23" t="s">
        <v>84</v>
      </c>
      <c r="I55" s="23" t="s">
        <v>85</v>
      </c>
      <c r="J55" s="23" t="s">
        <v>86</v>
      </c>
      <c r="K55" s="23" t="s">
        <v>87</v>
      </c>
      <c r="L55" s="23" t="s">
        <v>262</v>
      </c>
      <c r="M55" s="23" t="s">
        <v>263</v>
      </c>
      <c r="N55" s="23" t="s">
        <v>264</v>
      </c>
      <c r="O55" s="23" t="s">
        <v>265</v>
      </c>
      <c r="P55" s="23" t="s">
        <v>266</v>
      </c>
    </row>
    <row r="56" spans="2:36" ht="15" customHeight="1" x14ac:dyDescent="0.25">
      <c r="B56" s="25" t="s">
        <v>54</v>
      </c>
      <c r="C56" s="49">
        <f>SUM(C5:F5)</f>
        <v>18459.800000000003</v>
      </c>
      <c r="D56" s="49">
        <f>SUM(G5:J5)</f>
        <v>29452.299999999996</v>
      </c>
      <c r="E56" s="50">
        <f>SUM(K5:N5)</f>
        <v>47910.900000000009</v>
      </c>
      <c r="F56" s="49">
        <f t="shared" ref="F56:P56" si="15">SUM(F57:F65)</f>
        <v>62644.829999999994</v>
      </c>
      <c r="G56" s="49">
        <f t="shared" si="15"/>
        <v>79223.729999999981</v>
      </c>
      <c r="H56" s="49">
        <f t="shared" si="15"/>
        <v>91107.186050000004</v>
      </c>
      <c r="I56" s="49">
        <f t="shared" si="15"/>
        <v>103324.4097225</v>
      </c>
      <c r="J56" s="49">
        <f t="shared" si="15"/>
        <v>103506.52734827501</v>
      </c>
      <c r="K56" s="49">
        <f t="shared" si="15"/>
        <v>110974.84204704325</v>
      </c>
      <c r="L56" s="49">
        <f t="shared" si="15"/>
        <v>113006.39867689701</v>
      </c>
      <c r="M56" s="49">
        <f t="shared" si="15"/>
        <v>115713.6775729377</v>
      </c>
      <c r="N56" s="49">
        <f t="shared" si="15"/>
        <v>119923.09361008476</v>
      </c>
      <c r="O56" s="49">
        <f t="shared" si="15"/>
        <v>121818.86750171064</v>
      </c>
      <c r="P56" s="49">
        <f t="shared" si="15"/>
        <v>119902.66685568141</v>
      </c>
    </row>
    <row r="57" spans="2:36" ht="15" customHeight="1" x14ac:dyDescent="0.25">
      <c r="B57" t="s">
        <v>7</v>
      </c>
      <c r="C57" s="35">
        <f>SUM(C6:F6)</f>
        <v>5163.1000000000004</v>
      </c>
      <c r="D57" s="35">
        <f>SUM(G6:J6)</f>
        <v>11540</v>
      </c>
      <c r="E57" s="36">
        <f>SUM(K6:N6)</f>
        <v>22965</v>
      </c>
      <c r="F57" s="35">
        <v>32150.999999999996</v>
      </c>
      <c r="G57" s="35">
        <v>41796.299999999996</v>
      </c>
      <c r="H57" s="35">
        <v>45975.93</v>
      </c>
      <c r="I57" s="35">
        <v>50573.523000000001</v>
      </c>
      <c r="J57" s="35">
        <v>49562.052539999997</v>
      </c>
      <c r="K57" s="35">
        <v>48570.811489199994</v>
      </c>
      <c r="L57" s="35">
        <v>47599.395259415993</v>
      </c>
      <c r="M57" s="35">
        <v>46647.407354227675</v>
      </c>
      <c r="N57" s="35">
        <v>45714.459207143118</v>
      </c>
      <c r="O57" s="35">
        <v>44800.170023000253</v>
      </c>
      <c r="P57" s="35">
        <v>43904.166622540244</v>
      </c>
    </row>
    <row r="58" spans="2:36" ht="15" customHeight="1" x14ac:dyDescent="0.25">
      <c r="B58" t="s">
        <v>9</v>
      </c>
      <c r="C58" s="35">
        <f>SUM(C7:F7)</f>
        <v>175.8</v>
      </c>
      <c r="D58" s="35">
        <f>SUM(G7:J7)</f>
        <v>4925.3999999999996</v>
      </c>
      <c r="E58" s="36">
        <f>SUM(K7:N7)</f>
        <v>13542.4</v>
      </c>
      <c r="F58" s="35">
        <v>18959.359999999997</v>
      </c>
      <c r="G58" s="35">
        <v>24647.167999999998</v>
      </c>
      <c r="H58" s="35">
        <v>27111.8848</v>
      </c>
      <c r="I58" s="35">
        <v>29823.073280000001</v>
      </c>
      <c r="J58" s="35">
        <v>29226.611814399999</v>
      </c>
      <c r="K58" s="35">
        <v>28642.079578112</v>
      </c>
      <c r="L58" s="35">
        <v>28069.237986549761</v>
      </c>
      <c r="M58" s="35">
        <v>27507.853226818766</v>
      </c>
      <c r="N58" s="35">
        <v>26957.696162282391</v>
      </c>
      <c r="O58" s="35">
        <v>26418.542239036742</v>
      </c>
      <c r="P58" s="35">
        <v>25890.171394256005</v>
      </c>
    </row>
    <row r="59" spans="2:36" ht="15" customHeight="1" x14ac:dyDescent="0.25">
      <c r="B59" t="s">
        <v>11</v>
      </c>
      <c r="C59" s="35">
        <f>SUM(C8:F8)</f>
        <v>7132.5</v>
      </c>
      <c r="D59" s="35">
        <f>SUM(G8:J8)</f>
        <v>5253.5</v>
      </c>
      <c r="E59" s="36">
        <f>SUM(K8:N8)</f>
        <v>4276</v>
      </c>
      <c r="F59" s="35">
        <v>3420.8</v>
      </c>
      <c r="G59" s="35">
        <v>2736.6400000000003</v>
      </c>
      <c r="H59" s="35">
        <v>2189.3120000000004</v>
      </c>
      <c r="I59" s="35">
        <v>1751.4496000000004</v>
      </c>
      <c r="J59" s="35">
        <v>1401.1596800000004</v>
      </c>
      <c r="K59" s="35">
        <v>1120.9277440000003</v>
      </c>
      <c r="L59" s="35">
        <v>896.74219520000031</v>
      </c>
      <c r="M59" s="35">
        <v>717.39375616000029</v>
      </c>
      <c r="N59" s="35">
        <v>573.91500492800026</v>
      </c>
      <c r="O59" s="35">
        <v>459.13200394240022</v>
      </c>
      <c r="P59" s="35">
        <v>367.30560315392017</v>
      </c>
    </row>
    <row r="60" spans="2:36" ht="15" customHeight="1" x14ac:dyDescent="0.25">
      <c r="B60" s="31" t="s">
        <v>13</v>
      </c>
      <c r="C60" s="35">
        <f>SUM(C9:F9)</f>
        <v>0</v>
      </c>
      <c r="D60" s="35">
        <f>SUM(G9:J9)</f>
        <v>0</v>
      </c>
      <c r="E60" s="36">
        <f>SUM(K9:N9)</f>
        <v>0</v>
      </c>
      <c r="F60" s="35">
        <v>0</v>
      </c>
      <c r="G60" s="35">
        <v>500</v>
      </c>
      <c r="H60" s="35">
        <v>4000</v>
      </c>
      <c r="I60" s="35">
        <v>8000</v>
      </c>
      <c r="J60" s="35">
        <v>12000</v>
      </c>
      <c r="K60" s="35">
        <v>20000</v>
      </c>
      <c r="L60" s="35">
        <v>24000</v>
      </c>
      <c r="M60" s="35">
        <v>30000</v>
      </c>
      <c r="N60" s="35">
        <v>36000</v>
      </c>
      <c r="O60" s="35">
        <v>40000</v>
      </c>
      <c r="P60" s="35">
        <v>45000</v>
      </c>
    </row>
    <row r="61" spans="2:36" ht="15" customHeight="1" x14ac:dyDescent="0.25">
      <c r="B61" s="31" t="s">
        <v>16</v>
      </c>
      <c r="C61" s="35">
        <f>SUM(C10:F10)</f>
        <v>0</v>
      </c>
      <c r="D61" s="35">
        <f>SUM(G10:J10)</f>
        <v>0</v>
      </c>
      <c r="E61" s="36">
        <f>SUM(K10:N10)</f>
        <v>0</v>
      </c>
      <c r="F61" s="35">
        <v>300</v>
      </c>
      <c r="G61" s="35">
        <v>1500</v>
      </c>
      <c r="H61" s="35">
        <v>3500</v>
      </c>
      <c r="I61" s="35">
        <v>4500</v>
      </c>
      <c r="J61" s="35">
        <v>8000</v>
      </c>
      <c r="K61" s="35">
        <v>10000</v>
      </c>
      <c r="L61" s="35">
        <v>9800</v>
      </c>
      <c r="M61" s="35">
        <v>8200</v>
      </c>
      <c r="N61" s="35">
        <v>8036</v>
      </c>
      <c r="O61" s="35">
        <v>7500</v>
      </c>
      <c r="P61" s="35">
        <v>2100</v>
      </c>
    </row>
    <row r="62" spans="2:36" ht="15" customHeight="1" x14ac:dyDescent="0.25">
      <c r="B62" t="s">
        <v>18</v>
      </c>
      <c r="C62" s="35">
        <f>SUM(C11:F11)</f>
        <v>728.3</v>
      </c>
      <c r="D62" s="35">
        <f>SUM(G11:J11)</f>
        <v>676.9</v>
      </c>
      <c r="E62" s="36">
        <f>SUM(K11:N11)</f>
        <v>657.7</v>
      </c>
      <c r="F62" s="35">
        <v>591.92999999999995</v>
      </c>
      <c r="G62" s="35">
        <v>532.73699999999997</v>
      </c>
      <c r="H62" s="35">
        <v>479.4633</v>
      </c>
      <c r="I62" s="35">
        <v>431.51697000000001</v>
      </c>
      <c r="J62" s="35">
        <v>388.365273</v>
      </c>
      <c r="K62" s="35">
        <v>349.5287457</v>
      </c>
      <c r="L62" s="35">
        <v>349.5287457</v>
      </c>
      <c r="M62" s="35">
        <v>349.5287457</v>
      </c>
      <c r="N62" s="35">
        <v>349.5287457</v>
      </c>
      <c r="O62" s="35">
        <v>349.5287457</v>
      </c>
      <c r="P62" s="35">
        <v>349.5287457</v>
      </c>
    </row>
    <row r="63" spans="2:36" ht="15" customHeight="1" x14ac:dyDescent="0.25">
      <c r="B63" t="s">
        <v>19</v>
      </c>
      <c r="C63" s="35">
        <f>SUM(C12:F12)</f>
        <v>1663.2999999999997</v>
      </c>
      <c r="D63" s="35">
        <f>SUM(G12:J12)</f>
        <v>2324.8000000000002</v>
      </c>
      <c r="E63" s="36">
        <f>SUM(K12:N12)</f>
        <v>2233.5</v>
      </c>
      <c r="F63" s="35">
        <v>2121.8249999999998</v>
      </c>
      <c r="G63" s="35">
        <v>2015.7337500000001</v>
      </c>
      <c r="H63" s="35">
        <v>1914.9470624999999</v>
      </c>
      <c r="I63" s="35">
        <v>1819.1997093750001</v>
      </c>
      <c r="J63" s="35">
        <v>1728.23972390625</v>
      </c>
      <c r="K63" s="35">
        <v>1641.82773771094</v>
      </c>
      <c r="L63" s="35">
        <v>1641.82773771094</v>
      </c>
      <c r="M63" s="35">
        <v>1641.82773771094</v>
      </c>
      <c r="N63" s="35">
        <v>1641.82773771094</v>
      </c>
      <c r="O63" s="35">
        <v>1641.82773771094</v>
      </c>
      <c r="P63" s="35">
        <v>1641.82773771094</v>
      </c>
    </row>
    <row r="64" spans="2:36" ht="15" customHeight="1" x14ac:dyDescent="0.25">
      <c r="B64" t="s">
        <v>55</v>
      </c>
      <c r="C64" s="35">
        <f>SUM(C13:F13)</f>
        <v>852.10000000000014</v>
      </c>
      <c r="D64" s="35">
        <f>SUM(G13:J13)</f>
        <v>917.2</v>
      </c>
      <c r="E64" s="36">
        <f>SUM(K13:N13)</f>
        <v>805.3</v>
      </c>
      <c r="F64" s="35">
        <v>765.03499999999997</v>
      </c>
      <c r="G64" s="35">
        <v>726.78324999999995</v>
      </c>
      <c r="H64" s="35">
        <v>690.44408750000002</v>
      </c>
      <c r="I64" s="35">
        <v>655.92188312500002</v>
      </c>
      <c r="J64" s="35">
        <v>623.12578896875004</v>
      </c>
      <c r="K64" s="35">
        <v>591.96949952031196</v>
      </c>
      <c r="L64" s="35">
        <v>591.96949952031196</v>
      </c>
      <c r="M64" s="35">
        <v>591.96949952031196</v>
      </c>
      <c r="N64" s="35">
        <v>591.96949952031196</v>
      </c>
      <c r="O64" s="35">
        <v>591.96949952031196</v>
      </c>
      <c r="P64" s="35">
        <v>591.96949952031196</v>
      </c>
    </row>
    <row r="65" spans="2:16" ht="15" customHeight="1" x14ac:dyDescent="0.25">
      <c r="B65" t="s">
        <v>21</v>
      </c>
      <c r="C65" s="35">
        <f>SUM(C14:F14)</f>
        <v>2744.7</v>
      </c>
      <c r="D65" s="35">
        <f>SUM(G14:J14)</f>
        <v>3814.5</v>
      </c>
      <c r="E65" s="36">
        <f>SUM(K14:N14)</f>
        <v>3431</v>
      </c>
      <c r="F65" s="35">
        <v>4334.88</v>
      </c>
      <c r="G65" s="35">
        <v>4768.3680000000004</v>
      </c>
      <c r="H65" s="35">
        <v>5245.2048000000004</v>
      </c>
      <c r="I65" s="35">
        <v>5769.7252799999997</v>
      </c>
      <c r="J65" s="35">
        <v>576.97252800000001</v>
      </c>
      <c r="K65" s="35">
        <v>57.697252800000001</v>
      </c>
      <c r="L65" s="35">
        <v>57.697252800000001</v>
      </c>
      <c r="M65" s="35">
        <v>57.697252800000001</v>
      </c>
      <c r="N65" s="35">
        <v>57.697252800000001</v>
      </c>
      <c r="O65" s="35">
        <v>57.697252800000001</v>
      </c>
      <c r="P65" s="35">
        <v>57.697252800000001</v>
      </c>
    </row>
    <row r="66" spans="2:16" x14ac:dyDescent="0.25">
      <c r="B66" s="25" t="s">
        <v>56</v>
      </c>
      <c r="C66" s="49">
        <f>SUM(C15:F15)</f>
        <v>6081.5</v>
      </c>
      <c r="D66" s="49">
        <f>SUM(G15:J15)</f>
        <v>8134.7</v>
      </c>
      <c r="E66" s="50">
        <f>SUM(K15:N15)</f>
        <v>8965.4000000000015</v>
      </c>
      <c r="F66" s="49">
        <v>9295.0861999999979</v>
      </c>
      <c r="G66" s="49">
        <v>9523.8690619999998</v>
      </c>
      <c r="H66" s="49">
        <v>9824.6268776200013</v>
      </c>
      <c r="I66" s="49">
        <v>10212.3080686462</v>
      </c>
      <c r="J66" s="49">
        <v>3660.6567469583701</v>
      </c>
      <c r="K66" s="49">
        <v>3070.226972684899</v>
      </c>
      <c r="L66" s="49">
        <v>3070.226972684899</v>
      </c>
      <c r="M66" s="49">
        <v>3070.226972684899</v>
      </c>
      <c r="N66" s="49">
        <v>3070.226972684899</v>
      </c>
      <c r="O66" s="49">
        <v>3070.226972684899</v>
      </c>
      <c r="P66" s="49">
        <v>3070.226972684899</v>
      </c>
    </row>
    <row r="67" spans="2:16" x14ac:dyDescent="0.25">
      <c r="B67" t="s">
        <v>23</v>
      </c>
      <c r="C67" s="35">
        <f>SUM(C16:F16)</f>
        <v>3863.2999999999997</v>
      </c>
      <c r="D67" s="35">
        <f>SUM(G16:J16)</f>
        <v>5306.5</v>
      </c>
      <c r="E67" s="36">
        <f>SUM(K16:N16)</f>
        <v>5722.4</v>
      </c>
      <c r="F67" s="35">
        <v>5887.4111999999996</v>
      </c>
      <c r="G67" s="35">
        <v>5946.285312</v>
      </c>
      <c r="H67" s="35">
        <v>6005.7481651199996</v>
      </c>
      <c r="I67" s="35">
        <v>6065.8056467712004</v>
      </c>
      <c r="J67" s="35">
        <v>606.58056467712004</v>
      </c>
      <c r="K67" s="35">
        <v>60.658056467712001</v>
      </c>
      <c r="L67" s="35">
        <v>60.658056467712001</v>
      </c>
      <c r="M67" s="35">
        <v>60.658056467712001</v>
      </c>
      <c r="N67" s="35">
        <v>60.658056467712001</v>
      </c>
      <c r="O67" s="35">
        <v>60.658056467712001</v>
      </c>
      <c r="P67" s="35">
        <v>60.658056467712001</v>
      </c>
    </row>
    <row r="68" spans="2:16" x14ac:dyDescent="0.25">
      <c r="B68" t="s">
        <v>24</v>
      </c>
      <c r="C68" s="35">
        <f>SUM(C17:F17)</f>
        <v>974.80000000000007</v>
      </c>
      <c r="D68" s="35">
        <f>SUM(G17:J17)</f>
        <v>973.4</v>
      </c>
      <c r="E68" s="36">
        <f>SUM(K17:N17)</f>
        <v>982.7</v>
      </c>
      <c r="F68" s="35">
        <v>933.56500000000005</v>
      </c>
      <c r="G68" s="35">
        <v>886.88675000000001</v>
      </c>
      <c r="H68" s="35">
        <v>842.54241249999995</v>
      </c>
      <c r="I68" s="35">
        <v>800.41529187499998</v>
      </c>
      <c r="J68" s="35">
        <v>760.39452728125002</v>
      </c>
      <c r="K68" s="35">
        <v>722.37480091718703</v>
      </c>
      <c r="L68" s="35">
        <v>722.37480091718703</v>
      </c>
      <c r="M68" s="35">
        <v>722.37480091718703</v>
      </c>
      <c r="N68" s="35">
        <v>722.37480091718703</v>
      </c>
      <c r="O68" s="35">
        <v>722.37480091718703</v>
      </c>
      <c r="P68" s="35">
        <v>722.37480091718703</v>
      </c>
    </row>
    <row r="69" spans="2:16" x14ac:dyDescent="0.25">
      <c r="B69" t="s">
        <v>25</v>
      </c>
      <c r="C69" s="35">
        <f>SUM(C18:F18)</f>
        <v>596.5</v>
      </c>
      <c r="D69" s="35">
        <f>SUM(G18:J18)</f>
        <v>627.4</v>
      </c>
      <c r="E69" s="36">
        <f>SUM(K18:N18)</f>
        <v>706.3</v>
      </c>
      <c r="F69" s="35">
        <v>635.66999999999996</v>
      </c>
      <c r="G69" s="35">
        <v>572.10299999999995</v>
      </c>
      <c r="H69" s="35">
        <v>514.89269999999999</v>
      </c>
      <c r="I69" s="35">
        <v>463.40343000000001</v>
      </c>
      <c r="J69" s="35">
        <v>417.063087</v>
      </c>
      <c r="K69" s="35">
        <v>375.35677829999997</v>
      </c>
      <c r="L69" s="35">
        <v>375.35677829999997</v>
      </c>
      <c r="M69" s="35">
        <v>375.35677829999997</v>
      </c>
      <c r="N69" s="35">
        <v>375.35677829999997</v>
      </c>
      <c r="O69" s="35">
        <v>375.35677829999997</v>
      </c>
      <c r="P69" s="35">
        <v>375.35677829999997</v>
      </c>
    </row>
    <row r="70" spans="2:16" x14ac:dyDescent="0.25">
      <c r="B70" t="s">
        <v>27</v>
      </c>
      <c r="C70" s="35">
        <f>SUM(C19:F19)</f>
        <v>253.60000000000002</v>
      </c>
      <c r="D70" s="35">
        <f>SUM(G19:J19)</f>
        <v>364.4</v>
      </c>
      <c r="E70" s="36">
        <f>SUM(K19:N19)</f>
        <v>445.3</v>
      </c>
      <c r="F70" s="35">
        <v>578.89</v>
      </c>
      <c r="G70" s="35">
        <v>752.55700000000002</v>
      </c>
      <c r="H70" s="35">
        <v>978.32410000000004</v>
      </c>
      <c r="I70" s="35">
        <v>1271.82133</v>
      </c>
      <c r="J70" s="35">
        <v>127.18213299999999</v>
      </c>
      <c r="K70" s="35">
        <v>12.7182133</v>
      </c>
      <c r="L70" s="35">
        <v>12.7182133</v>
      </c>
      <c r="M70" s="35">
        <v>12.7182133</v>
      </c>
      <c r="N70" s="35">
        <v>12.7182133</v>
      </c>
      <c r="O70" s="35">
        <v>12.7182133</v>
      </c>
      <c r="P70" s="35">
        <v>12.7182133</v>
      </c>
    </row>
    <row r="71" spans="2:16" x14ac:dyDescent="0.25">
      <c r="B71" t="s">
        <v>28</v>
      </c>
      <c r="C71" s="35">
        <f>SUM(C20:F20)</f>
        <v>393.29999999999995</v>
      </c>
      <c r="D71" s="35">
        <f>SUM(G20:J20)</f>
        <v>525.9</v>
      </c>
      <c r="E71" s="36">
        <f>SUM(K20:N20)</f>
        <v>552.6</v>
      </c>
      <c r="F71" s="35">
        <v>497.34</v>
      </c>
      <c r="G71" s="35">
        <v>447.60599999999999</v>
      </c>
      <c r="H71" s="35">
        <v>402.84539999999998</v>
      </c>
      <c r="I71" s="35">
        <v>362.56085999999999</v>
      </c>
      <c r="J71" s="35">
        <v>326.30477400000001</v>
      </c>
      <c r="K71" s="35">
        <v>293.67429659999999</v>
      </c>
      <c r="L71" s="35">
        <v>293.67429659999999</v>
      </c>
      <c r="M71" s="35">
        <v>293.67429659999999</v>
      </c>
      <c r="N71" s="35">
        <v>293.67429659999999</v>
      </c>
      <c r="O71" s="35">
        <v>293.67429659999999</v>
      </c>
      <c r="P71" s="35">
        <v>293.67429659999999</v>
      </c>
    </row>
    <row r="72" spans="2:16" x14ac:dyDescent="0.25">
      <c r="B72" t="s">
        <v>30</v>
      </c>
      <c r="C72" s="35">
        <f>SUM(C21:F21)</f>
        <v>0</v>
      </c>
      <c r="D72" s="35">
        <f>SUM(G21:J21)</f>
        <v>337.1</v>
      </c>
      <c r="E72" s="36">
        <f>SUM(K21:N21)</f>
        <v>511.1</v>
      </c>
      <c r="F72" s="35">
        <v>562.21</v>
      </c>
      <c r="G72" s="35">
        <v>618.43100000000004</v>
      </c>
      <c r="H72" s="35">
        <v>680.27409999999998</v>
      </c>
      <c r="I72" s="35">
        <v>748.30151000000001</v>
      </c>
      <c r="J72" s="35">
        <v>823.13166100000001</v>
      </c>
      <c r="K72" s="35">
        <v>905.4448271</v>
      </c>
      <c r="L72" s="35">
        <v>905.4448271</v>
      </c>
      <c r="M72" s="35">
        <v>905.4448271</v>
      </c>
      <c r="N72" s="35">
        <v>905.4448271</v>
      </c>
      <c r="O72" s="35">
        <v>905.4448271</v>
      </c>
      <c r="P72" s="35">
        <v>905.4448271</v>
      </c>
    </row>
    <row r="73" spans="2:16" x14ac:dyDescent="0.25">
      <c r="B73" t="s">
        <v>31</v>
      </c>
      <c r="C73" s="35">
        <f>SUM(C22:F22)</f>
        <v>0</v>
      </c>
      <c r="D73" s="35">
        <f>SUM(G22:J22)</f>
        <v>0</v>
      </c>
      <c r="E73" s="36">
        <f>SUM(K22:N22)</f>
        <v>45</v>
      </c>
      <c r="F73" s="35">
        <v>200</v>
      </c>
      <c r="G73" s="35">
        <v>300</v>
      </c>
      <c r="H73" s="35">
        <v>400</v>
      </c>
      <c r="I73" s="35">
        <v>500</v>
      </c>
      <c r="J73" s="35">
        <v>600</v>
      </c>
      <c r="K73" s="35">
        <v>700</v>
      </c>
      <c r="L73" s="35">
        <v>700</v>
      </c>
      <c r="M73" s="35">
        <v>700</v>
      </c>
      <c r="N73" s="35">
        <v>700</v>
      </c>
      <c r="O73" s="35">
        <v>700</v>
      </c>
      <c r="P73" s="35">
        <v>700</v>
      </c>
    </row>
    <row r="74" spans="2:16" x14ac:dyDescent="0.25">
      <c r="B74" s="25" t="s">
        <v>57</v>
      </c>
      <c r="C74" s="49">
        <f>SUM(C23:F23)</f>
        <v>3682.3999999999996</v>
      </c>
      <c r="D74" s="49">
        <f>SUM(G23:J23)</f>
        <v>4393</v>
      </c>
      <c r="E74" s="50">
        <f>SUM(K23:N23)</f>
        <v>5241.6000000000004</v>
      </c>
      <c r="F74" s="49">
        <v>6062.5159999999996</v>
      </c>
      <c r="G74" s="49">
        <v>6780.1265599999997</v>
      </c>
      <c r="H74" s="49">
        <v>7365.8160856000004</v>
      </c>
      <c r="I74" s="49">
        <v>8009.151332456001</v>
      </c>
      <c r="J74" s="49">
        <v>7491.2379372456016</v>
      </c>
      <c r="K74" s="49">
        <v>7849.7015989245629</v>
      </c>
      <c r="L74" s="49">
        <v>8150.0194413645631</v>
      </c>
      <c r="M74" s="49">
        <v>8465.3531759265643</v>
      </c>
      <c r="N74" s="49">
        <v>8796.4535972166632</v>
      </c>
      <c r="O74" s="49">
        <v>9144.1090395712708</v>
      </c>
      <c r="P74" s="49">
        <v>9509.1472540436062</v>
      </c>
    </row>
    <row r="75" spans="2:16" x14ac:dyDescent="0.25">
      <c r="B75" t="s">
        <v>32</v>
      </c>
      <c r="C75" s="35">
        <f>SUM(C24:F24)</f>
        <v>0</v>
      </c>
      <c r="D75" s="35">
        <f>SUM(G24:J24)</f>
        <v>42.7</v>
      </c>
      <c r="E75" s="36">
        <f>SUM(K24:N24)</f>
        <v>406.20000000000005</v>
      </c>
      <c r="F75" s="35">
        <v>446.82</v>
      </c>
      <c r="G75" s="35">
        <v>491.50200000000001</v>
      </c>
      <c r="H75" s="35">
        <v>540.65219999999999</v>
      </c>
      <c r="I75" s="35">
        <v>594.71741999999995</v>
      </c>
      <c r="J75" s="35">
        <v>654.18916200000001</v>
      </c>
      <c r="K75" s="35">
        <v>719.60807820000105</v>
      </c>
      <c r="L75" s="35">
        <v>719.60807820000105</v>
      </c>
      <c r="M75" s="35">
        <v>719.60807820000105</v>
      </c>
      <c r="N75" s="35">
        <v>719.60807820000105</v>
      </c>
      <c r="O75" s="35">
        <v>719.60807820000105</v>
      </c>
      <c r="P75" s="35">
        <v>719.60807820000105</v>
      </c>
    </row>
    <row r="76" spans="2:16" x14ac:dyDescent="0.25">
      <c r="B76" t="s">
        <v>33</v>
      </c>
      <c r="C76" s="35">
        <f>SUM(C25:F25)</f>
        <v>922.7</v>
      </c>
      <c r="D76" s="35">
        <f>SUM(G25:J25)</f>
        <v>957.50000000000011</v>
      </c>
      <c r="E76" s="36">
        <f>SUM(K25:N25)</f>
        <v>1005.6</v>
      </c>
      <c r="F76" s="35">
        <v>1015.6559999999999</v>
      </c>
      <c r="G76" s="35">
        <v>1025.8125600000001</v>
      </c>
      <c r="H76" s="35">
        <v>1036.0706855999999</v>
      </c>
      <c r="I76" s="35">
        <v>1046.4313924559999</v>
      </c>
      <c r="J76" s="35">
        <v>104.6431392456</v>
      </c>
      <c r="K76" s="35">
        <v>100</v>
      </c>
      <c r="L76" s="35">
        <v>10.464313924560001</v>
      </c>
      <c r="M76" s="35">
        <v>10.464313924560001</v>
      </c>
      <c r="N76" s="35">
        <v>10.464313924560001</v>
      </c>
      <c r="O76" s="35">
        <v>10.464313924560001</v>
      </c>
      <c r="P76" s="35">
        <v>10.464313924560001</v>
      </c>
    </row>
    <row r="77" spans="2:16" x14ac:dyDescent="0.25">
      <c r="B77" t="s">
        <v>34</v>
      </c>
      <c r="C77" s="35">
        <f>SUM(C26:F26)</f>
        <v>0</v>
      </c>
      <c r="D77" s="35">
        <f>SUM(G26:J26)</f>
        <v>132.4</v>
      </c>
      <c r="E77" s="36">
        <f>SUM(K26:N26)</f>
        <v>266.8</v>
      </c>
      <c r="F77" s="35">
        <v>506.92</v>
      </c>
      <c r="G77" s="35">
        <v>760.38</v>
      </c>
      <c r="H77" s="35">
        <v>836.41800000000001</v>
      </c>
      <c r="I77" s="35">
        <v>920.0598</v>
      </c>
      <c r="J77" s="35">
        <v>1012.06578</v>
      </c>
      <c r="K77" s="35">
        <v>1113.2723579999999</v>
      </c>
      <c r="L77" s="35">
        <v>1113.2723579999999</v>
      </c>
      <c r="M77" s="35">
        <v>1113.2723579999999</v>
      </c>
      <c r="N77" s="35">
        <v>1113.2723579999999</v>
      </c>
      <c r="O77" s="35">
        <v>1113.2723579999999</v>
      </c>
      <c r="P77" s="35">
        <v>1113.2723579999999</v>
      </c>
    </row>
    <row r="78" spans="2:16" x14ac:dyDescent="0.25">
      <c r="B78" t="s">
        <v>35</v>
      </c>
      <c r="C78" s="35">
        <f>SUM(C27:F27)</f>
        <v>2759.7000000000003</v>
      </c>
      <c r="D78" s="35">
        <f>SUM(G27:J27)</f>
        <v>3260.4</v>
      </c>
      <c r="E78" s="36">
        <f>SUM(K27:N27)</f>
        <v>3563</v>
      </c>
      <c r="F78" s="35">
        <v>4093.12</v>
      </c>
      <c r="G78" s="35">
        <v>4502.4319999999998</v>
      </c>
      <c r="H78" s="35">
        <v>4952.6752000000006</v>
      </c>
      <c r="I78" s="35">
        <v>5447.9427200000009</v>
      </c>
      <c r="J78" s="35">
        <v>5720.3398560000014</v>
      </c>
      <c r="K78" s="35">
        <v>6006.3568488000019</v>
      </c>
      <c r="L78" s="35">
        <v>6306.6746912400022</v>
      </c>
      <c r="M78" s="35">
        <v>6622.0084258020024</v>
      </c>
      <c r="N78" s="35">
        <v>6953.1088470921031</v>
      </c>
      <c r="O78" s="35">
        <v>7300.764289446709</v>
      </c>
      <c r="P78" s="35">
        <v>7665.8025039190452</v>
      </c>
    </row>
    <row r="79" spans="2:16" x14ac:dyDescent="0.25">
      <c r="B79" s="25" t="s">
        <v>58</v>
      </c>
      <c r="C79" s="49">
        <f>SUM(C28:F28)</f>
        <v>678.2</v>
      </c>
      <c r="D79" s="49">
        <f>SUM(G28:J28)</f>
        <v>879.7</v>
      </c>
      <c r="E79" s="50">
        <f>SUM(K28:N28)</f>
        <v>1012.08</v>
      </c>
      <c r="F79" s="49">
        <v>1043.4317999999998</v>
      </c>
      <c r="G79" s="49">
        <v>1077.2202179999999</v>
      </c>
      <c r="H79" s="49">
        <v>1113.6819301800001</v>
      </c>
      <c r="I79" s="49">
        <v>1153.0772104818</v>
      </c>
      <c r="J79" s="49">
        <v>1195.6922896866181</v>
      </c>
      <c r="K79" s="49">
        <v>1241.841950393484</v>
      </c>
      <c r="L79" s="49">
        <v>1241.841950393484</v>
      </c>
      <c r="M79" s="49">
        <v>1241.841950393484</v>
      </c>
      <c r="N79" s="49">
        <v>1241.841950393484</v>
      </c>
      <c r="O79" s="49">
        <v>1241.841950393484</v>
      </c>
      <c r="P79" s="49">
        <v>1241.841950393484</v>
      </c>
    </row>
    <row r="80" spans="2:16" x14ac:dyDescent="0.25">
      <c r="B80" t="s">
        <v>36</v>
      </c>
      <c r="C80" s="35">
        <f>SUM(C29:F29)</f>
        <v>678.2</v>
      </c>
      <c r="D80" s="35">
        <f>SUM(G29:J29)</f>
        <v>870.40000000000009</v>
      </c>
      <c r="E80" s="36">
        <f>SUM(K29:N29)</f>
        <v>776.18000000000006</v>
      </c>
      <c r="F80" s="35">
        <v>783.94179999999994</v>
      </c>
      <c r="G80" s="35">
        <v>791.78121799999997</v>
      </c>
      <c r="H80" s="35">
        <v>799.69903018000002</v>
      </c>
      <c r="I80" s="35">
        <v>807.69602048180002</v>
      </c>
      <c r="J80" s="35">
        <v>815.77298068661798</v>
      </c>
      <c r="K80" s="35">
        <v>823.93071049348396</v>
      </c>
      <c r="L80" s="35">
        <v>823.93071049348396</v>
      </c>
      <c r="M80" s="35">
        <v>823.93071049348396</v>
      </c>
      <c r="N80" s="35">
        <v>823.93071049348396</v>
      </c>
      <c r="O80" s="35">
        <v>823.93071049348396</v>
      </c>
      <c r="P80" s="35">
        <v>823.93071049348396</v>
      </c>
    </row>
    <row r="81" spans="2:89" x14ac:dyDescent="0.25">
      <c r="B81" t="s">
        <v>37</v>
      </c>
      <c r="C81" s="35">
        <f>SUM(C30:F30)</f>
        <v>0</v>
      </c>
      <c r="D81" s="35">
        <f>SUM(G30:J30)</f>
        <v>9.3000000000000007</v>
      </c>
      <c r="E81" s="36">
        <f>SUM(K30:N30)</f>
        <v>235.9</v>
      </c>
      <c r="F81" s="35">
        <v>259.49</v>
      </c>
      <c r="G81" s="35">
        <v>285.43900000000002</v>
      </c>
      <c r="H81" s="35">
        <v>313.98289999999997</v>
      </c>
      <c r="I81" s="35">
        <v>345.38119</v>
      </c>
      <c r="J81" s="35">
        <v>379.919309</v>
      </c>
      <c r="K81" s="35">
        <v>417.9112399</v>
      </c>
      <c r="L81" s="35">
        <v>417.9112399</v>
      </c>
      <c r="M81" s="35">
        <v>417.9112399</v>
      </c>
      <c r="N81" s="35">
        <v>417.9112399</v>
      </c>
      <c r="O81" s="35">
        <v>417.9112399</v>
      </c>
      <c r="P81" s="35">
        <v>417.9112399</v>
      </c>
    </row>
    <row r="82" spans="2:89" x14ac:dyDescent="0.25">
      <c r="B82" s="48" t="s">
        <v>88</v>
      </c>
      <c r="C82" s="35">
        <f>SUM(C31:F31)</f>
        <v>5222.2</v>
      </c>
      <c r="D82" s="35">
        <f>SUM(G31:J31)</f>
        <v>2182.9999999999991</v>
      </c>
      <c r="E82" s="36">
        <f>SUM(K31:N31)</f>
        <v>2049.5199999999986</v>
      </c>
      <c r="F82" s="35">
        <f>2000</f>
        <v>2000</v>
      </c>
      <c r="G82" s="35">
        <f>2000</f>
        <v>2000</v>
      </c>
      <c r="H82" s="35">
        <f>2000</f>
        <v>2000</v>
      </c>
      <c r="I82" s="35">
        <f>2000</f>
        <v>2000</v>
      </c>
      <c r="J82" s="35">
        <f>2000</f>
        <v>2000</v>
      </c>
      <c r="K82" s="35">
        <f>2000</f>
        <v>2000</v>
      </c>
      <c r="L82" s="35">
        <f>2000</f>
        <v>2000</v>
      </c>
      <c r="M82" s="35">
        <f>2000</f>
        <v>2000</v>
      </c>
      <c r="N82" s="35">
        <f>2000</f>
        <v>2000</v>
      </c>
      <c r="O82" s="35">
        <f>2000</f>
        <v>2000</v>
      </c>
      <c r="P82" s="35">
        <f>2000</f>
        <v>2000</v>
      </c>
    </row>
    <row r="83" spans="2:89" x14ac:dyDescent="0.25">
      <c r="B83" s="39" t="s">
        <v>60</v>
      </c>
      <c r="C83" s="49">
        <f>C56+C66+C74+C79+C82</f>
        <v>34124.100000000006</v>
      </c>
      <c r="D83" s="49">
        <f t="shared" ref="D83:K83" si="16">D56+D66+D74+D79+D82</f>
        <v>45042.69999999999</v>
      </c>
      <c r="E83" s="50">
        <f t="shared" si="16"/>
        <v>65179.500000000007</v>
      </c>
      <c r="F83" s="49">
        <f t="shared" si="16"/>
        <v>81045.864000000001</v>
      </c>
      <c r="G83" s="49">
        <f t="shared" si="16"/>
        <v>98604.945839999986</v>
      </c>
      <c r="H83" s="49">
        <f t="shared" si="16"/>
        <v>111411.31094340001</v>
      </c>
      <c r="I83" s="49">
        <f t="shared" si="16"/>
        <v>124698.94633408402</v>
      </c>
      <c r="J83" s="49">
        <f t="shared" si="16"/>
        <v>117854.11432216559</v>
      </c>
      <c r="K83" s="49">
        <f t="shared" si="16"/>
        <v>125136.61256904621</v>
      </c>
      <c r="L83" s="49">
        <f t="shared" ref="L83:P83" si="17">L56+L66+L74+L79+L82</f>
        <v>127468.48704133996</v>
      </c>
      <c r="M83" s="49">
        <f t="shared" si="17"/>
        <v>130491.09967194265</v>
      </c>
      <c r="N83" s="49">
        <f t="shared" si="17"/>
        <v>135031.61613037981</v>
      </c>
      <c r="O83" s="49">
        <f t="shared" si="17"/>
        <v>137275.0454643603</v>
      </c>
      <c r="P83" s="49">
        <f t="shared" si="17"/>
        <v>135723.88303280339</v>
      </c>
    </row>
    <row r="84" spans="2:89" x14ac:dyDescent="0.25">
      <c r="B84" t="s">
        <v>61</v>
      </c>
      <c r="C84" s="35">
        <f>SUM(C34:F34)</f>
        <v>7082.2000000000007</v>
      </c>
      <c r="D84" s="35">
        <f>SUM(G34:J34)</f>
        <v>8418.2999999999993</v>
      </c>
      <c r="E84" s="36">
        <f>SUM(K34:N34)</f>
        <v>11052.8</v>
      </c>
      <c r="F84" s="35">
        <f>F83*(1-$Q$48)</f>
        <v>15254.770861040954</v>
      </c>
      <c r="G84" s="35">
        <f>G83*(1-$Q$48)</f>
        <v>18559.810215047532</v>
      </c>
      <c r="H84" s="35">
        <f>H83*(1-$Q$48)</f>
        <v>20970.274556759017</v>
      </c>
      <c r="I84" s="35">
        <f>I83*(1-$R$48)</f>
        <v>124698.94633408402</v>
      </c>
      <c r="J84" s="35">
        <f t="shared" ref="J84:L84" si="18">J83*(1-$R$48)</f>
        <v>117854.11432216559</v>
      </c>
      <c r="K84" s="35">
        <f t="shared" si="18"/>
        <v>125136.61256904621</v>
      </c>
      <c r="L84" s="35">
        <f t="shared" si="18"/>
        <v>127468.48704133996</v>
      </c>
      <c r="M84" s="35">
        <f>M83*(1-$S$48)</f>
        <v>130491.09967194265</v>
      </c>
      <c r="N84" s="35">
        <f t="shared" ref="N84:P84" si="19">N83*(1-$S$48)</f>
        <v>135031.61613037981</v>
      </c>
      <c r="O84" s="35">
        <f t="shared" si="19"/>
        <v>137275.0454643603</v>
      </c>
      <c r="P84" s="35">
        <f t="shared" si="19"/>
        <v>135723.88303280339</v>
      </c>
    </row>
    <row r="85" spans="2:89" x14ac:dyDescent="0.25">
      <c r="B85" s="39" t="s">
        <v>62</v>
      </c>
      <c r="C85" s="49">
        <f>SUM(C35:F35)</f>
        <v>27041.9</v>
      </c>
      <c r="D85" s="49">
        <f>SUM(G35:J35)</f>
        <v>36624.399999999994</v>
      </c>
      <c r="E85" s="50">
        <f>SUM(K35:N35)</f>
        <v>54126.7</v>
      </c>
      <c r="F85" s="49">
        <f t="shared" ref="F85:P85" si="20">F83*($Q$48)</f>
        <v>65791.093138959055</v>
      </c>
      <c r="G85" s="49">
        <f t="shared" si="20"/>
        <v>80045.135624952454</v>
      </c>
      <c r="H85" s="49">
        <f t="shared" si="20"/>
        <v>90441.03638664099</v>
      </c>
      <c r="I85" s="49">
        <f t="shared" si="20"/>
        <v>101227.62085176582</v>
      </c>
      <c r="J85" s="49">
        <f t="shared" si="20"/>
        <v>95671.150006854441</v>
      </c>
      <c r="K85" s="49">
        <f t="shared" si="20"/>
        <v>101582.90782888011</v>
      </c>
      <c r="L85" s="49">
        <f t="shared" si="20"/>
        <v>103475.86772866031</v>
      </c>
      <c r="M85" s="49">
        <f t="shared" si="20"/>
        <v>105929.55233745139</v>
      </c>
      <c r="N85" s="49">
        <f t="shared" si="20"/>
        <v>109615.43495344788</v>
      </c>
      <c r="O85" s="49">
        <f t="shared" si="20"/>
        <v>111436.5972062506</v>
      </c>
      <c r="P85" s="49">
        <f t="shared" si="20"/>
        <v>110177.40066035143</v>
      </c>
    </row>
    <row r="86" spans="2:89" x14ac:dyDescent="0.25">
      <c r="B86" t="s">
        <v>63</v>
      </c>
      <c r="C86" s="35">
        <f>SUM(C36:F36)</f>
        <v>9313.4000000000015</v>
      </c>
      <c r="D86" s="35">
        <f>SUM(G36:J36)</f>
        <v>10990.6</v>
      </c>
      <c r="E86" s="36">
        <f>SUM(K36:N36)</f>
        <v>13337.3</v>
      </c>
      <c r="F86" s="35">
        <f t="shared" ref="F86:P86" si="21">F85*$Q$49</f>
        <v>14235.404815543478</v>
      </c>
      <c r="G86" s="35">
        <f t="shared" si="21"/>
        <v>17319.592284772723</v>
      </c>
      <c r="H86" s="35">
        <f t="shared" si="21"/>
        <v>19568.982722050911</v>
      </c>
      <c r="I86" s="35">
        <f t="shared" si="21"/>
        <v>21902.906496714219</v>
      </c>
      <c r="J86" s="35">
        <f t="shared" si="21"/>
        <v>20700.637191718597</v>
      </c>
      <c r="K86" s="35">
        <f t="shared" si="21"/>
        <v>21979.780944357612</v>
      </c>
      <c r="L86" s="35">
        <f t="shared" si="21"/>
        <v>22389.366029318066</v>
      </c>
      <c r="M86" s="35">
        <f t="shared" si="21"/>
        <v>22920.276704749991</v>
      </c>
      <c r="N86" s="35">
        <f t="shared" si="21"/>
        <v>23717.801546455557</v>
      </c>
      <c r="O86" s="35">
        <f t="shared" si="21"/>
        <v>24111.851571565752</v>
      </c>
      <c r="P86" s="35">
        <f t="shared" si="21"/>
        <v>23839.395655149397</v>
      </c>
    </row>
    <row r="87" spans="2:89" x14ac:dyDescent="0.25">
      <c r="B87" t="s">
        <v>64</v>
      </c>
      <c r="C87" s="35">
        <f>SUM(C37:F37)</f>
        <v>7403.1</v>
      </c>
      <c r="D87" s="35">
        <f>SUM(G37:J37)</f>
        <v>8593.7999999999993</v>
      </c>
      <c r="E87" s="36">
        <f>SUM(K37:N37)</f>
        <v>11093.1</v>
      </c>
      <c r="F87" s="35">
        <f t="shared" ref="F87:P87" si="22">F85*$Q$50</f>
        <v>11899.338384274804</v>
      </c>
      <c r="G87" s="35">
        <f t="shared" si="22"/>
        <v>14477.402781630533</v>
      </c>
      <c r="H87" s="35">
        <f t="shared" si="22"/>
        <v>16357.662480483583</v>
      </c>
      <c r="I87" s="35">
        <f t="shared" si="22"/>
        <v>18308.583379304706</v>
      </c>
      <c r="J87" s="35">
        <f t="shared" si="22"/>
        <v>17303.609550000674</v>
      </c>
      <c r="K87" s="35">
        <f t="shared" si="22"/>
        <v>18372.84253297585</v>
      </c>
      <c r="L87" s="35">
        <f t="shared" si="22"/>
        <v>18715.213655276129</v>
      </c>
      <c r="M87" s="35">
        <f t="shared" si="22"/>
        <v>19159.000527560249</v>
      </c>
      <c r="N87" s="35">
        <f t="shared" si="22"/>
        <v>19825.64949780644</v>
      </c>
      <c r="O87" s="35">
        <f t="shared" si="22"/>
        <v>20155.034903411371</v>
      </c>
      <c r="P87" s="35">
        <f t="shared" si="22"/>
        <v>19927.289701483856</v>
      </c>
    </row>
    <row r="88" spans="2:89" x14ac:dyDescent="0.25">
      <c r="B88" t="s">
        <v>65</v>
      </c>
      <c r="C88" s="35">
        <f>SUM(C38:F38)</f>
        <v>3799.7999999999997</v>
      </c>
      <c r="D88" s="35">
        <f>SUM(G38:J38)</f>
        <v>3280.4</v>
      </c>
      <c r="E88" s="36">
        <f>SUM(K38:N38)</f>
        <v>2909.5</v>
      </c>
      <c r="F88" s="35">
        <f t="shared" ref="F88:P88" si="23">F85*$Q$51</f>
        <v>2368.5117983696268</v>
      </c>
      <c r="G88" s="35">
        <f t="shared" si="23"/>
        <v>2881.6643573524989</v>
      </c>
      <c r="H88" s="35">
        <f t="shared" si="23"/>
        <v>3255.9219115890974</v>
      </c>
      <c r="I88" s="35">
        <f t="shared" si="23"/>
        <v>3644.2442718179782</v>
      </c>
      <c r="J88" s="35">
        <f t="shared" si="23"/>
        <v>3444.2085811862285</v>
      </c>
      <c r="K88" s="35">
        <f t="shared" si="23"/>
        <v>3657.0347782065087</v>
      </c>
      <c r="L88" s="35">
        <f t="shared" si="23"/>
        <v>3725.182268125855</v>
      </c>
      <c r="M88" s="35">
        <f t="shared" si="23"/>
        <v>3813.5161240951552</v>
      </c>
      <c r="N88" s="35">
        <f t="shared" si="23"/>
        <v>3946.2097159914661</v>
      </c>
      <c r="O88" s="35">
        <f t="shared" si="23"/>
        <v>4011.7724552120794</v>
      </c>
      <c r="P88" s="35">
        <f t="shared" si="23"/>
        <v>3966.4407585775634</v>
      </c>
    </row>
    <row r="89" spans="2:89" x14ac:dyDescent="0.25">
      <c r="B89" t="s">
        <v>66</v>
      </c>
      <c r="C89" s="35">
        <f>SUM(C39:F39)</f>
        <v>67.7</v>
      </c>
      <c r="D89" s="35">
        <f>SUM(G39:J39)</f>
        <v>860.6</v>
      </c>
      <c r="E89" s="36">
        <f>SUM(K39:N39)</f>
        <v>484</v>
      </c>
      <c r="F89" s="35">
        <f>SUM(O39:P39)</f>
        <v>279</v>
      </c>
      <c r="G89" s="35">
        <f t="shared" ref="G89:K90" si="24">AVERAGE(C89:F89)</f>
        <v>422.82500000000005</v>
      </c>
      <c r="H89" s="35">
        <f t="shared" si="24"/>
        <v>511.60624999999999</v>
      </c>
      <c r="I89" s="35">
        <f t="shared" si="24"/>
        <v>424.35781250000002</v>
      </c>
      <c r="J89" s="35">
        <f t="shared" si="24"/>
        <v>409.447265625</v>
      </c>
      <c r="K89" s="35">
        <f t="shared" si="24"/>
        <v>442.05908203125</v>
      </c>
      <c r="L89" s="35">
        <f t="shared" ref="L89:L90" si="25">AVERAGE(H89:K89)</f>
        <v>446.86760253906249</v>
      </c>
      <c r="M89" s="35">
        <f t="shared" ref="M89:M90" si="26">AVERAGE(I89:L89)</f>
        <v>430.68294067382811</v>
      </c>
      <c r="N89" s="35">
        <f t="shared" ref="N89:N90" si="27">AVERAGE(J89:M89)</f>
        <v>432.26422271728518</v>
      </c>
      <c r="O89" s="35">
        <f t="shared" ref="O89:O90" si="28">AVERAGE(K89:N89)</f>
        <v>437.96846199035645</v>
      </c>
      <c r="P89" s="35">
        <f t="shared" ref="P89:P90" si="29">AVERAGE(L89:O89)</f>
        <v>436.94580698013306</v>
      </c>
    </row>
    <row r="90" spans="2:89" x14ac:dyDescent="0.25">
      <c r="B90" t="s">
        <v>67</v>
      </c>
      <c r="C90" s="35">
        <f>SUM(C40:F40)</f>
        <v>145.29999999999998</v>
      </c>
      <c r="D90" s="35">
        <f>SUM(G40:J40)</f>
        <v>218.7</v>
      </c>
      <c r="E90" s="36">
        <f>SUM(K40:N40)</f>
        <v>571</v>
      </c>
      <c r="F90" s="35">
        <f>SUM(O40:P40)</f>
        <v>65</v>
      </c>
      <c r="G90" s="35">
        <f t="shared" si="24"/>
        <v>250</v>
      </c>
      <c r="H90" s="35">
        <f t="shared" si="24"/>
        <v>276.17500000000001</v>
      </c>
      <c r="I90" s="35">
        <f t="shared" si="24"/>
        <v>290.54374999999999</v>
      </c>
      <c r="J90" s="35">
        <f t="shared" si="24"/>
        <v>220.4296875</v>
      </c>
      <c r="K90" s="35">
        <f t="shared" si="24"/>
        <v>259.287109375</v>
      </c>
      <c r="L90" s="35">
        <f t="shared" si="25"/>
        <v>261.60888671875</v>
      </c>
      <c r="M90" s="35">
        <f t="shared" si="26"/>
        <v>257.96735839843751</v>
      </c>
      <c r="N90" s="35">
        <f t="shared" si="27"/>
        <v>249.82326049804686</v>
      </c>
      <c r="O90" s="35">
        <f t="shared" si="28"/>
        <v>257.17165374755859</v>
      </c>
      <c r="P90" s="35">
        <f t="shared" si="29"/>
        <v>256.64278984069824</v>
      </c>
    </row>
    <row r="91" spans="2:89" x14ac:dyDescent="0.25">
      <c r="B91" t="s">
        <v>68</v>
      </c>
      <c r="C91" s="35">
        <f>SUM(C41:F41)</f>
        <v>6312.6</v>
      </c>
      <c r="D91" s="35">
        <f>SUM(G41:J41)</f>
        <v>12680.3</v>
      </c>
      <c r="E91" s="36">
        <f>SUM(K41:N41)</f>
        <v>25731.800000000003</v>
      </c>
      <c r="F91" s="35">
        <f t="shared" ref="F91:K91" si="30">F85-SUM(F86:F90)</f>
        <v>36943.838140771149</v>
      </c>
      <c r="G91" s="35">
        <f t="shared" si="30"/>
        <v>44693.651201196699</v>
      </c>
      <c r="H91" s="35">
        <f t="shared" si="30"/>
        <v>50470.688022517403</v>
      </c>
      <c r="I91" s="35">
        <f t="shared" si="30"/>
        <v>56656.985141428922</v>
      </c>
      <c r="J91" s="35">
        <f t="shared" si="30"/>
        <v>53592.817730823946</v>
      </c>
      <c r="K91" s="35">
        <f t="shared" si="30"/>
        <v>56871.903381933895</v>
      </c>
      <c r="L91" s="35">
        <f t="shared" ref="L91:P91" si="31">L85-SUM(L86:L90)</f>
        <v>57937.629286682444</v>
      </c>
      <c r="M91" s="35">
        <f t="shared" si="31"/>
        <v>59348.108681973725</v>
      </c>
      <c r="N91" s="35">
        <f t="shared" si="31"/>
        <v>61443.686709979098</v>
      </c>
      <c r="O91" s="35">
        <f t="shared" si="31"/>
        <v>62462.798160323488</v>
      </c>
      <c r="P91" s="35">
        <f t="shared" si="31"/>
        <v>61750.685948319777</v>
      </c>
    </row>
    <row r="92" spans="2:89" x14ac:dyDescent="0.25">
      <c r="B92" t="s">
        <v>69</v>
      </c>
      <c r="C92" s="35">
        <f>SUM(C42:F42)</f>
        <v>1314.2</v>
      </c>
      <c r="D92" s="35">
        <f>SUM(G42:J42)</f>
        <v>2090.4</v>
      </c>
      <c r="E92" s="36">
        <f>SUM(K42:N42)</f>
        <v>5091.3</v>
      </c>
      <c r="F92" s="35">
        <f t="shared" ref="F92:K92" si="32">F91*0.25</f>
        <v>9235.9595351927874</v>
      </c>
      <c r="G92" s="35">
        <f t="shared" si="32"/>
        <v>11173.412800299175</v>
      </c>
      <c r="H92" s="35">
        <f t="shared" si="32"/>
        <v>12617.672005629351</v>
      </c>
      <c r="I92" s="35">
        <f t="shared" si="32"/>
        <v>14164.246285357231</v>
      </c>
      <c r="J92" s="35">
        <f t="shared" si="32"/>
        <v>13398.204432705987</v>
      </c>
      <c r="K92" s="35">
        <f t="shared" si="32"/>
        <v>14217.975845483474</v>
      </c>
      <c r="L92" s="35">
        <f t="shared" ref="L92:P92" si="33">L91*0.25</f>
        <v>14484.407321670611</v>
      </c>
      <c r="M92" s="35">
        <f t="shared" si="33"/>
        <v>14837.027170493431</v>
      </c>
      <c r="N92" s="35">
        <f t="shared" si="33"/>
        <v>15360.921677494774</v>
      </c>
      <c r="O92" s="35">
        <f t="shared" si="33"/>
        <v>15615.699540080872</v>
      </c>
      <c r="P92" s="35">
        <f t="shared" si="33"/>
        <v>15437.671487079944</v>
      </c>
    </row>
    <row r="93" spans="2:89" x14ac:dyDescent="0.25">
      <c r="B93" s="39" t="s">
        <v>70</v>
      </c>
      <c r="C93" s="49">
        <f>SUM(C43:F43)</f>
        <v>4998.4000000000005</v>
      </c>
      <c r="D93" s="49">
        <f>SUM(G43:J43)</f>
        <v>10589.899999999998</v>
      </c>
      <c r="E93" s="50">
        <f>SUM(K43:N43)</f>
        <v>20640.5</v>
      </c>
      <c r="F93" s="49">
        <f t="shared" ref="F93:J93" si="34">F91-F92</f>
        <v>27707.878605578364</v>
      </c>
      <c r="G93" s="49">
        <f t="shared" si="34"/>
        <v>33520.23840089752</v>
      </c>
      <c r="H93" s="49">
        <f t="shared" si="34"/>
        <v>37853.016016888054</v>
      </c>
      <c r="I93" s="49">
        <f t="shared" si="34"/>
        <v>42492.738856071694</v>
      </c>
      <c r="J93" s="49">
        <f t="shared" si="34"/>
        <v>40194.613298117962</v>
      </c>
      <c r="K93" s="49">
        <f>K91-K92</f>
        <v>42653.927536450421</v>
      </c>
      <c r="L93" s="49">
        <f t="shared" ref="L93:P93" si="35">L91-L92</f>
        <v>43453.221965011835</v>
      </c>
      <c r="M93" s="49">
        <f t="shared" si="35"/>
        <v>44511.081511480297</v>
      </c>
      <c r="N93" s="49">
        <f t="shared" si="35"/>
        <v>46082.765032484327</v>
      </c>
      <c r="O93" s="49">
        <f t="shared" si="35"/>
        <v>46847.098620242614</v>
      </c>
      <c r="P93" s="49">
        <f t="shared" si="35"/>
        <v>46313.014461239829</v>
      </c>
      <c r="Q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  <c r="AD93" s="49"/>
      <c r="AE93" s="49"/>
      <c r="AF93" s="49"/>
      <c r="AG93" s="49"/>
      <c r="AH93" s="49"/>
      <c r="AI93" s="49"/>
      <c r="AJ93" s="49"/>
      <c r="AK93" s="49"/>
      <c r="AL93" s="49"/>
      <c r="AM93" s="49"/>
      <c r="AN93" s="49"/>
      <c r="AO93" s="49"/>
      <c r="AP93" s="49"/>
      <c r="AQ93" s="49"/>
      <c r="AR93" s="49"/>
      <c r="AS93" s="49"/>
      <c r="AT93" s="49"/>
      <c r="AU93" s="49"/>
      <c r="AV93" s="49"/>
      <c r="AW93" s="49"/>
      <c r="AX93" s="49"/>
      <c r="AY93" s="49"/>
      <c r="AZ93" s="49"/>
      <c r="BA93" s="49"/>
      <c r="BB93" s="49"/>
      <c r="BC93" s="49"/>
      <c r="BD93" s="49"/>
      <c r="BE93" s="49"/>
      <c r="BF93" s="49"/>
      <c r="BG93" s="49"/>
      <c r="BH93" s="49"/>
      <c r="BI93" s="49"/>
      <c r="BJ93" s="49"/>
      <c r="BK93" s="49"/>
      <c r="BL93" s="49"/>
      <c r="BM93" s="49"/>
      <c r="BN93" s="49"/>
      <c r="BO93" s="49"/>
      <c r="BP93" s="49"/>
      <c r="BQ93" s="49"/>
      <c r="BR93" s="49"/>
      <c r="BS93" s="49"/>
      <c r="BT93" s="49"/>
      <c r="BU93" s="49"/>
      <c r="BV93" s="49"/>
      <c r="BW93" s="49"/>
      <c r="BX93" s="49"/>
      <c r="BY93" s="49"/>
      <c r="BZ93" s="49"/>
      <c r="CA93" s="49"/>
      <c r="CB93" s="49"/>
      <c r="CC93" s="49"/>
      <c r="CD93" s="49"/>
      <c r="CE93" s="49"/>
      <c r="CF93" s="49"/>
      <c r="CG93" s="49"/>
      <c r="CH93" s="49"/>
    </row>
    <row r="94" spans="2:89" x14ac:dyDescent="0.25">
      <c r="B94" t="s">
        <v>71</v>
      </c>
      <c r="C94" s="13">
        <f t="shared" ref="C94:K94" si="36">C93/C95</f>
        <v>5.5428460536164792</v>
      </c>
      <c r="D94" s="13">
        <f t="shared" si="36"/>
        <v>11.711252419131874</v>
      </c>
      <c r="E94" s="41">
        <f t="shared" si="36"/>
        <v>22.951740242410764</v>
      </c>
      <c r="F94" s="13">
        <f t="shared" si="36"/>
        <v>30.927423379370872</v>
      </c>
      <c r="G94" s="13">
        <f t="shared" si="36"/>
        <v>37.32973818241274</v>
      </c>
      <c r="H94" s="13">
        <f t="shared" si="36"/>
        <v>42.154926239643693</v>
      </c>
      <c r="I94" s="13">
        <f t="shared" si="36"/>
        <v>47.321943155043925</v>
      </c>
      <c r="J94" s="13">
        <f t="shared" si="36"/>
        <v>44.762640790821273</v>
      </c>
      <c r="K94" s="13">
        <f t="shared" si="36"/>
        <v>47.50145056679149</v>
      </c>
      <c r="L94" s="13">
        <f t="shared" ref="L94:P94" si="37">L93/L95</f>
        <v>48.337751782648461</v>
      </c>
      <c r="M94" s="13">
        <f t="shared" si="37"/>
        <v>49.459504985255066</v>
      </c>
      <c r="N94" s="13">
        <f t="shared" si="37"/>
        <v>51.149081561112517</v>
      </c>
      <c r="O94" s="13">
        <f t="shared" si="37"/>
        <v>51.939795576520439</v>
      </c>
      <c r="P94" s="13">
        <f t="shared" si="37"/>
        <v>51.290785161127225</v>
      </c>
      <c r="Q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13"/>
      <c r="BO94" s="13"/>
      <c r="BP94" s="13"/>
      <c r="BQ94" s="13"/>
      <c r="BR94" s="13"/>
      <c r="BS94" s="13"/>
      <c r="BT94" s="13"/>
      <c r="BU94" s="13"/>
      <c r="BV94" s="13"/>
      <c r="BW94" s="13"/>
      <c r="BX94" s="13"/>
      <c r="BY94" s="13"/>
      <c r="BZ94" s="13"/>
      <c r="CA94" s="13"/>
      <c r="CB94" s="13"/>
      <c r="CC94" s="13"/>
      <c r="CD94" s="13"/>
      <c r="CE94" s="13"/>
      <c r="CF94" s="13"/>
      <c r="CG94" s="13"/>
      <c r="CH94" s="13"/>
      <c r="CI94" s="13"/>
      <c r="CJ94" s="13"/>
      <c r="CK94" s="13"/>
    </row>
    <row r="95" spans="2:89" x14ac:dyDescent="0.25">
      <c r="B95" t="s">
        <v>8</v>
      </c>
      <c r="C95" s="51">
        <f>AVERAGE(C45:F45)</f>
        <v>901.77499999999998</v>
      </c>
      <c r="D95" s="51">
        <f>AVERAGE(G45:J45)</f>
        <v>904.25</v>
      </c>
      <c r="E95" s="52">
        <f>AVERAGE(K45:N45)</f>
        <v>899.3</v>
      </c>
      <c r="F95" s="51">
        <f>AVERAGE(O45:P45)</f>
        <v>895.9</v>
      </c>
      <c r="G95" s="51">
        <v>897.95</v>
      </c>
      <c r="H95" s="51">
        <v>897.95</v>
      </c>
      <c r="I95" s="51">
        <v>897.95</v>
      </c>
      <c r="J95" s="51">
        <v>897.95</v>
      </c>
      <c r="K95" s="51">
        <v>897.95</v>
      </c>
      <c r="L95" s="51">
        <v>898.95</v>
      </c>
      <c r="M95" s="51">
        <v>899.95</v>
      </c>
      <c r="N95" s="51">
        <v>900.95</v>
      </c>
      <c r="O95" s="51">
        <v>901.95</v>
      </c>
      <c r="P95" s="51">
        <v>902.95</v>
      </c>
    </row>
    <row r="96" spans="2:89" x14ac:dyDescent="0.25">
      <c r="E96" s="38"/>
    </row>
    <row r="97" spans="2:16" ht="16.5" thickBot="1" x14ac:dyDescent="0.3">
      <c r="B97" s="53" t="s">
        <v>89</v>
      </c>
      <c r="C97" s="54" t="s">
        <v>79</v>
      </c>
      <c r="D97" s="54" t="s">
        <v>80</v>
      </c>
      <c r="E97" s="71" t="s">
        <v>81</v>
      </c>
      <c r="F97" s="54" t="s">
        <v>82</v>
      </c>
      <c r="G97" s="54" t="s">
        <v>83</v>
      </c>
      <c r="H97" s="54" t="s">
        <v>84</v>
      </c>
      <c r="I97" s="54" t="s">
        <v>85</v>
      </c>
      <c r="J97" s="54" t="s">
        <v>86</v>
      </c>
      <c r="K97" s="54" t="s">
        <v>87</v>
      </c>
      <c r="L97" s="54" t="s">
        <v>262</v>
      </c>
      <c r="M97" s="54" t="s">
        <v>263</v>
      </c>
      <c r="N97" s="54" t="s">
        <v>264</v>
      </c>
      <c r="O97" s="54" t="s">
        <v>265</v>
      </c>
      <c r="P97" s="54" t="s">
        <v>266</v>
      </c>
    </row>
    <row r="98" spans="2:16" x14ac:dyDescent="0.25">
      <c r="B98" s="57" t="s">
        <v>90</v>
      </c>
      <c r="C98" s="58">
        <v>2818.6</v>
      </c>
      <c r="D98" s="58">
        <v>3268</v>
      </c>
      <c r="E98" s="72">
        <v>7268</v>
      </c>
      <c r="F98" s="58">
        <f t="shared" ref="F98:P98" si="38">F161</f>
        <v>47327.545272245028</v>
      </c>
      <c r="G98" s="58"/>
      <c r="H98" s="58"/>
      <c r="I98" s="58"/>
      <c r="J98" s="58"/>
      <c r="K98" s="58"/>
      <c r="L98" s="58"/>
      <c r="M98" s="58"/>
      <c r="N98" s="58"/>
      <c r="O98" s="58"/>
      <c r="P98" s="58"/>
    </row>
    <row r="99" spans="2:16" x14ac:dyDescent="0.25">
      <c r="B99" s="57" t="s">
        <v>91</v>
      </c>
      <c r="C99" s="58">
        <v>9090.5</v>
      </c>
      <c r="D99" s="58">
        <v>11006</v>
      </c>
      <c r="E99" s="72">
        <v>17760</v>
      </c>
      <c r="F99" s="58">
        <f t="shared" ref="F99:P99" si="39">F$83*F$164</f>
        <v>0</v>
      </c>
      <c r="G99" s="58"/>
      <c r="H99" s="58"/>
      <c r="I99" s="58"/>
      <c r="J99" s="58"/>
      <c r="K99" s="58"/>
      <c r="L99" s="58"/>
      <c r="M99" s="58"/>
      <c r="N99" s="58"/>
      <c r="O99" s="58"/>
      <c r="P99" s="58"/>
    </row>
    <row r="100" spans="2:16" x14ac:dyDescent="0.25">
      <c r="B100" s="57" t="s">
        <v>92</v>
      </c>
      <c r="C100" s="58">
        <v>2245.6999999999998</v>
      </c>
      <c r="D100" s="58">
        <v>2270</v>
      </c>
      <c r="E100" s="72">
        <v>2395</v>
      </c>
      <c r="F100" s="58">
        <f t="shared" ref="F100:P100" si="40">F$83*F$165</f>
        <v>0</v>
      </c>
      <c r="G100" s="58"/>
      <c r="H100" s="58"/>
      <c r="I100" s="58"/>
      <c r="J100" s="58"/>
      <c r="K100" s="58"/>
      <c r="L100" s="58"/>
      <c r="M100" s="58"/>
      <c r="N100" s="58"/>
      <c r="O100" s="58"/>
      <c r="P100" s="58"/>
    </row>
    <row r="101" spans="2:16" x14ac:dyDescent="0.25">
      <c r="B101" s="57" t="s">
        <v>93</v>
      </c>
      <c r="C101" s="58">
        <v>5772.8</v>
      </c>
      <c r="D101" s="58">
        <v>7589</v>
      </c>
      <c r="E101" s="72">
        <v>13744</v>
      </c>
      <c r="F101" s="58">
        <f t="shared" ref="F101:P101" si="41">F$84*F$166</f>
        <v>0</v>
      </c>
      <c r="G101" s="58"/>
      <c r="H101" s="58"/>
      <c r="I101" s="58"/>
      <c r="J101" s="58"/>
      <c r="K101" s="58"/>
      <c r="L101" s="58"/>
      <c r="M101" s="58"/>
      <c r="N101" s="58"/>
      <c r="O101" s="58"/>
      <c r="P101" s="58"/>
    </row>
    <row r="102" spans="2:16" x14ac:dyDescent="0.25">
      <c r="B102" s="57" t="s">
        <v>94</v>
      </c>
      <c r="C102" s="58">
        <v>5540.8</v>
      </c>
      <c r="D102" s="58">
        <v>8341</v>
      </c>
      <c r="E102" s="72">
        <v>14315</v>
      </c>
      <c r="F102" s="58">
        <f t="shared" ref="F102:P102" si="42">F$83*F$167</f>
        <v>0</v>
      </c>
      <c r="G102" s="58"/>
      <c r="H102" s="58"/>
      <c r="I102" s="58"/>
      <c r="J102" s="58"/>
      <c r="K102" s="58"/>
      <c r="L102" s="58"/>
      <c r="M102" s="58"/>
      <c r="N102" s="58"/>
      <c r="O102" s="58"/>
      <c r="P102" s="58"/>
    </row>
    <row r="103" spans="2:16" x14ac:dyDescent="0.25">
      <c r="B103" s="57" t="s">
        <v>95</v>
      </c>
      <c r="C103" s="58">
        <v>258.60000000000002</v>
      </c>
      <c r="D103" s="58">
        <v>266</v>
      </c>
      <c r="E103" s="72">
        <v>147</v>
      </c>
      <c r="F103" s="58">
        <f t="shared" ref="F103:P103" si="43">F$83*F$168</f>
        <v>0</v>
      </c>
      <c r="G103" s="58"/>
      <c r="H103" s="58"/>
      <c r="I103" s="58"/>
      <c r="J103" s="58"/>
      <c r="K103" s="58"/>
      <c r="L103" s="58"/>
      <c r="M103" s="58"/>
      <c r="N103" s="58"/>
      <c r="O103" s="58"/>
      <c r="P103" s="58"/>
    </row>
    <row r="104" spans="2:16" x14ac:dyDescent="0.25">
      <c r="B104" s="55" t="s">
        <v>96</v>
      </c>
      <c r="C104" s="56">
        <v>25726.999999999996</v>
      </c>
      <c r="D104" s="56">
        <v>32740</v>
      </c>
      <c r="E104" s="73">
        <v>55629</v>
      </c>
      <c r="F104" s="56">
        <f t="shared" ref="F104:P104" si="44">SUM(F98:F103)</f>
        <v>47327.545272245028</v>
      </c>
      <c r="G104" s="56"/>
      <c r="H104" s="56"/>
      <c r="I104" s="56"/>
      <c r="J104" s="56"/>
      <c r="K104" s="56"/>
      <c r="L104" s="56"/>
      <c r="M104" s="56"/>
      <c r="N104" s="56"/>
      <c r="O104" s="56"/>
      <c r="P104" s="56"/>
    </row>
    <row r="105" spans="2:16" x14ac:dyDescent="0.25">
      <c r="B105" s="57" t="s">
        <v>97</v>
      </c>
      <c r="C105" s="58">
        <v>3052.2</v>
      </c>
      <c r="D105" s="58">
        <v>3216</v>
      </c>
      <c r="E105" s="72">
        <v>2802</v>
      </c>
      <c r="F105" s="58">
        <f t="shared" ref="F105:P105" si="45">E105</f>
        <v>2802</v>
      </c>
      <c r="G105" s="58"/>
      <c r="H105" s="58"/>
      <c r="I105" s="58"/>
      <c r="J105" s="58"/>
      <c r="K105" s="58"/>
      <c r="L105" s="58"/>
      <c r="M105" s="58"/>
      <c r="N105" s="58"/>
      <c r="O105" s="58"/>
      <c r="P105" s="58"/>
    </row>
    <row r="106" spans="2:16" x14ac:dyDescent="0.25">
      <c r="B106" s="57" t="s">
        <v>98</v>
      </c>
      <c r="C106" s="58">
        <v>4939.7</v>
      </c>
      <c r="D106" s="58">
        <v>5770</v>
      </c>
      <c r="E106" s="72">
        <v>5898</v>
      </c>
      <c r="F106" s="58">
        <f t="shared" ref="F106:P106" si="46">E106</f>
        <v>5898</v>
      </c>
      <c r="G106" s="58"/>
      <c r="H106" s="58"/>
      <c r="I106" s="58"/>
      <c r="J106" s="58"/>
      <c r="K106" s="58"/>
      <c r="L106" s="58"/>
      <c r="M106" s="58"/>
      <c r="N106" s="58"/>
      <c r="O106" s="58"/>
      <c r="P106" s="58"/>
    </row>
    <row r="107" spans="2:16" x14ac:dyDescent="0.25">
      <c r="B107" s="57" t="s">
        <v>99</v>
      </c>
      <c r="C107" s="58">
        <v>6906.6</v>
      </c>
      <c r="D107" s="58">
        <v>6166</v>
      </c>
      <c r="E107" s="72">
        <v>6521</v>
      </c>
      <c r="F107" s="58">
        <f t="shared" ref="F107:P107" si="47">E107</f>
        <v>6521</v>
      </c>
      <c r="G107" s="58"/>
      <c r="H107" s="58"/>
      <c r="I107" s="58"/>
      <c r="J107" s="58"/>
      <c r="K107" s="58"/>
      <c r="L107" s="58"/>
      <c r="M107" s="58"/>
      <c r="N107" s="58"/>
      <c r="O107" s="58"/>
      <c r="P107" s="58"/>
    </row>
    <row r="108" spans="2:16" x14ac:dyDescent="0.25">
      <c r="B108" s="57" t="s">
        <v>100</v>
      </c>
      <c r="C108" s="58">
        <v>5477.3</v>
      </c>
      <c r="D108" s="58">
        <v>8001</v>
      </c>
      <c r="E108" s="72">
        <v>9959</v>
      </c>
      <c r="F108" s="58">
        <f t="shared" ref="F108:P108" si="48">E108</f>
        <v>9959</v>
      </c>
      <c r="G108" s="58"/>
      <c r="H108" s="58"/>
      <c r="I108" s="58"/>
      <c r="J108" s="58"/>
      <c r="K108" s="58"/>
      <c r="L108" s="58"/>
      <c r="M108" s="58"/>
      <c r="N108" s="58"/>
      <c r="O108" s="58"/>
      <c r="P108" s="58"/>
    </row>
    <row r="109" spans="2:16" x14ac:dyDescent="0.25">
      <c r="B109" s="57" t="s">
        <v>101</v>
      </c>
      <c r="C109" s="58">
        <v>12913.6</v>
      </c>
      <c r="D109" s="58">
        <v>17102</v>
      </c>
      <c r="E109" s="72">
        <v>24675</v>
      </c>
      <c r="F109" s="58">
        <f t="shared" ref="F109:P109" si="49">E109-F141-F129</f>
        <v>24675</v>
      </c>
      <c r="G109" s="58"/>
      <c r="H109" s="58"/>
      <c r="I109" s="58"/>
      <c r="J109" s="58"/>
      <c r="K109" s="58"/>
      <c r="L109" s="58"/>
      <c r="M109" s="58"/>
      <c r="N109" s="58"/>
      <c r="O109" s="58"/>
      <c r="P109" s="58"/>
    </row>
    <row r="110" spans="2:16" x14ac:dyDescent="0.25">
      <c r="B110" s="57" t="s">
        <v>102</v>
      </c>
      <c r="C110" s="58">
        <v>4989.8999999999996</v>
      </c>
      <c r="D110" s="58">
        <v>5720</v>
      </c>
      <c r="E110" s="72">
        <v>6992</v>
      </c>
      <c r="F110" s="58">
        <f t="shared" ref="F110:P110" si="50">E110</f>
        <v>6992</v>
      </c>
      <c r="G110" s="58"/>
      <c r="H110" s="58"/>
      <c r="I110" s="58"/>
      <c r="J110" s="58"/>
      <c r="K110" s="58"/>
      <c r="L110" s="58"/>
      <c r="M110" s="58"/>
      <c r="N110" s="58"/>
      <c r="O110" s="58"/>
      <c r="P110" s="58"/>
    </row>
    <row r="111" spans="2:16" x14ac:dyDescent="0.25">
      <c r="B111" s="55" t="s">
        <v>103</v>
      </c>
      <c r="C111" s="56">
        <v>64006.3</v>
      </c>
      <c r="D111" s="56">
        <v>78715</v>
      </c>
      <c r="E111" s="73">
        <v>112476</v>
      </c>
      <c r="F111" s="56">
        <f t="shared" ref="F111:P111" si="51">F104+SUM(F105:F110)</f>
        <v>104174.54527224503</v>
      </c>
      <c r="G111" s="56"/>
      <c r="H111" s="56"/>
      <c r="I111" s="56"/>
      <c r="J111" s="56"/>
      <c r="K111" s="56"/>
      <c r="L111" s="56"/>
      <c r="M111" s="56"/>
      <c r="N111" s="56"/>
      <c r="O111" s="56"/>
      <c r="P111" s="56"/>
    </row>
    <row r="112" spans="2:16" x14ac:dyDescent="0.25">
      <c r="E112" s="38"/>
    </row>
    <row r="113" spans="2:16" x14ac:dyDescent="0.25">
      <c r="B113" s="57" t="s">
        <v>104</v>
      </c>
      <c r="C113" s="58">
        <v>6904.5</v>
      </c>
      <c r="D113" s="58">
        <v>5117</v>
      </c>
      <c r="E113" s="72">
        <v>1635</v>
      </c>
      <c r="F113" s="58">
        <f t="shared" ref="F113:P113" si="52">E113+F151</f>
        <v>1635</v>
      </c>
      <c r="G113" s="58"/>
      <c r="H113" s="58"/>
      <c r="I113" s="58"/>
      <c r="J113" s="58"/>
      <c r="K113" s="58"/>
      <c r="L113" s="58"/>
      <c r="M113" s="58"/>
      <c r="N113" s="58"/>
      <c r="O113" s="58"/>
      <c r="P113" s="58"/>
    </row>
    <row r="114" spans="2:16" x14ac:dyDescent="0.25">
      <c r="B114" s="57" t="s">
        <v>105</v>
      </c>
      <c r="C114" s="58">
        <v>2598.8000000000002</v>
      </c>
      <c r="D114" s="58">
        <v>3229</v>
      </c>
      <c r="E114" s="72">
        <v>5379</v>
      </c>
      <c r="F114" s="58">
        <f t="shared" ref="F114:P114" si="53">F$84*F$169</f>
        <v>0</v>
      </c>
      <c r="G114" s="58"/>
      <c r="H114" s="58"/>
      <c r="I114" s="58"/>
      <c r="J114" s="58"/>
      <c r="K114" s="58"/>
      <c r="L114" s="58"/>
      <c r="M114" s="58"/>
      <c r="N114" s="58"/>
      <c r="O114" s="58"/>
      <c r="P114" s="58"/>
    </row>
    <row r="115" spans="2:16" x14ac:dyDescent="0.25">
      <c r="B115" s="57" t="s">
        <v>106</v>
      </c>
      <c r="C115" s="58">
        <v>1650.4</v>
      </c>
      <c r="D115" s="58">
        <v>2094</v>
      </c>
      <c r="E115" s="72">
        <v>2375</v>
      </c>
      <c r="F115" s="58">
        <f t="shared" ref="F115:P115" si="54">F$83*F$170</f>
        <v>0</v>
      </c>
      <c r="G115" s="58"/>
      <c r="H115" s="58"/>
      <c r="I115" s="58"/>
      <c r="J115" s="58"/>
      <c r="K115" s="58"/>
      <c r="L115" s="58"/>
      <c r="M115" s="58"/>
      <c r="N115" s="58"/>
      <c r="O115" s="58"/>
      <c r="P115" s="58"/>
    </row>
    <row r="116" spans="2:16" x14ac:dyDescent="0.25">
      <c r="B116" s="57" t="s">
        <v>107</v>
      </c>
      <c r="C116" s="58">
        <v>11689</v>
      </c>
      <c r="D116" s="58">
        <v>11539</v>
      </c>
      <c r="E116" s="72">
        <v>17382</v>
      </c>
      <c r="F116" s="58">
        <f t="shared" ref="F116:P116" si="55">F$83*F$171</f>
        <v>0</v>
      </c>
      <c r="G116" s="58"/>
      <c r="H116" s="58"/>
      <c r="I116" s="58"/>
      <c r="J116" s="58"/>
      <c r="K116" s="58"/>
      <c r="L116" s="58"/>
      <c r="M116" s="58"/>
      <c r="N116" s="58"/>
      <c r="O116" s="58"/>
      <c r="P116" s="58"/>
    </row>
    <row r="117" spans="2:16" x14ac:dyDescent="0.25">
      <c r="B117" s="57" t="s">
        <v>108</v>
      </c>
      <c r="C117" s="58">
        <v>4450.5</v>
      </c>
      <c r="D117" s="58">
        <v>6397</v>
      </c>
      <c r="E117" s="72">
        <v>8457</v>
      </c>
      <c r="F117" s="58">
        <f t="shared" ref="F117:P117" si="56">F$83*F$172</f>
        <v>0</v>
      </c>
      <c r="G117" s="58"/>
      <c r="H117" s="58"/>
      <c r="I117" s="58"/>
      <c r="J117" s="58"/>
      <c r="K117" s="58"/>
      <c r="L117" s="58"/>
      <c r="M117" s="58"/>
      <c r="N117" s="58"/>
      <c r="O117" s="58"/>
      <c r="P117" s="58"/>
    </row>
    <row r="118" spans="2:16" x14ac:dyDescent="0.25">
      <c r="B118" s="55" t="s">
        <v>109</v>
      </c>
      <c r="C118" s="56">
        <v>27293.199999999997</v>
      </c>
      <c r="D118" s="56">
        <v>28376</v>
      </c>
      <c r="E118" s="73">
        <v>35228</v>
      </c>
      <c r="F118" s="56">
        <f t="shared" ref="F118:P118" si="57">SUM(F113:F117)</f>
        <v>1635</v>
      </c>
      <c r="G118" s="56"/>
      <c r="H118" s="56"/>
      <c r="I118" s="56"/>
      <c r="J118" s="56"/>
      <c r="K118" s="56"/>
      <c r="L118" s="56"/>
      <c r="M118" s="56"/>
      <c r="N118" s="56"/>
      <c r="O118" s="56"/>
      <c r="P118" s="56"/>
    </row>
    <row r="119" spans="2:16" x14ac:dyDescent="0.25">
      <c r="B119" s="57" t="s">
        <v>110</v>
      </c>
      <c r="C119" s="58">
        <v>18320.8</v>
      </c>
      <c r="D119" s="58">
        <v>28527</v>
      </c>
      <c r="E119" s="72">
        <v>40868</v>
      </c>
      <c r="F119" s="58">
        <f t="shared" ref="F119:P119" si="58">E119+F152+F153</f>
        <v>40868</v>
      </c>
      <c r="G119" s="58"/>
      <c r="H119" s="58"/>
      <c r="I119" s="58"/>
      <c r="J119" s="58"/>
      <c r="K119" s="58"/>
      <c r="L119" s="58"/>
      <c r="M119" s="58"/>
      <c r="N119" s="58"/>
      <c r="O119" s="58"/>
      <c r="P119" s="58"/>
    </row>
    <row r="120" spans="2:16" x14ac:dyDescent="0.25">
      <c r="B120" s="57" t="s">
        <v>111</v>
      </c>
      <c r="C120" s="58">
        <v>3849.2</v>
      </c>
      <c r="D120" s="58">
        <v>4061</v>
      </c>
      <c r="E120" s="72">
        <v>5875</v>
      </c>
      <c r="F120" s="58">
        <f t="shared" ref="F120:P120" si="59">E120</f>
        <v>5875</v>
      </c>
      <c r="G120" s="58"/>
      <c r="H120" s="58"/>
      <c r="I120" s="58"/>
      <c r="J120" s="58"/>
      <c r="K120" s="58"/>
      <c r="L120" s="58"/>
      <c r="M120" s="58"/>
      <c r="N120" s="58"/>
      <c r="O120" s="58"/>
      <c r="P120" s="58"/>
    </row>
    <row r="121" spans="2:16" x14ac:dyDescent="0.25">
      <c r="B121" s="57" t="s">
        <v>112</v>
      </c>
      <c r="C121" s="58">
        <v>3679.4</v>
      </c>
      <c r="D121" s="58">
        <v>3479</v>
      </c>
      <c r="E121" s="72">
        <v>3970</v>
      </c>
      <c r="F121" s="58">
        <f t="shared" ref="F121:P121" si="60">E121</f>
        <v>3970</v>
      </c>
      <c r="G121" s="58"/>
      <c r="H121" s="58"/>
      <c r="I121" s="58"/>
      <c r="J121" s="58"/>
      <c r="K121" s="58"/>
      <c r="L121" s="58"/>
      <c r="M121" s="58"/>
      <c r="N121" s="58"/>
      <c r="O121" s="58"/>
      <c r="P121" s="58"/>
    </row>
    <row r="122" spans="2:16" x14ac:dyDescent="0.25">
      <c r="B122" s="55" t="s">
        <v>113</v>
      </c>
      <c r="C122" s="56">
        <v>25849.4</v>
      </c>
      <c r="D122" s="56">
        <v>36067</v>
      </c>
      <c r="E122" s="73">
        <v>50713</v>
      </c>
      <c r="F122" s="56">
        <f t="shared" ref="F122:P122" si="61">SUM(F119:F121)</f>
        <v>50713</v>
      </c>
      <c r="G122" s="56"/>
      <c r="H122" s="56"/>
      <c r="I122" s="56"/>
      <c r="J122" s="56"/>
      <c r="K122" s="56"/>
      <c r="L122" s="56"/>
      <c r="M122" s="56"/>
      <c r="N122" s="56"/>
      <c r="O122" s="56"/>
      <c r="P122" s="56"/>
    </row>
    <row r="123" spans="2:16" x14ac:dyDescent="0.25">
      <c r="B123" s="55" t="s">
        <v>114</v>
      </c>
      <c r="C123" s="56">
        <v>10863.7</v>
      </c>
      <c r="D123" s="56">
        <v>14272</v>
      </c>
      <c r="E123" s="73">
        <v>26535</v>
      </c>
      <c r="F123" s="56">
        <f t="shared" ref="F123:P123" si="62">E123+F93+F131+F150+F154</f>
        <v>54242.878605578364</v>
      </c>
      <c r="G123" s="56"/>
      <c r="H123" s="56"/>
      <c r="I123" s="56"/>
      <c r="J123" s="56"/>
      <c r="K123" s="56"/>
      <c r="L123" s="56"/>
      <c r="M123" s="56"/>
      <c r="N123" s="56"/>
      <c r="O123" s="56"/>
      <c r="P123" s="56"/>
    </row>
    <row r="124" spans="2:16" x14ac:dyDescent="0.25">
      <c r="B124" s="55" t="s">
        <v>115</v>
      </c>
      <c r="C124" s="56">
        <v>64006.3</v>
      </c>
      <c r="D124" s="56">
        <v>78715</v>
      </c>
      <c r="E124" s="73">
        <v>112476</v>
      </c>
      <c r="F124" s="56">
        <f t="shared" ref="F124:P124" si="63">F118+F122+F123</f>
        <v>106590.87860557836</v>
      </c>
      <c r="G124" s="56"/>
      <c r="H124" s="56"/>
      <c r="I124" s="56"/>
      <c r="J124" s="56"/>
      <c r="K124" s="56"/>
      <c r="L124" s="56"/>
      <c r="M124" s="56"/>
      <c r="N124" s="56"/>
      <c r="O124" s="56"/>
      <c r="P124" s="56"/>
    </row>
    <row r="125" spans="2:16" x14ac:dyDescent="0.25">
      <c r="B125" s="61" t="s">
        <v>116</v>
      </c>
      <c r="C125" s="62">
        <v>0</v>
      </c>
      <c r="D125" s="62">
        <v>0</v>
      </c>
      <c r="E125" s="74">
        <v>0</v>
      </c>
      <c r="F125" s="62">
        <f t="shared" ref="F125:P125" si="64">F111-F124</f>
        <v>-2416.3333333333285</v>
      </c>
      <c r="G125" s="62"/>
      <c r="H125" s="62"/>
      <c r="I125" s="62"/>
      <c r="J125" s="62"/>
      <c r="K125" s="62"/>
      <c r="L125" s="62"/>
      <c r="M125" s="62"/>
      <c r="N125" s="62"/>
      <c r="O125" s="62"/>
      <c r="P125" s="62"/>
    </row>
    <row r="126" spans="2:16" x14ac:dyDescent="0.25">
      <c r="E126" s="38"/>
    </row>
    <row r="127" spans="2:16" ht="16.5" thickBot="1" x14ac:dyDescent="0.3">
      <c r="B127" s="53" t="s">
        <v>117</v>
      </c>
      <c r="C127" s="54" t="s">
        <v>79</v>
      </c>
      <c r="D127" s="54" t="s">
        <v>80</v>
      </c>
      <c r="E127" s="71" t="s">
        <v>81</v>
      </c>
      <c r="F127" s="54" t="s">
        <v>82</v>
      </c>
      <c r="G127" s="54" t="s">
        <v>83</v>
      </c>
      <c r="H127" s="54" t="s">
        <v>84</v>
      </c>
      <c r="I127" s="54" t="s">
        <v>85</v>
      </c>
      <c r="J127" s="54" t="s">
        <v>86</v>
      </c>
      <c r="K127" s="54" t="s">
        <v>87</v>
      </c>
      <c r="L127" s="54" t="s">
        <v>262</v>
      </c>
      <c r="M127" s="54" t="s">
        <v>263</v>
      </c>
      <c r="N127" s="54" t="s">
        <v>264</v>
      </c>
      <c r="O127" s="54" t="s">
        <v>265</v>
      </c>
      <c r="P127" s="54" t="s">
        <v>266</v>
      </c>
    </row>
    <row r="128" spans="2:16" x14ac:dyDescent="0.25">
      <c r="B128" s="57" t="s">
        <v>118</v>
      </c>
      <c r="C128" s="58">
        <v>5240</v>
      </c>
      <c r="D128" s="58">
        <v>10590</v>
      </c>
      <c r="E128" s="72">
        <v>20640</v>
      </c>
      <c r="F128" s="58">
        <f t="shared" ref="F128:P128" si="65">F93</f>
        <v>27707.878605578364</v>
      </c>
      <c r="G128" s="58"/>
      <c r="H128" s="58"/>
      <c r="I128" s="58"/>
      <c r="J128" s="58"/>
      <c r="K128" s="58"/>
      <c r="L128" s="58"/>
      <c r="M128" s="58"/>
      <c r="N128" s="58"/>
      <c r="O128" s="58"/>
      <c r="P128" s="58"/>
    </row>
    <row r="129" spans="2:16" x14ac:dyDescent="0.25">
      <c r="B129" s="57" t="s">
        <v>119</v>
      </c>
      <c r="C129" s="58">
        <v>1527</v>
      </c>
      <c r="D129" s="58">
        <v>1767</v>
      </c>
      <c r="E129" s="72">
        <v>1997</v>
      </c>
      <c r="F129" s="58">
        <f t="shared" ref="F129:P129" si="66">F$83*F$174</f>
        <v>0</v>
      </c>
      <c r="G129" s="58"/>
      <c r="H129" s="58"/>
      <c r="I129" s="58"/>
      <c r="J129" s="58"/>
      <c r="K129" s="58"/>
      <c r="L129" s="58"/>
      <c r="M129" s="58"/>
      <c r="N129" s="58"/>
      <c r="O129" s="58"/>
      <c r="P129" s="58"/>
    </row>
    <row r="130" spans="2:16" x14ac:dyDescent="0.25">
      <c r="B130" s="57" t="s">
        <v>120</v>
      </c>
      <c r="C130" s="58">
        <v>-2341</v>
      </c>
      <c r="D130" s="58">
        <v>-2683</v>
      </c>
      <c r="E130" s="72">
        <v>-1707</v>
      </c>
      <c r="F130" s="58">
        <f>AVERAGE(C130:E130)</f>
        <v>-2243.6666666666665</v>
      </c>
      <c r="G130" s="58"/>
      <c r="H130" s="58"/>
      <c r="I130" s="58"/>
      <c r="J130" s="58"/>
      <c r="K130" s="58"/>
      <c r="L130" s="58"/>
      <c r="M130" s="58"/>
      <c r="N130" s="58"/>
      <c r="O130" s="58"/>
      <c r="P130" s="58"/>
    </row>
    <row r="131" spans="2:16" x14ac:dyDescent="0.25">
      <c r="B131" s="57" t="s">
        <v>121</v>
      </c>
      <c r="C131" s="58">
        <v>629</v>
      </c>
      <c r="D131" s="58">
        <v>646</v>
      </c>
      <c r="E131" s="72">
        <v>626</v>
      </c>
      <c r="F131" s="58">
        <f t="shared" ref="F131:P131" si="67">F$175</f>
        <v>0</v>
      </c>
      <c r="G131" s="58"/>
      <c r="H131" s="58"/>
      <c r="I131" s="58"/>
      <c r="J131" s="58"/>
      <c r="K131" s="58"/>
      <c r="L131" s="58"/>
      <c r="M131" s="58"/>
      <c r="N131" s="58"/>
      <c r="O131" s="58"/>
      <c r="P131" s="58"/>
    </row>
    <row r="132" spans="2:16" x14ac:dyDescent="0.25">
      <c r="B132" s="57" t="s">
        <v>122</v>
      </c>
      <c r="C132" s="58">
        <v>-1879</v>
      </c>
      <c r="D132" s="58">
        <v>-224</v>
      </c>
      <c r="E132" s="72">
        <v>-180</v>
      </c>
      <c r="F132" s="58">
        <f>AVERAGE(C132:E132)</f>
        <v>-761</v>
      </c>
      <c r="G132" s="58"/>
      <c r="H132" s="58"/>
      <c r="I132" s="58"/>
      <c r="J132" s="58"/>
      <c r="K132" s="58"/>
      <c r="L132" s="58"/>
      <c r="M132" s="58"/>
      <c r="N132" s="58"/>
      <c r="O132" s="58"/>
      <c r="P132" s="58"/>
    </row>
    <row r="133" spans="2:16" x14ac:dyDescent="0.25">
      <c r="B133" s="57" t="s">
        <v>123</v>
      </c>
      <c r="C133" s="58">
        <v>3800</v>
      </c>
      <c r="D133" s="58">
        <v>3280</v>
      </c>
      <c r="E133" s="72">
        <v>2910</v>
      </c>
      <c r="F133" s="58">
        <f t="shared" ref="F133:P133" si="68">F88</f>
        <v>2368.5117983696268</v>
      </c>
      <c r="G133" s="58"/>
      <c r="H133" s="58"/>
      <c r="I133" s="58"/>
      <c r="J133" s="58"/>
      <c r="K133" s="58"/>
      <c r="L133" s="58"/>
      <c r="M133" s="58"/>
      <c r="N133" s="58"/>
      <c r="O133" s="58"/>
      <c r="P133" s="58"/>
    </row>
    <row r="134" spans="2:16" x14ac:dyDescent="0.25">
      <c r="B134" s="57" t="s">
        <v>124</v>
      </c>
      <c r="C134" s="58">
        <v>319</v>
      </c>
      <c r="D134" s="58">
        <v>826</v>
      </c>
      <c r="E134" s="72">
        <v>620</v>
      </c>
      <c r="F134" s="58">
        <f>AVERAGE(C134:E134)</f>
        <v>588.33333333333337</v>
      </c>
      <c r="G134" s="58"/>
      <c r="H134" s="58"/>
      <c r="I134" s="58"/>
      <c r="J134" s="58"/>
      <c r="K134" s="58"/>
      <c r="L134" s="58"/>
      <c r="M134" s="58"/>
      <c r="N134" s="58"/>
      <c r="O134" s="58"/>
      <c r="P134" s="58"/>
    </row>
    <row r="135" spans="2:16" x14ac:dyDescent="0.25">
      <c r="B135" s="57" t="s">
        <v>125</v>
      </c>
      <c r="C135" s="58">
        <v>-2451</v>
      </c>
      <c r="D135" s="58">
        <v>-2155</v>
      </c>
      <c r="E135" s="72">
        <v>-7000</v>
      </c>
      <c r="F135" s="58">
        <f t="shared" ref="F135:P135" si="69">-(F99+F100-E99-E100)</f>
        <v>20155</v>
      </c>
      <c r="G135" s="58"/>
      <c r="H135" s="58"/>
      <c r="I135" s="58"/>
      <c r="J135" s="58"/>
      <c r="K135" s="58"/>
      <c r="L135" s="58"/>
      <c r="M135" s="58"/>
      <c r="N135" s="58"/>
      <c r="O135" s="58"/>
      <c r="P135" s="58"/>
    </row>
    <row r="136" spans="2:16" x14ac:dyDescent="0.25">
      <c r="B136" s="57" t="s">
        <v>126</v>
      </c>
      <c r="C136" s="58">
        <v>-1425</v>
      </c>
      <c r="D136" s="58">
        <v>-2507</v>
      </c>
      <c r="E136" s="72">
        <v>-4671</v>
      </c>
      <c r="F136" s="58">
        <f t="shared" ref="F136:P136" si="70">-(F101-E101)</f>
        <v>13744</v>
      </c>
      <c r="G136" s="58"/>
      <c r="H136" s="58"/>
      <c r="I136" s="58"/>
      <c r="J136" s="58"/>
      <c r="K136" s="58"/>
      <c r="L136" s="58"/>
      <c r="M136" s="58"/>
      <c r="N136" s="58"/>
      <c r="O136" s="58"/>
      <c r="P136" s="58"/>
    </row>
    <row r="137" spans="2:16" x14ac:dyDescent="0.25">
      <c r="B137" s="57" t="s">
        <v>127</v>
      </c>
      <c r="C137" s="58">
        <v>-3453</v>
      </c>
      <c r="D137" s="58">
        <v>-3331</v>
      </c>
      <c r="E137" s="72">
        <v>-6609</v>
      </c>
      <c r="F137" s="58">
        <f t="shared" ref="F137:P137" si="71">-(F102+F103-E102-E103)</f>
        <v>14462</v>
      </c>
      <c r="G137" s="58"/>
      <c r="H137" s="58"/>
      <c r="I137" s="58"/>
      <c r="J137" s="58"/>
      <c r="K137" s="58"/>
      <c r="L137" s="58"/>
      <c r="M137" s="58"/>
      <c r="N137" s="58"/>
      <c r="O137" s="58"/>
      <c r="P137" s="58"/>
    </row>
    <row r="138" spans="2:16" x14ac:dyDescent="0.25">
      <c r="B138" s="57" t="s">
        <v>128</v>
      </c>
      <c r="C138" s="58">
        <v>4274</v>
      </c>
      <c r="D138" s="58">
        <v>2609</v>
      </c>
      <c r="E138" s="72">
        <v>10187</v>
      </c>
      <c r="F138" s="58">
        <f t="shared" ref="F138:P138" si="72">(F114+F115+F116+F117+F120+F121)-(E114+E115+E116+E117+E120+E121)</f>
        <v>-33593</v>
      </c>
      <c r="G138" s="58"/>
      <c r="H138" s="58"/>
      <c r="I138" s="58"/>
      <c r="J138" s="58"/>
      <c r="K138" s="58"/>
      <c r="L138" s="58"/>
      <c r="M138" s="58"/>
      <c r="N138" s="58"/>
      <c r="O138" s="58"/>
      <c r="P138" s="58"/>
    </row>
    <row r="139" spans="2:16" x14ac:dyDescent="0.25">
      <c r="B139" s="55" t="s">
        <v>129</v>
      </c>
      <c r="C139" s="56">
        <v>4240</v>
      </c>
      <c r="D139" s="56">
        <v>8818</v>
      </c>
      <c r="E139" s="73">
        <v>16813</v>
      </c>
      <c r="F139" s="56">
        <f t="shared" ref="F139:P139" si="73">SUM(F128:F138)</f>
        <v>42428.057070614654</v>
      </c>
      <c r="G139" s="56"/>
      <c r="H139" s="56"/>
      <c r="I139" s="56"/>
      <c r="J139" s="56"/>
      <c r="K139" s="56"/>
      <c r="L139" s="56"/>
      <c r="M139" s="56"/>
      <c r="N139" s="56"/>
      <c r="O139" s="56"/>
      <c r="P139" s="56"/>
    </row>
    <row r="140" spans="2:16" x14ac:dyDescent="0.25">
      <c r="E140" s="38"/>
    </row>
    <row r="141" spans="2:16" x14ac:dyDescent="0.25">
      <c r="B141" s="57" t="s">
        <v>130</v>
      </c>
      <c r="C141" s="58">
        <v>-3448</v>
      </c>
      <c r="D141" s="58">
        <v>-5058</v>
      </c>
      <c r="E141" s="72">
        <v>-7841</v>
      </c>
      <c r="F141" s="58">
        <f t="shared" ref="F141:P141" si="74">-F$83*F$173</f>
        <v>0</v>
      </c>
      <c r="G141" s="58"/>
      <c r="H141" s="58"/>
      <c r="I141" s="58"/>
      <c r="J141" s="58"/>
      <c r="K141" s="58"/>
      <c r="L141" s="58"/>
      <c r="M141" s="58"/>
      <c r="N141" s="58"/>
      <c r="O141" s="58"/>
      <c r="P141" s="58"/>
    </row>
    <row r="142" spans="2:16" x14ac:dyDescent="0.25">
      <c r="B142" s="57" t="s">
        <v>131</v>
      </c>
      <c r="C142" s="58">
        <v>508</v>
      </c>
      <c r="D142" s="58">
        <v>374</v>
      </c>
      <c r="E142" s="72">
        <v>964</v>
      </c>
      <c r="F142" s="58">
        <v>0</v>
      </c>
      <c r="G142" s="58"/>
      <c r="H142" s="58"/>
      <c r="I142" s="58"/>
      <c r="J142" s="58"/>
      <c r="K142" s="58"/>
      <c r="L142" s="58"/>
      <c r="M142" s="58"/>
      <c r="N142" s="58"/>
      <c r="O142" s="58"/>
      <c r="P142" s="58"/>
    </row>
    <row r="143" spans="2:16" x14ac:dyDescent="0.25">
      <c r="B143" s="57" t="s">
        <v>132</v>
      </c>
      <c r="C143" s="58">
        <v>-731</v>
      </c>
      <c r="D143" s="58">
        <v>-677</v>
      </c>
      <c r="E143" s="72">
        <v>-645</v>
      </c>
      <c r="F143" s="58">
        <v>0</v>
      </c>
      <c r="G143" s="58"/>
      <c r="H143" s="58"/>
      <c r="I143" s="58"/>
      <c r="J143" s="58"/>
      <c r="K143" s="58"/>
      <c r="L143" s="58"/>
      <c r="M143" s="58"/>
      <c r="N143" s="58"/>
      <c r="O143" s="58"/>
      <c r="P143" s="58"/>
    </row>
    <row r="144" spans="2:16" x14ac:dyDescent="0.25">
      <c r="B144" s="57" t="s">
        <v>133</v>
      </c>
      <c r="C144" s="58">
        <v>1604</v>
      </c>
      <c r="D144" s="58">
        <v>601</v>
      </c>
      <c r="E144" s="72">
        <v>218</v>
      </c>
      <c r="F144" s="58">
        <v>0</v>
      </c>
      <c r="G144" s="58"/>
      <c r="H144" s="58"/>
      <c r="I144" s="58"/>
      <c r="J144" s="58"/>
      <c r="K144" s="58"/>
      <c r="L144" s="58"/>
      <c r="M144" s="58"/>
      <c r="N144" s="58"/>
      <c r="O144" s="58"/>
      <c r="P144" s="58"/>
    </row>
    <row r="145" spans="2:16" x14ac:dyDescent="0.25">
      <c r="B145" s="57" t="s">
        <v>134</v>
      </c>
      <c r="C145" s="58">
        <v>-3944</v>
      </c>
      <c r="D145" s="58">
        <v>-3346</v>
      </c>
      <c r="E145" s="72">
        <v>-3008</v>
      </c>
      <c r="F145" s="58">
        <f t="shared" ref="F145:P145" si="75">-F133</f>
        <v>-2368.5117983696268</v>
      </c>
      <c r="G145" s="58"/>
      <c r="H145" s="58"/>
      <c r="I145" s="58"/>
      <c r="J145" s="58"/>
      <c r="K145" s="58"/>
      <c r="L145" s="58"/>
      <c r="M145" s="58"/>
      <c r="N145" s="58"/>
      <c r="O145" s="58"/>
      <c r="P145" s="58"/>
    </row>
    <row r="146" spans="2:16" x14ac:dyDescent="0.25">
      <c r="B146" s="57" t="s">
        <v>135</v>
      </c>
      <c r="C146" s="58">
        <v>-1044</v>
      </c>
      <c r="D146" s="58">
        <v>-948</v>
      </c>
      <c r="E146" s="72">
        <v>-661</v>
      </c>
      <c r="F146" s="58">
        <v>0</v>
      </c>
      <c r="G146" s="58"/>
      <c r="H146" s="58"/>
      <c r="I146" s="58"/>
      <c r="J146" s="58"/>
      <c r="K146" s="58"/>
      <c r="L146" s="58"/>
      <c r="M146" s="58"/>
      <c r="N146" s="58"/>
      <c r="O146" s="58"/>
      <c r="P146" s="58"/>
    </row>
    <row r="147" spans="2:16" x14ac:dyDescent="0.25">
      <c r="B147" s="57" t="s">
        <v>136</v>
      </c>
      <c r="C147" s="58">
        <v>-98</v>
      </c>
      <c r="D147" s="58">
        <v>-248</v>
      </c>
      <c r="E147" s="72">
        <v>1</v>
      </c>
      <c r="F147" s="58">
        <v>0</v>
      </c>
      <c r="G147" s="58"/>
      <c r="H147" s="58"/>
      <c r="I147" s="58"/>
      <c r="J147" s="58"/>
      <c r="K147" s="58"/>
      <c r="L147" s="58"/>
      <c r="M147" s="58"/>
      <c r="N147" s="58"/>
      <c r="O147" s="58"/>
      <c r="P147" s="58"/>
    </row>
    <row r="148" spans="2:16" x14ac:dyDescent="0.25">
      <c r="B148" s="55" t="s">
        <v>137</v>
      </c>
      <c r="C148" s="56">
        <v>-7153</v>
      </c>
      <c r="D148" s="56">
        <v>-9302</v>
      </c>
      <c r="E148" s="73">
        <v>-10972</v>
      </c>
      <c r="F148" s="56">
        <f t="shared" ref="F148:P148" si="76">SUM(F141:F147)</f>
        <v>-2368.5117983696268</v>
      </c>
      <c r="G148" s="56"/>
      <c r="H148" s="56"/>
      <c r="I148" s="56"/>
      <c r="J148" s="56"/>
      <c r="K148" s="56"/>
      <c r="L148" s="56"/>
      <c r="M148" s="56"/>
      <c r="N148" s="56"/>
      <c r="O148" s="56"/>
      <c r="P148" s="56"/>
    </row>
    <row r="149" spans="2:16" x14ac:dyDescent="0.25">
      <c r="E149" s="38"/>
    </row>
    <row r="150" spans="2:16" x14ac:dyDescent="0.25">
      <c r="B150" s="57" t="s">
        <v>138</v>
      </c>
      <c r="C150" s="58">
        <v>-4069</v>
      </c>
      <c r="D150" s="58">
        <v>-4680</v>
      </c>
      <c r="E150" s="72">
        <v>-5384</v>
      </c>
      <c r="F150" s="58">
        <f t="shared" ref="F150:P150" si="77">-F$177</f>
        <v>0</v>
      </c>
      <c r="G150" s="58"/>
      <c r="H150" s="58"/>
      <c r="I150" s="58"/>
      <c r="J150" s="58"/>
      <c r="K150" s="58"/>
      <c r="L150" s="58"/>
      <c r="M150" s="58"/>
      <c r="N150" s="58"/>
      <c r="O150" s="58"/>
      <c r="P150" s="58"/>
    </row>
    <row r="151" spans="2:16" x14ac:dyDescent="0.25">
      <c r="B151" s="57" t="s">
        <v>139</v>
      </c>
      <c r="C151" s="58">
        <v>4691</v>
      </c>
      <c r="D151" s="58">
        <v>-1852</v>
      </c>
      <c r="E151" s="72">
        <v>-4338</v>
      </c>
      <c r="F151" s="58">
        <f t="shared" ref="F151:P151" si="78">F$179</f>
        <v>0</v>
      </c>
      <c r="G151" s="58"/>
      <c r="H151" s="58"/>
      <c r="I151" s="58"/>
      <c r="J151" s="58"/>
      <c r="K151" s="58"/>
      <c r="L151" s="58"/>
      <c r="M151" s="58"/>
      <c r="N151" s="58"/>
      <c r="O151" s="58"/>
      <c r="P151" s="58"/>
    </row>
    <row r="152" spans="2:16" x14ac:dyDescent="0.25">
      <c r="B152" s="57" t="s">
        <v>140</v>
      </c>
      <c r="C152" s="58">
        <v>3959</v>
      </c>
      <c r="D152" s="58">
        <v>11417</v>
      </c>
      <c r="E152" s="72">
        <v>13167</v>
      </c>
      <c r="F152" s="58">
        <f t="shared" ref="F152:P152" si="79">F$180</f>
        <v>0</v>
      </c>
      <c r="G152" s="58"/>
      <c r="H152" s="58"/>
      <c r="I152" s="58"/>
      <c r="J152" s="58"/>
      <c r="K152" s="58"/>
      <c r="L152" s="58"/>
      <c r="M152" s="58"/>
      <c r="N152" s="58"/>
      <c r="O152" s="58"/>
      <c r="P152" s="58"/>
    </row>
    <row r="153" spans="2:16" x14ac:dyDescent="0.25">
      <c r="B153" s="57" t="s">
        <v>141</v>
      </c>
      <c r="C153" s="58">
        <v>0</v>
      </c>
      <c r="D153" s="58">
        <v>-664</v>
      </c>
      <c r="E153" s="72">
        <v>-778</v>
      </c>
      <c r="F153" s="58">
        <v>0</v>
      </c>
      <c r="G153" s="58"/>
      <c r="H153" s="58"/>
      <c r="I153" s="58"/>
      <c r="J153" s="58"/>
      <c r="K153" s="58"/>
      <c r="L153" s="58"/>
      <c r="M153" s="58"/>
      <c r="N153" s="58"/>
      <c r="O153" s="58"/>
      <c r="P153" s="58"/>
    </row>
    <row r="154" spans="2:16" x14ac:dyDescent="0.25">
      <c r="B154" s="57" t="s">
        <v>142</v>
      </c>
      <c r="C154" s="58">
        <v>-750</v>
      </c>
      <c r="D154" s="58">
        <v>-2500</v>
      </c>
      <c r="E154" s="72">
        <v>-4108</v>
      </c>
      <c r="F154" s="58">
        <f t="shared" ref="F154:P154" si="80">-F$178</f>
        <v>0</v>
      </c>
      <c r="G154" s="58"/>
      <c r="H154" s="58"/>
      <c r="I154" s="58"/>
      <c r="J154" s="58"/>
      <c r="K154" s="58"/>
      <c r="L154" s="58"/>
      <c r="M154" s="58"/>
      <c r="N154" s="58"/>
      <c r="O154" s="58"/>
      <c r="P154" s="58"/>
    </row>
    <row r="155" spans="2:16" x14ac:dyDescent="0.25">
      <c r="B155" s="57" t="s">
        <v>143</v>
      </c>
      <c r="C155" s="58">
        <v>-335</v>
      </c>
      <c r="D155" s="58">
        <v>-491</v>
      </c>
      <c r="E155" s="72">
        <v>-772</v>
      </c>
      <c r="F155" s="58">
        <v>0</v>
      </c>
      <c r="G155" s="58"/>
      <c r="H155" s="58"/>
      <c r="I155" s="58"/>
      <c r="J155" s="58"/>
      <c r="K155" s="58"/>
      <c r="L155" s="58"/>
      <c r="M155" s="58"/>
      <c r="N155" s="58"/>
      <c r="O155" s="58"/>
      <c r="P155" s="58"/>
    </row>
    <row r="156" spans="2:16" x14ac:dyDescent="0.25">
      <c r="B156" s="55" t="s">
        <v>144</v>
      </c>
      <c r="C156" s="56">
        <v>3496</v>
      </c>
      <c r="D156" s="56">
        <v>1230</v>
      </c>
      <c r="E156" s="73">
        <v>-2213</v>
      </c>
      <c r="F156" s="56">
        <f t="shared" ref="F156:P156" si="81">SUM(F150:F155)</f>
        <v>0</v>
      </c>
      <c r="G156" s="56"/>
      <c r="H156" s="56"/>
      <c r="I156" s="56"/>
      <c r="J156" s="56"/>
      <c r="K156" s="56"/>
      <c r="L156" s="56"/>
      <c r="M156" s="56"/>
      <c r="N156" s="56"/>
      <c r="O156" s="56"/>
      <c r="P156" s="56"/>
    </row>
    <row r="157" spans="2:16" x14ac:dyDescent="0.25">
      <c r="E157" s="38"/>
    </row>
    <row r="158" spans="2:16" x14ac:dyDescent="0.25">
      <c r="B158" s="57" t="s">
        <v>145</v>
      </c>
      <c r="C158" s="58">
        <v>169</v>
      </c>
      <c r="D158" s="58">
        <v>-297</v>
      </c>
      <c r="E158" s="72">
        <v>372</v>
      </c>
      <c r="F158" s="58">
        <v>0</v>
      </c>
      <c r="G158" s="58"/>
      <c r="H158" s="58"/>
      <c r="I158" s="58"/>
      <c r="J158" s="58"/>
      <c r="K158" s="58"/>
      <c r="L158" s="58"/>
      <c r="M158" s="58"/>
      <c r="N158" s="58"/>
      <c r="O158" s="58"/>
      <c r="P158" s="58"/>
    </row>
    <row r="159" spans="2:16" x14ac:dyDescent="0.25">
      <c r="B159" s="55" t="s">
        <v>146</v>
      </c>
      <c r="C159" s="56">
        <v>752</v>
      </c>
      <c r="D159" s="56">
        <v>449</v>
      </c>
      <c r="E159" s="73">
        <v>4000</v>
      </c>
      <c r="F159" s="56">
        <f t="shared" ref="F159:P159" si="82">F139+F148+F156+F158</f>
        <v>40059.545272245028</v>
      </c>
      <c r="G159" s="56"/>
      <c r="H159" s="56"/>
      <c r="I159" s="56"/>
      <c r="J159" s="56"/>
      <c r="K159" s="56"/>
      <c r="L159" s="56"/>
      <c r="M159" s="56"/>
      <c r="N159" s="56"/>
      <c r="O159" s="56"/>
      <c r="P159" s="56"/>
    </row>
    <row r="160" spans="2:16" x14ac:dyDescent="0.25">
      <c r="B160" s="57" t="s">
        <v>147</v>
      </c>
      <c r="C160" s="58">
        <v>2067</v>
      </c>
      <c r="D160" s="58">
        <v>2818.6</v>
      </c>
      <c r="E160" s="72">
        <v>3268</v>
      </c>
      <c r="F160" s="58">
        <f t="shared" ref="F160:P160" si="83">E98</f>
        <v>7268</v>
      </c>
      <c r="G160" s="58"/>
      <c r="H160" s="58"/>
      <c r="I160" s="58"/>
      <c r="J160" s="58"/>
      <c r="K160" s="58"/>
      <c r="L160" s="58"/>
      <c r="M160" s="58"/>
      <c r="N160" s="58"/>
      <c r="O160" s="58"/>
      <c r="P160" s="58"/>
    </row>
    <row r="161" spans="2:19" x14ac:dyDescent="0.25">
      <c r="B161" s="55" t="s">
        <v>148</v>
      </c>
      <c r="C161" s="56">
        <v>2819</v>
      </c>
      <c r="D161" s="56">
        <v>3267.6</v>
      </c>
      <c r="E161" s="73">
        <v>7268</v>
      </c>
      <c r="F161" s="56">
        <f t="shared" ref="F161:P161" si="84">F160+F159</f>
        <v>47327.545272245028</v>
      </c>
      <c r="G161" s="56"/>
      <c r="H161" s="56"/>
      <c r="I161" s="56"/>
      <c r="J161" s="56"/>
      <c r="K161" s="56"/>
      <c r="L161" s="56"/>
      <c r="M161" s="56"/>
      <c r="N161" s="56"/>
      <c r="O161" s="56"/>
      <c r="P161" s="56"/>
    </row>
    <row r="162" spans="2:19" x14ac:dyDescent="0.25">
      <c r="E162" s="38"/>
    </row>
    <row r="163" spans="2:19" ht="16.5" thickBot="1" x14ac:dyDescent="0.3">
      <c r="B163" s="53" t="s">
        <v>149</v>
      </c>
      <c r="C163" s="54" t="s">
        <v>79</v>
      </c>
      <c r="D163" s="54" t="s">
        <v>80</v>
      </c>
      <c r="E163" s="71" t="s">
        <v>81</v>
      </c>
      <c r="F163" s="54" t="s">
        <v>82</v>
      </c>
      <c r="G163" s="54" t="s">
        <v>83</v>
      </c>
      <c r="H163" s="54" t="s">
        <v>84</v>
      </c>
      <c r="I163" s="54" t="s">
        <v>85</v>
      </c>
      <c r="J163" s="54" t="s">
        <v>86</v>
      </c>
      <c r="K163" s="54" t="s">
        <v>87</v>
      </c>
      <c r="L163" s="54" t="s">
        <v>262</v>
      </c>
      <c r="M163" s="54" t="s">
        <v>263</v>
      </c>
      <c r="N163" s="54" t="s">
        <v>264</v>
      </c>
      <c r="O163" s="54" t="s">
        <v>265</v>
      </c>
      <c r="P163" s="54" t="s">
        <v>266</v>
      </c>
      <c r="R163" s="63" t="s">
        <v>150</v>
      </c>
      <c r="S163" s="63"/>
    </row>
    <row r="164" spans="2:19" x14ac:dyDescent="0.25">
      <c r="B164" s="61" t="s">
        <v>151</v>
      </c>
      <c r="C164" s="64">
        <f>C99/C83</f>
        <v>0.26639530419849894</v>
      </c>
      <c r="D164" s="64">
        <f>D99/D83</f>
        <v>0.24434592064862903</v>
      </c>
      <c r="E164" s="75">
        <f>E99/E83</f>
        <v>0.27247830989805072</v>
      </c>
      <c r="F164" s="64"/>
      <c r="G164" s="64"/>
      <c r="H164" s="64"/>
      <c r="I164" s="64"/>
      <c r="J164" s="64"/>
      <c r="K164" s="64"/>
      <c r="L164" s="64"/>
      <c r="M164" s="64"/>
      <c r="N164" s="64"/>
      <c r="O164" s="64"/>
      <c r="P164" s="64"/>
      <c r="R164" s="57" t="s">
        <v>152</v>
      </c>
      <c r="S164" s="59">
        <v>6.92</v>
      </c>
    </row>
    <row r="165" spans="2:19" x14ac:dyDescent="0.25">
      <c r="B165" s="61" t="s">
        <v>153</v>
      </c>
      <c r="C165" s="64">
        <f t="shared" ref="C165:E166" si="85">C100/C83</f>
        <v>6.5809794250983891E-2</v>
      </c>
      <c r="D165" s="64">
        <f t="shared" si="85"/>
        <v>5.039662364822714E-2</v>
      </c>
      <c r="E165" s="75">
        <f t="shared" si="85"/>
        <v>3.6744681993571594E-2</v>
      </c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R165" s="57" t="s">
        <v>154</v>
      </c>
      <c r="S165" s="65">
        <v>0.08</v>
      </c>
    </row>
    <row r="166" spans="2:19" x14ac:dyDescent="0.25">
      <c r="B166" s="61" t="s">
        <v>155</v>
      </c>
      <c r="C166" s="64">
        <f t="shared" si="85"/>
        <v>0.81511394764338763</v>
      </c>
      <c r="D166" s="64">
        <f t="shared" si="85"/>
        <v>0.90148842402860441</v>
      </c>
      <c r="E166" s="75">
        <f t="shared" si="85"/>
        <v>1.2434858135495079</v>
      </c>
      <c r="F166" s="64"/>
      <c r="G166" s="64"/>
      <c r="H166" s="64"/>
      <c r="I166" s="64"/>
      <c r="J166" s="64"/>
      <c r="K166" s="64"/>
      <c r="L166" s="64"/>
      <c r="M166" s="64"/>
      <c r="N166" s="64"/>
      <c r="O166" s="64"/>
      <c r="P166" s="64"/>
      <c r="R166" s="57" t="s">
        <v>156</v>
      </c>
      <c r="S166" s="58">
        <v>4000</v>
      </c>
    </row>
    <row r="167" spans="2:19" x14ac:dyDescent="0.25">
      <c r="B167" s="61" t="s">
        <v>157</v>
      </c>
      <c r="C167" s="64">
        <f>C102/C83</f>
        <v>0.16237204790749057</v>
      </c>
      <c r="D167" s="64">
        <f>D102/D83</f>
        <v>0.18517984046249453</v>
      </c>
      <c r="E167" s="75">
        <f>E102/E83</f>
        <v>0.21962426836658763</v>
      </c>
      <c r="F167" s="64"/>
      <c r="G167" s="64"/>
      <c r="H167" s="64"/>
      <c r="I167" s="64"/>
      <c r="J167" s="64"/>
      <c r="K167" s="64"/>
      <c r="L167" s="64"/>
      <c r="M167" s="64"/>
      <c r="N167" s="64"/>
      <c r="O167" s="64"/>
      <c r="P167" s="64"/>
      <c r="R167" s="57" t="s">
        <v>158</v>
      </c>
      <c r="S167" s="58">
        <v>0</v>
      </c>
    </row>
    <row r="168" spans="2:19" x14ac:dyDescent="0.25">
      <c r="B168" s="61" t="s">
        <v>159</v>
      </c>
      <c r="C168" s="64">
        <f>C103/C83</f>
        <v>7.5782218432134466E-3</v>
      </c>
      <c r="D168" s="64">
        <f>D103/D83</f>
        <v>5.9055074407173653E-3</v>
      </c>
      <c r="E168" s="75">
        <f>E103/E83</f>
        <v>2.2553103353048116E-3</v>
      </c>
      <c r="F168" s="64"/>
      <c r="G168" s="64"/>
      <c r="H168" s="64"/>
      <c r="I168" s="64"/>
      <c r="J168" s="64"/>
      <c r="K168" s="64"/>
      <c r="L168" s="64"/>
      <c r="M168" s="64"/>
      <c r="N168" s="64"/>
      <c r="O168" s="64"/>
      <c r="P168" s="64"/>
      <c r="R168" s="57" t="s">
        <v>160</v>
      </c>
      <c r="S168" s="58">
        <v>0</v>
      </c>
    </row>
    <row r="169" spans="2:19" x14ac:dyDescent="0.25">
      <c r="B169" s="61" t="s">
        <v>161</v>
      </c>
      <c r="C169" s="64">
        <f>C114/C84</f>
        <v>0.36694812346446021</v>
      </c>
      <c r="D169" s="64">
        <f>D114/D84</f>
        <v>0.38356912915909391</v>
      </c>
      <c r="E169" s="75">
        <f>E114/E84</f>
        <v>0.48666401273885351</v>
      </c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</row>
    <row r="170" spans="2:19" x14ac:dyDescent="0.25">
      <c r="B170" s="61" t="s">
        <v>162</v>
      </c>
      <c r="C170" s="64">
        <f>C115/C83</f>
        <v>4.8364645514460451E-2</v>
      </c>
      <c r="D170" s="64">
        <f>D115/D83</f>
        <v>4.6489220228805125E-2</v>
      </c>
      <c r="E170" s="75">
        <f>E115/E83</f>
        <v>3.6437837049992705E-2</v>
      </c>
      <c r="F170" s="64"/>
      <c r="G170" s="64"/>
      <c r="H170" s="64"/>
      <c r="I170" s="64"/>
      <c r="J170" s="64"/>
      <c r="K170" s="64"/>
      <c r="L170" s="64"/>
      <c r="M170" s="64"/>
      <c r="N170" s="64"/>
      <c r="O170" s="64"/>
      <c r="P170" s="64"/>
    </row>
    <row r="171" spans="2:19" x14ac:dyDescent="0.25">
      <c r="B171" s="61" t="s">
        <v>163</v>
      </c>
      <c r="C171" s="64">
        <f>C116/C83</f>
        <v>0.34254383265785759</v>
      </c>
      <c r="D171" s="64">
        <f>D116/D83</f>
        <v>0.2561791366858559</v>
      </c>
      <c r="E171" s="75">
        <f>E116/E83</f>
        <v>0.26667894046440982</v>
      </c>
      <c r="F171" s="64"/>
      <c r="G171" s="64"/>
      <c r="H171" s="64"/>
      <c r="I171" s="64"/>
      <c r="J171" s="64"/>
      <c r="K171" s="64"/>
      <c r="L171" s="64"/>
      <c r="M171" s="64"/>
      <c r="N171" s="64"/>
      <c r="O171" s="64"/>
      <c r="P171" s="64"/>
    </row>
    <row r="172" spans="2:19" x14ac:dyDescent="0.25">
      <c r="B172" s="61" t="s">
        <v>164</v>
      </c>
      <c r="C172" s="64">
        <f>C117/C83</f>
        <v>0.13042102209289033</v>
      </c>
      <c r="D172" s="64">
        <f>D117/D83</f>
        <v>0.14202079360251499</v>
      </c>
      <c r="E172" s="75">
        <f>E117/E83</f>
        <v>0.12974938439233194</v>
      </c>
      <c r="F172" s="64"/>
      <c r="G172" s="64"/>
      <c r="H172" s="64"/>
      <c r="I172" s="64"/>
      <c r="J172" s="64"/>
      <c r="K172" s="64"/>
      <c r="L172" s="64"/>
      <c r="M172" s="64"/>
      <c r="N172" s="64"/>
      <c r="O172" s="64"/>
      <c r="P172" s="64"/>
    </row>
    <row r="173" spans="2:19" x14ac:dyDescent="0.25">
      <c r="B173" s="61" t="s">
        <v>165</v>
      </c>
      <c r="C173" s="64">
        <f>-C141/C83</f>
        <v>0.10104295790951262</v>
      </c>
      <c r="D173" s="64">
        <f>-D141/D83</f>
        <v>0.11229344599679862</v>
      </c>
      <c r="E173" s="75">
        <f>-E141/E83</f>
        <v>0.12029856013010225</v>
      </c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</row>
    <row r="174" spans="2:19" x14ac:dyDescent="0.25">
      <c r="B174" s="61" t="s">
        <v>166</v>
      </c>
      <c r="C174" s="64">
        <f>C129/C83</f>
        <v>4.4748432925703525E-2</v>
      </c>
      <c r="D174" s="64">
        <f>D129/D83</f>
        <v>3.9229442284765353E-2</v>
      </c>
      <c r="E174" s="75">
        <f>E129/E83</f>
        <v>3.0638467616351764E-2</v>
      </c>
      <c r="F174" s="64"/>
      <c r="G174" s="64"/>
      <c r="H174" s="64"/>
      <c r="I174" s="64"/>
      <c r="J174" s="64"/>
      <c r="K174" s="64"/>
      <c r="L174" s="64"/>
      <c r="M174" s="64"/>
      <c r="N174" s="64"/>
      <c r="O174" s="64"/>
      <c r="P174" s="64"/>
    </row>
    <row r="175" spans="2:19" x14ac:dyDescent="0.25">
      <c r="B175" s="61" t="s">
        <v>167</v>
      </c>
      <c r="C175" s="62">
        <f>C131</f>
        <v>629</v>
      </c>
      <c r="D175" s="62">
        <f>D131</f>
        <v>646</v>
      </c>
      <c r="E175" s="74">
        <f>E131</f>
        <v>626</v>
      </c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</row>
    <row r="176" spans="2:19" x14ac:dyDescent="0.25">
      <c r="B176" s="61" t="s">
        <v>168</v>
      </c>
      <c r="E176" s="38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</row>
    <row r="177" spans="2:19" x14ac:dyDescent="0.25">
      <c r="B177" s="61" t="s">
        <v>169</v>
      </c>
      <c r="E177" s="38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</row>
    <row r="178" spans="2:19" x14ac:dyDescent="0.25">
      <c r="B178" s="61" t="s">
        <v>170</v>
      </c>
      <c r="E178" s="38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</row>
    <row r="179" spans="2:19" x14ac:dyDescent="0.25">
      <c r="B179" s="61" t="s">
        <v>171</v>
      </c>
      <c r="E179" s="38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</row>
    <row r="180" spans="2:19" x14ac:dyDescent="0.25">
      <c r="B180" s="61" t="s">
        <v>172</v>
      </c>
      <c r="E180" s="38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</row>
    <row r="181" spans="2:19" x14ac:dyDescent="0.25">
      <c r="E181" s="38"/>
    </row>
    <row r="182" spans="2:19" ht="16.5" thickBot="1" x14ac:dyDescent="0.3">
      <c r="B182" s="53" t="s">
        <v>173</v>
      </c>
      <c r="C182" s="54" t="s">
        <v>79</v>
      </c>
      <c r="D182" s="54" t="s">
        <v>80</v>
      </c>
      <c r="E182" s="71" t="s">
        <v>81</v>
      </c>
      <c r="F182" s="54" t="s">
        <v>82</v>
      </c>
      <c r="G182" s="54" t="s">
        <v>83</v>
      </c>
      <c r="H182" s="54" t="s">
        <v>84</v>
      </c>
      <c r="I182" s="54" t="s">
        <v>85</v>
      </c>
      <c r="J182" s="54" t="s">
        <v>86</v>
      </c>
      <c r="K182" s="54" t="s">
        <v>87</v>
      </c>
      <c r="L182" s="54" t="s">
        <v>262</v>
      </c>
      <c r="M182" s="54" t="s">
        <v>263</v>
      </c>
      <c r="N182" s="54" t="s">
        <v>264</v>
      </c>
      <c r="O182" s="54" t="s">
        <v>265</v>
      </c>
      <c r="P182" s="54" t="s">
        <v>266</v>
      </c>
      <c r="R182" s="63" t="s">
        <v>174</v>
      </c>
      <c r="S182" s="63"/>
    </row>
    <row r="183" spans="2:19" x14ac:dyDescent="0.25">
      <c r="B183" s="57" t="s">
        <v>175</v>
      </c>
      <c r="E183" s="38"/>
      <c r="F183" s="58">
        <f>F91-F90</f>
        <v>36878.838140771149</v>
      </c>
      <c r="G183" s="58">
        <f t="shared" ref="G183:P183" si="86">G91-G90</f>
        <v>44443.651201196699</v>
      </c>
      <c r="H183" s="58">
        <f t="shared" si="86"/>
        <v>50194.5130225174</v>
      </c>
      <c r="I183" s="58">
        <f t="shared" si="86"/>
        <v>56366.441391428925</v>
      </c>
      <c r="J183" s="58">
        <f t="shared" si="86"/>
        <v>53372.388043323946</v>
      </c>
      <c r="K183" s="58">
        <f t="shared" si="86"/>
        <v>56612.616272558895</v>
      </c>
      <c r="L183" s="58">
        <f t="shared" si="86"/>
        <v>57676.020399963694</v>
      </c>
      <c r="M183" s="58">
        <f t="shared" si="86"/>
        <v>59090.141323575284</v>
      </c>
      <c r="N183" s="58">
        <f t="shared" si="86"/>
        <v>61193.863449481054</v>
      </c>
      <c r="O183" s="58">
        <f t="shared" si="86"/>
        <v>62205.626506575929</v>
      </c>
      <c r="P183" s="58">
        <f t="shared" si="86"/>
        <v>61494.043158479079</v>
      </c>
      <c r="R183" s="57" t="s">
        <v>176</v>
      </c>
      <c r="S183" s="57" t="s">
        <v>177</v>
      </c>
    </row>
    <row r="184" spans="2:19" x14ac:dyDescent="0.25">
      <c r="B184" s="57" t="s">
        <v>77</v>
      </c>
      <c r="E184" s="38"/>
      <c r="F184" s="65">
        <v>0.25</v>
      </c>
      <c r="G184" s="65">
        <v>0.25</v>
      </c>
      <c r="H184" s="65">
        <v>0.25</v>
      </c>
      <c r="I184" s="65">
        <v>0.25</v>
      </c>
      <c r="J184" s="65">
        <v>0.25</v>
      </c>
      <c r="K184" s="65">
        <v>0.25</v>
      </c>
      <c r="L184" s="65">
        <v>0.25</v>
      </c>
      <c r="M184" s="65">
        <v>0.25</v>
      </c>
      <c r="N184" s="65">
        <v>0.25</v>
      </c>
      <c r="O184" s="65">
        <v>0.25</v>
      </c>
      <c r="P184" s="65">
        <v>0.25</v>
      </c>
      <c r="R184" s="57" t="s">
        <v>77</v>
      </c>
      <c r="S184" s="65">
        <v>0.25</v>
      </c>
    </row>
    <row r="185" spans="2:19" x14ac:dyDescent="0.25">
      <c r="B185" s="55" t="s">
        <v>178</v>
      </c>
      <c r="E185" s="38"/>
      <c r="F185" s="56">
        <v>27066.503848426568</v>
      </c>
      <c r="G185" s="56">
        <v>33017.613643745739</v>
      </c>
      <c r="H185" s="56">
        <v>37370.022509736264</v>
      </c>
      <c r="I185" s="56">
        <v>42020.521911419914</v>
      </c>
      <c r="J185" s="56">
        <v>39669.810806591173</v>
      </c>
      <c r="K185" s="56">
        <v>40778.018597026305</v>
      </c>
      <c r="L185" s="56">
        <v>42338.191591462499</v>
      </c>
      <c r="M185" s="56">
        <v>43945.419797412156</v>
      </c>
      <c r="N185" s="56">
        <v>46602.772610805012</v>
      </c>
      <c r="O185" s="56">
        <v>47902.633306993012</v>
      </c>
      <c r="P185" s="56">
        <v>49231.489344369911</v>
      </c>
      <c r="R185" s="57" t="s">
        <v>179</v>
      </c>
      <c r="S185" s="65">
        <v>0.08</v>
      </c>
    </row>
    <row r="186" spans="2:19" x14ac:dyDescent="0.25">
      <c r="B186" s="57" t="s">
        <v>180</v>
      </c>
      <c r="E186" s="38"/>
      <c r="F186" s="58">
        <v>2421.844144370546</v>
      </c>
      <c r="G186" s="58">
        <v>2959.8275046982558</v>
      </c>
      <c r="H186" s="58">
        <v>3352.1949072019547</v>
      </c>
      <c r="I186" s="58">
        <v>3759.3076938173167</v>
      </c>
      <c r="J186" s="58">
        <v>3549.5925298807861</v>
      </c>
      <c r="K186" s="58">
        <v>3650.1632461185691</v>
      </c>
      <c r="L186" s="58">
        <v>3789.0129353793127</v>
      </c>
      <c r="M186" s="58">
        <v>3930.6427027649715</v>
      </c>
      <c r="N186" s="58">
        <v>4166.6972807764478</v>
      </c>
      <c r="O186" s="58">
        <v>4282.493204033899</v>
      </c>
      <c r="P186" s="58">
        <v>4400.4156892352412</v>
      </c>
      <c r="R186" s="57" t="s">
        <v>181</v>
      </c>
      <c r="S186" s="65">
        <v>0.01</v>
      </c>
    </row>
    <row r="187" spans="2:19" x14ac:dyDescent="0.25">
      <c r="B187" s="57" t="s">
        <v>182</v>
      </c>
      <c r="E187" s="38"/>
      <c r="F187" s="58">
        <v>-9509.1036234398853</v>
      </c>
      <c r="G187" s="58">
        <v>-11621.435885998511</v>
      </c>
      <c r="H187" s="58">
        <v>-13162.023168437921</v>
      </c>
      <c r="I187" s="58">
        <v>-14760.506573470997</v>
      </c>
      <c r="J187" s="58">
        <v>-13937.083138104779</v>
      </c>
      <c r="K187" s="58">
        <v>-14331.962950834102</v>
      </c>
      <c r="L187" s="58">
        <v>-14877.140924541407</v>
      </c>
      <c r="M187" s="58">
        <v>-15433.234568042135</v>
      </c>
      <c r="N187" s="58">
        <v>-16360.076804490802</v>
      </c>
      <c r="O187" s="58">
        <v>-16814.736711482125</v>
      </c>
      <c r="P187" s="58">
        <v>-17277.746329140475</v>
      </c>
    </row>
    <row r="188" spans="2:19" x14ac:dyDescent="0.25">
      <c r="B188" s="57" t="s">
        <v>183</v>
      </c>
      <c r="E188" s="38"/>
      <c r="F188" s="58">
        <v>-4257.4210107930339</v>
      </c>
      <c r="G188" s="58">
        <v>-4226.2669754481976</v>
      </c>
      <c r="H188" s="58">
        <v>-3082.3432799736765</v>
      </c>
      <c r="I188" s="58">
        <v>-3198.1794461210156</v>
      </c>
      <c r="J188" s="58">
        <v>1647.4715334239663</v>
      </c>
      <c r="K188" s="58">
        <v>-790.05918784182722</v>
      </c>
      <c r="L188" s="58">
        <v>-1090.7695284784713</v>
      </c>
      <c r="M188" s="58">
        <v>-1112.6091488736784</v>
      </c>
      <c r="N188" s="58">
        <v>-1854.3875908087066</v>
      </c>
      <c r="O188" s="58">
        <v>-909.66472653800156</v>
      </c>
      <c r="P188" s="58">
        <v>-926.37048210120702</v>
      </c>
      <c r="R188" s="57" t="s">
        <v>267</v>
      </c>
      <c r="S188" s="58">
        <f>SUM(F192:P192)</f>
        <v>193180.43976630253</v>
      </c>
    </row>
    <row r="189" spans="2:19" x14ac:dyDescent="0.25">
      <c r="B189" s="55" t="s">
        <v>184</v>
      </c>
      <c r="E189" s="38"/>
      <c r="F189" s="56">
        <v>15721.823358564194</v>
      </c>
      <c r="G189" s="56">
        <v>20129.738286997283</v>
      </c>
      <c r="H189" s="56">
        <v>24477.850968526622</v>
      </c>
      <c r="I189" s="56">
        <v>27821.143585645219</v>
      </c>
      <c r="J189" s="56">
        <v>30929.791731791145</v>
      </c>
      <c r="K189" s="56">
        <v>29306.159704468948</v>
      </c>
      <c r="L189" s="56">
        <v>30159.294073821937</v>
      </c>
      <c r="M189" s="56">
        <v>31330.218783261313</v>
      </c>
      <c r="N189" s="56">
        <v>32555.005496281949</v>
      </c>
      <c r="O189" s="56">
        <v>34460.725073006783</v>
      </c>
      <c r="P189" s="56">
        <v>35427.788222363466</v>
      </c>
      <c r="R189" s="57" t="s">
        <v>268</v>
      </c>
      <c r="S189" s="58">
        <f>P189*(1+S186)/(S185-S186)</f>
        <v>511172.37292267283</v>
      </c>
    </row>
    <row r="190" spans="2:19" x14ac:dyDescent="0.25">
      <c r="B190" s="57" t="s">
        <v>185</v>
      </c>
      <c r="E190" s="38"/>
      <c r="F190" s="67">
        <v>1</v>
      </c>
      <c r="G190" s="67">
        <v>2</v>
      </c>
      <c r="H190" s="67">
        <v>3</v>
      </c>
      <c r="I190" s="67">
        <v>4</v>
      </c>
      <c r="J190" s="67">
        <v>5</v>
      </c>
      <c r="K190" s="67">
        <v>6</v>
      </c>
      <c r="L190" s="67">
        <v>7</v>
      </c>
      <c r="M190" s="67">
        <v>8</v>
      </c>
      <c r="N190" s="67">
        <v>9</v>
      </c>
      <c r="O190" s="67">
        <v>10</v>
      </c>
      <c r="P190" s="67">
        <v>11</v>
      </c>
      <c r="R190" s="57" t="s">
        <v>186</v>
      </c>
      <c r="S190" s="58">
        <f>S189*P191</f>
        <v>219233.06891349799</v>
      </c>
    </row>
    <row r="191" spans="2:19" x14ac:dyDescent="0.25">
      <c r="B191" s="57" t="s">
        <v>187</v>
      </c>
      <c r="E191" s="38"/>
      <c r="F191" s="68">
        <v>0.92592592592592582</v>
      </c>
      <c r="G191" s="68">
        <v>0.85733882030178321</v>
      </c>
      <c r="H191" s="68">
        <v>0.79383224102016958</v>
      </c>
      <c r="I191" s="68">
        <v>0.73502985279645328</v>
      </c>
      <c r="J191" s="68">
        <v>0.68058319703375303</v>
      </c>
      <c r="K191" s="68">
        <v>0.63016962688310452</v>
      </c>
      <c r="L191" s="68">
        <v>0.58349039526213387</v>
      </c>
      <c r="M191" s="68">
        <v>0.54026888450197574</v>
      </c>
      <c r="N191" s="68">
        <v>0.50024896713145905</v>
      </c>
      <c r="O191" s="68">
        <v>0.46319348808468425</v>
      </c>
      <c r="P191" s="68">
        <v>0.42888285933767062</v>
      </c>
      <c r="R191" s="55" t="s">
        <v>188</v>
      </c>
      <c r="S191" s="56">
        <f>S188+S190</f>
        <v>412413.50867980055</v>
      </c>
    </row>
    <row r="192" spans="2:19" x14ac:dyDescent="0.25">
      <c r="B192" s="55" t="s">
        <v>189</v>
      </c>
      <c r="E192" s="38"/>
      <c r="F192" s="56">
        <v>14557.2438505224</v>
      </c>
      <c r="G192" s="56">
        <v>17258.006075957888</v>
      </c>
      <c r="H192" s="56">
        <v>19431.307289703218</v>
      </c>
      <c r="I192" s="56">
        <v>20449.371074385796</v>
      </c>
      <c r="J192" s="56">
        <v>21050.29654041056</v>
      </c>
      <c r="K192" s="56">
        <v>18467.851726341869</v>
      </c>
      <c r="L192" s="56">
        <v>17597.658419961292</v>
      </c>
      <c r="M192" s="56">
        <v>16926.742353235437</v>
      </c>
      <c r="N192" s="56">
        <v>16285.607874474017</v>
      </c>
      <c r="O192" s="56">
        <v>15961.983448493347</v>
      </c>
      <c r="P192" s="56">
        <v>15194.371112816694</v>
      </c>
      <c r="R192" s="57" t="s">
        <v>190</v>
      </c>
      <c r="S192" s="58">
        <f>-Main!B7</f>
        <v>-42503</v>
      </c>
    </row>
    <row r="193" spans="2:19" x14ac:dyDescent="0.25">
      <c r="R193" s="57" t="s">
        <v>191</v>
      </c>
      <c r="S193" s="58">
        <f>Main!B6</f>
        <v>7268</v>
      </c>
    </row>
    <row r="194" spans="2:19" x14ac:dyDescent="0.25">
      <c r="B194" s="55"/>
      <c r="R194" s="55" t="s">
        <v>192</v>
      </c>
      <c r="S194" s="56">
        <f>SUM(S191:S193)</f>
        <v>377178.50867980055</v>
      </c>
    </row>
    <row r="195" spans="2:19" ht="16.5" thickBot="1" x14ac:dyDescent="0.3">
      <c r="B195" s="53"/>
      <c r="C195" s="69"/>
      <c r="D195" s="69"/>
      <c r="E195" s="69"/>
      <c r="F195" s="69"/>
      <c r="G195" s="69"/>
      <c r="R195" s="57" t="s">
        <v>193</v>
      </c>
      <c r="S195" s="60">
        <f>Main!B4</f>
        <v>895.9</v>
      </c>
    </row>
    <row r="196" spans="2:19" x14ac:dyDescent="0.25">
      <c r="B196" s="65"/>
      <c r="C196" s="59"/>
      <c r="D196" s="59"/>
      <c r="E196" s="59"/>
      <c r="F196" s="59"/>
      <c r="G196" s="59"/>
      <c r="R196" s="63" t="s">
        <v>194</v>
      </c>
      <c r="S196" s="70">
        <f>S194/S195</f>
        <v>421.00514418997716</v>
      </c>
    </row>
    <row r="197" spans="2:19" x14ac:dyDescent="0.25">
      <c r="B197" s="65"/>
      <c r="C197" s="59"/>
      <c r="D197" s="59"/>
      <c r="E197" s="59"/>
      <c r="F197" s="59"/>
      <c r="G197" s="59"/>
      <c r="R197" s="57" t="s">
        <v>195</v>
      </c>
      <c r="S197" s="59">
        <f>Main!B3</f>
        <v>1213.4000000000001</v>
      </c>
    </row>
    <row r="198" spans="2:19" x14ac:dyDescent="0.25">
      <c r="B198" s="65"/>
      <c r="C198" s="59"/>
      <c r="D198" s="59"/>
      <c r="E198" s="59"/>
      <c r="F198" s="59"/>
      <c r="G198" s="59"/>
      <c r="R198" s="57" t="s">
        <v>196</v>
      </c>
      <c r="S198" s="65">
        <f>S196/S197-1</f>
        <v>-0.65303680221692995</v>
      </c>
    </row>
    <row r="199" spans="2:19" x14ac:dyDescent="0.25">
      <c r="B199" s="65"/>
      <c r="C199" s="59"/>
      <c r="D199" s="59"/>
      <c r="E199" s="59"/>
      <c r="F199" s="59"/>
      <c r="G199" s="59"/>
    </row>
    <row r="200" spans="2:19" x14ac:dyDescent="0.25">
      <c r="B200" s="65"/>
      <c r="C200" s="59"/>
      <c r="D200" s="59"/>
      <c r="E200" s="59"/>
      <c r="F200" s="59"/>
      <c r="G200" s="59"/>
    </row>
    <row r="201" spans="2:19" x14ac:dyDescent="0.25">
      <c r="B201" s="65"/>
      <c r="C201" s="59"/>
      <c r="D201" s="59"/>
      <c r="E201" s="59"/>
      <c r="F201" s="59"/>
      <c r="G201" s="59"/>
    </row>
    <row r="204" spans="2:19" x14ac:dyDescent="0.25">
      <c r="B204" s="55"/>
    </row>
    <row r="205" spans="2:19" x14ac:dyDescent="0.25">
      <c r="B205" s="61"/>
    </row>
    <row r="206" spans="2:19" x14ac:dyDescent="0.25">
      <c r="B206" s="61"/>
    </row>
    <row r="207" spans="2:19" x14ac:dyDescent="0.25">
      <c r="B207" s="61"/>
    </row>
    <row r="208" spans="2:19" x14ac:dyDescent="0.25">
      <c r="B208" s="61"/>
    </row>
    <row r="209" spans="2:2" x14ac:dyDescent="0.25">
      <c r="B209" s="61"/>
    </row>
    <row r="210" spans="2:2" x14ac:dyDescent="0.25">
      <c r="B210" s="61"/>
    </row>
    <row r="211" spans="2:2" x14ac:dyDescent="0.25">
      <c r="B211" s="61"/>
    </row>
    <row r="213" spans="2:2" x14ac:dyDescent="0.25">
      <c r="B213" s="55"/>
    </row>
    <row r="214" spans="2:2" x14ac:dyDescent="0.25">
      <c r="B214" s="61"/>
    </row>
    <row r="215" spans="2:2" x14ac:dyDescent="0.25">
      <c r="B215" s="61"/>
    </row>
    <row r="216" spans="2:2" x14ac:dyDescent="0.25">
      <c r="B216" s="61"/>
    </row>
    <row r="217" spans="2:2" x14ac:dyDescent="0.25">
      <c r="B217" s="61"/>
    </row>
    <row r="218" spans="2:2" x14ac:dyDescent="0.25">
      <c r="B218" s="61"/>
    </row>
    <row r="219" spans="2:2" x14ac:dyDescent="0.25">
      <c r="B219" s="61"/>
    </row>
    <row r="220" spans="2:2" x14ac:dyDescent="0.25">
      <c r="B220" s="61"/>
    </row>
    <row r="222" spans="2:2" x14ac:dyDescent="0.25">
      <c r="B222" s="55"/>
    </row>
    <row r="223" spans="2:2" x14ac:dyDescent="0.25">
      <c r="B223" s="61"/>
    </row>
    <row r="224" spans="2:2" x14ac:dyDescent="0.25">
      <c r="B224" s="61"/>
    </row>
    <row r="225" spans="2:2" x14ac:dyDescent="0.25">
      <c r="B225" s="61"/>
    </row>
    <row r="226" spans="2:2" x14ac:dyDescent="0.25">
      <c r="B226" s="61"/>
    </row>
    <row r="227" spans="2:2" x14ac:dyDescent="0.25">
      <c r="B227" s="61"/>
    </row>
    <row r="228" spans="2:2" x14ac:dyDescent="0.25">
      <c r="B228" s="61"/>
    </row>
    <row r="229" spans="2:2" x14ac:dyDescent="0.25">
      <c r="B229" s="61"/>
    </row>
    <row r="230" spans="2:2" x14ac:dyDescent="0.25">
      <c r="B230" s="61"/>
    </row>
    <row r="231" spans="2:2" x14ac:dyDescent="0.25">
      <c r="B231" s="61"/>
    </row>
    <row r="232" spans="2:2" x14ac:dyDescent="0.25">
      <c r="B232" s="61"/>
    </row>
    <row r="233" spans="2:2" x14ac:dyDescent="0.25">
      <c r="B233" s="61"/>
    </row>
    <row r="234" spans="2:2" x14ac:dyDescent="0.25">
      <c r="B234" s="61"/>
    </row>
    <row r="235" spans="2:2" x14ac:dyDescent="0.25">
      <c r="B235" s="61"/>
    </row>
    <row r="236" spans="2:2" x14ac:dyDescent="0.25">
      <c r="B236" s="61"/>
    </row>
  </sheetData>
  <phoneticPr fontId="13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6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197</v>
      </c>
      <c r="C2" t="s">
        <v>7</v>
      </c>
    </row>
    <row r="3" spans="2:3" x14ac:dyDescent="0.25">
      <c r="B3" s="39" t="s">
        <v>198</v>
      </c>
      <c r="C3" t="s">
        <v>199</v>
      </c>
    </row>
    <row r="4" spans="2:3" x14ac:dyDescent="0.25">
      <c r="B4" s="39" t="s">
        <v>2</v>
      </c>
      <c r="C4" t="s">
        <v>200</v>
      </c>
    </row>
    <row r="5" spans="2:3" x14ac:dyDescent="0.25">
      <c r="B5" s="39" t="s">
        <v>201</v>
      </c>
      <c r="C5" t="s">
        <v>202</v>
      </c>
    </row>
    <row r="6" spans="2:3" x14ac:dyDescent="0.25">
      <c r="B6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C6"/>
  <sheetViews>
    <sheetView zoomScale="130" zoomScaleNormal="130" workbookViewId="0">
      <selection activeCell="C5" sqref="C5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197</v>
      </c>
      <c r="C2" t="s">
        <v>9</v>
      </c>
    </row>
    <row r="3" spans="2:3" x14ac:dyDescent="0.25">
      <c r="B3" s="39" t="s">
        <v>198</v>
      </c>
      <c r="C3" t="s">
        <v>203</v>
      </c>
    </row>
    <row r="4" spans="2:3" x14ac:dyDescent="0.25">
      <c r="B4" s="39" t="s">
        <v>2</v>
      </c>
      <c r="C4" t="s">
        <v>204</v>
      </c>
    </row>
    <row r="5" spans="2:3" x14ac:dyDescent="0.25">
      <c r="B5" s="39" t="s">
        <v>201</v>
      </c>
      <c r="C5" t="s">
        <v>202</v>
      </c>
    </row>
    <row r="6" spans="2:3" x14ac:dyDescent="0.25">
      <c r="B6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6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197</v>
      </c>
      <c r="C2" t="s">
        <v>11</v>
      </c>
    </row>
    <row r="3" spans="2:3" x14ac:dyDescent="0.25">
      <c r="B3" s="39" t="s">
        <v>198</v>
      </c>
      <c r="C3" t="s">
        <v>205</v>
      </c>
    </row>
    <row r="4" spans="2:3" x14ac:dyDescent="0.25">
      <c r="B4" s="39" t="s">
        <v>2</v>
      </c>
      <c r="C4" t="s">
        <v>206</v>
      </c>
    </row>
    <row r="5" spans="2:3" x14ac:dyDescent="0.25">
      <c r="B5" s="39" t="s">
        <v>201</v>
      </c>
      <c r="C5" t="s">
        <v>207</v>
      </c>
    </row>
    <row r="6" spans="2:3" x14ac:dyDescent="0.25">
      <c r="B6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1E5F5"/>
  </sheetPr>
  <dimension ref="B2:C5"/>
  <sheetViews>
    <sheetView zoomScale="130" zoomScaleNormal="130" workbookViewId="0">
      <selection activeCell="C12" sqref="C12"/>
    </sheetView>
  </sheetViews>
  <sheetFormatPr defaultColWidth="11" defaultRowHeight="15.75" x14ac:dyDescent="0.25"/>
  <cols>
    <col min="2" max="2" width="11.5" customWidth="1"/>
    <col min="3" max="3" width="39.5" customWidth="1"/>
  </cols>
  <sheetData>
    <row r="2" spans="2:3" x14ac:dyDescent="0.25">
      <c r="B2" s="39" t="s">
        <v>197</v>
      </c>
      <c r="C2" t="s">
        <v>208</v>
      </c>
    </row>
    <row r="3" spans="2:3" x14ac:dyDescent="0.25">
      <c r="B3" s="39" t="s">
        <v>198</v>
      </c>
      <c r="C3" t="s">
        <v>13</v>
      </c>
    </row>
    <row r="4" spans="2:3" x14ac:dyDescent="0.25">
      <c r="B4" s="39" t="s">
        <v>2</v>
      </c>
      <c r="C4" t="s">
        <v>209</v>
      </c>
    </row>
    <row r="5" spans="2:3" x14ac:dyDescent="0.25">
      <c r="B5" s="39" t="s">
        <v>201</v>
      </c>
      <c r="C5" t="s">
        <v>210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6" customWidth="1"/>
  </cols>
  <sheetData>
    <row r="2" spans="2:3" x14ac:dyDescent="0.25">
      <c r="B2" s="39" t="s">
        <v>197</v>
      </c>
      <c r="C2" t="s">
        <v>16</v>
      </c>
    </row>
    <row r="3" spans="2:3" x14ac:dyDescent="0.25">
      <c r="B3" s="39" t="s">
        <v>198</v>
      </c>
      <c r="C3" t="s">
        <v>211</v>
      </c>
    </row>
    <row r="4" spans="2:3" x14ac:dyDescent="0.25">
      <c r="B4" s="39" t="s">
        <v>2</v>
      </c>
      <c r="C4" t="s">
        <v>212</v>
      </c>
    </row>
    <row r="5" spans="2:3" x14ac:dyDescent="0.25">
      <c r="B5" s="39" t="s">
        <v>201</v>
      </c>
      <c r="C5" t="s">
        <v>213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197</v>
      </c>
      <c r="C2" t="s">
        <v>18</v>
      </c>
    </row>
    <row r="3" spans="2:3" x14ac:dyDescent="0.25">
      <c r="B3" s="39" t="s">
        <v>198</v>
      </c>
      <c r="C3" t="s">
        <v>214</v>
      </c>
    </row>
    <row r="4" spans="2:3" x14ac:dyDescent="0.25">
      <c r="B4" s="39" t="s">
        <v>2</v>
      </c>
      <c r="C4" t="s">
        <v>215</v>
      </c>
    </row>
    <row r="5" spans="2:3" x14ac:dyDescent="0.25">
      <c r="B5" s="39" t="s">
        <v>201</v>
      </c>
      <c r="C5" t="s">
        <v>216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197</v>
      </c>
      <c r="C2" t="s">
        <v>19</v>
      </c>
    </row>
    <row r="3" spans="2:3" x14ac:dyDescent="0.25">
      <c r="B3" s="39" t="s">
        <v>198</v>
      </c>
      <c r="C3" t="s">
        <v>217</v>
      </c>
    </row>
    <row r="4" spans="2:3" x14ac:dyDescent="0.25">
      <c r="B4" s="39" t="s">
        <v>2</v>
      </c>
      <c r="C4" t="s">
        <v>215</v>
      </c>
    </row>
    <row r="5" spans="2:3" x14ac:dyDescent="0.25">
      <c r="B5" s="39" t="s">
        <v>201</v>
      </c>
      <c r="C5" t="s">
        <v>218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197</v>
      </c>
      <c r="C2" t="s">
        <v>20</v>
      </c>
    </row>
    <row r="3" spans="2:3" x14ac:dyDescent="0.25">
      <c r="B3" s="39" t="s">
        <v>198</v>
      </c>
      <c r="C3" t="s">
        <v>219</v>
      </c>
    </row>
    <row r="4" spans="2:3" x14ac:dyDescent="0.25">
      <c r="B4" s="39" t="s">
        <v>2</v>
      </c>
      <c r="C4" t="s">
        <v>215</v>
      </c>
    </row>
    <row r="5" spans="2:3" x14ac:dyDescent="0.25">
      <c r="B5" s="39" t="s">
        <v>201</v>
      </c>
      <c r="C5" t="s">
        <v>220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C6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197</v>
      </c>
      <c r="C2" t="s">
        <v>21</v>
      </c>
    </row>
    <row r="3" spans="2:3" x14ac:dyDescent="0.25">
      <c r="B3" s="39" t="s">
        <v>198</v>
      </c>
      <c r="C3" t="s">
        <v>221</v>
      </c>
    </row>
    <row r="4" spans="2:3" x14ac:dyDescent="0.25">
      <c r="B4" s="39" t="s">
        <v>2</v>
      </c>
      <c r="C4" t="s">
        <v>222</v>
      </c>
    </row>
    <row r="5" spans="2:3" x14ac:dyDescent="0.25">
      <c r="B5" s="39" t="s">
        <v>201</v>
      </c>
      <c r="C5" t="s">
        <v>223</v>
      </c>
    </row>
    <row r="6" spans="2:3" x14ac:dyDescent="0.25">
      <c r="B6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C6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197</v>
      </c>
      <c r="C2" t="s">
        <v>23</v>
      </c>
    </row>
    <row r="3" spans="2:3" x14ac:dyDescent="0.25">
      <c r="B3" s="39" t="s">
        <v>198</v>
      </c>
      <c r="C3" t="s">
        <v>224</v>
      </c>
    </row>
    <row r="4" spans="2:3" x14ac:dyDescent="0.25">
      <c r="B4" s="39" t="s">
        <v>2</v>
      </c>
      <c r="C4" t="s">
        <v>225</v>
      </c>
    </row>
    <row r="5" spans="2:3" x14ac:dyDescent="0.25">
      <c r="B5" s="39" t="s">
        <v>201</v>
      </c>
      <c r="C5" t="s">
        <v>226</v>
      </c>
    </row>
    <row r="6" spans="2:3" x14ac:dyDescent="0.25">
      <c r="B6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197</v>
      </c>
      <c r="C2" t="s">
        <v>24</v>
      </c>
    </row>
    <row r="3" spans="2:3" x14ac:dyDescent="0.25">
      <c r="B3" s="39" t="s">
        <v>198</v>
      </c>
      <c r="C3" t="s">
        <v>227</v>
      </c>
    </row>
    <row r="4" spans="2:3" x14ac:dyDescent="0.25">
      <c r="B4" s="39" t="s">
        <v>2</v>
      </c>
      <c r="C4" t="s">
        <v>228</v>
      </c>
    </row>
    <row r="5" spans="2:3" x14ac:dyDescent="0.25">
      <c r="B5" s="39" t="s">
        <v>201</v>
      </c>
      <c r="C5" t="s">
        <v>229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197</v>
      </c>
      <c r="C2" t="s">
        <v>25</v>
      </c>
    </row>
    <row r="3" spans="2:3" x14ac:dyDescent="0.25">
      <c r="B3" s="39" t="s">
        <v>198</v>
      </c>
      <c r="C3" t="s">
        <v>230</v>
      </c>
    </row>
    <row r="4" spans="2:3" x14ac:dyDescent="0.25">
      <c r="B4" s="39" t="s">
        <v>2</v>
      </c>
      <c r="C4" t="s">
        <v>231</v>
      </c>
    </row>
    <row r="5" spans="2:3" x14ac:dyDescent="0.25">
      <c r="B5" s="39" t="s">
        <v>201</v>
      </c>
      <c r="C5" t="s">
        <v>232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197</v>
      </c>
      <c r="C2" t="s">
        <v>27</v>
      </c>
    </row>
    <row r="3" spans="2:3" x14ac:dyDescent="0.25">
      <c r="B3" s="39" t="s">
        <v>198</v>
      </c>
      <c r="C3" t="s">
        <v>233</v>
      </c>
    </row>
    <row r="4" spans="2:3" x14ac:dyDescent="0.25">
      <c r="B4" s="39" t="s">
        <v>2</v>
      </c>
      <c r="C4" t="s">
        <v>234</v>
      </c>
    </row>
    <row r="5" spans="2:3" x14ac:dyDescent="0.25">
      <c r="B5" s="39" t="s">
        <v>201</v>
      </c>
      <c r="C5" t="s">
        <v>235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197</v>
      </c>
      <c r="C2" t="s">
        <v>28</v>
      </c>
    </row>
    <row r="3" spans="2:3" x14ac:dyDescent="0.25">
      <c r="B3" s="39" t="s">
        <v>198</v>
      </c>
      <c r="C3" t="s">
        <v>236</v>
      </c>
    </row>
    <row r="4" spans="2:3" x14ac:dyDescent="0.25">
      <c r="B4" s="39" t="s">
        <v>2</v>
      </c>
      <c r="C4" t="s">
        <v>237</v>
      </c>
    </row>
    <row r="5" spans="2:3" x14ac:dyDescent="0.25">
      <c r="B5" s="39" t="s">
        <v>201</v>
      </c>
      <c r="C5" t="s">
        <v>238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197</v>
      </c>
      <c r="C2" t="s">
        <v>30</v>
      </c>
    </row>
    <row r="3" spans="2:3" x14ac:dyDescent="0.25">
      <c r="B3" s="39" t="s">
        <v>198</v>
      </c>
      <c r="C3" t="s">
        <v>239</v>
      </c>
    </row>
    <row r="4" spans="2:3" x14ac:dyDescent="0.25">
      <c r="B4" s="39" t="s">
        <v>2</v>
      </c>
      <c r="C4" t="s">
        <v>240</v>
      </c>
    </row>
    <row r="5" spans="2:3" x14ac:dyDescent="0.25">
      <c r="B5" s="39" t="s">
        <v>201</v>
      </c>
      <c r="C5" t="s">
        <v>241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C5"/>
  <sheetViews>
    <sheetView zoomScale="130" zoomScaleNormal="130" workbookViewId="0">
      <selection activeCell="C3" sqref="C3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197</v>
      </c>
      <c r="C2" t="s">
        <v>31</v>
      </c>
    </row>
    <row r="3" spans="2:3" x14ac:dyDescent="0.25">
      <c r="B3" s="39" t="s">
        <v>198</v>
      </c>
      <c r="C3" t="s">
        <v>242</v>
      </c>
    </row>
    <row r="4" spans="2:3" x14ac:dyDescent="0.25">
      <c r="B4" s="39" t="s">
        <v>2</v>
      </c>
      <c r="C4" t="s">
        <v>225</v>
      </c>
    </row>
    <row r="5" spans="2:3" x14ac:dyDescent="0.25">
      <c r="B5" s="39" t="s">
        <v>201</v>
      </c>
      <c r="C5" t="s">
        <v>243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2:C5"/>
  <sheetViews>
    <sheetView workbookViewId="0">
      <selection activeCell="C10" sqref="C10"/>
    </sheetView>
  </sheetViews>
  <sheetFormatPr defaultColWidth="11" defaultRowHeight="15.75" x14ac:dyDescent="0.25"/>
  <cols>
    <col min="3" max="3" width="27.125" customWidth="1"/>
  </cols>
  <sheetData>
    <row r="2" spans="2:3" x14ac:dyDescent="0.25">
      <c r="B2" s="39" t="s">
        <v>197</v>
      </c>
      <c r="C2" t="s">
        <v>32</v>
      </c>
    </row>
    <row r="3" spans="2:3" x14ac:dyDescent="0.25">
      <c r="B3" s="39" t="s">
        <v>198</v>
      </c>
      <c r="C3" t="s">
        <v>244</v>
      </c>
    </row>
    <row r="4" spans="2:3" x14ac:dyDescent="0.25">
      <c r="B4" s="39" t="s">
        <v>2</v>
      </c>
      <c r="C4" t="s">
        <v>245</v>
      </c>
    </row>
    <row r="5" spans="2:3" x14ac:dyDescent="0.25">
      <c r="B5" s="39" t="s">
        <v>201</v>
      </c>
      <c r="C5" t="s">
        <v>246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2:C5"/>
  <sheetViews>
    <sheetView workbookViewId="0">
      <selection activeCell="C10" sqref="C10"/>
    </sheetView>
  </sheetViews>
  <sheetFormatPr defaultColWidth="11" defaultRowHeight="15.75" x14ac:dyDescent="0.25"/>
  <cols>
    <col min="3" max="3" width="46.625" customWidth="1"/>
  </cols>
  <sheetData>
    <row r="2" spans="2:3" x14ac:dyDescent="0.25">
      <c r="B2" s="39" t="s">
        <v>197</v>
      </c>
      <c r="C2" t="s">
        <v>33</v>
      </c>
    </row>
    <row r="3" spans="2:3" x14ac:dyDescent="0.25">
      <c r="B3" s="39" t="s">
        <v>198</v>
      </c>
      <c r="C3" t="s">
        <v>247</v>
      </c>
    </row>
    <row r="4" spans="2:3" x14ac:dyDescent="0.25">
      <c r="B4" s="39" t="s">
        <v>2</v>
      </c>
      <c r="C4" t="s">
        <v>248</v>
      </c>
    </row>
    <row r="5" spans="2:3" x14ac:dyDescent="0.25">
      <c r="B5" s="39" t="s">
        <v>201</v>
      </c>
      <c r="C5" t="s">
        <v>249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B2:C5"/>
  <sheetViews>
    <sheetView workbookViewId="0">
      <selection activeCell="C10" sqref="C10"/>
    </sheetView>
  </sheetViews>
  <sheetFormatPr defaultColWidth="11" defaultRowHeight="15.75" x14ac:dyDescent="0.25"/>
  <cols>
    <col min="3" max="3" width="30.625" customWidth="1"/>
  </cols>
  <sheetData>
    <row r="2" spans="2:3" x14ac:dyDescent="0.25">
      <c r="B2" s="39" t="s">
        <v>197</v>
      </c>
      <c r="C2" t="s">
        <v>34</v>
      </c>
    </row>
    <row r="3" spans="2:3" x14ac:dyDescent="0.25">
      <c r="B3" s="39" t="s">
        <v>198</v>
      </c>
      <c r="C3" t="s">
        <v>250</v>
      </c>
    </row>
    <row r="4" spans="2:3" x14ac:dyDescent="0.25">
      <c r="B4" s="39" t="s">
        <v>2</v>
      </c>
      <c r="C4" t="s">
        <v>251</v>
      </c>
    </row>
    <row r="5" spans="2:3" x14ac:dyDescent="0.25">
      <c r="B5" s="39" t="s">
        <v>201</v>
      </c>
      <c r="C5" t="s">
        <v>252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2:C5"/>
  <sheetViews>
    <sheetView workbookViewId="0">
      <selection activeCell="C10" sqref="C10"/>
    </sheetView>
  </sheetViews>
  <sheetFormatPr defaultColWidth="11" defaultRowHeight="15.75" x14ac:dyDescent="0.25"/>
  <cols>
    <col min="3" max="3" width="27.125" customWidth="1"/>
  </cols>
  <sheetData>
    <row r="2" spans="2:3" x14ac:dyDescent="0.25">
      <c r="B2" s="39" t="s">
        <v>197</v>
      </c>
      <c r="C2" t="s">
        <v>35</v>
      </c>
    </row>
    <row r="3" spans="2:3" x14ac:dyDescent="0.25">
      <c r="B3" s="39" t="s">
        <v>198</v>
      </c>
      <c r="C3" t="s">
        <v>253</v>
      </c>
    </row>
    <row r="4" spans="2:3" x14ac:dyDescent="0.25">
      <c r="B4" s="39" t="s">
        <v>2</v>
      </c>
      <c r="C4" t="s">
        <v>254</v>
      </c>
    </row>
    <row r="5" spans="2:3" x14ac:dyDescent="0.25">
      <c r="B5" s="39" t="s">
        <v>201</v>
      </c>
      <c r="C5" t="s">
        <v>255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2:C5"/>
  <sheetViews>
    <sheetView workbookViewId="0">
      <selection activeCell="C10" sqref="C10"/>
    </sheetView>
  </sheetViews>
  <sheetFormatPr defaultColWidth="11" defaultRowHeight="15.75" x14ac:dyDescent="0.25"/>
  <cols>
    <col min="3" max="3" width="46.625" customWidth="1"/>
  </cols>
  <sheetData>
    <row r="2" spans="2:3" x14ac:dyDescent="0.25">
      <c r="B2" s="39" t="s">
        <v>197</v>
      </c>
      <c r="C2" t="s">
        <v>36</v>
      </c>
    </row>
    <row r="3" spans="2:3" x14ac:dyDescent="0.25">
      <c r="B3" s="39" t="s">
        <v>198</v>
      </c>
      <c r="C3" t="s">
        <v>256</v>
      </c>
    </row>
    <row r="4" spans="2:3" x14ac:dyDescent="0.25">
      <c r="B4" s="39" t="s">
        <v>2</v>
      </c>
      <c r="C4" t="s">
        <v>257</v>
      </c>
    </row>
    <row r="5" spans="2:3" x14ac:dyDescent="0.25">
      <c r="B5" s="39" t="s">
        <v>201</v>
      </c>
      <c r="C5" t="s">
        <v>258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2:C5"/>
  <sheetViews>
    <sheetView workbookViewId="0">
      <selection activeCell="C10" sqref="C10"/>
    </sheetView>
  </sheetViews>
  <sheetFormatPr defaultColWidth="11" defaultRowHeight="15.75" x14ac:dyDescent="0.25"/>
  <cols>
    <col min="3" max="3" width="27.125" customWidth="1"/>
  </cols>
  <sheetData>
    <row r="2" spans="2:3" x14ac:dyDescent="0.25">
      <c r="B2" s="39" t="s">
        <v>197</v>
      </c>
      <c r="C2" t="s">
        <v>37</v>
      </c>
    </row>
    <row r="3" spans="2:3" x14ac:dyDescent="0.25">
      <c r="B3" s="39" t="s">
        <v>198</v>
      </c>
      <c r="C3" t="s">
        <v>259</v>
      </c>
    </row>
    <row r="4" spans="2:3" x14ac:dyDescent="0.25">
      <c r="B4" s="39" t="s">
        <v>2</v>
      </c>
      <c r="C4" t="s">
        <v>260</v>
      </c>
    </row>
    <row r="5" spans="2:3" x14ac:dyDescent="0.25">
      <c r="B5" s="39" t="s">
        <v>201</v>
      </c>
      <c r="C5" t="s">
        <v>261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Main</vt:lpstr>
      <vt:lpstr>Model</vt:lpstr>
      <vt:lpstr>Mounjaro</vt:lpstr>
      <vt:lpstr>Zepbound</vt:lpstr>
      <vt:lpstr>Trulicity</vt:lpstr>
      <vt:lpstr>Retatrutide</vt:lpstr>
      <vt:lpstr>Foundayo</vt:lpstr>
      <vt:lpstr>Basaglar</vt:lpstr>
      <vt:lpstr>Humalog</vt:lpstr>
      <vt:lpstr>Humulin</vt:lpstr>
      <vt:lpstr>Jardiance</vt:lpstr>
      <vt:lpstr>Verzenio</vt:lpstr>
      <vt:lpstr>Cyramza</vt:lpstr>
      <vt:lpstr>Erbitux</vt:lpstr>
      <vt:lpstr>Retevmo</vt:lpstr>
      <vt:lpstr>Tyvyt</vt:lpstr>
      <vt:lpstr>Jaypirca</vt:lpstr>
      <vt:lpstr>Inluriyo</vt:lpstr>
      <vt:lpstr>Ebglyss</vt:lpstr>
      <vt:lpstr>Olumiant</vt:lpstr>
      <vt:lpstr>Omvoh</vt:lpstr>
      <vt:lpstr>Taltz</vt:lpstr>
      <vt:lpstr>Emgality</vt:lpstr>
      <vt:lpstr>Kisunla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 Heier</dc:creator>
  <dc:description/>
  <cp:lastModifiedBy>Sam Heier</cp:lastModifiedBy>
  <cp:revision>0</cp:revision>
  <dcterms:created xsi:type="dcterms:W3CDTF">2026-05-18T21:29:55Z</dcterms:created>
  <dcterms:modified xsi:type="dcterms:W3CDTF">2026-08-03T20:17:54Z</dcterms:modified>
  <dc:language>en-US</dc:language>
</cp:coreProperties>
</file>
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U:\Models\"/>
    </mc:Choice>
  </mc:AlternateContent>
  <xr:revisionPtr revIDLastSave="0" documentId="13_ncr:1_{89D69650-30B8-45B2-B0B1-9420F3CCFE03}" xr6:coauthVersionLast="47" xr6:coauthVersionMax="47" xr10:uidLastSave="{00000000-0000-0000-0000-000000000000}"/>
  <bookViews>
    <workbookView xWindow="-120" yWindow="-120" windowWidth="29040" windowHeight="15720" tabRatio="753" activeTab="4" xr2:uid="{00000000-000D-0000-FFFF-FFFF00000000}"/>
  </bookViews>
  <sheets>
    <sheet name="Main" sheetId="1" r:id="rId1"/>
    <sheet name="10QIS" sheetId="2" r:id="rId2"/>
    <sheet name="IS" sheetId="29" r:id="rId3"/>
    <sheet name="BS" sheetId="26" r:id="rId4"/>
    <sheet name="CFS" sheetId="27" r:id="rId5"/>
    <sheet name="DCF" sheetId="25" r:id="rId6"/>
    <sheet name="Mounjaro" sheetId="3" r:id="rId7"/>
    <sheet name="Zepbound" sheetId="4" r:id="rId8"/>
    <sheet name="Trulicity" sheetId="5" r:id="rId9"/>
    <sheet name="Retatrutide" sheetId="6" r:id="rId10"/>
    <sheet name="Foundayo" sheetId="7" r:id="rId11"/>
    <sheet name="Basaglar" sheetId="8" r:id="rId12"/>
    <sheet name="Humalog" sheetId="9" r:id="rId13"/>
    <sheet name="Humulin" sheetId="10" r:id="rId14"/>
    <sheet name="Jardiance" sheetId="11" r:id="rId15"/>
    <sheet name="Verzenio" sheetId="12" r:id="rId16"/>
    <sheet name="Cyramza" sheetId="13" r:id="rId17"/>
    <sheet name="Erbitux" sheetId="14" r:id="rId18"/>
    <sheet name="Retevmo" sheetId="15" r:id="rId19"/>
    <sheet name="Tyvyt" sheetId="16" r:id="rId20"/>
    <sheet name="Jaypirca" sheetId="17" r:id="rId21"/>
    <sheet name="Inluriyo" sheetId="18" r:id="rId22"/>
    <sheet name="Ebglyss" sheetId="19" r:id="rId23"/>
    <sheet name="Olumiant" sheetId="20" r:id="rId24"/>
    <sheet name="Omvoh" sheetId="21" r:id="rId25"/>
    <sheet name="Taltz" sheetId="22" r:id="rId26"/>
    <sheet name="Emgality" sheetId="23" r:id="rId27"/>
    <sheet name="Kisunla" sheetId="24" r:id="rId2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54" i="29" l="1"/>
  <c r="F54" i="29"/>
  <c r="E54" i="29"/>
  <c r="D54" i="29"/>
  <c r="C54" i="29"/>
  <c r="F52" i="29"/>
  <c r="F53" i="29" s="1"/>
  <c r="E52" i="29"/>
  <c r="E53" i="29" s="1"/>
  <c r="D52" i="29"/>
  <c r="D53" i="29" s="1"/>
  <c r="C52" i="29"/>
  <c r="C53" i="29" s="1"/>
  <c r="F51" i="29"/>
  <c r="E51" i="29"/>
  <c r="D51" i="29"/>
  <c r="C51" i="29"/>
  <c r="F50" i="29"/>
  <c r="E50" i="29"/>
  <c r="D50" i="29"/>
  <c r="C50" i="29"/>
  <c r="F49" i="29"/>
  <c r="E49" i="29"/>
  <c r="D49" i="29"/>
  <c r="C49" i="29"/>
  <c r="F48" i="29"/>
  <c r="E48" i="29"/>
  <c r="D48" i="29"/>
  <c r="C48" i="29"/>
  <c r="G48" i="29" s="1"/>
  <c r="F47" i="29"/>
  <c r="E47" i="29"/>
  <c r="D47" i="29"/>
  <c r="C47" i="29"/>
  <c r="F46" i="29"/>
  <c r="E46" i="29"/>
  <c r="D46" i="29"/>
  <c r="C46" i="29"/>
  <c r="F45" i="29"/>
  <c r="E45" i="29"/>
  <c r="D45" i="29"/>
  <c r="C45" i="29"/>
  <c r="F44" i="29"/>
  <c r="E44" i="29"/>
  <c r="D44" i="29"/>
  <c r="C44" i="29"/>
  <c r="F43" i="29"/>
  <c r="E43" i="29"/>
  <c r="D43" i="29"/>
  <c r="C43" i="29"/>
  <c r="F41" i="29"/>
  <c r="G41" i="29" s="1"/>
  <c r="H41" i="29" s="1"/>
  <c r="I41" i="29" s="1"/>
  <c r="J41" i="29" s="1"/>
  <c r="K41" i="29" s="1"/>
  <c r="L41" i="29" s="1"/>
  <c r="M41" i="29" s="1"/>
  <c r="N41" i="29" s="1"/>
  <c r="O41" i="29" s="1"/>
  <c r="P41" i="29" s="1"/>
  <c r="Q41" i="29" s="1"/>
  <c r="E41" i="29"/>
  <c r="D41" i="29"/>
  <c r="C41" i="29"/>
  <c r="F40" i="29"/>
  <c r="E40" i="29"/>
  <c r="D40" i="29"/>
  <c r="C40" i="29"/>
  <c r="F39" i="29"/>
  <c r="E39" i="29"/>
  <c r="D39" i="29"/>
  <c r="C39" i="29"/>
  <c r="F38" i="29"/>
  <c r="G38" i="29" s="1"/>
  <c r="H38" i="29" s="1"/>
  <c r="I38" i="29" s="1"/>
  <c r="J38" i="29" s="1"/>
  <c r="K38" i="29" s="1"/>
  <c r="L38" i="29" s="1"/>
  <c r="M38" i="29" s="1"/>
  <c r="N38" i="29" s="1"/>
  <c r="O38" i="29" s="1"/>
  <c r="P38" i="29" s="1"/>
  <c r="Q38" i="29" s="1"/>
  <c r="E38" i="29"/>
  <c r="D38" i="29"/>
  <c r="C38" i="29"/>
  <c r="F37" i="29"/>
  <c r="E37" i="29"/>
  <c r="D37" i="29"/>
  <c r="C37" i="29"/>
  <c r="F36" i="29"/>
  <c r="E36" i="29"/>
  <c r="D36" i="29"/>
  <c r="C36" i="29"/>
  <c r="F35" i="29"/>
  <c r="E35" i="29"/>
  <c r="D35" i="29"/>
  <c r="C35" i="29"/>
  <c r="F34" i="29"/>
  <c r="E34" i="29"/>
  <c r="D34" i="29"/>
  <c r="C34" i="29"/>
  <c r="F33" i="29"/>
  <c r="G33" i="29" s="1"/>
  <c r="H33" i="29" s="1"/>
  <c r="I33" i="29" s="1"/>
  <c r="J33" i="29" s="1"/>
  <c r="K33" i="29" s="1"/>
  <c r="L33" i="29" s="1"/>
  <c r="M33" i="29" s="1"/>
  <c r="N33" i="29" s="1"/>
  <c r="O33" i="29" s="1"/>
  <c r="P33" i="29" s="1"/>
  <c r="Q33" i="29" s="1"/>
  <c r="E33" i="29"/>
  <c r="D33" i="29"/>
  <c r="C33" i="29"/>
  <c r="F32" i="29"/>
  <c r="E32" i="29"/>
  <c r="D32" i="29"/>
  <c r="C32" i="29"/>
  <c r="F31" i="29"/>
  <c r="E31" i="29"/>
  <c r="D31" i="29"/>
  <c r="C31" i="29"/>
  <c r="F30" i="29"/>
  <c r="E30" i="29"/>
  <c r="D30" i="29"/>
  <c r="C30" i="29"/>
  <c r="F29" i="29"/>
  <c r="E29" i="29"/>
  <c r="D29" i="29"/>
  <c r="C29" i="29"/>
  <c r="F28" i="29"/>
  <c r="E28" i="29"/>
  <c r="D28" i="29"/>
  <c r="C28" i="29"/>
  <c r="F27" i="29"/>
  <c r="E27" i="29"/>
  <c r="D27" i="29"/>
  <c r="C27" i="29"/>
  <c r="F26" i="29"/>
  <c r="E26" i="29"/>
  <c r="D26" i="29"/>
  <c r="C26" i="29"/>
  <c r="F25" i="29"/>
  <c r="G25" i="29" s="1"/>
  <c r="H25" i="29" s="1"/>
  <c r="I25" i="29" s="1"/>
  <c r="J25" i="29" s="1"/>
  <c r="K25" i="29" s="1"/>
  <c r="L25" i="29" s="1"/>
  <c r="M25" i="29" s="1"/>
  <c r="N25" i="29" s="1"/>
  <c r="O25" i="29" s="1"/>
  <c r="P25" i="29" s="1"/>
  <c r="Q25" i="29" s="1"/>
  <c r="E25" i="29"/>
  <c r="D25" i="29"/>
  <c r="C25" i="29"/>
  <c r="F24" i="29"/>
  <c r="E24" i="29"/>
  <c r="D24" i="29"/>
  <c r="C24" i="29"/>
  <c r="F23" i="29"/>
  <c r="E23" i="29"/>
  <c r="D23" i="29"/>
  <c r="C23" i="29"/>
  <c r="F22" i="29"/>
  <c r="E22" i="29"/>
  <c r="D22" i="29"/>
  <c r="C22" i="29"/>
  <c r="F21" i="29"/>
  <c r="E21" i="29"/>
  <c r="D21" i="29"/>
  <c r="C21" i="29"/>
  <c r="F20" i="29"/>
  <c r="E20" i="29"/>
  <c r="D20" i="29"/>
  <c r="C20" i="29"/>
  <c r="F19" i="29"/>
  <c r="E19" i="29"/>
  <c r="D19" i="29"/>
  <c r="C19" i="29"/>
  <c r="F18" i="29"/>
  <c r="E18" i="29"/>
  <c r="D18" i="29"/>
  <c r="C18" i="29"/>
  <c r="F17" i="29"/>
  <c r="E17" i="29"/>
  <c r="D17" i="29"/>
  <c r="C17" i="29"/>
  <c r="F16" i="29"/>
  <c r="E16" i="29"/>
  <c r="D16" i="29"/>
  <c r="C16" i="29"/>
  <c r="F15" i="29"/>
  <c r="E15" i="29"/>
  <c r="E42" i="29" s="1"/>
  <c r="D15" i="29"/>
  <c r="D42" i="29" s="1"/>
  <c r="C15" i="29"/>
  <c r="C42" i="29" s="1"/>
  <c r="F12" i="29"/>
  <c r="E12" i="29"/>
  <c r="D12" i="29"/>
  <c r="C12" i="29"/>
  <c r="Q11" i="29"/>
  <c r="P11" i="29"/>
  <c r="O11" i="29"/>
  <c r="N11" i="29"/>
  <c r="M11" i="29"/>
  <c r="L11" i="29"/>
  <c r="K11" i="29"/>
  <c r="J11" i="29"/>
  <c r="I11" i="29"/>
  <c r="H11" i="29"/>
  <c r="G11" i="29"/>
  <c r="E11" i="29"/>
  <c r="D11" i="29"/>
  <c r="C11" i="29"/>
  <c r="Q10" i="29"/>
  <c r="P10" i="29"/>
  <c r="O10" i="29"/>
  <c r="N10" i="29"/>
  <c r="M10" i="29"/>
  <c r="L10" i="29"/>
  <c r="K10" i="29"/>
  <c r="J10" i="29"/>
  <c r="I10" i="29"/>
  <c r="H10" i="29"/>
  <c r="G10" i="29"/>
  <c r="E10" i="29"/>
  <c r="D10" i="29"/>
  <c r="C10" i="29"/>
  <c r="Q9" i="29"/>
  <c r="P9" i="29"/>
  <c r="O9" i="29"/>
  <c r="N9" i="29"/>
  <c r="M9" i="29"/>
  <c r="L9" i="29"/>
  <c r="K9" i="29"/>
  <c r="J9" i="29"/>
  <c r="I9" i="29"/>
  <c r="H9" i="29"/>
  <c r="G9" i="29"/>
  <c r="E9" i="29"/>
  <c r="D9" i="29"/>
  <c r="C9" i="29"/>
  <c r="Q8" i="29"/>
  <c r="P8" i="29"/>
  <c r="O8" i="29"/>
  <c r="N8" i="29"/>
  <c r="M8" i="29"/>
  <c r="L8" i="29"/>
  <c r="K8" i="29"/>
  <c r="J8" i="29"/>
  <c r="I8" i="29"/>
  <c r="H8" i="29"/>
  <c r="G8" i="29"/>
  <c r="E8" i="29"/>
  <c r="D8" i="29"/>
  <c r="C8" i="29"/>
  <c r="F7" i="29"/>
  <c r="E7" i="29"/>
  <c r="D7" i="29"/>
  <c r="F6" i="29"/>
  <c r="E6" i="29"/>
  <c r="D6" i="29"/>
  <c r="F5" i="29"/>
  <c r="E5" i="29"/>
  <c r="D5" i="29"/>
  <c r="F4" i="29"/>
  <c r="E4" i="29"/>
  <c r="D4" i="29"/>
  <c r="F3" i="29"/>
  <c r="E3" i="29"/>
  <c r="D3" i="29"/>
  <c r="Q2" i="29"/>
  <c r="P2" i="29"/>
  <c r="O2" i="29"/>
  <c r="N2" i="29"/>
  <c r="M2" i="29"/>
  <c r="L2" i="29"/>
  <c r="K2" i="29"/>
  <c r="J2" i="29"/>
  <c r="I2" i="29"/>
  <c r="H2" i="29"/>
  <c r="G2" i="29"/>
  <c r="F2" i="29"/>
  <c r="E2" i="29"/>
  <c r="D2" i="29"/>
  <c r="C2" i="29"/>
  <c r="C7" i="1"/>
  <c r="F7" i="27"/>
  <c r="E7" i="27"/>
  <c r="D7" i="27"/>
  <c r="C7" i="27"/>
  <c r="G46" i="27"/>
  <c r="G39" i="27"/>
  <c r="G37" i="27"/>
  <c r="Q16" i="27"/>
  <c r="P16" i="27"/>
  <c r="O16" i="27"/>
  <c r="N16" i="27"/>
  <c r="M16" i="27"/>
  <c r="L16" i="27"/>
  <c r="K16" i="27"/>
  <c r="J16" i="27"/>
  <c r="I16" i="27"/>
  <c r="H16" i="27"/>
  <c r="G16" i="27"/>
  <c r="G37" i="26"/>
  <c r="H37" i="26" s="1"/>
  <c r="I37" i="26" s="1"/>
  <c r="J37" i="26" s="1"/>
  <c r="K37" i="26" s="1"/>
  <c r="L37" i="26" s="1"/>
  <c r="M37" i="26" s="1"/>
  <c r="N37" i="26" s="1"/>
  <c r="O37" i="26" s="1"/>
  <c r="P37" i="26" s="1"/>
  <c r="Q37" i="26" s="1"/>
  <c r="G36" i="26"/>
  <c r="H36" i="26" s="1"/>
  <c r="I36" i="26" s="1"/>
  <c r="J36" i="26" s="1"/>
  <c r="K36" i="26" s="1"/>
  <c r="L36" i="26" s="1"/>
  <c r="M36" i="26" s="1"/>
  <c r="N36" i="26" s="1"/>
  <c r="O36" i="26" s="1"/>
  <c r="P36" i="26" s="1"/>
  <c r="Q36" i="26" s="1"/>
  <c r="G26" i="26"/>
  <c r="H26" i="26" s="1"/>
  <c r="I26" i="26" s="1"/>
  <c r="J26" i="26" s="1"/>
  <c r="K26" i="26" s="1"/>
  <c r="L26" i="26" s="1"/>
  <c r="M26" i="26" s="1"/>
  <c r="N26" i="26" s="1"/>
  <c r="O26" i="26" s="1"/>
  <c r="P26" i="26" s="1"/>
  <c r="Q26" i="26" s="1"/>
  <c r="G24" i="26"/>
  <c r="H24" i="26" s="1"/>
  <c r="I24" i="26" s="1"/>
  <c r="J24" i="26" s="1"/>
  <c r="K24" i="26" s="1"/>
  <c r="L24" i="26" s="1"/>
  <c r="M24" i="26" s="1"/>
  <c r="N24" i="26" s="1"/>
  <c r="O24" i="26" s="1"/>
  <c r="P24" i="26" s="1"/>
  <c r="Q24" i="26" s="1"/>
  <c r="G23" i="26"/>
  <c r="H23" i="26" s="1"/>
  <c r="I23" i="26" s="1"/>
  <c r="J23" i="26" s="1"/>
  <c r="K23" i="26" s="1"/>
  <c r="L23" i="26" s="1"/>
  <c r="M23" i="26" s="1"/>
  <c r="N23" i="26" s="1"/>
  <c r="O23" i="26" s="1"/>
  <c r="P23" i="26" s="1"/>
  <c r="Q23" i="26" s="1"/>
  <c r="G22" i="26"/>
  <c r="H22" i="26" s="1"/>
  <c r="I22" i="26" s="1"/>
  <c r="J22" i="26" s="1"/>
  <c r="K22" i="26" s="1"/>
  <c r="L22" i="26" s="1"/>
  <c r="M22" i="26" s="1"/>
  <c r="N22" i="26" s="1"/>
  <c r="O22" i="26" s="1"/>
  <c r="P22" i="26" s="1"/>
  <c r="Q22" i="26" s="1"/>
  <c r="G21" i="26"/>
  <c r="H21" i="26" s="1"/>
  <c r="I21" i="26" s="1"/>
  <c r="J21" i="26" s="1"/>
  <c r="K21" i="26" s="1"/>
  <c r="L21" i="26" s="1"/>
  <c r="M21" i="26" s="1"/>
  <c r="N21" i="26" s="1"/>
  <c r="O21" i="26" s="1"/>
  <c r="P21" i="26" s="1"/>
  <c r="Q21" i="26" s="1"/>
  <c r="J37" i="25"/>
  <c r="K37" i="25"/>
  <c r="L37" i="25"/>
  <c r="M37" i="25"/>
  <c r="N37" i="25"/>
  <c r="G29" i="25"/>
  <c r="H29" i="25"/>
  <c r="I29" i="25"/>
  <c r="F29" i="25"/>
  <c r="G24" i="25"/>
  <c r="H24" i="25"/>
  <c r="I24" i="25"/>
  <c r="G25" i="25"/>
  <c r="H25" i="25"/>
  <c r="I25" i="25"/>
  <c r="G27" i="25"/>
  <c r="H27" i="25"/>
  <c r="I27" i="25"/>
  <c r="F27" i="25"/>
  <c r="F25" i="25"/>
  <c r="F24" i="25"/>
  <c r="G22" i="25"/>
  <c r="H22" i="25"/>
  <c r="I22" i="25"/>
  <c r="F22" i="25"/>
  <c r="G21" i="25"/>
  <c r="H21" i="25"/>
  <c r="I21" i="25"/>
  <c r="G20" i="25"/>
  <c r="H20" i="25"/>
  <c r="I20" i="25"/>
  <c r="F20" i="25"/>
  <c r="F21" i="25"/>
  <c r="G15" i="25"/>
  <c r="H15" i="25"/>
  <c r="I15" i="25"/>
  <c r="F15" i="25"/>
  <c r="F42" i="29" l="1"/>
  <c r="G15" i="29"/>
  <c r="H48" i="29"/>
  <c r="I48" i="29"/>
  <c r="J48" i="29"/>
  <c r="M80" i="25"/>
  <c r="M79" i="25"/>
  <c r="M78" i="25"/>
  <c r="H63" i="25"/>
  <c r="H64" i="25" s="1"/>
  <c r="E41" i="25"/>
  <c r="H6" i="25"/>
  <c r="H5" i="25"/>
  <c r="K88" i="25"/>
  <c r="K89" i="25" s="1"/>
  <c r="K86" i="25"/>
  <c r="K85" i="25"/>
  <c r="O84" i="25"/>
  <c r="P84" i="25" s="1"/>
  <c r="M84" i="25"/>
  <c r="L84" i="25"/>
  <c r="K84" i="25"/>
  <c r="H80" i="25"/>
  <c r="H78" i="25"/>
  <c r="M66" i="25"/>
  <c r="H65" i="25" s="1"/>
  <c r="H61" i="25"/>
  <c r="I45" i="25"/>
  <c r="H45" i="25"/>
  <c r="G45" i="25"/>
  <c r="F45" i="25"/>
  <c r="E45" i="25"/>
  <c r="D45" i="25"/>
  <c r="I44" i="25"/>
  <c r="H44" i="25"/>
  <c r="G44" i="25"/>
  <c r="F44" i="25"/>
  <c r="E44" i="25"/>
  <c r="D44" i="25"/>
  <c r="I43" i="25"/>
  <c r="H43" i="25"/>
  <c r="G43" i="25"/>
  <c r="F43" i="25"/>
  <c r="E43" i="25"/>
  <c r="D43" i="25"/>
  <c r="I42" i="25"/>
  <c r="H42" i="25"/>
  <c r="G42" i="25"/>
  <c r="F42" i="25"/>
  <c r="E42" i="25"/>
  <c r="D42" i="25"/>
  <c r="I41" i="25"/>
  <c r="H41" i="25"/>
  <c r="G41" i="25"/>
  <c r="F41" i="25"/>
  <c r="D41" i="25"/>
  <c r="I40" i="25"/>
  <c r="H40" i="25"/>
  <c r="G40" i="25"/>
  <c r="F40" i="25"/>
  <c r="E40" i="25"/>
  <c r="D40" i="25"/>
  <c r="I39" i="25"/>
  <c r="H39" i="25"/>
  <c r="G39" i="25"/>
  <c r="F39" i="25"/>
  <c r="E39" i="25"/>
  <c r="D39" i="25"/>
  <c r="C39" i="25"/>
  <c r="E36" i="25"/>
  <c r="E38" i="25" s="1"/>
  <c r="E46" i="25" s="1"/>
  <c r="D36" i="25"/>
  <c r="D38" i="25" s="1"/>
  <c r="D46" i="25" s="1"/>
  <c r="C36" i="25"/>
  <c r="C38" i="25" s="1"/>
  <c r="E35" i="25"/>
  <c r="D35" i="25"/>
  <c r="C35" i="25"/>
  <c r="K34" i="25"/>
  <c r="L34" i="25" s="1"/>
  <c r="M34" i="25" s="1"/>
  <c r="N34" i="25" s="1"/>
  <c r="D33" i="25"/>
  <c r="C33" i="25"/>
  <c r="D19" i="25"/>
  <c r="C19" i="25"/>
  <c r="H60" i="25"/>
  <c r="H4" i="25"/>
  <c r="K48" i="29" l="1"/>
  <c r="G42" i="29"/>
  <c r="H15" i="29"/>
  <c r="F11" i="29"/>
  <c r="F10" i="29"/>
  <c r="F9" i="29"/>
  <c r="F8" i="29"/>
  <c r="D10" i="25"/>
  <c r="C10" i="25" s="1"/>
  <c r="I54" i="25"/>
  <c r="H42" i="29" l="1"/>
  <c r="I15" i="29"/>
  <c r="G47" i="29"/>
  <c r="G46" i="29"/>
  <c r="G45" i="29"/>
  <c r="G44" i="29"/>
  <c r="G43" i="29"/>
  <c r="L48" i="29"/>
  <c r="J54" i="25"/>
  <c r="M48" i="29" l="1"/>
  <c r="I42" i="29"/>
  <c r="J15" i="29"/>
  <c r="H47" i="29"/>
  <c r="H46" i="29"/>
  <c r="H45" i="29"/>
  <c r="H44" i="29"/>
  <c r="H43" i="29"/>
  <c r="K54" i="25"/>
  <c r="J42" i="29" l="1"/>
  <c r="K15" i="29"/>
  <c r="I47" i="29"/>
  <c r="I46" i="29"/>
  <c r="I45" i="29"/>
  <c r="I44" i="29"/>
  <c r="I43" i="29"/>
  <c r="N48" i="29"/>
  <c r="L54" i="25"/>
  <c r="O48" i="29" l="1"/>
  <c r="K42" i="29"/>
  <c r="L15" i="29"/>
  <c r="J47" i="29"/>
  <c r="J46" i="29"/>
  <c r="J45" i="29"/>
  <c r="J44" i="29"/>
  <c r="J43" i="29"/>
  <c r="G29" i="26"/>
  <c r="F8" i="27"/>
  <c r="E8" i="27"/>
  <c r="D8" i="27"/>
  <c r="F37" i="25"/>
  <c r="F56" i="2"/>
  <c r="E56" i="2"/>
  <c r="D56" i="2"/>
  <c r="C56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F42" i="2"/>
  <c r="E42" i="2"/>
  <c r="D42" i="2"/>
  <c r="C42" i="2"/>
  <c r="C6" i="27" s="1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F52" i="2" s="1"/>
  <c r="E34" i="2"/>
  <c r="E52" i="2" s="1"/>
  <c r="D34" i="2"/>
  <c r="D52" i="2" s="1"/>
  <c r="C34" i="2"/>
  <c r="R30" i="2"/>
  <c r="S29" i="2"/>
  <c r="R29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R27" i="2"/>
  <c r="R26" i="2"/>
  <c r="S25" i="2"/>
  <c r="R25" i="2"/>
  <c r="R24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R22" i="2"/>
  <c r="Q22" i="2"/>
  <c r="P22" i="2"/>
  <c r="R21" i="2"/>
  <c r="S20" i="2"/>
  <c r="R20" i="2"/>
  <c r="R19" i="2"/>
  <c r="S18" i="2"/>
  <c r="R18" i="2"/>
  <c r="J18" i="2"/>
  <c r="S17" i="2"/>
  <c r="R17" i="2"/>
  <c r="T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R14" i="2"/>
  <c r="S13" i="2"/>
  <c r="R13" i="2"/>
  <c r="J13" i="2"/>
  <c r="R12" i="2"/>
  <c r="S11" i="2"/>
  <c r="R11" i="2"/>
  <c r="J11" i="2"/>
  <c r="R8" i="2"/>
  <c r="T5" i="2"/>
  <c r="R5" i="2"/>
  <c r="Q5" i="2"/>
  <c r="P5" i="2"/>
  <c r="O5" i="2"/>
  <c r="N5" i="2"/>
  <c r="M5" i="2"/>
  <c r="L5" i="2"/>
  <c r="K5" i="2"/>
  <c r="J5" i="2"/>
  <c r="I5" i="2"/>
  <c r="H5" i="2"/>
  <c r="G5" i="2"/>
  <c r="F5" i="2"/>
  <c r="F31" i="2" s="1"/>
  <c r="E5" i="2"/>
  <c r="E31" i="2" s="1"/>
  <c r="D5" i="2"/>
  <c r="D31" i="2" s="1"/>
  <c r="C5" i="2"/>
  <c r="G24" i="1"/>
  <c r="F24" i="1"/>
  <c r="I23" i="1"/>
  <c r="G23" i="1"/>
  <c r="F23" i="1"/>
  <c r="G22" i="1"/>
  <c r="F22" i="1"/>
  <c r="G21" i="1"/>
  <c r="F21" i="1"/>
  <c r="I20" i="1"/>
  <c r="G20" i="1"/>
  <c r="F20" i="1"/>
  <c r="G19" i="1"/>
  <c r="F19" i="1"/>
  <c r="G18" i="1"/>
  <c r="F18" i="1"/>
  <c r="G17" i="1"/>
  <c r="F17" i="1"/>
  <c r="G16" i="1"/>
  <c r="F16" i="1"/>
  <c r="I15" i="1"/>
  <c r="G15" i="1"/>
  <c r="F15" i="1"/>
  <c r="I14" i="1"/>
  <c r="G14" i="1"/>
  <c r="F14" i="1"/>
  <c r="I13" i="1"/>
  <c r="G13" i="1"/>
  <c r="F13" i="1"/>
  <c r="G12" i="1"/>
  <c r="F12" i="1"/>
  <c r="G11" i="1"/>
  <c r="F11" i="1"/>
  <c r="I10" i="1"/>
  <c r="G10" i="1"/>
  <c r="F10" i="1"/>
  <c r="G9" i="1"/>
  <c r="F9" i="1"/>
  <c r="I8" i="1"/>
  <c r="G8" i="1"/>
  <c r="F8" i="1"/>
  <c r="G7" i="1"/>
  <c r="F7" i="1"/>
  <c r="H67" i="25"/>
  <c r="G6" i="1"/>
  <c r="F6" i="1"/>
  <c r="G5" i="1"/>
  <c r="F5" i="1"/>
  <c r="C5" i="1"/>
  <c r="G4" i="1"/>
  <c r="F4" i="1"/>
  <c r="G3" i="1"/>
  <c r="F3" i="1"/>
  <c r="L42" i="29" l="1"/>
  <c r="M15" i="29"/>
  <c r="K47" i="29"/>
  <c r="K46" i="29"/>
  <c r="K45" i="29"/>
  <c r="K44" i="29"/>
  <c r="K43" i="29"/>
  <c r="P48" i="29"/>
  <c r="Q48" i="29" s="1"/>
  <c r="C8" i="1"/>
  <c r="H68" i="25"/>
  <c r="C8" i="26"/>
  <c r="C5" i="26"/>
  <c r="D8" i="26"/>
  <c r="D5" i="26"/>
  <c r="E8" i="26"/>
  <c r="E5" i="26"/>
  <c r="Q8" i="26"/>
  <c r="P8" i="26"/>
  <c r="O8" i="26"/>
  <c r="N8" i="26"/>
  <c r="M8" i="26"/>
  <c r="L8" i="26"/>
  <c r="K8" i="26"/>
  <c r="J8" i="26"/>
  <c r="I8" i="26"/>
  <c r="H8" i="26"/>
  <c r="G8" i="26"/>
  <c r="F8" i="26"/>
  <c r="Q5" i="26"/>
  <c r="P5" i="26"/>
  <c r="O5" i="26"/>
  <c r="N5" i="26"/>
  <c r="M5" i="26"/>
  <c r="L5" i="26"/>
  <c r="K5" i="26"/>
  <c r="J5" i="26"/>
  <c r="I5" i="26"/>
  <c r="H5" i="26"/>
  <c r="G5" i="26"/>
  <c r="F5" i="26"/>
  <c r="Q11" i="27"/>
  <c r="P11" i="27"/>
  <c r="O11" i="27"/>
  <c r="N11" i="27"/>
  <c r="M11" i="27"/>
  <c r="L11" i="27"/>
  <c r="K11" i="27"/>
  <c r="J11" i="27"/>
  <c r="I11" i="27"/>
  <c r="H11" i="27"/>
  <c r="G11" i="27"/>
  <c r="G49" i="29" s="1"/>
  <c r="G50" i="29" s="1"/>
  <c r="F13" i="25"/>
  <c r="F36" i="25" s="1"/>
  <c r="F38" i="25" s="1"/>
  <c r="F46" i="25" s="1"/>
  <c r="C31" i="2"/>
  <c r="G47" i="2"/>
  <c r="G31" i="2"/>
  <c r="H47" i="2"/>
  <c r="H31" i="2"/>
  <c r="H51" i="2" s="1"/>
  <c r="I47" i="2"/>
  <c r="I31" i="2"/>
  <c r="I51" i="2" s="1"/>
  <c r="J47" i="2"/>
  <c r="J31" i="2"/>
  <c r="J51" i="2" s="1"/>
  <c r="K47" i="2"/>
  <c r="K31" i="2"/>
  <c r="L47" i="2"/>
  <c r="L31" i="2"/>
  <c r="L51" i="2" s="1"/>
  <c r="M47" i="2"/>
  <c r="M31" i="2"/>
  <c r="M51" i="2" s="1"/>
  <c r="N47" i="2"/>
  <c r="N31" i="2"/>
  <c r="N51" i="2" s="1"/>
  <c r="O47" i="2"/>
  <c r="O31" i="2"/>
  <c r="P47" i="2"/>
  <c r="P31" i="2"/>
  <c r="P51" i="2" s="1"/>
  <c r="Q47" i="2"/>
  <c r="Q31" i="2"/>
  <c r="Q51" i="2" s="1"/>
  <c r="R47" i="2"/>
  <c r="R31" i="2"/>
  <c r="R51" i="2" s="1"/>
  <c r="T47" i="2"/>
  <c r="S12" i="2"/>
  <c r="S5" i="2" s="1"/>
  <c r="G48" i="2"/>
  <c r="H48" i="2"/>
  <c r="I48" i="2"/>
  <c r="J48" i="2"/>
  <c r="K48" i="2"/>
  <c r="L48" i="2"/>
  <c r="M48" i="2"/>
  <c r="N48" i="2"/>
  <c r="O48" i="2"/>
  <c r="P48" i="2"/>
  <c r="Q48" i="2"/>
  <c r="R48" i="2"/>
  <c r="T48" i="2"/>
  <c r="S19" i="2"/>
  <c r="S15" i="2" s="1"/>
  <c r="S48" i="2" s="1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T31" i="2"/>
  <c r="T51" i="2" s="1"/>
  <c r="C52" i="2"/>
  <c r="G52" i="2"/>
  <c r="G40" i="2"/>
  <c r="H52" i="2"/>
  <c r="H40" i="2"/>
  <c r="I52" i="2"/>
  <c r="I40" i="2"/>
  <c r="J52" i="2"/>
  <c r="J40" i="2"/>
  <c r="K52" i="2"/>
  <c r="K40" i="2"/>
  <c r="L52" i="2"/>
  <c r="L40" i="2"/>
  <c r="M52" i="2"/>
  <c r="M40" i="2"/>
  <c r="N52" i="2"/>
  <c r="N40" i="2"/>
  <c r="O52" i="2"/>
  <c r="O40" i="2"/>
  <c r="P52" i="2"/>
  <c r="P40" i="2"/>
  <c r="Q52" i="2"/>
  <c r="Q40" i="2"/>
  <c r="R52" i="2"/>
  <c r="R40" i="2"/>
  <c r="S52" i="2"/>
  <c r="S40" i="2"/>
  <c r="T52" i="2"/>
  <c r="T40" i="2"/>
  <c r="G51" i="29" l="1"/>
  <c r="G52" i="29" s="1"/>
  <c r="G53" i="29" s="1"/>
  <c r="M42" i="29"/>
  <c r="N15" i="29"/>
  <c r="L47" i="29"/>
  <c r="L46" i="29"/>
  <c r="L45" i="29"/>
  <c r="L44" i="29"/>
  <c r="L43" i="29"/>
  <c r="H69" i="25"/>
  <c r="H71" i="25" s="1"/>
  <c r="H72" i="25"/>
  <c r="T56" i="2"/>
  <c r="T42" i="2"/>
  <c r="T43" i="2" s="1"/>
  <c r="S56" i="2"/>
  <c r="S42" i="2"/>
  <c r="S43" i="2" s="1"/>
  <c r="R56" i="2"/>
  <c r="R42" i="2"/>
  <c r="R43" i="2" s="1"/>
  <c r="Q56" i="2"/>
  <c r="Q42" i="2"/>
  <c r="Q43" i="2" s="1"/>
  <c r="P56" i="2"/>
  <c r="P42" i="2"/>
  <c r="P43" i="2" s="1"/>
  <c r="O56" i="2"/>
  <c r="O42" i="2"/>
  <c r="N56" i="2"/>
  <c r="N42" i="2"/>
  <c r="N43" i="2" s="1"/>
  <c r="M56" i="2"/>
  <c r="M42" i="2"/>
  <c r="M43" i="2" s="1"/>
  <c r="L56" i="2"/>
  <c r="L42" i="2"/>
  <c r="L43" i="2" s="1"/>
  <c r="K56" i="2"/>
  <c r="K42" i="2"/>
  <c r="J56" i="2"/>
  <c r="J42" i="2"/>
  <c r="J43" i="2" s="1"/>
  <c r="I56" i="2"/>
  <c r="I42" i="2"/>
  <c r="I43" i="2" s="1"/>
  <c r="H56" i="2"/>
  <c r="H42" i="2"/>
  <c r="H43" i="2" s="1"/>
  <c r="G56" i="2"/>
  <c r="G42" i="2"/>
  <c r="S47" i="2"/>
  <c r="S31" i="2"/>
  <c r="S51" i="2" s="1"/>
  <c r="O51" i="2"/>
  <c r="K51" i="2"/>
  <c r="G51" i="2"/>
  <c r="N42" i="29" l="1"/>
  <c r="O15" i="29"/>
  <c r="M47" i="29"/>
  <c r="M46" i="29"/>
  <c r="M45" i="29"/>
  <c r="M44" i="29"/>
  <c r="M43" i="29"/>
  <c r="H74" i="25"/>
  <c r="C11" i="26"/>
  <c r="C10" i="26"/>
  <c r="C9" i="26"/>
  <c r="C7" i="26"/>
  <c r="C6" i="26"/>
  <c r="C4" i="26"/>
  <c r="C3" i="26"/>
  <c r="C9" i="27"/>
  <c r="C5" i="27"/>
  <c r="C4" i="27"/>
  <c r="C3" i="27"/>
  <c r="D11" i="26"/>
  <c r="D10" i="26"/>
  <c r="D9" i="26"/>
  <c r="D7" i="26"/>
  <c r="D6" i="26"/>
  <c r="D4" i="26"/>
  <c r="D3" i="26"/>
  <c r="D9" i="27"/>
  <c r="D5" i="27"/>
  <c r="D4" i="27"/>
  <c r="D3" i="27"/>
  <c r="E11" i="26"/>
  <c r="E10" i="26"/>
  <c r="E9" i="26"/>
  <c r="E7" i="26"/>
  <c r="E6" i="26"/>
  <c r="E4" i="26"/>
  <c r="E3" i="26"/>
  <c r="E9" i="27"/>
  <c r="E5" i="27"/>
  <c r="E4" i="27"/>
  <c r="E3" i="27"/>
  <c r="Q11" i="26"/>
  <c r="P11" i="26"/>
  <c r="O11" i="26"/>
  <c r="N11" i="26"/>
  <c r="M11" i="26"/>
  <c r="L11" i="26"/>
  <c r="K11" i="26"/>
  <c r="J11" i="26"/>
  <c r="I11" i="26"/>
  <c r="H11" i="26"/>
  <c r="G11" i="26"/>
  <c r="F11" i="26"/>
  <c r="Q10" i="26"/>
  <c r="P10" i="26"/>
  <c r="O10" i="26"/>
  <c r="N10" i="26"/>
  <c r="M10" i="26"/>
  <c r="L10" i="26"/>
  <c r="K10" i="26"/>
  <c r="J10" i="26"/>
  <c r="I10" i="26"/>
  <c r="H10" i="26"/>
  <c r="G10" i="26"/>
  <c r="F10" i="26"/>
  <c r="Q9" i="26"/>
  <c r="P9" i="26"/>
  <c r="O9" i="26"/>
  <c r="N9" i="26"/>
  <c r="M9" i="26"/>
  <c r="L9" i="26"/>
  <c r="K9" i="26"/>
  <c r="J9" i="26"/>
  <c r="I9" i="26"/>
  <c r="H9" i="26"/>
  <c r="G9" i="26"/>
  <c r="F9" i="26"/>
  <c r="Q7" i="26"/>
  <c r="P7" i="26"/>
  <c r="O7" i="26"/>
  <c r="N7" i="26"/>
  <c r="M7" i="26"/>
  <c r="L7" i="26"/>
  <c r="K7" i="26"/>
  <c r="J7" i="26"/>
  <c r="I7" i="26"/>
  <c r="H7" i="26"/>
  <c r="G7" i="26"/>
  <c r="F7" i="26"/>
  <c r="Q6" i="26"/>
  <c r="P6" i="26"/>
  <c r="O6" i="26"/>
  <c r="N6" i="26"/>
  <c r="M6" i="26"/>
  <c r="L6" i="26"/>
  <c r="K6" i="26"/>
  <c r="J6" i="26"/>
  <c r="I6" i="26"/>
  <c r="H6" i="26"/>
  <c r="G6" i="26"/>
  <c r="F6" i="26"/>
  <c r="Q4" i="26"/>
  <c r="P4" i="26"/>
  <c r="O4" i="26"/>
  <c r="N4" i="26"/>
  <c r="M4" i="26"/>
  <c r="L4" i="26"/>
  <c r="K4" i="26"/>
  <c r="J4" i="26"/>
  <c r="I4" i="26"/>
  <c r="H4" i="26"/>
  <c r="G4" i="26"/>
  <c r="F4" i="26"/>
  <c r="Q3" i="26"/>
  <c r="P3" i="26"/>
  <c r="O3" i="26"/>
  <c r="N3" i="26"/>
  <c r="M3" i="26"/>
  <c r="L3" i="26"/>
  <c r="K3" i="26"/>
  <c r="J3" i="26"/>
  <c r="I3" i="26"/>
  <c r="H3" i="26"/>
  <c r="G3" i="26"/>
  <c r="F3" i="26"/>
  <c r="F9" i="27"/>
  <c r="F5" i="27"/>
  <c r="F4" i="27"/>
  <c r="F3" i="27"/>
  <c r="F11" i="25"/>
  <c r="F35" i="25" s="1"/>
  <c r="G11" i="25"/>
  <c r="G35" i="25" s="1"/>
  <c r="H11" i="25"/>
  <c r="H35" i="25" s="1"/>
  <c r="I11" i="25"/>
  <c r="I35" i="25" s="1"/>
  <c r="G37" i="25"/>
  <c r="G13" i="25"/>
  <c r="G36" i="25" s="1"/>
  <c r="G38" i="25" s="1"/>
  <c r="G46" i="25" s="1"/>
  <c r="H37" i="25"/>
  <c r="H13" i="25"/>
  <c r="H36" i="25" s="1"/>
  <c r="H38" i="25" s="1"/>
  <c r="H46" i="25" s="1"/>
  <c r="I37" i="25"/>
  <c r="I13" i="25"/>
  <c r="I36" i="25" s="1"/>
  <c r="I38" i="25" s="1"/>
  <c r="I46" i="25" s="1"/>
  <c r="D6" i="27"/>
  <c r="G43" i="2"/>
  <c r="E6" i="27"/>
  <c r="K43" i="2"/>
  <c r="F6" i="27"/>
  <c r="O43" i="2"/>
  <c r="O42" i="29" l="1"/>
  <c r="P15" i="29"/>
  <c r="N47" i="29"/>
  <c r="N46" i="29"/>
  <c r="N45" i="29"/>
  <c r="N44" i="29"/>
  <c r="N43" i="29"/>
  <c r="N47" i="25"/>
  <c r="M47" i="25"/>
  <c r="L47" i="25"/>
  <c r="K47" i="25"/>
  <c r="F54" i="25"/>
  <c r="J47" i="25"/>
  <c r="G6" i="27"/>
  <c r="G3" i="27"/>
  <c r="G4" i="27"/>
  <c r="G5" i="27"/>
  <c r="G9" i="27"/>
  <c r="G15" i="27"/>
  <c r="G17" i="27"/>
  <c r="G27" i="27"/>
  <c r="G40" i="27"/>
  <c r="P42" i="29" l="1"/>
  <c r="Q15" i="29"/>
  <c r="Q42" i="29" s="1"/>
  <c r="O47" i="29"/>
  <c r="O46" i="29"/>
  <c r="O45" i="29"/>
  <c r="O44" i="29"/>
  <c r="O43" i="29"/>
  <c r="H40" i="27"/>
  <c r="H27" i="27"/>
  <c r="H17" i="27"/>
  <c r="H15" i="27"/>
  <c r="K15" i="25" s="1"/>
  <c r="K39" i="25" s="1"/>
  <c r="K11" i="25"/>
  <c r="K35" i="25" s="1"/>
  <c r="H15" i="26"/>
  <c r="H16" i="26"/>
  <c r="H18" i="26"/>
  <c r="H19" i="26"/>
  <c r="H31" i="26"/>
  <c r="K25" i="25" s="1"/>
  <c r="H32" i="26"/>
  <c r="H33" i="26"/>
  <c r="J11" i="25"/>
  <c r="J35" i="25" s="1"/>
  <c r="G15" i="26"/>
  <c r="G16" i="26"/>
  <c r="G18" i="26"/>
  <c r="G19" i="26"/>
  <c r="G31" i="26"/>
  <c r="G32" i="26"/>
  <c r="G33" i="26"/>
  <c r="G25" i="26"/>
  <c r="H25" i="26" s="1"/>
  <c r="J29" i="25"/>
  <c r="J45" i="25" s="1"/>
  <c r="J15" i="25"/>
  <c r="J39" i="25" s="1"/>
  <c r="H19" i="27"/>
  <c r="H31" i="27" s="1"/>
  <c r="J13" i="25"/>
  <c r="J36" i="25" s="1"/>
  <c r="J38" i="25" s="1"/>
  <c r="Q47" i="29" l="1"/>
  <c r="Q46" i="29"/>
  <c r="Q45" i="29"/>
  <c r="Q44" i="29"/>
  <c r="Q43" i="29"/>
  <c r="P47" i="29"/>
  <c r="P46" i="29"/>
  <c r="P45" i="29"/>
  <c r="P44" i="29"/>
  <c r="P43" i="29"/>
  <c r="G17" i="26"/>
  <c r="G30" i="26"/>
  <c r="G19" i="27"/>
  <c r="G31" i="27" s="1"/>
  <c r="G34" i="27" s="1"/>
  <c r="G38" i="27"/>
  <c r="G35" i="26" s="1"/>
  <c r="H49" i="29" s="1"/>
  <c r="H50" i="29" s="1"/>
  <c r="H17" i="26"/>
  <c r="H30" i="26"/>
  <c r="I40" i="27"/>
  <c r="I27" i="27"/>
  <c r="I17" i="27"/>
  <c r="I15" i="27"/>
  <c r="L15" i="25" s="1"/>
  <c r="L39" i="25" s="1"/>
  <c r="L11" i="25"/>
  <c r="L35" i="25" s="1"/>
  <c r="I15" i="26"/>
  <c r="I16" i="26"/>
  <c r="I18" i="26"/>
  <c r="I19" i="26"/>
  <c r="I31" i="26"/>
  <c r="L25" i="25" s="1"/>
  <c r="L44" i="25" s="1"/>
  <c r="I32" i="26"/>
  <c r="I33" i="26"/>
  <c r="I25" i="26"/>
  <c r="G24" i="27"/>
  <c r="J25" i="25"/>
  <c r="J44" i="25" s="1"/>
  <c r="J22" i="25"/>
  <c r="J42" i="25" s="1"/>
  <c r="G23" i="27"/>
  <c r="J20" i="25"/>
  <c r="J40" i="25" s="1"/>
  <c r="G21" i="27"/>
  <c r="K44" i="25"/>
  <c r="K22" i="25"/>
  <c r="K42" i="25" s="1"/>
  <c r="H23" i="27"/>
  <c r="K20" i="25"/>
  <c r="K40" i="25" s="1"/>
  <c r="H21" i="27"/>
  <c r="K29" i="25"/>
  <c r="K45" i="25" s="1"/>
  <c r="H38" i="27"/>
  <c r="H34" i="27"/>
  <c r="H39" i="27"/>
  <c r="J27" i="25"/>
  <c r="G38" i="26"/>
  <c r="I19" i="27"/>
  <c r="I31" i="27" s="1"/>
  <c r="H51" i="29" l="1"/>
  <c r="H52" i="29" s="1"/>
  <c r="H53" i="29" s="1"/>
  <c r="I17" i="26"/>
  <c r="I30" i="26"/>
  <c r="J40" i="27"/>
  <c r="J27" i="27"/>
  <c r="J17" i="27"/>
  <c r="J15" i="27"/>
  <c r="M15" i="25" s="1"/>
  <c r="M39" i="25" s="1"/>
  <c r="M11" i="25"/>
  <c r="M35" i="25" s="1"/>
  <c r="J15" i="26"/>
  <c r="J16" i="26"/>
  <c r="J18" i="26"/>
  <c r="J19" i="26"/>
  <c r="J31" i="26"/>
  <c r="M25" i="25" s="1"/>
  <c r="M44" i="25" s="1"/>
  <c r="J32" i="26"/>
  <c r="J33" i="26"/>
  <c r="J25" i="26"/>
  <c r="L22" i="25"/>
  <c r="L42" i="25" s="1"/>
  <c r="I23" i="27"/>
  <c r="L20" i="25"/>
  <c r="L40" i="25" s="1"/>
  <c r="I21" i="27"/>
  <c r="L29" i="25"/>
  <c r="L45" i="25" s="1"/>
  <c r="I38" i="27"/>
  <c r="I34" i="27"/>
  <c r="K24" i="25"/>
  <c r="H24" i="27"/>
  <c r="K21" i="25"/>
  <c r="H22" i="27"/>
  <c r="J24" i="25"/>
  <c r="J43" i="25" s="1"/>
  <c r="G34" i="26"/>
  <c r="H37" i="27" s="1"/>
  <c r="J21" i="25"/>
  <c r="J41" i="25" s="1"/>
  <c r="J46" i="25" s="1"/>
  <c r="G22" i="27"/>
  <c r="G14" i="27"/>
  <c r="G25" i="27" s="1"/>
  <c r="G36" i="27"/>
  <c r="G42" i="27" s="1"/>
  <c r="J19" i="27"/>
  <c r="J31" i="27" s="1"/>
  <c r="H35" i="26"/>
  <c r="I39" i="27" s="1"/>
  <c r="K13" i="25"/>
  <c r="K36" i="25" s="1"/>
  <c r="K38" i="25" s="1"/>
  <c r="J17" i="26" l="1"/>
  <c r="J30" i="26"/>
  <c r="K40" i="27"/>
  <c r="K27" i="27"/>
  <c r="K17" i="27"/>
  <c r="K15" i="27"/>
  <c r="N15" i="25" s="1"/>
  <c r="N39" i="25" s="1"/>
  <c r="N11" i="25"/>
  <c r="N35" i="25" s="1"/>
  <c r="K15" i="26"/>
  <c r="K16" i="26"/>
  <c r="K18" i="26"/>
  <c r="K19" i="26"/>
  <c r="K31" i="26"/>
  <c r="N25" i="25" s="1"/>
  <c r="N44" i="25" s="1"/>
  <c r="K32" i="26"/>
  <c r="K33" i="26"/>
  <c r="J49" i="25"/>
  <c r="J48" i="25"/>
  <c r="K41" i="25"/>
  <c r="K43" i="25"/>
  <c r="K25" i="26"/>
  <c r="M22" i="25"/>
  <c r="M42" i="25" s="1"/>
  <c r="J23" i="27"/>
  <c r="M20" i="25"/>
  <c r="M40" i="25" s="1"/>
  <c r="J21" i="27"/>
  <c r="M29" i="25"/>
  <c r="M45" i="25" s="1"/>
  <c r="J38" i="27"/>
  <c r="J34" i="27"/>
  <c r="L24" i="25"/>
  <c r="L43" i="25" s="1"/>
  <c r="I24" i="27"/>
  <c r="L21" i="25"/>
  <c r="L41" i="25" s="1"/>
  <c r="I22" i="27"/>
  <c r="G45" i="27"/>
  <c r="G47" i="27" s="1"/>
  <c r="G39" i="26"/>
  <c r="H38" i="26"/>
  <c r="H29" i="26"/>
  <c r="I49" i="29" s="1"/>
  <c r="I50" i="29" s="1"/>
  <c r="G14" i="26"/>
  <c r="I35" i="26"/>
  <c r="J39" i="27" s="1"/>
  <c r="K19" i="27"/>
  <c r="K31" i="27" s="1"/>
  <c r="I51" i="29" l="1"/>
  <c r="I52" i="29" s="1"/>
  <c r="I53" i="29" s="1"/>
  <c r="K17" i="26"/>
  <c r="K30" i="26"/>
  <c r="L40" i="27"/>
  <c r="L27" i="27"/>
  <c r="L17" i="27"/>
  <c r="L15" i="27"/>
  <c r="L15" i="26"/>
  <c r="L16" i="26"/>
  <c r="L18" i="26"/>
  <c r="L19" i="26"/>
  <c r="L31" i="26"/>
  <c r="L32" i="26"/>
  <c r="L33" i="26"/>
  <c r="L25" i="26"/>
  <c r="K46" i="25"/>
  <c r="N22" i="25"/>
  <c r="N42" i="25" s="1"/>
  <c r="K23" i="27"/>
  <c r="N20" i="25"/>
  <c r="N40" i="25" s="1"/>
  <c r="K21" i="27"/>
  <c r="N29" i="25"/>
  <c r="N45" i="25" s="1"/>
  <c r="K38" i="27"/>
  <c r="K34" i="27"/>
  <c r="M24" i="25"/>
  <c r="M43" i="25" s="1"/>
  <c r="J24" i="27"/>
  <c r="M21" i="25"/>
  <c r="M41" i="25" s="1"/>
  <c r="J22" i="27"/>
  <c r="H36" i="27"/>
  <c r="H42" i="27" s="1"/>
  <c r="H14" i="27"/>
  <c r="H25" i="27" s="1"/>
  <c r="H45" i="27" s="1"/>
  <c r="G20" i="26"/>
  <c r="G27" i="26" s="1"/>
  <c r="H46" i="27"/>
  <c r="H47" i="27" s="1"/>
  <c r="I38" i="26"/>
  <c r="H34" i="26"/>
  <c r="I37" i="27" s="1"/>
  <c r="K27" i="25"/>
  <c r="G40" i="26"/>
  <c r="G41" i="26" s="1"/>
  <c r="L19" i="27"/>
  <c r="L31" i="27" s="1"/>
  <c r="J35" i="26"/>
  <c r="K39" i="27" s="1"/>
  <c r="L13" i="25"/>
  <c r="L36" i="25" s="1"/>
  <c r="L38" i="25" s="1"/>
  <c r="L46" i="25" s="1"/>
  <c r="L17" i="26" l="1"/>
  <c r="L22" i="27" s="1"/>
  <c r="L30" i="26"/>
  <c r="L24" i="27" s="1"/>
  <c r="M40" i="27"/>
  <c r="M27" i="27"/>
  <c r="M17" i="27"/>
  <c r="M15" i="27"/>
  <c r="M15" i="26"/>
  <c r="M16" i="26"/>
  <c r="M18" i="26"/>
  <c r="M19" i="26"/>
  <c r="M31" i="26"/>
  <c r="M32" i="26"/>
  <c r="M33" i="26"/>
  <c r="I55" i="25"/>
  <c r="K49" i="25"/>
  <c r="K48" i="25"/>
  <c r="M25" i="26"/>
  <c r="L23" i="27"/>
  <c r="L21" i="27"/>
  <c r="L38" i="27"/>
  <c r="L34" i="27"/>
  <c r="N24" i="25"/>
  <c r="N43" i="25" s="1"/>
  <c r="K24" i="27"/>
  <c r="N21" i="25"/>
  <c r="N41" i="25" s="1"/>
  <c r="K22" i="27"/>
  <c r="J55" i="25"/>
  <c r="L49" i="25"/>
  <c r="L48" i="25"/>
  <c r="H14" i="26"/>
  <c r="H39" i="26"/>
  <c r="J38" i="26"/>
  <c r="H40" i="26"/>
  <c r="I29" i="26"/>
  <c r="J49" i="29" s="1"/>
  <c r="J50" i="29" s="1"/>
  <c r="K35" i="26"/>
  <c r="L39" i="27" s="1"/>
  <c r="M19" i="27"/>
  <c r="M31" i="27" s="1"/>
  <c r="J51" i="29" l="1"/>
  <c r="J52" i="29" s="1"/>
  <c r="J53" i="29" s="1"/>
  <c r="M17" i="26"/>
  <c r="M22" i="27" s="1"/>
  <c r="M30" i="26"/>
  <c r="M24" i="27" s="1"/>
  <c r="N40" i="27"/>
  <c r="N27" i="27"/>
  <c r="N17" i="27"/>
  <c r="N15" i="27"/>
  <c r="N15" i="26"/>
  <c r="N16" i="26"/>
  <c r="N18" i="26"/>
  <c r="N19" i="26"/>
  <c r="N31" i="26"/>
  <c r="N32" i="26"/>
  <c r="N33" i="26"/>
  <c r="N25" i="26"/>
  <c r="M23" i="27"/>
  <c r="M21" i="27"/>
  <c r="M38" i="27"/>
  <c r="M34" i="27"/>
  <c r="I36" i="27"/>
  <c r="I42" i="27" s="1"/>
  <c r="I14" i="27"/>
  <c r="I25" i="27" s="1"/>
  <c r="I45" i="27" s="1"/>
  <c r="H20" i="26"/>
  <c r="H27" i="26" s="1"/>
  <c r="I46" i="27"/>
  <c r="I47" i="27" s="1"/>
  <c r="K38" i="26"/>
  <c r="I34" i="26"/>
  <c r="J37" i="27" s="1"/>
  <c r="L27" i="25"/>
  <c r="H41" i="26"/>
  <c r="N19" i="27"/>
  <c r="N31" i="27" s="1"/>
  <c r="L35" i="26"/>
  <c r="M39" i="27" s="1"/>
  <c r="M13" i="25"/>
  <c r="M36" i="25" s="1"/>
  <c r="M38" i="25" s="1"/>
  <c r="M46" i="25" s="1"/>
  <c r="I39" i="26"/>
  <c r="N17" i="26" l="1"/>
  <c r="N22" i="27" s="1"/>
  <c r="N30" i="26"/>
  <c r="N24" i="27" s="1"/>
  <c r="O40" i="27"/>
  <c r="O27" i="27"/>
  <c r="O17" i="27"/>
  <c r="O15" i="27"/>
  <c r="O15" i="26"/>
  <c r="O16" i="26"/>
  <c r="O18" i="26"/>
  <c r="O19" i="26"/>
  <c r="O31" i="26"/>
  <c r="O32" i="26"/>
  <c r="O33" i="26"/>
  <c r="O25" i="26"/>
  <c r="N23" i="27"/>
  <c r="N21" i="27"/>
  <c r="N38" i="27"/>
  <c r="N34" i="27"/>
  <c r="K55" i="25"/>
  <c r="M49" i="25"/>
  <c r="M48" i="25"/>
  <c r="L38" i="26"/>
  <c r="I40" i="26"/>
  <c r="I14" i="26"/>
  <c r="J29" i="26"/>
  <c r="K49" i="29" s="1"/>
  <c r="K50" i="29" s="1"/>
  <c r="M35" i="26"/>
  <c r="N39" i="27" s="1"/>
  <c r="O19" i="27"/>
  <c r="O31" i="27" s="1"/>
  <c r="K51" i="29" l="1"/>
  <c r="K52" i="29" s="1"/>
  <c r="K53" i="29" s="1"/>
  <c r="O17" i="26"/>
  <c r="O22" i="27" s="1"/>
  <c r="O30" i="26"/>
  <c r="O24" i="27" s="1"/>
  <c r="Q40" i="27"/>
  <c r="Q27" i="27"/>
  <c r="Q17" i="27"/>
  <c r="Q15" i="27"/>
  <c r="Q15" i="26"/>
  <c r="Q16" i="26"/>
  <c r="Q18" i="26"/>
  <c r="Q19" i="26"/>
  <c r="Q31" i="26"/>
  <c r="Q32" i="26"/>
  <c r="Q33" i="26"/>
  <c r="P40" i="27"/>
  <c r="P27" i="27"/>
  <c r="P17" i="27"/>
  <c r="P15" i="27"/>
  <c r="P15" i="26"/>
  <c r="P16" i="26"/>
  <c r="P18" i="26"/>
  <c r="P19" i="26"/>
  <c r="P31" i="26"/>
  <c r="P32" i="26"/>
  <c r="P33" i="26"/>
  <c r="P25" i="26"/>
  <c r="Q25" i="26" s="1"/>
  <c r="O23" i="27"/>
  <c r="O21" i="27"/>
  <c r="O38" i="27"/>
  <c r="O34" i="27"/>
  <c r="J36" i="27"/>
  <c r="J42" i="27" s="1"/>
  <c r="J14" i="27"/>
  <c r="J25" i="27" s="1"/>
  <c r="J45" i="27" s="1"/>
  <c r="I20" i="26"/>
  <c r="I27" i="26" s="1"/>
  <c r="I41" i="26" s="1"/>
  <c r="J46" i="27"/>
  <c r="J47" i="27" s="1"/>
  <c r="M38" i="26"/>
  <c r="J34" i="26"/>
  <c r="K37" i="27" s="1"/>
  <c r="M27" i="25"/>
  <c r="Q19" i="27"/>
  <c r="Q31" i="27" s="1"/>
  <c r="P19" i="27"/>
  <c r="P31" i="27" s="1"/>
  <c r="N35" i="26"/>
  <c r="O39" i="27" s="1"/>
  <c r="N13" i="25"/>
  <c r="N36" i="25" s="1"/>
  <c r="N38" i="25" s="1"/>
  <c r="N46" i="25" s="1"/>
  <c r="P17" i="26" l="1"/>
  <c r="P22" i="27" s="1"/>
  <c r="P30" i="26"/>
  <c r="P24" i="27" s="1"/>
  <c r="Q17" i="26"/>
  <c r="Q22" i="27" s="1"/>
  <c r="Q30" i="26"/>
  <c r="Q24" i="27" s="1"/>
  <c r="P23" i="27"/>
  <c r="P21" i="27"/>
  <c r="P38" i="27"/>
  <c r="P34" i="27"/>
  <c r="Q23" i="27"/>
  <c r="Q21" i="27"/>
  <c r="Q38" i="27"/>
  <c r="Q34" i="27"/>
  <c r="J14" i="26"/>
  <c r="J39" i="26"/>
  <c r="L55" i="25"/>
  <c r="F55" i="25"/>
  <c r="F56" i="25" s="1"/>
  <c r="F57" i="25" s="1"/>
  <c r="N49" i="25"/>
  <c r="N48" i="25"/>
  <c r="F49" i="25" s="1"/>
  <c r="N38" i="26"/>
  <c r="J40" i="26"/>
  <c r="K29" i="26"/>
  <c r="L49" i="29" s="1"/>
  <c r="L50" i="29" s="1"/>
  <c r="O35" i="26"/>
  <c r="P39" i="27" s="1"/>
  <c r="L51" i="29" l="1"/>
  <c r="L52" i="29" s="1"/>
  <c r="L53" i="29" s="1"/>
  <c r="K36" i="27"/>
  <c r="K42" i="27" s="1"/>
  <c r="K14" i="27"/>
  <c r="K25" i="27" s="1"/>
  <c r="K45" i="27" s="1"/>
  <c r="J20" i="26"/>
  <c r="J27" i="26" s="1"/>
  <c r="K46" i="27"/>
  <c r="K47" i="27" s="1"/>
  <c r="O38" i="26"/>
  <c r="K34" i="26"/>
  <c r="L37" i="27" s="1"/>
  <c r="N27" i="25"/>
  <c r="H77" i="25"/>
  <c r="H79" i="25" s="1"/>
  <c r="H81" i="25" s="1"/>
  <c r="H82" i="25" s="1"/>
  <c r="J41" i="26"/>
  <c r="P35" i="26"/>
  <c r="Q39" i="27" s="1"/>
  <c r="K14" i="26" l="1"/>
  <c r="K39" i="26"/>
  <c r="P38" i="26"/>
  <c r="K40" i="26"/>
  <c r="L29" i="26"/>
  <c r="M49" i="29" s="1"/>
  <c r="M50" i="29" s="1"/>
  <c r="Q35" i="26"/>
  <c r="Q38" i="26" s="1"/>
  <c r="M51" i="29" l="1"/>
  <c r="M52" i="29" s="1"/>
  <c r="M53" i="29" s="1"/>
  <c r="L36" i="27"/>
  <c r="L42" i="27" s="1"/>
  <c r="L14" i="27"/>
  <c r="L25" i="27" s="1"/>
  <c r="L45" i="27" s="1"/>
  <c r="K20" i="26"/>
  <c r="K27" i="26" s="1"/>
  <c r="L46" i="27"/>
  <c r="L47" i="27" s="1"/>
  <c r="L34" i="26"/>
  <c r="M37" i="27" s="1"/>
  <c r="K41" i="26"/>
  <c r="L14" i="26" l="1"/>
  <c r="L39" i="26"/>
  <c r="L40" i="26"/>
  <c r="M29" i="26"/>
  <c r="N49" i="29" s="1"/>
  <c r="N50" i="29" s="1"/>
  <c r="N51" i="29" l="1"/>
  <c r="N52" i="29" s="1"/>
  <c r="N53" i="29" s="1"/>
  <c r="M36" i="27"/>
  <c r="M42" i="27" s="1"/>
  <c r="M14" i="27"/>
  <c r="M25" i="27" s="1"/>
  <c r="M45" i="27" s="1"/>
  <c r="L20" i="26"/>
  <c r="L27" i="26" s="1"/>
  <c r="M46" i="27"/>
  <c r="M47" i="27" s="1"/>
  <c r="M34" i="26"/>
  <c r="N37" i="27" s="1"/>
  <c r="L41" i="26"/>
  <c r="M14" i="26" l="1"/>
  <c r="M39" i="26"/>
  <c r="M40" i="26"/>
  <c r="N29" i="26"/>
  <c r="O49" i="29" s="1"/>
  <c r="O50" i="29" s="1"/>
  <c r="O51" i="29" l="1"/>
  <c r="O52" i="29" s="1"/>
  <c r="O53" i="29" s="1"/>
  <c r="N36" i="27"/>
  <c r="N42" i="27" s="1"/>
  <c r="N14" i="27"/>
  <c r="N25" i="27" s="1"/>
  <c r="N45" i="27" s="1"/>
  <c r="M20" i="26"/>
  <c r="M27" i="26" s="1"/>
  <c r="N46" i="27"/>
  <c r="N47" i="27" s="1"/>
  <c r="N34" i="26"/>
  <c r="O37" i="27" s="1"/>
  <c r="M41" i="26"/>
  <c r="N14" i="26" l="1"/>
  <c r="N39" i="26"/>
  <c r="N40" i="26"/>
  <c r="O29" i="26"/>
  <c r="P49" i="29" s="1"/>
  <c r="P50" i="29" s="1"/>
  <c r="P51" i="29" l="1"/>
  <c r="P52" i="29" s="1"/>
  <c r="P53" i="29" s="1"/>
  <c r="O36" i="27"/>
  <c r="O42" i="27" s="1"/>
  <c r="O14" i="27"/>
  <c r="O25" i="27" s="1"/>
  <c r="O45" i="27" s="1"/>
  <c r="N20" i="26"/>
  <c r="N27" i="26" s="1"/>
  <c r="O46" i="27"/>
  <c r="O47" i="27" s="1"/>
  <c r="O34" i="26"/>
  <c r="P37" i="27" s="1"/>
  <c r="N41" i="26"/>
  <c r="O14" i="26" l="1"/>
  <c r="O39" i="26"/>
  <c r="O40" i="26"/>
  <c r="P29" i="26"/>
  <c r="Q49" i="29" s="1"/>
  <c r="Q50" i="29" s="1"/>
  <c r="Q51" i="29" l="1"/>
  <c r="Q52" i="29" s="1"/>
  <c r="Q53" i="29" s="1"/>
  <c r="P36" i="27"/>
  <c r="P42" i="27" s="1"/>
  <c r="P14" i="27"/>
  <c r="P25" i="27" s="1"/>
  <c r="P45" i="27" s="1"/>
  <c r="O20" i="26"/>
  <c r="O27" i="26" s="1"/>
  <c r="P46" i="27"/>
  <c r="P47" i="27" s="1"/>
  <c r="P34" i="26"/>
  <c r="Q37" i="27" s="1"/>
  <c r="O41" i="26"/>
  <c r="P14" i="26" l="1"/>
  <c r="P39" i="26"/>
  <c r="P40" i="26"/>
  <c r="Q29" i="26"/>
  <c r="Q34" i="26" s="1"/>
  <c r="Q36" i="27" l="1"/>
  <c r="Q42" i="27" s="1"/>
  <c r="Q14" i="27"/>
  <c r="Q25" i="27" s="1"/>
  <c r="Q45" i="27" s="1"/>
  <c r="P20" i="26"/>
  <c r="P27" i="26" s="1"/>
  <c r="Q46" i="27"/>
  <c r="Q47" i="27" s="1"/>
  <c r="P41" i="26"/>
  <c r="Q14" i="26" l="1"/>
  <c r="Q20" i="26" s="1"/>
  <c r="Q27" i="26" s="1"/>
  <c r="Q39" i="26"/>
  <c r="Q40" i="26" s="1"/>
  <c r="Q41" i="2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H7" authorId="0" shapeId="0" xr:uid="{00000000-0006-0000-0000-000001000000}">
      <text>
        <r>
          <rPr>
            <sz val="10"/>
            <rFont val="Arial"/>
            <family val="2"/>
          </rPr>
          <t>Sam Heier:
Lilly books 100% of sales but pays Chugai a tiered royalty (mid-single-digits to low-teens). Source: Chugai/Lilly Form 10-K, https://www.chugai-pharm.co.jp/english/news/detail/20240222083000_1049.html</t>
        </r>
      </text>
    </comment>
    <comment ref="H8" authorId="0" shapeId="0" xr:uid="{00000000-0006-0000-0000-000002000000}">
      <text>
        <r>
          <rPr>
            <sz val="10"/>
            <rFont val="Arial"/>
            <family val="2"/>
          </rPr>
          <t>Sam Heier:
Lilly is strategic lead and books Basaglar revenue within the Boehringer Ingelheim diabetes alliance. Source: BI/Lilly, https://investor.lilly.com/news-releases/news-release-details/boehringer-ingelheim-and-lilly-modernise-alliance-focus-full</t>
        </r>
      </text>
    </comment>
    <comment ref="H11" authorId="0" shapeId="0" xr:uid="{00000000-0006-0000-0000-000003000000}">
      <text>
        <r>
          <rPr>
            <sz val="10"/>
            <rFont val="Arial"/>
            <family val="2"/>
          </rPr>
          <t>Sam Heier:
Jardiance is part of Lilly's alliance with Boehringer Ingelheim. Lilly does NOT book product sales; it reports only royalties received on BI's net sales of Jardiance. Source: Lilly SEC filing (Q3 2022 sales &amp; earnings), https://www.sec.gov/Archives/edgar/data/59478/000005947822000248/q322lillysalesandearningsp.htm</t>
        </r>
      </text>
    </comment>
    <comment ref="H14" authorId="0" shapeId="0" xr:uid="{00000000-0006-0000-0000-000004000000}">
      <text>
        <r>
          <rPr>
            <sz val="10"/>
            <rFont val="Arial"/>
            <family val="2"/>
          </rPr>
          <t>Sam Heier:
Erbitux economics are territorial/legacy: Lilly (via ImClone) holds North American rights while Merck KGaA markets ex-US; Lilly's interest is a share/royalty rather than full product sales. Worth confirming against the latest 10-K.</t>
        </r>
      </text>
    </comment>
    <comment ref="H16" authorId="0" shapeId="0" xr:uid="{00000000-0006-0000-0000-000005000000}">
      <text>
        <r>
          <rPr>
            <sz val="10"/>
            <rFont val="Arial"/>
            <family val="2"/>
          </rPr>
          <t>Sam Heier:
Tyvyt (sintilimab) is co-developed with Innovent and sold in China; Lilly shares economics in licensed territories rather than booking 100%. Not FDA-approved in the US. Source: Eli Lilly, https://investor.lilly.com/news-releases/news-release-details/tyvyt-sintilimab-injection-combined-alimta-pemetrexed-and</t>
        </r>
      </text>
    </comment>
    <comment ref="H19" authorId="0" shapeId="0" xr:uid="{00000000-0006-0000-0000-000006000000}">
      <text>
        <r>
          <rPr>
            <sz val="10"/>
            <rFont val="Arial"/>
            <family val="2"/>
          </rPr>
          <t>Sam Heier:
Lilly holds rights outside Europe and books those sales; Almirall licenses lebrikizumab in Europe.</t>
        </r>
      </text>
    </comment>
    <comment ref="H20" authorId="0" shapeId="0" xr:uid="{00000000-0006-0000-0000-000007000000}">
      <text>
        <r>
          <rPr>
            <sz val="10"/>
            <rFont val="Arial"/>
            <family val="2"/>
          </rPr>
          <t>Sam Heier:
Discovered by Incyte and licensed to Lilly; Lilly books sales and pays Incyte royalties. Source: Lilly/Incyte, https://investor.lilly.com/news-releases/news-release-details/fda-approves-lilly-and-incytes-olumiantr-baricitinib-first-and</t>
        </r>
      </text>
    </comment>
  </commentList>
</comments>
</file>

<file path=xl/sharedStrings.xml><?xml version="1.0" encoding="utf-8"?>
<sst xmlns="http://schemas.openxmlformats.org/spreadsheetml/2006/main" count="603" uniqueCount="331">
  <si>
    <t>LLY</t>
  </si>
  <si>
    <t>Name</t>
  </si>
  <si>
    <t>Indication</t>
  </si>
  <si>
    <t>Mechanism</t>
  </si>
  <si>
    <t>Economics</t>
  </si>
  <si>
    <t>Approved</t>
  </si>
  <si>
    <t xml:space="preserve">Price </t>
  </si>
  <si>
    <t>Mounjaro</t>
  </si>
  <si>
    <t>Shares</t>
  </si>
  <si>
    <t>Zepbound</t>
  </si>
  <si>
    <t>Market Cap</t>
  </si>
  <si>
    <t>Trulicity</t>
  </si>
  <si>
    <t>Cash</t>
  </si>
  <si>
    <t>Retatrutide</t>
  </si>
  <si>
    <t>TBD</t>
  </si>
  <si>
    <t>Debt</t>
  </si>
  <si>
    <t>Foundayo</t>
  </si>
  <si>
    <t>EV</t>
  </si>
  <si>
    <t>Basaglar</t>
  </si>
  <si>
    <t>Humalog</t>
  </si>
  <si>
    <t>Humulin</t>
  </si>
  <si>
    <t>Jardiance</t>
  </si>
  <si>
    <t>Royalty only</t>
  </si>
  <si>
    <t>Verzenio</t>
  </si>
  <si>
    <t>Cyramza</t>
  </si>
  <si>
    <t>Erbitux</t>
  </si>
  <si>
    <t>Royalty / share</t>
  </si>
  <si>
    <t>Retevmo</t>
  </si>
  <si>
    <t>Tyvyt</t>
  </si>
  <si>
    <t>Not FDA approved</t>
  </si>
  <si>
    <t>Jaypirca</t>
  </si>
  <si>
    <t>Inluriyo</t>
  </si>
  <si>
    <t>Ebglyss</t>
  </si>
  <si>
    <t>Olumiant</t>
  </si>
  <si>
    <t>Omvoh</t>
  </si>
  <si>
    <t>Taltz</t>
  </si>
  <si>
    <t>Emgality</t>
  </si>
  <si>
    <t>Kisunla</t>
  </si>
  <si>
    <t>Eli Lilly and Company (LLY)</t>
  </si>
  <si>
    <t>Q1'22</t>
  </si>
  <si>
    <t>Q2'22</t>
  </si>
  <si>
    <t>Q3'22</t>
  </si>
  <si>
    <t>Q4'22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</si>
  <si>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</si>
  <si>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</si>
  <si>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</si>
  <si>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</si>
  <si>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</si>
  <si>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</si>
  <si>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</si>
  <si>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</si>
  <si>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</si>
  <si>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</si>
  <si>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</si>
  <si>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</si>
  <si>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</si>
  <si>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Q2'26</t>
  </si>
  <si>
    <t>Diabetes</t>
  </si>
  <si>
    <t xml:space="preserve">Humulin </t>
  </si>
  <si>
    <t xml:space="preserve">Oncology </t>
  </si>
  <si>
    <t>Immunology</t>
  </si>
  <si>
    <t xml:space="preserve">Neuroscience </t>
  </si>
  <si>
    <t>Other / Misc</t>
  </si>
  <si>
    <t>Total Revenue</t>
  </si>
  <si>
    <t>COGS</t>
  </si>
  <si>
    <t>Gross Margin</t>
  </si>
  <si>
    <t>R&amp;D</t>
  </si>
  <si>
    <t>SG&amp;A</t>
  </si>
  <si>
    <t>IPR&amp;D</t>
  </si>
  <si>
    <t>Asset Impairement/Resturcturing</t>
  </si>
  <si>
    <t>Other expenses</t>
  </si>
  <si>
    <t>Pre Tax Income</t>
  </si>
  <si>
    <t>Taxes</t>
  </si>
  <si>
    <t>Net Income</t>
  </si>
  <si>
    <t>EPS</t>
  </si>
  <si>
    <t>Historic Drivers</t>
  </si>
  <si>
    <t>Historic Diabetes Revenue Growth Rate</t>
  </si>
  <si>
    <t>Historic Oncology Revenue Growth Rate</t>
  </si>
  <si>
    <t>Historic Immunology Revenue Growth Rate</t>
  </si>
  <si>
    <t>Historic Neuroscience Revenue Growth Rate</t>
  </si>
  <si>
    <t>Historic Other Revenue Growth Rate</t>
  </si>
  <si>
    <t>Historic Gross Margin %</t>
  </si>
  <si>
    <t>Historic R&amp;D %</t>
  </si>
  <si>
    <t>Historic SG&amp;A %</t>
  </si>
  <si>
    <t>Historic IPR&amp;D &amp;</t>
  </si>
  <si>
    <t>Historic Tax rate</t>
  </si>
  <si>
    <t>Diabetes Revenue Growth Rate</t>
  </si>
  <si>
    <t>Oncology Revenue Growth Rate</t>
  </si>
  <si>
    <t>Immunology Revenue Growth Rate</t>
  </si>
  <si>
    <t>Neuroscience Revenue Growth Rate</t>
  </si>
  <si>
    <t>Other Revenue Growth Rate</t>
  </si>
  <si>
    <t>Gross Margin %</t>
  </si>
  <si>
    <t>R&amp;D %</t>
  </si>
  <si>
    <t>SG&amp;A %</t>
  </si>
  <si>
    <t>IPR&amp;D &amp;</t>
  </si>
  <si>
    <t>Tax rate</t>
  </si>
  <si>
    <t>Accounts Receivable % of Revenue</t>
  </si>
  <si>
    <t>Other Receivables % of Revenue</t>
  </si>
  <si>
    <t>Inventories % of COGS</t>
  </si>
  <si>
    <t>Prepaid Expenses % of Revenue</t>
  </si>
  <si>
    <t>Other Current Assets % of Revenue</t>
  </si>
  <si>
    <t>Accounts Payable % of COGS</t>
  </si>
  <si>
    <t>Employee Compensation % of Revenue</t>
  </si>
  <si>
    <t>Sales Rebates and Discounts % of Revenue</t>
  </si>
  <si>
    <t>Other Current Liabilities % of Revenue</t>
  </si>
  <si>
    <t>D&amp;A % of Revenue</t>
  </si>
  <si>
    <t>Stock-Based Compensation % of Revenue</t>
  </si>
  <si>
    <t>Capital Expenditures % of Revenue</t>
  </si>
  <si>
    <t>Dividend Payout Ratio (or Dividends per Share)</t>
  </si>
  <si>
    <t>Net Change in Short-Term Borrowings (assumption)</t>
  </si>
  <si>
    <t>Proceeds from Issuance of Long-Term Debt (assumption)</t>
  </si>
  <si>
    <t>Share Buybacks (% of Revenue or $ amount)</t>
  </si>
  <si>
    <t>LT Debt Repayment % of Prior LT Debt</t>
  </si>
  <si>
    <t>Net Interest/Other Exp % of Prior Total Debt</t>
  </si>
  <si>
    <t>Annual Income Statement</t>
  </si>
  <si>
    <t>FY'22</t>
  </si>
  <si>
    <t>FY'23</t>
  </si>
  <si>
    <t>FY'24</t>
  </si>
  <si>
    <t>FY'25</t>
  </si>
  <si>
    <t>FY'26</t>
  </si>
  <si>
    <t>FY'27</t>
  </si>
  <si>
    <t>FY'28</t>
  </si>
  <si>
    <t>FY'29</t>
  </si>
  <si>
    <t>FY'30</t>
  </si>
  <si>
    <t>FY'31</t>
  </si>
  <si>
    <t>FY'32</t>
  </si>
  <si>
    <t>FY'33</t>
  </si>
  <si>
    <t>FY'34</t>
  </si>
  <si>
    <t>FY'35</t>
  </si>
  <si>
    <t>FY'36</t>
  </si>
  <si>
    <t>Other</t>
  </si>
  <si>
    <t>Balance Sheet</t>
  </si>
  <si>
    <t>Cash and cash equivalents</t>
  </si>
  <si>
    <t>Accounts receivable</t>
  </si>
  <si>
    <t>Other receivables</t>
  </si>
  <si>
    <t>Inventories</t>
  </si>
  <si>
    <t>Prepaid expenses</t>
  </si>
  <si>
    <t>Other current assets</t>
  </si>
  <si>
    <t>Total current assets</t>
  </si>
  <si>
    <t>Investments</t>
  </si>
  <si>
    <t>Goodwill</t>
  </si>
  <si>
    <t>Other intangibles, net</t>
  </si>
  <si>
    <t>Deferred tax assets</t>
  </si>
  <si>
    <t>Property and equipment, net</t>
  </si>
  <si>
    <t>Other noncurrent assets</t>
  </si>
  <si>
    <t>Total assets</t>
  </si>
  <si>
    <t>Short-term borrowings and current maturities</t>
  </si>
  <si>
    <t>Accounts payable</t>
  </si>
  <si>
    <t>Employee compensation</t>
  </si>
  <si>
    <t>Sales rebates and discounts</t>
  </si>
  <si>
    <t>Other current liabilities</t>
  </si>
  <si>
    <t>Total current liabilities</t>
  </si>
  <si>
    <t>Long-term debt</t>
  </si>
  <si>
    <t>Long-term income taxes payable</t>
  </si>
  <si>
    <t>Other noncurrent liabilities</t>
  </si>
  <si>
    <t>Total noncurrent liabilities</t>
  </si>
  <si>
    <t>Total equity</t>
  </si>
  <si>
    <t>Total liabilities and equity</t>
  </si>
  <si>
    <t>Check (Assets less Liab. &amp; Equity)</t>
  </si>
  <si>
    <t>Cash Flow Statement</t>
  </si>
  <si>
    <t>Net income</t>
  </si>
  <si>
    <t>Depreciation and amortization</t>
  </si>
  <si>
    <t>Change in deferred income taxes</t>
  </si>
  <si>
    <t>Stock-based compensation expense</t>
  </si>
  <si>
    <t>Gains on sale of product rights</t>
  </si>
  <si>
    <t>Acquired in-process research and development</t>
  </si>
  <si>
    <t>Other operating activities, net</t>
  </si>
  <si>
    <t>Receivables - (increase) decrease</t>
  </si>
  <si>
    <t>Inventories - (increase) decrease</t>
  </si>
  <si>
    <t>Prepaid exp. and other assets - (incr.) decr.</t>
  </si>
  <si>
    <t>Accounts payable and other liab. - incr. (decr.)</t>
  </si>
  <si>
    <t>Net Cash Provided by Operating Activities</t>
  </si>
  <si>
    <t>Purchases of property and equipment</t>
  </si>
  <si>
    <t>Proceeds from sales of noncurrent investments</t>
  </si>
  <si>
    <t>Purchases of noncurrent investments</t>
  </si>
  <si>
    <t>Proceeds from sale of product rights</t>
  </si>
  <si>
    <t>Purchases of in-process research and development</t>
  </si>
  <si>
    <t>Cash paid for acquisitions, net of cash acquired</t>
  </si>
  <si>
    <t>Other investing activities, net</t>
  </si>
  <si>
    <t>Net Cash Used for Investing Activities</t>
  </si>
  <si>
    <t>Dividends paid</t>
  </si>
  <si>
    <t>Net change in short-term borrowings</t>
  </si>
  <si>
    <t>Proceeds from issuance of long-term debt</t>
  </si>
  <si>
    <t>Repayments of long-term debt</t>
  </si>
  <si>
    <t>Purchases of common stock</t>
  </si>
  <si>
    <t>Other financing activities, net</t>
  </si>
  <si>
    <t>Net Cash Provided by (Used for) Financing Activities</t>
  </si>
  <si>
    <t>Effect of exchange rate changes on cash</t>
  </si>
  <si>
    <t>Net Increase (Decrease) in Cash</t>
  </si>
  <si>
    <t>Cash and cash equivalents at beginning of year</t>
  </si>
  <si>
    <t>Cash and Cash Equivalents at End of Year</t>
  </si>
  <si>
    <t xml:space="preserve">Brand </t>
  </si>
  <si>
    <t>Generic</t>
  </si>
  <si>
    <t>TIRZEPATIDE</t>
  </si>
  <si>
    <t>Type 2 Diabetes</t>
  </si>
  <si>
    <t>MOA</t>
  </si>
  <si>
    <t>Dual GIP/GLP-1 Receptor Agonist</t>
  </si>
  <si>
    <t>Tirzepatide</t>
  </si>
  <si>
    <t>Obesity &amp; Obstructive Sleep Apnea</t>
  </si>
  <si>
    <t>dulaglutide</t>
  </si>
  <si>
    <t>Type-2 Diabetes</t>
  </si>
  <si>
    <t>GLP-1 Agonist</t>
  </si>
  <si>
    <t>None</t>
  </si>
  <si>
    <t xml:space="preserve">Obesity &amp; Type 2 Diabetes </t>
  </si>
  <si>
    <t>GIP / GLP-1 / Glucagon Triple Receptor Agonist</t>
  </si>
  <si>
    <t>Orforglipron</t>
  </si>
  <si>
    <t>Obesity / Chronic Weight Management</t>
  </si>
  <si>
    <t>GLP-1 Receptor Agonist (oral, nonpeptide)</t>
  </si>
  <si>
    <t>Insulin Glargine</t>
  </si>
  <si>
    <t>Type 1 and Type 2 Diabetes</t>
  </si>
  <si>
    <t>Long-Acting Insulin</t>
  </si>
  <si>
    <t>Insulin Lispro</t>
  </si>
  <si>
    <t>Rapid-Acting Insulin</t>
  </si>
  <si>
    <t>Human Insulin</t>
  </si>
  <si>
    <t>Insulin (short- and intermediate-acting)</t>
  </si>
  <si>
    <t>empagliflozin</t>
  </si>
  <si>
    <t>Type 2 Diabetes &amp; Heart Failure</t>
  </si>
  <si>
    <t>SGLT2 Inhibitors</t>
  </si>
  <si>
    <t>abemaciclib</t>
  </si>
  <si>
    <t>Breast Cancer</t>
  </si>
  <si>
    <t>CDK4/6 inhibitors</t>
  </si>
  <si>
    <t>Ramucirumab</t>
  </si>
  <si>
    <t>Gastric, NSCLC, and Colorectal Cancer</t>
  </si>
  <si>
    <t>VEGFR2 Antagonist (Monoclonal Antibody)</t>
  </si>
  <si>
    <t>Cetuximab</t>
  </si>
  <si>
    <t>Colorectal and Head &amp; Neck Cancer</t>
  </si>
  <si>
    <t>EGFR Inhibitor (Monoclonal Antibody)</t>
  </si>
  <si>
    <t>Selpercatinib</t>
  </si>
  <si>
    <t>RET-Altered NSCLC and Thyroid Cancer</t>
  </si>
  <si>
    <t>RET Kinase Inhibitor</t>
  </si>
  <si>
    <t>Sintilimab</t>
  </si>
  <si>
    <t>Hodgkin Lymphoma, NSCLC &amp; other cancers (approved in China; not FDA-approved)</t>
  </si>
  <si>
    <t>PD-1 Inhibitor (Monoclonal Antibody)</t>
  </si>
  <si>
    <t>Pirtobrutinib</t>
  </si>
  <si>
    <t>Non-Hodgkin Lymphoma</t>
  </si>
  <si>
    <t>Bruton’s tyrosine kinase (BTK) inhibitor</t>
  </si>
  <si>
    <t>Imlunestrant</t>
  </si>
  <si>
    <t>Estrogen Antagonist</t>
  </si>
  <si>
    <t>Lebrikizumab</t>
  </si>
  <si>
    <t>Eczema</t>
  </si>
  <si>
    <t>interleukin-13 antagonist</t>
  </si>
  <si>
    <t>Baricitinib</t>
  </si>
  <si>
    <t>Rheumatoid Arthritis, Alopecia Areata, COVID-19</t>
  </si>
  <si>
    <t>JAK (Janus Kinase) Inhibitor</t>
  </si>
  <si>
    <t>Mirikizumab-Mrkz</t>
  </si>
  <si>
    <t>Crohn's Disease &amp; Ulcerative Colitis</t>
  </si>
  <si>
    <t>interleukin-23 antagonist</t>
  </si>
  <si>
    <t>Ixekizumab</t>
  </si>
  <si>
    <t>Plaque Psoriasis &amp; Psoriatic Arthritis</t>
  </si>
  <si>
    <t>interleukin antagonist</t>
  </si>
  <si>
    <t>Galcanezumab</t>
  </si>
  <si>
    <t>Migraine Prevention and Cluster Headache</t>
  </si>
  <si>
    <t>CGRP Antagonist (Monoclonal Antibody)</t>
  </si>
  <si>
    <t>donanemab-azbt</t>
  </si>
  <si>
    <t>Alzheimer's Disease</t>
  </si>
  <si>
    <t>amyloid beta-directed antibody</t>
  </si>
  <si>
    <t>Valuation Date:</t>
  </si>
  <si>
    <t>Share Price on Valuation Date:</t>
  </si>
  <si>
    <t>Diluted Shares Outstanding</t>
  </si>
  <si>
    <t>Select Operating Data</t>
  </si>
  <si>
    <t>Projected Annual Forecast</t>
  </si>
  <si>
    <t>Revenue</t>
  </si>
  <si>
    <t>EBIT</t>
  </si>
  <si>
    <t xml:space="preserve">Depreciation &amp; Amortization </t>
  </si>
  <si>
    <t>Select Balance Sheet And Other Data</t>
  </si>
  <si>
    <t>Accounts Receivable</t>
  </si>
  <si>
    <t>Prepaid Expenses</t>
  </si>
  <si>
    <t>Accounts Payable and Accruals</t>
  </si>
  <si>
    <t>Accrued Expenses</t>
  </si>
  <si>
    <t>Capital Expenditures</t>
  </si>
  <si>
    <t>Free Cash Flow Buildup</t>
  </si>
  <si>
    <t>$mm</t>
  </si>
  <si>
    <t>Period</t>
  </si>
  <si>
    <t>Total Revenues</t>
  </si>
  <si>
    <t>Effective Tax rate</t>
  </si>
  <si>
    <t>EBIAT = EBIT(1-T) = NOPAT</t>
  </si>
  <si>
    <t>Depreciation &amp; Amortization</t>
  </si>
  <si>
    <t>Chg in Accounts receivable</t>
  </si>
  <si>
    <t>Chg in Inventories</t>
  </si>
  <si>
    <t>Chg in Prepaid expenses</t>
  </si>
  <si>
    <t>Chg in Accounts payable</t>
  </si>
  <si>
    <t>Chg in Accrued expenses</t>
  </si>
  <si>
    <t>Capital expenditures</t>
  </si>
  <si>
    <t>Unlevered free cash flows</t>
  </si>
  <si>
    <r>
      <rPr>
        <sz val="11"/>
        <color theme="1"/>
        <rFont val="Calibri"/>
        <family val="2"/>
      </rPr>
      <t xml:space="preserve">Discount Rate </t>
    </r>
    <r>
      <rPr>
        <i/>
        <sz val="11"/>
        <color theme="1"/>
        <rFont val="Calibri"/>
        <family val="2"/>
      </rPr>
      <t>(WACC)</t>
    </r>
  </si>
  <si>
    <t>Present value of free cash flows</t>
  </si>
  <si>
    <t>Sum of present values of FCFs</t>
  </si>
  <si>
    <t>Terminal Value</t>
  </si>
  <si>
    <t>Growth in perpetuity method:</t>
  </si>
  <si>
    <t>Long term growth rate</t>
  </si>
  <si>
    <t>Unlevered Free Cash Flow Growth Rates</t>
  </si>
  <si>
    <t>WACC</t>
  </si>
  <si>
    <t>Free cash flow (t+1)</t>
  </si>
  <si>
    <t>Present Value of Terminal Value</t>
  </si>
  <si>
    <t>Share Price</t>
  </si>
  <si>
    <t>Cost of Debt</t>
  </si>
  <si>
    <t>Tax Rate</t>
  </si>
  <si>
    <t>RFR</t>
  </si>
  <si>
    <t>After-tax Cost of Debt</t>
  </si>
  <si>
    <t>Beta</t>
  </si>
  <si>
    <t>5 year weekly adjusted Bloomberg</t>
  </si>
  <si>
    <t>Cost of Equity</t>
  </si>
  <si>
    <t xml:space="preserve">capm </t>
  </si>
  <si>
    <t>Total Debt ($)</t>
  </si>
  <si>
    <t>capm = risk-free + beta * market risk premium</t>
  </si>
  <si>
    <t>Total Equity ($)</t>
  </si>
  <si>
    <t>Total Capital</t>
  </si>
  <si>
    <t>Debt Weighting</t>
  </si>
  <si>
    <t>Equity Weighting</t>
  </si>
  <si>
    <t>WACC =</t>
  </si>
  <si>
    <t>Enterprise Value to Equity Value</t>
  </si>
  <si>
    <t>Enterprise Value</t>
  </si>
  <si>
    <t>Less: Net debt</t>
  </si>
  <si>
    <t>ST and LT debt minus cash</t>
  </si>
  <si>
    <t>ST Debt</t>
  </si>
  <si>
    <t>Equity Value</t>
  </si>
  <si>
    <t>LT Debt</t>
  </si>
  <si>
    <t>income statement</t>
  </si>
  <si>
    <t>Equity Value Per Share</t>
  </si>
  <si>
    <t>Upside</t>
  </si>
  <si>
    <t>Sensitivity Analysis</t>
  </si>
  <si>
    <t>ST Rev Growth</t>
  </si>
  <si>
    <t>.</t>
  </si>
  <si>
    <t>ERP</t>
  </si>
  <si>
    <t>10 year treasury yield as of 8/11/26</t>
  </si>
  <si>
    <t xml:space="preserve">Damadorian </t>
  </si>
  <si>
    <t xml:space="preserve"> IS Assumptions</t>
  </si>
  <si>
    <t>Historic Quarterly IS by Product</t>
  </si>
  <si>
    <t xml:space="preserve"> BS Assumptions</t>
  </si>
  <si>
    <t xml:space="preserve"> CFS Assumptions</t>
  </si>
  <si>
    <t>as of 6/30/26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</si>
</sst>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_(\$* #,##0.00_);_(\$* \(#,##0.00\);_(\$* \-??_);_(@_)"/>
    <numFmt numFmtId="165" formatCode="_(* #,##0.00_);_(* \(#,##0.00\);_(* \-??_);_(@_)"/>
    <numFmt numFmtId="166" formatCode="_(\$* #,##0_);_(\$* \(#,##0\);_(\$* \-??_);_(@_)"/>
    <numFmt numFmtId="167" formatCode="0.0%"/>
    <numFmt numFmtId="168" formatCode="#,##0.0_);\(#,##0.0\);@_)"/>
    <numFmt numFmtId="169" formatCode="#,##0.00_);\(#,##0.00\);@_)"/>
    <numFmt numFmtId="170" formatCode="yyyy\A"/>
    <numFmt numFmtId="171" formatCode="yyyy\P"/>
    <numFmt numFmtId="172" formatCode="&quot;$&quot;#,##0.0"/>
    <numFmt numFmtId="173" formatCode="&quot;$&quot;#,##0.0_);\(&quot;$&quot;#,##0.0\)"/>
    <numFmt numFmtId="174" formatCode="&quot;$&quot;#,##0.0_);\(&quot;$&quot;#,##0.0\);@_)"/>
    <numFmt numFmtId="175" formatCode="0.0%_);\(0.0%\);@_)"/>
    <numFmt numFmtId="176" formatCode="0.0"/>
    <numFmt numFmtId="179" formatCode="#,##0.0_);\(#,##0.0\)"/>
    <numFmt numFmtId="180" formatCode="0.000%"/>
    <numFmt numFmtId="181" formatCode="_(&quot;$&quot;* #,##0.0_);_(&quot;$&quot;* \(#,##0.0\);_(&quot;$&quot;* &quot;-&quot;??_);_(@_)"/>
    <numFmt numFmtId="182" formatCode="&quot;$&quot;#,##0.00_);\(&quot;$&quot;#,##0.00\);@_)"/>
    <numFmt numFmtId="183" formatCode="_(* #,##0.0_);_(* \(#,##0.0\);_(* &quot;-&quot;?_);_(@_)"/>
    <numFmt numFmtId="184" formatCode="&quot;$&quot;#,##0.00"/>
  </numFmts>
  <fonts count="36" x14ac:knownFonts="1">
    <font>
      <sz val="12"/>
      <color theme="1"/>
      <name val="Aptos Narrow"/>
      <family val="2"/>
      <charset val="1"/>
    </font>
    <font>
      <sz val="10"/>
      <name val="Arial"/>
      <family val="2"/>
    </font>
    <font>
      <b/>
      <sz val="12"/>
      <color theme="1"/>
      <name val="Aptos Narrow"/>
      <family val="2"/>
      <charset val="1"/>
    </font>
    <font>
      <b/>
      <sz val="10"/>
      <name val="Arial"/>
      <family val="2"/>
      <charset val="1"/>
    </font>
    <font>
      <i/>
      <sz val="12"/>
      <color theme="1"/>
      <name val="Aptos Narrow"/>
      <family val="2"/>
      <charset val="1"/>
    </font>
    <font>
      <b/>
      <sz val="18"/>
      <color theme="1"/>
      <name val="Aptos Narrow"/>
      <family val="2"/>
      <charset val="1"/>
    </font>
    <font>
      <i/>
      <sz val="12"/>
      <color rgb="FF0000FF"/>
      <name val="Aptos Narrow"/>
      <family val="2"/>
    </font>
    <font>
      <i/>
      <sz val="12"/>
      <color rgb="FF0000FF"/>
      <name val="Aptos Narrow"/>
      <family val="2"/>
      <charset val="1"/>
    </font>
    <font>
      <sz val="12"/>
      <color rgb="FF0000FF"/>
      <name val="Aptos Narrow"/>
      <family val="2"/>
      <charset val="1"/>
    </font>
    <font>
      <sz val="12"/>
      <name val="Aptos Narrow"/>
      <family val="2"/>
      <charset val="1"/>
    </font>
    <font>
      <b/>
      <sz val="12"/>
      <name val="Aptos Narrow"/>
      <family val="2"/>
      <charset val="1"/>
    </font>
    <font>
      <i/>
      <sz val="12"/>
      <name val="Aptos Narrow"/>
      <family val="2"/>
      <charset val="1"/>
    </font>
    <font>
      <sz val="12"/>
      <color theme="1"/>
      <name val="Aptos Narrow"/>
      <family val="2"/>
      <charset val="1"/>
    </font>
    <font>
      <sz val="18"/>
      <color theme="1"/>
      <name val="Calibri"/>
      <family val="2"/>
    </font>
    <font>
      <sz val="10"/>
      <color theme="1"/>
      <name val="Arial"/>
      <family val="2"/>
    </font>
    <font>
      <sz val="10"/>
      <color rgb="FF0000FF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Aptos Narrow"/>
      <family val="2"/>
      <scheme val="minor"/>
    </font>
    <font>
      <sz val="11"/>
      <color rgb="FF008000"/>
      <name val="Calibri"/>
      <family val="2"/>
    </font>
    <font>
      <sz val="14"/>
      <color rgb="FF000000"/>
      <name val="Aptos Narrow"/>
      <family val="2"/>
      <scheme val="minor"/>
    </font>
    <font>
      <b/>
      <sz val="11"/>
      <color theme="1"/>
      <name val="Calibri"/>
      <family val="2"/>
    </font>
    <font>
      <sz val="10"/>
      <name val="Calibri"/>
      <family val="2"/>
    </font>
    <font>
      <sz val="11"/>
      <color rgb="FF0000FF"/>
      <name val="Calibri"/>
      <family val="2"/>
    </font>
    <font>
      <sz val="10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rgb="FF0000FF"/>
      <name val="Calibri"/>
      <family val="2"/>
    </font>
    <font>
      <b/>
      <i/>
      <sz val="11"/>
      <color theme="1"/>
      <name val="Calibri"/>
      <family val="2"/>
    </font>
    <font>
      <sz val="11"/>
      <color theme="1"/>
      <name val="Arial"/>
      <family val="2"/>
    </font>
    <font>
      <b/>
      <sz val="10"/>
      <color theme="1"/>
      <name val="Calibri"/>
      <family val="2"/>
    </font>
    <font>
      <sz val="11"/>
      <color theme="0"/>
      <name val="Calibri"/>
      <family val="2"/>
    </font>
    <font>
      <sz val="11"/>
      <color rgb="FFFFFFFF"/>
      <name val="Calibri"/>
      <family val="2"/>
    </font>
    <font>
      <sz val="10"/>
      <color theme="1"/>
      <name val="Aptos Narrow"/>
      <family val="2"/>
      <scheme val="minor"/>
    </font>
    <font>
      <sz val="8"/>
      <name val="Aptos Narrow"/>
      <family val="2"/>
      <charset val="1"/>
    </font>
    <font>
      <sz val="14"/>
      <name val="Aptos Narrow"/>
      <family val="2"/>
      <scheme val="minor"/>
    </font>
    <font>
      <i/>
      <sz val="12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34998626667073579"/>
        <bgColor rgb="FFC0C0C0"/>
      </patternFill>
    </fill>
    <fill>
      <patternFill patternType="solid">
        <fgColor theme="4" tint="0.79979857783745845"/>
        <bgColor rgb="FFCCFFFF"/>
      </patternFill>
    </fill>
    <fill>
      <patternFill patternType="solid">
        <fgColor rgb="FFFFFF99"/>
        <bgColor rgb="FFFFFF99"/>
      </patternFill>
    </fill>
    <fill>
      <patternFill patternType="solid">
        <fgColor theme="4" tint="0.79998168889431442"/>
        <bgColor rgb="FFFFCC99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FFCC"/>
        <bgColor rgb="FFFFFF99"/>
      </patternFill>
    </fill>
  </fills>
  <borders count="2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44" fontId="12" fillId="0" borderId="0" applyFont="0" applyFill="0" applyBorder="0" applyAlignment="0" applyProtection="0"/>
  </cellStyleXfs>
  <cellXfs count="207">
    <xf numFmtId="0" fontId="0" fillId="0" borderId="0" xfId="0"/>
    <xf numFmtId="0" fontId="0" fillId="0" borderId="0" xfId="0" applyAlignment="1"/>
    <xf numFmtId="0" fontId="2" fillId="0" borderId="1" xfId="0" applyFont="1" applyBorder="1" applyAlignment="1"/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4" fontId="0" fillId="0" borderId="0" xfId="0" applyNumberFormat="1" applyAlignment="1"/>
    <xf numFmtId="0" fontId="0" fillId="0" borderId="4" xfId="0" applyFont="1" applyBorder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165" fontId="0" fillId="0" borderId="0" xfId="0" applyNumberFormat="1" applyAlignment="1"/>
    <xf numFmtId="14" fontId="4" fillId="0" borderId="5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9" fontId="0" fillId="0" borderId="7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/>
    <xf numFmtId="0" fontId="2" fillId="0" borderId="9" xfId="0" applyFont="1" applyBorder="1" applyAlignment="1"/>
    <xf numFmtId="0" fontId="0" fillId="0" borderId="9" xfId="0" applyFont="1" applyBorder="1" applyAlignment="1">
      <alignment horizontal="center"/>
    </xf>
    <xf numFmtId="0" fontId="0" fillId="0" borderId="7" xfId="0" applyFont="1" applyBorder="1" applyAlignment="1"/>
    <xf numFmtId="166" fontId="0" fillId="0" borderId="10" xfId="0" applyNumberFormat="1" applyBorder="1" applyAlignment="1">
      <alignment horizontal="center"/>
    </xf>
    <xf numFmtId="166" fontId="0" fillId="2" borderId="0" xfId="0" applyNumberFormat="1" applyFill="1" applyAlignment="1"/>
    <xf numFmtId="166" fontId="0" fillId="0" borderId="0" xfId="0" applyNumberFormat="1" applyAlignment="1"/>
    <xf numFmtId="0" fontId="0" fillId="3" borderId="0" xfId="0" applyFont="1" applyFill="1" applyAlignment="1"/>
    <xf numFmtId="0" fontId="0" fillId="0" borderId="3" xfId="0" applyFont="1" applyBorder="1" applyAlignment="1"/>
    <xf numFmtId="166" fontId="0" fillId="0" borderId="3" xfId="0" applyNumberFormat="1" applyBorder="1" applyAlignment="1"/>
    <xf numFmtId="0" fontId="2" fillId="0" borderId="0" xfId="0" applyFont="1" applyAlignment="1"/>
    <xf numFmtId="166" fontId="2" fillId="0" borderId="0" xfId="0" applyNumberFormat="1" applyFont="1" applyAlignment="1"/>
    <xf numFmtId="0" fontId="2" fillId="0" borderId="11" xfId="0" applyFont="1" applyBorder="1" applyAlignment="1"/>
    <xf numFmtId="166" fontId="2" fillId="0" borderId="11" xfId="0" applyNumberFormat="1" applyFont="1" applyBorder="1" applyAlignment="1"/>
    <xf numFmtId="2" fontId="0" fillId="0" borderId="0" xfId="0" applyNumberFormat="1" applyAlignment="1"/>
    <xf numFmtId="0" fontId="4" fillId="0" borderId="0" xfId="0" applyFont="1" applyAlignment="1"/>
    <xf numFmtId="9" fontId="4" fillId="2" borderId="0" xfId="0" applyNumberFormat="1" applyFont="1" applyFill="1" applyAlignment="1"/>
    <xf numFmtId="9" fontId="4" fillId="0" borderId="0" xfId="0" applyNumberFormat="1" applyFont="1" applyAlignment="1"/>
    <xf numFmtId="9" fontId="0" fillId="0" borderId="0" xfId="0" applyNumberFormat="1" applyAlignment="1"/>
    <xf numFmtId="0" fontId="0" fillId="0" borderId="12" xfId="0" applyBorder="1" applyAlignment="1">
      <alignment horizontal="center"/>
    </xf>
    <xf numFmtId="0" fontId="4" fillId="2" borderId="0" xfId="0" applyFont="1" applyFill="1" applyAlignment="1"/>
    <xf numFmtId="9" fontId="0" fillId="0" borderId="5" xfId="0" applyNumberFormat="1" applyBorder="1" applyAlignment="1"/>
    <xf numFmtId="9" fontId="6" fillId="0" borderId="0" xfId="0" applyNumberFormat="1" applyFont="1" applyAlignment="1"/>
    <xf numFmtId="9" fontId="7" fillId="0" borderId="0" xfId="0" applyNumberFormat="1" applyFont="1" applyAlignment="1"/>
    <xf numFmtId="9" fontId="8" fillId="0" borderId="0" xfId="0" applyNumberFormat="1" applyFont="1" applyAlignment="1"/>
    <xf numFmtId="0" fontId="4" fillId="0" borderId="0" xfId="0" applyFont="1"/>
    <xf numFmtId="0" fontId="0" fillId="0" borderId="5" xfId="0" applyBorder="1" applyAlignment="1"/>
    <xf numFmtId="167" fontId="6" fillId="0" borderId="0" xfId="0" applyNumberFormat="1" applyFont="1"/>
    <xf numFmtId="10" fontId="0" fillId="0" borderId="0" xfId="0" applyNumberFormat="1"/>
    <xf numFmtId="0" fontId="0" fillId="0" borderId="9" xfId="0" applyFont="1" applyBorder="1" applyAlignment="1"/>
    <xf numFmtId="0" fontId="2" fillId="0" borderId="7" xfId="0" applyFont="1" applyBorder="1" applyAlignment="1"/>
    <xf numFmtId="166" fontId="0" fillId="0" borderId="5" xfId="0" applyNumberFormat="1" applyBorder="1" applyAlignment="1"/>
    <xf numFmtId="166" fontId="2" fillId="0" borderId="5" xfId="0" applyNumberFormat="1" applyFont="1" applyBorder="1" applyAlignment="1"/>
    <xf numFmtId="164" fontId="0" fillId="0" borderId="5" xfId="0" applyNumberFormat="1" applyBorder="1" applyAlignment="1"/>
    <xf numFmtId="165" fontId="0" fillId="0" borderId="5" xfId="0" applyNumberFormat="1" applyBorder="1" applyAlignment="1"/>
    <xf numFmtId="0" fontId="9" fillId="0" borderId="9" xfId="0" applyFont="1" applyBorder="1" applyAlignment="1"/>
    <xf numFmtId="0" fontId="9" fillId="0" borderId="9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9" fillId="0" borderId="0" xfId="0" applyFont="1" applyAlignment="1"/>
    <xf numFmtId="166" fontId="9" fillId="0" borderId="0" xfId="0" applyNumberFormat="1" applyFont="1" applyAlignment="1"/>
    <xf numFmtId="166" fontId="9" fillId="0" borderId="5" xfId="0" applyNumberFormat="1" applyFont="1" applyBorder="1" applyAlignment="1"/>
    <xf numFmtId="0" fontId="10" fillId="0" borderId="0" xfId="0" applyFont="1" applyAlignment="1"/>
    <xf numFmtId="166" fontId="10" fillId="0" borderId="0" xfId="0" applyNumberFormat="1" applyFont="1" applyAlignment="1"/>
    <xf numFmtId="166" fontId="10" fillId="0" borderId="5" xfId="0" applyNumberFormat="1" applyFont="1" applyBorder="1" applyAlignment="1"/>
    <xf numFmtId="0" fontId="11" fillId="0" borderId="0" xfId="0" applyFont="1" applyAlignment="1"/>
    <xf numFmtId="166" fontId="11" fillId="0" borderId="0" xfId="0" applyNumberFormat="1" applyFont="1" applyAlignment="1"/>
    <xf numFmtId="166" fontId="11" fillId="0" borderId="5" xfId="0" applyNumberFormat="1" applyFont="1" applyBorder="1" applyAlignment="1"/>
    <xf numFmtId="167" fontId="9" fillId="0" borderId="0" xfId="0" applyNumberFormat="1" applyFont="1" applyAlignment="1"/>
    <xf numFmtId="164" fontId="9" fillId="0" borderId="0" xfId="0" applyNumberFormat="1" applyFont="1" applyAlignment="1"/>
    <xf numFmtId="166" fontId="9" fillId="0" borderId="0" xfId="0" applyNumberFormat="1" applyFont="1" applyFill="1" applyAlignment="1"/>
    <xf numFmtId="0" fontId="0" fillId="0" borderId="7" xfId="0" applyBorder="1"/>
    <xf numFmtId="0" fontId="13" fillId="0" borderId="7" xfId="0" applyFont="1" applyBorder="1"/>
    <xf numFmtId="0" fontId="13" fillId="0" borderId="13" xfId="0" applyFont="1" applyBorder="1"/>
    <xf numFmtId="0" fontId="13" fillId="0" borderId="0" xfId="0" applyFont="1"/>
    <xf numFmtId="0" fontId="14" fillId="0" borderId="0" xfId="0" applyFont="1"/>
    <xf numFmtId="0" fontId="16" fillId="0" borderId="0" xfId="0" applyFont="1" applyAlignment="1">
      <alignment horizontal="left" vertical="top" readingOrder="1"/>
    </xf>
    <xf numFmtId="15" fontId="16" fillId="0" borderId="0" xfId="0" applyNumberFormat="1" applyFont="1" applyAlignment="1">
      <alignment horizontal="right" vertical="top" readingOrder="1"/>
    </xf>
    <xf numFmtId="0" fontId="17" fillId="0" borderId="0" xfId="0" applyFont="1" applyAlignment="1">
      <alignment horizontal="left" readingOrder="1"/>
    </xf>
    <xf numFmtId="14" fontId="19" fillId="0" borderId="0" xfId="0" applyNumberFormat="1" applyFont="1" applyAlignment="1">
      <alignment horizontal="right" vertical="top" readingOrder="1"/>
    </xf>
    <xf numFmtId="0" fontId="20" fillId="3" borderId="0" xfId="0" applyFont="1" applyFill="1"/>
    <xf numFmtId="0" fontId="0" fillId="3" borderId="0" xfId="0" applyFill="1"/>
    <xf numFmtId="0" fontId="21" fillId="0" borderId="0" xfId="0" applyFont="1" applyAlignment="1">
      <alignment horizontal="center"/>
    </xf>
    <xf numFmtId="0" fontId="21" fillId="0" borderId="14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170" fontId="21" fillId="0" borderId="17" xfId="0" applyNumberFormat="1" applyFont="1" applyBorder="1"/>
    <xf numFmtId="170" fontId="21" fillId="0" borderId="18" xfId="0" applyNumberFormat="1" applyFont="1" applyBorder="1"/>
    <xf numFmtId="170" fontId="21" fillId="0" borderId="19" xfId="0" applyNumberFormat="1" applyFont="1" applyBorder="1"/>
    <xf numFmtId="171" fontId="21" fillId="0" borderId="19" xfId="0" applyNumberFormat="1" applyFont="1" applyBorder="1"/>
    <xf numFmtId="171" fontId="21" fillId="0" borderId="18" xfId="0" applyNumberFormat="1" applyFont="1" applyBorder="1"/>
    <xf numFmtId="10" fontId="17" fillId="0" borderId="0" xfId="0" applyNumberFormat="1" applyFont="1" applyAlignment="1">
      <alignment horizontal="left" readingOrder="1"/>
    </xf>
    <xf numFmtId="172" fontId="23" fillId="4" borderId="0" xfId="0" applyNumberFormat="1" applyFont="1" applyFill="1" applyAlignment="1">
      <alignment horizontal="right" vertical="top" readingOrder="1"/>
    </xf>
    <xf numFmtId="173" fontId="23" fillId="4" borderId="0" xfId="0" applyNumberFormat="1" applyFont="1" applyFill="1"/>
    <xf numFmtId="174" fontId="23" fillId="4" borderId="0" xfId="0" applyNumberFormat="1" applyFont="1" applyFill="1"/>
    <xf numFmtId="174" fontId="17" fillId="0" borderId="0" xfId="0" applyNumberFormat="1" applyFont="1" applyAlignment="1">
      <alignment horizontal="left" readingOrder="1"/>
    </xf>
    <xf numFmtId="0" fontId="16" fillId="0" borderId="0" xfId="0" applyFont="1" applyAlignment="1">
      <alignment horizontal="right" vertical="top" readingOrder="1"/>
    </xf>
    <xf numFmtId="7" fontId="17" fillId="0" borderId="0" xfId="0" applyNumberFormat="1" applyFont="1" applyAlignment="1">
      <alignment horizontal="left" readingOrder="1"/>
    </xf>
    <xf numFmtId="0" fontId="17" fillId="0" borderId="0" xfId="0" applyFont="1" applyAlignment="1">
      <alignment horizontal="left"/>
    </xf>
    <xf numFmtId="176" fontId="23" fillId="4" borderId="0" xfId="0" applyNumberFormat="1" applyFont="1" applyFill="1" applyAlignment="1">
      <alignment horizontal="right" vertical="center"/>
    </xf>
    <xf numFmtId="176" fontId="16" fillId="0" borderId="0" xfId="0" applyNumberFormat="1" applyFont="1" applyAlignment="1">
      <alignment horizontal="right" vertical="center"/>
    </xf>
    <xf numFmtId="172" fontId="23" fillId="4" borderId="0" xfId="0" applyNumberFormat="1" applyFont="1" applyFill="1" applyAlignment="1">
      <alignment horizontal="right" vertical="center"/>
    </xf>
    <xf numFmtId="0" fontId="17" fillId="0" borderId="0" xfId="0" applyFont="1"/>
    <xf numFmtId="0" fontId="25" fillId="0" borderId="0" xfId="0" applyFont="1"/>
    <xf numFmtId="0" fontId="21" fillId="0" borderId="20" xfId="0" applyFont="1" applyBorder="1" applyAlignment="1">
      <alignment horizontal="center"/>
    </xf>
    <xf numFmtId="0" fontId="21" fillId="0" borderId="16" xfId="0" applyFont="1" applyBorder="1" applyAlignment="1">
      <alignment horizontal="center"/>
    </xf>
    <xf numFmtId="0" fontId="21" fillId="0" borderId="0" xfId="0" applyFont="1"/>
    <xf numFmtId="0" fontId="21" fillId="0" borderId="13" xfId="0" applyFont="1" applyBorder="1"/>
    <xf numFmtId="0" fontId="17" fillId="0" borderId="13" xfId="0" applyFont="1" applyBorder="1"/>
    <xf numFmtId="0" fontId="17" fillId="0" borderId="19" xfId="0" applyFont="1" applyBorder="1"/>
    <xf numFmtId="172" fontId="17" fillId="0" borderId="0" xfId="0" applyNumberFormat="1" applyFont="1"/>
    <xf numFmtId="173" fontId="17" fillId="0" borderId="0" xfId="0" applyNumberFormat="1" applyFont="1"/>
    <xf numFmtId="174" fontId="17" fillId="0" borderId="0" xfId="0" applyNumberFormat="1" applyFont="1"/>
    <xf numFmtId="167" fontId="26" fillId="4" borderId="0" xfId="0" applyNumberFormat="1" applyFont="1" applyFill="1"/>
    <xf numFmtId="172" fontId="21" fillId="0" borderId="0" xfId="0" applyNumberFormat="1" applyFont="1"/>
    <xf numFmtId="174" fontId="21" fillId="0" borderId="21" xfId="0" applyNumberFormat="1" applyFont="1" applyBorder="1"/>
    <xf numFmtId="179" fontId="17" fillId="0" borderId="0" xfId="0" applyNumberFormat="1" applyFont="1" applyAlignment="1">
      <alignment horizontal="left"/>
    </xf>
    <xf numFmtId="179" fontId="17" fillId="0" borderId="0" xfId="0" applyNumberFormat="1" applyFont="1" applyAlignment="1">
      <alignment horizontal="right"/>
    </xf>
    <xf numFmtId="168" fontId="16" fillId="0" borderId="0" xfId="0" applyNumberFormat="1" applyFont="1"/>
    <xf numFmtId="179" fontId="17" fillId="0" borderId="13" xfId="0" applyNumberFormat="1" applyFont="1" applyBorder="1" applyAlignment="1">
      <alignment horizontal="left"/>
    </xf>
    <xf numFmtId="168" fontId="16" fillId="0" borderId="13" xfId="0" applyNumberFormat="1" applyFont="1" applyBorder="1"/>
    <xf numFmtId="174" fontId="21" fillId="0" borderId="0" xfId="0" applyNumberFormat="1" applyFont="1"/>
    <xf numFmtId="180" fontId="17" fillId="0" borderId="0" xfId="0" applyNumberFormat="1" applyFont="1"/>
    <xf numFmtId="10" fontId="16" fillId="0" borderId="0" xfId="0" applyNumberFormat="1" applyFont="1"/>
    <xf numFmtId="167" fontId="16" fillId="0" borderId="0" xfId="0" applyNumberFormat="1" applyFont="1"/>
    <xf numFmtId="167" fontId="25" fillId="0" borderId="0" xfId="0" applyNumberFormat="1" applyFont="1"/>
    <xf numFmtId="10" fontId="17" fillId="0" borderId="0" xfId="0" applyNumberFormat="1" applyFont="1"/>
    <xf numFmtId="181" fontId="25" fillId="0" borderId="0" xfId="0" applyNumberFormat="1" applyFont="1"/>
    <xf numFmtId="0" fontId="27" fillId="0" borderId="0" xfId="0" applyFont="1"/>
    <xf numFmtId="179" fontId="28" fillId="0" borderId="0" xfId="0" applyNumberFormat="1" applyFont="1" applyAlignment="1">
      <alignment horizontal="right"/>
    </xf>
    <xf numFmtId="179" fontId="24" fillId="0" borderId="0" xfId="0" applyNumberFormat="1" applyFont="1"/>
    <xf numFmtId="0" fontId="24" fillId="0" borderId="0" xfId="0" applyFont="1"/>
    <xf numFmtId="167" fontId="23" fillId="0" borderId="0" xfId="0" applyNumberFormat="1" applyFont="1" applyAlignment="1">
      <alignment horizontal="right"/>
    </xf>
    <xf numFmtId="3" fontId="24" fillId="0" borderId="0" xfId="0" applyNumberFormat="1" applyFont="1"/>
    <xf numFmtId="0" fontId="29" fillId="0" borderId="0" xfId="0" applyFont="1" applyAlignment="1">
      <alignment horizontal="center"/>
    </xf>
    <xf numFmtId="0" fontId="0" fillId="0" borderId="0" xfId="0"/>
    <xf numFmtId="10" fontId="16" fillId="0" borderId="0" xfId="0" applyNumberFormat="1" applyFont="1" applyAlignment="1">
      <alignment horizontal="right"/>
    </xf>
    <xf numFmtId="167" fontId="24" fillId="0" borderId="0" xfId="0" applyNumberFormat="1" applyFont="1"/>
    <xf numFmtId="0" fontId="29" fillId="0" borderId="0" xfId="0" applyFont="1"/>
    <xf numFmtId="171" fontId="29" fillId="0" borderId="0" xfId="0" applyNumberFormat="1" applyFont="1"/>
    <xf numFmtId="2" fontId="24" fillId="0" borderId="0" xfId="0" applyNumberFormat="1" applyFont="1"/>
    <xf numFmtId="39" fontId="24" fillId="0" borderId="0" xfId="0" applyNumberFormat="1" applyFont="1"/>
    <xf numFmtId="174" fontId="21" fillId="0" borderId="0" xfId="0" applyNumberFormat="1" applyFont="1" applyAlignment="1">
      <alignment horizontal="right"/>
    </xf>
    <xf numFmtId="174" fontId="21" fillId="0" borderId="21" xfId="0" applyNumberFormat="1" applyFont="1" applyBorder="1" applyAlignment="1">
      <alignment horizontal="right"/>
    </xf>
    <xf numFmtId="174" fontId="24" fillId="0" borderId="0" xfId="0" applyNumberFormat="1" applyFont="1"/>
    <xf numFmtId="0" fontId="28" fillId="0" borderId="0" xfId="0" applyFont="1"/>
    <xf numFmtId="182" fontId="16" fillId="0" borderId="0" xfId="0" applyNumberFormat="1" applyFont="1"/>
    <xf numFmtId="169" fontId="16" fillId="0" borderId="0" xfId="0" applyNumberFormat="1" applyFont="1"/>
    <xf numFmtId="175" fontId="16" fillId="0" borderId="0" xfId="0" applyNumberFormat="1" applyFont="1"/>
    <xf numFmtId="0" fontId="16" fillId="7" borderId="0" xfId="0" applyFont="1" applyFill="1" applyAlignment="1">
      <alignment horizontal="left"/>
    </xf>
    <xf numFmtId="0" fontId="21" fillId="0" borderId="0" xfId="0" applyFont="1" applyAlignment="1">
      <alignment horizontal="left"/>
    </xf>
    <xf numFmtId="183" fontId="17" fillId="0" borderId="0" xfId="0" applyNumberFormat="1" applyFont="1"/>
    <xf numFmtId="175" fontId="17" fillId="0" borderId="0" xfId="0" applyNumberFormat="1" applyFont="1"/>
    <xf numFmtId="10" fontId="21" fillId="0" borderId="0" xfId="0" applyNumberFormat="1" applyFont="1"/>
    <xf numFmtId="174" fontId="17" fillId="0" borderId="0" xfId="0" applyNumberFormat="1" applyFont="1" applyAlignment="1">
      <alignment horizontal="right"/>
    </xf>
    <xf numFmtId="179" fontId="19" fillId="0" borderId="0" xfId="0" applyNumberFormat="1" applyFont="1" applyAlignment="1">
      <alignment horizontal="right"/>
    </xf>
    <xf numFmtId="168" fontId="17" fillId="0" borderId="0" xfId="0" applyNumberFormat="1" applyFont="1"/>
    <xf numFmtId="168" fontId="17" fillId="0" borderId="0" xfId="0" applyNumberFormat="1" applyFont="1" applyAlignment="1">
      <alignment horizontal="right"/>
    </xf>
    <xf numFmtId="0" fontId="17" fillId="0" borderId="22" xfId="0" applyFont="1" applyBorder="1"/>
    <xf numFmtId="8" fontId="21" fillId="0" borderId="23" xfId="0" applyNumberFormat="1" applyFont="1" applyBorder="1" applyAlignment="1">
      <alignment horizontal="right"/>
    </xf>
    <xf numFmtId="0" fontId="17" fillId="0" borderId="14" xfId="0" applyFont="1" applyBorder="1" applyAlignment="1">
      <alignment horizontal="left"/>
    </xf>
    <xf numFmtId="176" fontId="17" fillId="0" borderId="0" xfId="0" applyNumberFormat="1" applyFont="1" applyAlignment="1">
      <alignment horizontal="right"/>
    </xf>
    <xf numFmtId="10" fontId="17" fillId="0" borderId="21" xfId="0" applyNumberFormat="1" applyFont="1" applyBorder="1"/>
    <xf numFmtId="8" fontId="21" fillId="0" borderId="0" xfId="0" applyNumberFormat="1" applyFont="1" applyAlignment="1">
      <alignment horizontal="right"/>
    </xf>
    <xf numFmtId="0" fontId="17" fillId="0" borderId="0" xfId="0" applyFont="1" applyAlignment="1">
      <alignment horizontal="center"/>
    </xf>
    <xf numFmtId="0" fontId="18" fillId="0" borderId="0" xfId="0" applyFont="1"/>
    <xf numFmtId="44" fontId="14" fillId="0" borderId="0" xfId="0" applyNumberFormat="1" applyFont="1"/>
    <xf numFmtId="8" fontId="17" fillId="0" borderId="0" xfId="0" applyNumberFormat="1" applyFont="1" applyAlignment="1">
      <alignment horizontal="center"/>
    </xf>
    <xf numFmtId="167" fontId="30" fillId="8" borderId="0" xfId="0" applyNumberFormat="1" applyFont="1" applyFill="1"/>
    <xf numFmtId="167" fontId="31" fillId="8" borderId="0" xfId="0" applyNumberFormat="1" applyFont="1" applyFill="1"/>
    <xf numFmtId="0" fontId="0" fillId="0" borderId="0" xfId="0" applyAlignment="1">
      <alignment horizontal="center" vertical="center"/>
    </xf>
    <xf numFmtId="10" fontId="30" fillId="8" borderId="0" xfId="0" applyNumberFormat="1" applyFont="1" applyFill="1"/>
    <xf numFmtId="44" fontId="17" fillId="0" borderId="0" xfId="0" applyNumberFormat="1" applyFont="1"/>
    <xf numFmtId="0" fontId="32" fillId="0" borderId="0" xfId="0" applyFont="1"/>
    <xf numFmtId="10" fontId="31" fillId="8" borderId="0" xfId="0" applyNumberFormat="1" applyFont="1" applyFill="1"/>
    <xf numFmtId="8" fontId="21" fillId="0" borderId="24" xfId="0" applyNumberFormat="1" applyFont="1" applyBorder="1"/>
    <xf numFmtId="184" fontId="32" fillId="0" borderId="0" xfId="0" applyNumberFormat="1" applyFont="1"/>
    <xf numFmtId="176" fontId="32" fillId="0" borderId="0" xfId="0" applyNumberFormat="1" applyFont="1"/>
    <xf numFmtId="10" fontId="32" fillId="0" borderId="0" xfId="0" applyNumberFormat="1" applyFont="1"/>
    <xf numFmtId="172" fontId="32" fillId="0" borderId="0" xfId="0" applyNumberFormat="1" applyFont="1"/>
    <xf numFmtId="174" fontId="32" fillId="0" borderId="0" xfId="0" applyNumberFormat="1" applyFont="1"/>
    <xf numFmtId="7" fontId="32" fillId="0" borderId="0" xfId="0" applyNumberFormat="1" applyFont="1"/>
    <xf numFmtId="0" fontId="5" fillId="0" borderId="7" xfId="0" applyFont="1" applyBorder="1" applyAlignment="1"/>
    <xf numFmtId="0" fontId="0" fillId="0" borderId="12" xfId="0" applyFont="1" applyBorder="1" applyAlignment="1">
      <alignment horizontal="center"/>
    </xf>
    <xf numFmtId="0" fontId="21" fillId="0" borderId="0" xfId="0" applyFont="1" applyBorder="1" applyAlignment="1">
      <alignment horizontal="center"/>
    </xf>
    <xf numFmtId="171" fontId="21" fillId="0" borderId="13" xfId="0" applyNumberFormat="1" applyFont="1" applyBorder="1"/>
    <xf numFmtId="171" fontId="21" fillId="0" borderId="25" xfId="0" applyNumberFormat="1" applyFont="1" applyBorder="1"/>
    <xf numFmtId="0" fontId="21" fillId="5" borderId="1" xfId="0" applyFont="1" applyFill="1" applyBorder="1" applyAlignment="1">
      <alignment horizontal="center"/>
    </xf>
    <xf numFmtId="0" fontId="22" fillId="6" borderId="3" xfId="0" applyFont="1" applyFill="1" applyBorder="1"/>
    <xf numFmtId="0" fontId="22" fillId="6" borderId="2" xfId="0" applyFont="1" applyFill="1" applyBorder="1"/>
    <xf numFmtId="0" fontId="34" fillId="3" borderId="0" xfId="0" applyFont="1" applyFill="1"/>
    <xf numFmtId="165" fontId="0" fillId="9" borderId="0" xfId="0" applyNumberFormat="1" applyFill="1" applyAlignment="1"/>
    <xf numFmtId="164" fontId="0" fillId="9" borderId="0" xfId="0" applyNumberFormat="1" applyFill="1" applyAlignment="1"/>
    <xf numFmtId="44" fontId="15" fillId="10" borderId="0" xfId="1" applyFont="1" applyFill="1" applyBorder="1" applyAlignment="1">
      <alignment horizontal="right" vertical="top" readingOrder="1"/>
    </xf>
    <xf numFmtId="14" fontId="15" fillId="10" borderId="0" xfId="0" applyNumberFormat="1" applyFont="1" applyFill="1" applyAlignment="1">
      <alignment horizontal="right" vertical="top" readingOrder="1"/>
    </xf>
    <xf numFmtId="169" fontId="15" fillId="10" borderId="0" xfId="0" applyNumberFormat="1" applyFont="1" applyFill="1" applyAlignment="1">
      <alignment horizontal="right" vertical="top" readingOrder="1"/>
    </xf>
    <xf numFmtId="173" fontId="23" fillId="10" borderId="0" xfId="0" applyNumberFormat="1" applyFont="1" applyFill="1"/>
    <xf numFmtId="174" fontId="23" fillId="10" borderId="0" xfId="0" applyNumberFormat="1" applyFont="1" applyFill="1"/>
    <xf numFmtId="172" fontId="23" fillId="10" borderId="0" xfId="0" applyNumberFormat="1" applyFont="1" applyFill="1" applyAlignment="1">
      <alignment horizontal="right" vertical="center"/>
    </xf>
    <xf numFmtId="176" fontId="23" fillId="10" borderId="0" xfId="0" applyNumberFormat="1" applyFont="1" applyFill="1" applyAlignment="1">
      <alignment horizontal="right" vertical="center"/>
    </xf>
    <xf numFmtId="167" fontId="26" fillId="10" borderId="0" xfId="0" applyNumberFormat="1" applyFont="1" applyFill="1"/>
    <xf numFmtId="10" fontId="23" fillId="10" borderId="0" xfId="0" applyNumberFormat="1" applyFont="1" applyFill="1" applyAlignment="1">
      <alignment horizontal="right"/>
    </xf>
    <xf numFmtId="167" fontId="23" fillId="10" borderId="0" xfId="0" applyNumberFormat="1" applyFont="1" applyFill="1" applyAlignment="1">
      <alignment horizontal="right"/>
    </xf>
    <xf numFmtId="182" fontId="17" fillId="9" borderId="0" xfId="0" applyNumberFormat="1" applyFont="1" applyFill="1"/>
    <xf numFmtId="10" fontId="17" fillId="9" borderId="0" xfId="0" applyNumberFormat="1" applyFont="1" applyFill="1"/>
    <xf numFmtId="0" fontId="17" fillId="9" borderId="0" xfId="0" applyFont="1" applyFill="1"/>
    <xf numFmtId="44" fontId="17" fillId="9" borderId="0" xfId="0" applyNumberFormat="1" applyFont="1" applyFill="1"/>
    <xf numFmtId="0" fontId="35" fillId="0" borderId="2" xfId="0" applyFont="1" applyBorder="1" applyAlignment="1">
      <alignment horizontal="right"/>
    </xf>
    <xf numFmtId="0" fontId="0" fillId="0" borderId="5" xfId="0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4094311-FC78-421C-B262-42879F1917EF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29"/>
  <sheetViews>
    <sheetView zoomScaleNormal="100" workbookViewId="0">
      <selection activeCell="C8" sqref="C8"/>
    </sheetView>
  </sheetViews>
  <sheetFormatPr defaultColWidth="11" defaultRowHeight="15.75" x14ac:dyDescent="0.25"/>
  <cols>
    <col min="1" max="1" width="1.875" customWidth="1"/>
    <col min="3" max="3" width="22.125" style="1" customWidth="1"/>
    <col min="4" max="4" width="2.875" style="1" customWidth="1"/>
    <col min="5" max="5" width="20.5" style="1" customWidth="1"/>
    <col min="6" max="6" width="69.625" style="1" customWidth="1"/>
    <col min="7" max="7" width="38.875" style="1" customWidth="1"/>
    <col min="8" max="8" width="13.5" style="1" customWidth="1"/>
    <col min="9" max="9" width="16.125" style="1" customWidth="1"/>
    <col min="10" max="10" width="14" style="1" customWidth="1"/>
  </cols>
  <sheetData>
    <row r="1" spans="2:9" ht="9" customHeight="1" x14ac:dyDescent="0.25"/>
    <row r="2" spans="2:9" ht="15.75" customHeight="1" x14ac:dyDescent="0.25">
      <c r="B2" s="2" t="s">
        <v>0</v>
      </c>
      <c r="C2" s="205" t="s">
        <v>330</v>
      </c>
      <c r="E2" s="3" t="s">
        <v>1</v>
      </c>
      <c r="F2" s="4" t="s">
        <v>2</v>
      </c>
      <c r="G2" s="4" t="s">
        <v>3</v>
      </c>
      <c r="H2" s="4" t="s">
        <v>4</v>
      </c>
      <c r="I2" s="5" t="s">
        <v>5</v>
      </c>
    </row>
    <row r="3" spans="2:9" ht="15.75" customHeight="1" x14ac:dyDescent="0.25">
      <c r="B3" s="1" t="s">
        <v>6</v>
      </c>
      <c r="C3" s="190">
        <v>1215.02</v>
      </c>
      <c r="E3" s="7" t="s">
        <v>7</v>
      </c>
      <c r="F3" s="8" t="str">
        <f>Mounjaro!C4</f>
        <v>Type 2 Diabetes</v>
      </c>
      <c r="G3" s="8" t="str">
        <f>Mounjaro!C5</f>
        <v>Dual GIP/GLP-1 Receptor Agonist</v>
      </c>
      <c r="H3" s="9">
        <v>1</v>
      </c>
      <c r="I3" s="10">
        <v>44694</v>
      </c>
    </row>
    <row r="4" spans="2:9" ht="15.75" customHeight="1" x14ac:dyDescent="0.25">
      <c r="B4" s="1" t="s">
        <v>8</v>
      </c>
      <c r="C4" s="189">
        <v>893.7</v>
      </c>
      <c r="E4" s="7" t="s">
        <v>9</v>
      </c>
      <c r="F4" s="8" t="str">
        <f>Zepbound!C4</f>
        <v>Obesity &amp; Obstructive Sleep Apnea</v>
      </c>
      <c r="G4" s="8" t="str">
        <f>Zepbound!C5</f>
        <v>Dual GIP/GLP-1 Receptor Agonist</v>
      </c>
      <c r="H4" s="9">
        <v>1</v>
      </c>
      <c r="I4" s="10">
        <v>45238</v>
      </c>
    </row>
    <row r="5" spans="2:9" ht="15.75" customHeight="1" x14ac:dyDescent="0.25">
      <c r="B5" s="1" t="s">
        <v>10</v>
      </c>
      <c r="C5" s="6">
        <f>C3*C4</f>
        <v>1085863.3740000001</v>
      </c>
      <c r="E5" s="7" t="s">
        <v>11</v>
      </c>
      <c r="F5" s="8" t="str">
        <f>Trulicity!C4</f>
        <v>Type-2 Diabetes</v>
      </c>
      <c r="G5" s="8" t="str">
        <f>Trulicity!C5</f>
        <v>GLP-1 Agonist</v>
      </c>
      <c r="H5" s="9">
        <v>1</v>
      </c>
      <c r="I5" s="10">
        <v>41900</v>
      </c>
    </row>
    <row r="6" spans="2:9" ht="15.75" customHeight="1" x14ac:dyDescent="0.25">
      <c r="B6" s="1" t="s">
        <v>12</v>
      </c>
      <c r="C6" s="190">
        <v>8950</v>
      </c>
      <c r="E6" s="7" t="s">
        <v>13</v>
      </c>
      <c r="F6" s="8" t="str">
        <f>Retatrutide!C4</f>
        <v xml:space="preserve">Obesity &amp; Type 2 Diabetes </v>
      </c>
      <c r="G6" s="8" t="str">
        <f>Retatrutide!C5</f>
        <v>GIP / GLP-1 / Glucagon Triple Receptor Agonist</v>
      </c>
      <c r="H6" s="9">
        <v>1</v>
      </c>
      <c r="I6" s="12" t="s">
        <v>14</v>
      </c>
    </row>
    <row r="7" spans="2:9" ht="15.75" customHeight="1" x14ac:dyDescent="0.25">
      <c r="B7" s="1" t="s">
        <v>15</v>
      </c>
      <c r="C7" s="190">
        <f>7050+47858</f>
        <v>54908</v>
      </c>
      <c r="E7" s="7" t="s">
        <v>16</v>
      </c>
      <c r="F7" s="8" t="str">
        <f>Foundayo!C4</f>
        <v>Obesity / Chronic Weight Management</v>
      </c>
      <c r="G7" s="8" t="str">
        <f>Foundayo!C5</f>
        <v>GLP-1 Receptor Agonist (oral, nonpeptide)</v>
      </c>
      <c r="H7" s="9">
        <v>1</v>
      </c>
      <c r="I7" s="10">
        <v>46113</v>
      </c>
    </row>
    <row r="8" spans="2:9" ht="15.75" customHeight="1" x14ac:dyDescent="0.25">
      <c r="B8" s="1" t="s">
        <v>17</v>
      </c>
      <c r="C8" s="6">
        <f>C5+C7-C6</f>
        <v>1131821.3740000001</v>
      </c>
      <c r="E8" s="7" t="s">
        <v>18</v>
      </c>
      <c r="F8" s="8" t="str">
        <f>Basaglar!C4</f>
        <v>Type 1 and Type 2 Diabetes</v>
      </c>
      <c r="G8" s="8" t="str">
        <f>Basaglar!C5</f>
        <v>Long-Acting Insulin</v>
      </c>
      <c r="H8" s="9">
        <v>1</v>
      </c>
      <c r="I8" s="10">
        <f>DATE(2015,12,16)</f>
        <v>42354</v>
      </c>
    </row>
    <row r="9" spans="2:9" ht="15.75" customHeight="1" x14ac:dyDescent="0.25">
      <c r="E9" s="7" t="s">
        <v>19</v>
      </c>
      <c r="F9" s="8" t="str">
        <f>Humalog!C4</f>
        <v>Type 1 and Type 2 Diabetes</v>
      </c>
      <c r="G9" s="8" t="str">
        <f>Humalog!C5</f>
        <v>Rapid-Acting Insulin</v>
      </c>
      <c r="H9" s="9">
        <v>1</v>
      </c>
      <c r="I9" s="10">
        <v>35230</v>
      </c>
    </row>
    <row r="10" spans="2:9" ht="15.75" customHeight="1" x14ac:dyDescent="0.25">
      <c r="E10" s="7" t="s">
        <v>20</v>
      </c>
      <c r="F10" s="8" t="str">
        <f>Humulin!C4</f>
        <v>Type 1 and Type 2 Diabetes</v>
      </c>
      <c r="G10" s="8" t="str">
        <f>Humulin!C5</f>
        <v>Insulin (short- and intermediate-acting)</v>
      </c>
      <c r="H10" s="9">
        <v>1</v>
      </c>
      <c r="I10" s="10">
        <f>DATE(1982,10,28)</f>
        <v>30252</v>
      </c>
    </row>
    <row r="11" spans="2:9" ht="15.75" customHeight="1" x14ac:dyDescent="0.25">
      <c r="E11" s="7" t="s">
        <v>21</v>
      </c>
      <c r="F11" s="8" t="str">
        <f>Jardiance!C4</f>
        <v>Type 2 Diabetes &amp; Heart Failure</v>
      </c>
      <c r="G11" s="8" t="str">
        <f>Jardiance!C5</f>
        <v>SGLT2 Inhibitors</v>
      </c>
      <c r="H11" s="13" t="s">
        <v>22</v>
      </c>
      <c r="I11" s="10">
        <v>41852</v>
      </c>
    </row>
    <row r="12" spans="2:9" ht="15.75" customHeight="1" x14ac:dyDescent="0.25">
      <c r="E12" s="7" t="s">
        <v>23</v>
      </c>
      <c r="F12" s="8" t="str">
        <f>Verzenio!C4</f>
        <v>Breast Cancer</v>
      </c>
      <c r="G12" s="8" t="str">
        <f>Verzenio!C5</f>
        <v>CDK4/6 inhibitors</v>
      </c>
      <c r="H12" s="9">
        <v>1</v>
      </c>
      <c r="I12" s="10">
        <v>43006</v>
      </c>
    </row>
    <row r="13" spans="2:9" ht="15.75" customHeight="1" x14ac:dyDescent="0.25">
      <c r="E13" s="7" t="s">
        <v>24</v>
      </c>
      <c r="F13" s="8" t="str">
        <f>Cyramza!C4</f>
        <v>Gastric, NSCLC, and Colorectal Cancer</v>
      </c>
      <c r="G13" s="8" t="str">
        <f>Cyramza!C5</f>
        <v>VEGFR2 Antagonist (Monoclonal Antibody)</v>
      </c>
      <c r="H13" s="9">
        <v>1</v>
      </c>
      <c r="I13" s="10">
        <f>DATE(2014,4,21)</f>
        <v>41750</v>
      </c>
    </row>
    <row r="14" spans="2:9" ht="15.75" customHeight="1" x14ac:dyDescent="0.25">
      <c r="E14" s="7" t="s">
        <v>25</v>
      </c>
      <c r="F14" s="8" t="str">
        <f>Erbitux!C4</f>
        <v>Colorectal and Head &amp; Neck Cancer</v>
      </c>
      <c r="G14" s="8" t="str">
        <f>Erbitux!C5</f>
        <v>EGFR Inhibitor (Monoclonal Antibody)</v>
      </c>
      <c r="H14" s="13" t="s">
        <v>26</v>
      </c>
      <c r="I14" s="10">
        <f>DATE(2004,2,12)</f>
        <v>38029</v>
      </c>
    </row>
    <row r="15" spans="2:9" ht="15.75" customHeight="1" x14ac:dyDescent="0.25">
      <c r="E15" s="7" t="s">
        <v>27</v>
      </c>
      <c r="F15" s="8" t="str">
        <f>Retevmo!C4</f>
        <v>RET-Altered NSCLC and Thyroid Cancer</v>
      </c>
      <c r="G15" s="8" t="str">
        <f>Retevmo!C5</f>
        <v>RET Kinase Inhibitor</v>
      </c>
      <c r="H15" s="9">
        <v>1</v>
      </c>
      <c r="I15" s="10">
        <f>DATE(2020,5,8)</f>
        <v>43959</v>
      </c>
    </row>
    <row r="16" spans="2:9" ht="15.75" customHeight="1" x14ac:dyDescent="0.25">
      <c r="E16" s="7" t="s">
        <v>28</v>
      </c>
      <c r="F16" s="8" t="str">
        <f>Tyvyt!C4</f>
        <v>Hodgkin Lymphoma, NSCLC &amp; other cancers (approved in China; not FDA-approved)</v>
      </c>
      <c r="G16" s="8" t="str">
        <f>Tyvyt!C5</f>
        <v>PD-1 Inhibitor (Monoclonal Antibody)</v>
      </c>
      <c r="H16" s="13" t="s">
        <v>26</v>
      </c>
      <c r="I16" s="14" t="s">
        <v>29</v>
      </c>
    </row>
    <row r="17" spans="4:9" ht="15.75" customHeight="1" x14ac:dyDescent="0.25">
      <c r="E17" s="7" t="s">
        <v>30</v>
      </c>
      <c r="F17" s="8" t="str">
        <f>Jaypirca!C4</f>
        <v>Non-Hodgkin Lymphoma</v>
      </c>
      <c r="G17" s="8" t="str">
        <f>Jaypirca!C5</f>
        <v>Bruton’s tyrosine kinase (BTK) inhibitor</v>
      </c>
      <c r="H17" s="9">
        <v>1</v>
      </c>
      <c r="I17" s="10">
        <v>44953</v>
      </c>
    </row>
    <row r="18" spans="4:9" ht="15.75" customHeight="1" x14ac:dyDescent="0.25">
      <c r="E18" s="7" t="s">
        <v>31</v>
      </c>
      <c r="F18" s="8" t="str">
        <f>Inluriyo!C4</f>
        <v>Breast Cancer</v>
      </c>
      <c r="G18" s="8" t="str">
        <f>Inluriyo!C5</f>
        <v>Estrogen Antagonist</v>
      </c>
      <c r="H18" s="9">
        <v>1</v>
      </c>
      <c r="I18" s="10">
        <v>45925</v>
      </c>
    </row>
    <row r="19" spans="4:9" ht="15.75" customHeight="1" x14ac:dyDescent="0.25">
      <c r="E19" s="7" t="s">
        <v>32</v>
      </c>
      <c r="F19" s="8" t="str">
        <f>Ebglyss!C4</f>
        <v>Eczema</v>
      </c>
      <c r="G19" s="8" t="str">
        <f>Ebglyss!C5</f>
        <v>interleukin-13 antagonist</v>
      </c>
      <c r="H19" s="9">
        <v>1</v>
      </c>
      <c r="I19" s="10">
        <v>45548</v>
      </c>
    </row>
    <row r="20" spans="4:9" ht="15.75" customHeight="1" x14ac:dyDescent="0.25">
      <c r="E20" s="7" t="s">
        <v>33</v>
      </c>
      <c r="F20" s="8" t="str">
        <f>Olumiant!C4</f>
        <v>Rheumatoid Arthritis, Alopecia Areata, COVID-19</v>
      </c>
      <c r="G20" s="8" t="str">
        <f>Olumiant!C5</f>
        <v>JAK (Janus Kinase) Inhibitor</v>
      </c>
      <c r="H20" s="9">
        <v>1</v>
      </c>
      <c r="I20" s="10">
        <f>DATE(2018,5,31)</f>
        <v>43251</v>
      </c>
    </row>
    <row r="21" spans="4:9" ht="15.75" customHeight="1" x14ac:dyDescent="0.25">
      <c r="E21" s="7" t="s">
        <v>34</v>
      </c>
      <c r="F21" s="8" t="str">
        <f>Omvoh!C4</f>
        <v>Crohn's Disease &amp; Ulcerative Colitis</v>
      </c>
      <c r="G21" s="8" t="str">
        <f>Omvoh!C5</f>
        <v>interleukin-23 antagonist</v>
      </c>
      <c r="H21" s="9">
        <v>1</v>
      </c>
      <c r="I21" s="10">
        <v>45225</v>
      </c>
    </row>
    <row r="22" spans="4:9" ht="15.75" customHeight="1" x14ac:dyDescent="0.25">
      <c r="E22" s="7" t="s">
        <v>35</v>
      </c>
      <c r="F22" s="8" t="str">
        <f>Taltz!C4</f>
        <v>Plaque Psoriasis &amp; Psoriatic Arthritis</v>
      </c>
      <c r="G22" s="8" t="str">
        <f>Taltz!C5</f>
        <v>interleukin antagonist</v>
      </c>
      <c r="H22" s="9">
        <v>1</v>
      </c>
      <c r="I22" s="10">
        <v>42451</v>
      </c>
    </row>
    <row r="23" spans="4:9" ht="15.75" customHeight="1" x14ac:dyDescent="0.25">
      <c r="E23" s="7" t="s">
        <v>36</v>
      </c>
      <c r="F23" s="8" t="str">
        <f>Emgality!C4</f>
        <v>Migraine Prevention and Cluster Headache</v>
      </c>
      <c r="G23" s="8" t="str">
        <f>Emgality!C5</f>
        <v>CGRP Antagonist (Monoclonal Antibody)</v>
      </c>
      <c r="H23" s="9">
        <v>1</v>
      </c>
      <c r="I23" s="10">
        <f>DATE(2018,9,27)</f>
        <v>43370</v>
      </c>
    </row>
    <row r="24" spans="4:9" ht="15.75" customHeight="1" x14ac:dyDescent="0.25">
      <c r="E24" s="15" t="s">
        <v>37</v>
      </c>
      <c r="F24" s="16" t="str">
        <f>Kisunla!C4</f>
        <v>Alzheimer's Disease</v>
      </c>
      <c r="G24" s="16" t="str">
        <f>Kisunla!C5</f>
        <v>amyloid beta-directed antibody</v>
      </c>
      <c r="H24" s="17">
        <v>1</v>
      </c>
      <c r="I24" s="18">
        <v>45475</v>
      </c>
    </row>
    <row r="26" spans="4:9" ht="15.75" customHeight="1" x14ac:dyDescent="0.25">
      <c r="E26" s="19"/>
      <c r="F26" s="8"/>
      <c r="G26" s="8"/>
    </row>
    <row r="28" spans="4:9" ht="15.75" customHeight="1" x14ac:dyDescent="0.25">
      <c r="D28" s="8"/>
    </row>
    <row r="29" spans="4:9" ht="15.75" customHeight="1" x14ac:dyDescent="0.25">
      <c r="D29" s="8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N255"/>
  <sheetViews>
    <sheetView topLeftCell="A33" zoomScale="90" zoomScaleNormal="90" workbookViewId="0">
      <pane xSplit="2" topLeftCell="C1" activePane="topRight" state="frozen"/>
      <selection activeCell="A135" sqref="A135"/>
      <selection pane="topRight" activeCell="B70" sqref="B70"/>
    </sheetView>
  </sheetViews>
  <sheetFormatPr defaultColWidth="11" defaultRowHeight="15.75" x14ac:dyDescent="0.25"/>
  <cols>
    <col min="1" max="1" width="2.375" style="1" customWidth="1"/>
    <col min="2" max="2" width="47.125" style="1" customWidth="1"/>
    <col min="3" max="21" width="13.5" style="1" customWidth="1"/>
    <col min="22" max="32" width="13.375" style="1" customWidth="1"/>
    <col min="33" max="39" width="13.125" style="1" customWidth="1"/>
    <col min="40" max="92" width="12.5" style="1" customWidth="1"/>
  </cols>
  <sheetData>
    <row r="1" spans="2:20" ht="9.75" customHeight="1" x14ac:dyDescent="0.25"/>
    <row r="2" spans="2:20" ht="34.5" customHeight="1" x14ac:dyDescent="0.4">
      <c r="B2" s="20" t="s">
        <v>38</v>
      </c>
      <c r="C2" s="20"/>
    </row>
    <row r="4" spans="2:20" ht="16.5" customHeight="1" x14ac:dyDescent="0.25">
      <c r="B4" s="21" t="s">
        <v>327</v>
      </c>
      <c r="C4" s="22" t="s">
        <v>39</v>
      </c>
      <c r="D4" s="22" t="s">
        <v>40</v>
      </c>
      <c r="E4" s="22" t="s">
        <v>41</v>
      </c>
      <c r="F4" s="22" t="s">
        <v>42</v>
      </c>
      <c r="G4" s="22" t="s">
        <v>43</v>
      </c>
      <c r="H4" s="22" t="s">
        <v>44</v>
      </c>
      <c r="I4" s="22" t="s">
        <v>45</v>
      </c>
      <c r="J4" s="22" t="s">
        <v>46</v>
      </c>
      <c r="K4" s="22" t="s">
        <v>47</v>
      </c>
      <c r="L4" s="22" t="s">
        <v>48</v>
      </c>
      <c r="M4" s="22" t="s">
        <v>49</v>
      </c>
      <c r="N4" s="22" t="s">
        <v>50</v>
      </c>
      <c r="O4" s="22" t="s">
        <v>51</v>
      </c>
      <c r="P4" s="22" t="s">
        <v>52</v>
      </c>
      <c r="Q4" s="22" t="s">
        <v>53</v>
      </c>
      <c r="R4" s="22" t="s">
        <v>54</v>
      </c>
      <c r="S4" s="22" t="s">
        <v>55</v>
      </c>
      <c r="T4" s="22" t="s">
        <v>56</v>
      </c>
    </row>
    <row r="5" spans="2:20" ht="15.75" customHeight="1" x14ac:dyDescent="0.25">
      <c r="B5" s="23" t="s">
        <v>57</v>
      </c>
      <c r="C5" s="24">
        <f>SUM(C6:C14)</f>
        <v>3243.6</v>
      </c>
      <c r="D5" s="24">
        <f>SUM(D6:D14)</f>
        <v>3268.2</v>
      </c>
      <c r="E5" s="24">
        <f>SUM(E6:E14)</f>
        <v>3489.2</v>
      </c>
      <c r="F5" s="24">
        <f>SUM(F6:F14)</f>
        <v>3811.7</v>
      </c>
      <c r="G5" s="24">
        <f>SUM(G6:G14)</f>
        <v>4045.3</v>
      </c>
      <c r="H5" s="24">
        <f>SUM(H6:H14)</f>
        <v>4260.3999999999996</v>
      </c>
      <c r="I5" s="24">
        <f>SUM(I6:I14)</f>
        <v>4565.3999999999996</v>
      </c>
      <c r="J5" s="24">
        <f>SUM(J6:J14)</f>
        <v>5588.7000000000007</v>
      </c>
      <c r="K5" s="24">
        <f>SUM(K6:K14)</f>
        <v>5369.2</v>
      </c>
      <c r="L5" s="24">
        <f>SUM(L6:L14)</f>
        <v>7858.8000000000011</v>
      </c>
      <c r="M5" s="24">
        <f>SUM(M6:M14)</f>
        <v>7261.6</v>
      </c>
      <c r="N5" s="24">
        <f>SUM(N6:N14)</f>
        <v>8962.6999999999989</v>
      </c>
      <c r="O5" s="24">
        <f>SUM(O6:O14)</f>
        <v>9147</v>
      </c>
      <c r="P5" s="24">
        <f>SUM(P6:P14)</f>
        <v>11185.800000000001</v>
      </c>
      <c r="Q5" s="24">
        <f>SUM(Q6:Q14)</f>
        <v>13051.800000000001</v>
      </c>
      <c r="R5" s="24">
        <f>SUM(R6:R14)</f>
        <v>14526.3</v>
      </c>
      <c r="S5" s="24">
        <f>SUM(S6:S14)</f>
        <v>15790.900000000001</v>
      </c>
      <c r="T5" s="24">
        <f>SUM(T6:T14)</f>
        <v>18126</v>
      </c>
    </row>
    <row r="6" spans="2:20" ht="15.75" customHeight="1" x14ac:dyDescent="0.25">
      <c r="B6" s="1" t="s">
        <v>7</v>
      </c>
      <c r="C6" s="25"/>
      <c r="D6" s="25"/>
      <c r="E6" s="26">
        <v>187.3</v>
      </c>
      <c r="F6" s="26">
        <v>279.2</v>
      </c>
      <c r="G6" s="26">
        <v>568.5</v>
      </c>
      <c r="H6" s="26">
        <v>979.7</v>
      </c>
      <c r="I6" s="26">
        <v>1409.3</v>
      </c>
      <c r="J6" s="26">
        <v>2205.6</v>
      </c>
      <c r="K6" s="26">
        <v>1806.5</v>
      </c>
      <c r="L6" s="26">
        <v>3090.8</v>
      </c>
      <c r="M6" s="26">
        <v>3112.7</v>
      </c>
      <c r="N6" s="26">
        <v>3530</v>
      </c>
      <c r="O6" s="26">
        <v>3842</v>
      </c>
      <c r="P6" s="26">
        <v>5198.8999999999996</v>
      </c>
      <c r="Q6" s="26">
        <v>6515.1</v>
      </c>
      <c r="R6" s="26">
        <v>7409</v>
      </c>
      <c r="S6" s="26">
        <v>8662</v>
      </c>
      <c r="T6" s="26">
        <v>9943</v>
      </c>
    </row>
    <row r="7" spans="2:20" ht="15.75" customHeight="1" x14ac:dyDescent="0.25">
      <c r="B7" s="1" t="s">
        <v>9</v>
      </c>
      <c r="C7" s="25"/>
      <c r="D7" s="25"/>
      <c r="E7" s="25"/>
      <c r="F7" s="25"/>
      <c r="G7" s="25"/>
      <c r="H7" s="25"/>
      <c r="I7" s="25"/>
      <c r="J7" s="26">
        <v>175.8</v>
      </c>
      <c r="K7" s="26">
        <v>517.4</v>
      </c>
      <c r="L7" s="26">
        <v>1243.2</v>
      </c>
      <c r="M7" s="26">
        <v>1257.8</v>
      </c>
      <c r="N7" s="26">
        <v>1907</v>
      </c>
      <c r="O7" s="26">
        <v>2312</v>
      </c>
      <c r="P7" s="26">
        <v>3381.4</v>
      </c>
      <c r="Q7" s="26">
        <v>3588</v>
      </c>
      <c r="R7" s="26">
        <v>4261</v>
      </c>
      <c r="S7" s="26">
        <v>4160</v>
      </c>
      <c r="T7" s="26">
        <v>4928</v>
      </c>
    </row>
    <row r="8" spans="2:20" ht="15.75" customHeight="1" x14ac:dyDescent="0.25">
      <c r="B8" s="1" t="s">
        <v>11</v>
      </c>
      <c r="C8" s="26">
        <v>1741.3</v>
      </c>
      <c r="D8" s="26">
        <v>1911.9</v>
      </c>
      <c r="E8" s="26">
        <v>1850.4</v>
      </c>
      <c r="F8" s="26">
        <v>1936.2</v>
      </c>
      <c r="G8" s="26">
        <v>1977.1</v>
      </c>
      <c r="H8" s="26">
        <v>1812.5</v>
      </c>
      <c r="I8" s="26">
        <v>1673.6</v>
      </c>
      <c r="J8" s="26">
        <v>1669.3</v>
      </c>
      <c r="K8" s="26">
        <v>1456.3</v>
      </c>
      <c r="L8" s="26">
        <v>1245.5999999999999</v>
      </c>
      <c r="M8" s="26">
        <v>1301.4000000000001</v>
      </c>
      <c r="N8" s="26">
        <v>1250.2</v>
      </c>
      <c r="O8" s="26">
        <v>1095</v>
      </c>
      <c r="P8" s="26">
        <v>1092.2</v>
      </c>
      <c r="Q8" s="26">
        <v>1051.8</v>
      </c>
      <c r="R8" s="26">
        <f>4276-Q8-P8-O8</f>
        <v>1037</v>
      </c>
      <c r="S8" s="26">
        <v>919</v>
      </c>
      <c r="T8" s="26">
        <v>1219</v>
      </c>
    </row>
    <row r="9" spans="2:20" ht="15.75" customHeight="1" x14ac:dyDescent="0.25">
      <c r="B9" s="27" t="s">
        <v>13</v>
      </c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</row>
    <row r="10" spans="2:20" ht="15.75" customHeight="1" x14ac:dyDescent="0.25">
      <c r="B10" s="1" t="s">
        <v>16</v>
      </c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6">
        <v>98</v>
      </c>
    </row>
    <row r="11" spans="2:20" ht="15.75" customHeight="1" x14ac:dyDescent="0.25">
      <c r="B11" s="1" t="s">
        <v>18</v>
      </c>
      <c r="C11" s="26">
        <v>191.5</v>
      </c>
      <c r="D11" s="26">
        <v>174.2</v>
      </c>
      <c r="E11" s="26">
        <v>193</v>
      </c>
      <c r="F11" s="26">
        <v>201.7</v>
      </c>
      <c r="G11" s="26">
        <v>209.3</v>
      </c>
      <c r="H11" s="26">
        <v>154.19999999999999</v>
      </c>
      <c r="I11" s="26">
        <v>179.6</v>
      </c>
      <c r="J11" s="26">
        <f>728.3-I11-H11-G11</f>
        <v>185.19999999999993</v>
      </c>
      <c r="K11" s="26">
        <v>157.6</v>
      </c>
      <c r="L11" s="26">
        <v>180.8</v>
      </c>
      <c r="M11" s="26">
        <v>161.6</v>
      </c>
      <c r="N11" s="26">
        <v>176.9</v>
      </c>
      <c r="O11" s="26">
        <v>173.6</v>
      </c>
      <c r="P11" s="26">
        <v>145</v>
      </c>
      <c r="Q11" s="26">
        <v>162.19999999999999</v>
      </c>
      <c r="R11" s="26">
        <f>+N11</f>
        <v>176.9</v>
      </c>
      <c r="S11" s="26">
        <f>+O11-10</f>
        <v>163.6</v>
      </c>
      <c r="T11" s="26">
        <v>143</v>
      </c>
    </row>
    <row r="12" spans="2:20" ht="15.75" customHeight="1" x14ac:dyDescent="0.25">
      <c r="B12" s="1" t="s">
        <v>19</v>
      </c>
      <c r="C12" s="26">
        <v>618.20000000000005</v>
      </c>
      <c r="D12" s="26">
        <v>447.1</v>
      </c>
      <c r="E12" s="26">
        <v>447</v>
      </c>
      <c r="F12" s="26">
        <v>548.29999999999995</v>
      </c>
      <c r="G12" s="26">
        <v>460.9</v>
      </c>
      <c r="H12" s="26">
        <v>440.4</v>
      </c>
      <c r="I12" s="26">
        <v>395.4</v>
      </c>
      <c r="J12" s="26">
        <v>366.6</v>
      </c>
      <c r="K12" s="26">
        <v>538.70000000000005</v>
      </c>
      <c r="L12" s="26">
        <v>631.6</v>
      </c>
      <c r="M12" s="26">
        <v>534.6</v>
      </c>
      <c r="N12" s="26">
        <v>619.9</v>
      </c>
      <c r="O12" s="26">
        <v>537.20000000000005</v>
      </c>
      <c r="P12" s="26">
        <v>503.1</v>
      </c>
      <c r="Q12" s="26">
        <v>599.1</v>
      </c>
      <c r="R12" s="26">
        <f>+Q12-5</f>
        <v>594.1</v>
      </c>
      <c r="S12" s="26">
        <f>+R12--15</f>
        <v>609.1</v>
      </c>
      <c r="T12" s="26">
        <v>410</v>
      </c>
    </row>
    <row r="13" spans="2:20" ht="15.75" customHeight="1" x14ac:dyDescent="0.25">
      <c r="B13" s="1" t="s">
        <v>58</v>
      </c>
      <c r="C13" s="26">
        <v>273.2</v>
      </c>
      <c r="D13" s="26">
        <v>274</v>
      </c>
      <c r="E13" s="26">
        <v>238.2</v>
      </c>
      <c r="F13" s="26">
        <v>234</v>
      </c>
      <c r="G13" s="26">
        <v>252</v>
      </c>
      <c r="H13" s="26">
        <v>205.3</v>
      </c>
      <c r="I13" s="26">
        <v>206.7</v>
      </c>
      <c r="J13" s="26">
        <f>852.1-I13-H13-G13</f>
        <v>188.10000000000008</v>
      </c>
      <c r="K13" s="26">
        <v>206.2</v>
      </c>
      <c r="L13" s="26">
        <v>223.6</v>
      </c>
      <c r="M13" s="26">
        <v>207.1</v>
      </c>
      <c r="N13" s="26">
        <v>280.3</v>
      </c>
      <c r="O13" s="26">
        <v>173.2</v>
      </c>
      <c r="P13" s="26">
        <v>175.2</v>
      </c>
      <c r="Q13" s="26">
        <v>176.6</v>
      </c>
      <c r="R13" s="26">
        <f>+N13</f>
        <v>280.3</v>
      </c>
      <c r="S13" s="26">
        <f>+O13-10</f>
        <v>163.19999999999999</v>
      </c>
      <c r="T13" s="26">
        <v>153</v>
      </c>
    </row>
    <row r="14" spans="2:20" ht="15.75" customHeight="1" x14ac:dyDescent="0.25">
      <c r="B14" s="1" t="s">
        <v>21</v>
      </c>
      <c r="C14" s="26">
        <v>419.4</v>
      </c>
      <c r="D14" s="26">
        <v>461</v>
      </c>
      <c r="E14" s="26">
        <v>573.29999999999995</v>
      </c>
      <c r="F14" s="26">
        <v>612.29999999999995</v>
      </c>
      <c r="G14" s="26">
        <v>577.5</v>
      </c>
      <c r="H14" s="26">
        <v>668.3</v>
      </c>
      <c r="I14" s="26">
        <v>700.8</v>
      </c>
      <c r="J14" s="26">
        <v>798.1</v>
      </c>
      <c r="K14" s="26">
        <v>686.5</v>
      </c>
      <c r="L14" s="26">
        <v>1243.2</v>
      </c>
      <c r="M14" s="26">
        <v>686.4</v>
      </c>
      <c r="N14" s="26">
        <v>1198.4000000000001</v>
      </c>
      <c r="O14" s="26">
        <v>1014</v>
      </c>
      <c r="P14" s="26">
        <v>690</v>
      </c>
      <c r="Q14" s="26">
        <v>959</v>
      </c>
      <c r="R14" s="26">
        <f>3431-O14-P14-Q14</f>
        <v>768</v>
      </c>
      <c r="S14" s="26">
        <v>1114</v>
      </c>
      <c r="T14" s="26">
        <v>1232</v>
      </c>
    </row>
    <row r="15" spans="2:20" ht="15.75" customHeight="1" x14ac:dyDescent="0.25">
      <c r="B15" s="28" t="s">
        <v>59</v>
      </c>
      <c r="C15" s="29">
        <f t="shared" ref="C15:T15" si="0">SUM(C16:C22)</f>
        <v>907.90000000000009</v>
      </c>
      <c r="D15" s="29">
        <f t="shared" si="0"/>
        <v>1034.1999999999998</v>
      </c>
      <c r="E15" s="29">
        <f t="shared" si="0"/>
        <v>1071.5</v>
      </c>
      <c r="F15" s="29">
        <f t="shared" si="0"/>
        <v>1207.8999999999999</v>
      </c>
      <c r="G15" s="29">
        <f t="shared" si="0"/>
        <v>1230.0000000000002</v>
      </c>
      <c r="H15" s="29">
        <f t="shared" si="0"/>
        <v>1518.6</v>
      </c>
      <c r="I15" s="29">
        <f t="shared" si="0"/>
        <v>1596.7</v>
      </c>
      <c r="J15" s="29">
        <f t="shared" si="0"/>
        <v>1736.2</v>
      </c>
      <c r="K15" s="29">
        <f t="shared" si="0"/>
        <v>1660.7</v>
      </c>
      <c r="L15" s="29">
        <f t="shared" si="0"/>
        <v>2043.2000000000003</v>
      </c>
      <c r="M15" s="29">
        <f t="shared" si="0"/>
        <v>2102.6</v>
      </c>
      <c r="N15" s="29">
        <f t="shared" si="0"/>
        <v>2328.1999999999998</v>
      </c>
      <c r="O15" s="29">
        <f t="shared" si="0"/>
        <v>1853.3000000000002</v>
      </c>
      <c r="P15" s="29">
        <f t="shared" si="0"/>
        <v>2317.6000000000004</v>
      </c>
      <c r="Q15" s="29">
        <f t="shared" si="0"/>
        <v>2326</v>
      </c>
      <c r="R15" s="29">
        <f t="shared" si="0"/>
        <v>2468.5</v>
      </c>
      <c r="S15" s="29">
        <f t="shared" si="0"/>
        <v>2268.4</v>
      </c>
      <c r="T15" s="29">
        <f t="shared" si="0"/>
        <v>2486</v>
      </c>
    </row>
    <row r="16" spans="2:20" ht="15.75" customHeight="1" x14ac:dyDescent="0.25">
      <c r="B16" s="1" t="s">
        <v>23</v>
      </c>
      <c r="C16" s="26">
        <v>469.4</v>
      </c>
      <c r="D16" s="26">
        <v>588.5</v>
      </c>
      <c r="E16" s="26">
        <v>617.70000000000005</v>
      </c>
      <c r="F16" s="26">
        <v>808</v>
      </c>
      <c r="G16" s="26">
        <v>750.9</v>
      </c>
      <c r="H16" s="26">
        <v>926.8</v>
      </c>
      <c r="I16" s="26">
        <v>1040.2</v>
      </c>
      <c r="J16" s="26">
        <v>1145.4000000000001</v>
      </c>
      <c r="K16" s="26">
        <v>1050.3</v>
      </c>
      <c r="L16" s="26">
        <v>1331.9</v>
      </c>
      <c r="M16" s="26">
        <v>1369.3</v>
      </c>
      <c r="N16" s="26">
        <v>1555</v>
      </c>
      <c r="O16" s="26">
        <v>1158.9000000000001</v>
      </c>
      <c r="P16" s="26">
        <v>1489.3</v>
      </c>
      <c r="Q16" s="26">
        <v>1470.2</v>
      </c>
      <c r="R16" s="26">
        <v>1604</v>
      </c>
      <c r="S16" s="26">
        <v>1302</v>
      </c>
      <c r="T16" s="26">
        <v>1474</v>
      </c>
    </row>
    <row r="17" spans="2:20" ht="15.75" customHeight="1" x14ac:dyDescent="0.25">
      <c r="B17" s="1" t="s">
        <v>24</v>
      </c>
      <c r="C17" s="26">
        <v>230.3</v>
      </c>
      <c r="D17" s="26">
        <v>231.3</v>
      </c>
      <c r="E17" s="26">
        <v>232.1</v>
      </c>
      <c r="F17" s="26">
        <v>277.8</v>
      </c>
      <c r="G17" s="26">
        <v>236.8</v>
      </c>
      <c r="H17" s="26">
        <v>260.3</v>
      </c>
      <c r="I17" s="26">
        <v>224.1</v>
      </c>
      <c r="J17" s="26">
        <v>253.6</v>
      </c>
      <c r="K17" s="26">
        <v>229.9</v>
      </c>
      <c r="L17" s="26">
        <v>248.9</v>
      </c>
      <c r="M17" s="26">
        <v>236</v>
      </c>
      <c r="N17" s="26">
        <v>258.60000000000002</v>
      </c>
      <c r="O17" s="26">
        <v>224.9</v>
      </c>
      <c r="P17" s="26">
        <v>253.7</v>
      </c>
      <c r="Q17" s="26">
        <v>245.5</v>
      </c>
      <c r="R17" s="26">
        <f>+N17</f>
        <v>258.60000000000002</v>
      </c>
      <c r="S17" s="26">
        <f>+O17+34</f>
        <v>258.89999999999998</v>
      </c>
      <c r="T17" s="26">
        <v>256</v>
      </c>
    </row>
    <row r="18" spans="2:20" ht="15.75" customHeight="1" x14ac:dyDescent="0.25">
      <c r="B18" s="1" t="s">
        <v>25</v>
      </c>
      <c r="C18" s="26">
        <v>122.7</v>
      </c>
      <c r="D18" s="26">
        <v>140.80000000000001</v>
      </c>
      <c r="E18" s="26">
        <v>144.9</v>
      </c>
      <c r="F18" s="26"/>
      <c r="G18" s="26">
        <v>129.9</v>
      </c>
      <c r="H18" s="26">
        <v>162.5</v>
      </c>
      <c r="I18" s="26">
        <v>153.9</v>
      </c>
      <c r="J18" s="26">
        <f>596.5-I18-H18-G18</f>
        <v>150.20000000000002</v>
      </c>
      <c r="K18" s="26">
        <v>144.6</v>
      </c>
      <c r="L18" s="26">
        <v>155.80000000000001</v>
      </c>
      <c r="M18" s="26">
        <v>152</v>
      </c>
      <c r="N18" s="26">
        <v>175</v>
      </c>
      <c r="O18" s="26">
        <v>149</v>
      </c>
      <c r="P18" s="26">
        <v>183.7</v>
      </c>
      <c r="Q18" s="26">
        <v>198.6</v>
      </c>
      <c r="R18" s="26">
        <f>+N18</f>
        <v>175</v>
      </c>
      <c r="S18" s="26">
        <f>+O18+34</f>
        <v>183</v>
      </c>
      <c r="T18" s="26">
        <v>215</v>
      </c>
    </row>
    <row r="19" spans="2:20" ht="15.75" customHeight="1" x14ac:dyDescent="0.25">
      <c r="B19" s="1" t="s">
        <v>27</v>
      </c>
      <c r="C19" s="26"/>
      <c r="D19" s="26"/>
      <c r="E19" s="26"/>
      <c r="F19" s="26">
        <v>64.599999999999994</v>
      </c>
      <c r="G19" s="26">
        <v>51.4</v>
      </c>
      <c r="H19" s="26">
        <v>65.400000000000006</v>
      </c>
      <c r="I19" s="26">
        <v>63.4</v>
      </c>
      <c r="J19" s="26">
        <v>73.400000000000006</v>
      </c>
      <c r="K19" s="26">
        <v>69.2</v>
      </c>
      <c r="L19" s="26">
        <v>91.2</v>
      </c>
      <c r="M19" s="26">
        <v>114</v>
      </c>
      <c r="N19" s="26">
        <v>90</v>
      </c>
      <c r="O19" s="26">
        <v>91</v>
      </c>
      <c r="P19" s="26">
        <v>125.3</v>
      </c>
      <c r="Q19" s="26">
        <v>112</v>
      </c>
      <c r="R19" s="26">
        <f>+Q19+5</f>
        <v>117</v>
      </c>
      <c r="S19" s="26">
        <f>+R19+34</f>
        <v>151</v>
      </c>
      <c r="T19" s="26">
        <v>144</v>
      </c>
    </row>
    <row r="20" spans="2:20" ht="15.75" customHeight="1" x14ac:dyDescent="0.25">
      <c r="B20" s="1" t="s">
        <v>28</v>
      </c>
      <c r="C20" s="26">
        <v>85.5</v>
      </c>
      <c r="D20" s="26">
        <v>73.599999999999994</v>
      </c>
      <c r="E20" s="26">
        <v>76.8</v>
      </c>
      <c r="F20" s="26">
        <v>57.5</v>
      </c>
      <c r="G20" s="26">
        <v>61</v>
      </c>
      <c r="H20" s="26">
        <v>103.6</v>
      </c>
      <c r="I20" s="26">
        <v>115.1</v>
      </c>
      <c r="J20" s="26">
        <v>113.6</v>
      </c>
      <c r="K20" s="26">
        <v>116.7</v>
      </c>
      <c r="L20" s="26">
        <v>123</v>
      </c>
      <c r="M20" s="26">
        <v>150.19999999999999</v>
      </c>
      <c r="N20" s="26">
        <v>136</v>
      </c>
      <c r="O20" s="26">
        <v>137.5</v>
      </c>
      <c r="P20" s="26">
        <v>137.30000000000001</v>
      </c>
      <c r="Q20" s="26">
        <v>141.80000000000001</v>
      </c>
      <c r="R20" s="26">
        <f>+N20</f>
        <v>136</v>
      </c>
      <c r="S20" s="26">
        <f>+O20+34+2</f>
        <v>173.5</v>
      </c>
      <c r="T20" s="26">
        <v>130</v>
      </c>
    </row>
    <row r="21" spans="2:20" ht="15.75" customHeight="1" x14ac:dyDescent="0.25">
      <c r="B21" s="1" t="s">
        <v>30</v>
      </c>
      <c r="C21" s="25"/>
      <c r="D21" s="25"/>
      <c r="E21" s="25"/>
      <c r="F21" s="25"/>
      <c r="G21" s="25"/>
      <c r="H21" s="25"/>
      <c r="I21" s="25"/>
      <c r="J21" s="25"/>
      <c r="K21" s="26">
        <v>50</v>
      </c>
      <c r="L21" s="26">
        <v>92.4</v>
      </c>
      <c r="M21" s="26">
        <v>81.099999999999994</v>
      </c>
      <c r="N21" s="26">
        <v>113.6</v>
      </c>
      <c r="O21" s="26">
        <v>92</v>
      </c>
      <c r="P21" s="26">
        <v>123.3</v>
      </c>
      <c r="Q21" s="26">
        <v>142.9</v>
      </c>
      <c r="R21" s="26">
        <f>+Q21+10</f>
        <v>152.9</v>
      </c>
      <c r="S21" s="26">
        <v>165</v>
      </c>
      <c r="T21" s="26">
        <v>192</v>
      </c>
    </row>
    <row r="22" spans="2:20" ht="15.75" customHeight="1" x14ac:dyDescent="0.25">
      <c r="B22" s="1" t="s">
        <v>31</v>
      </c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6">
        <f>Q22-10</f>
        <v>5</v>
      </c>
      <c r="Q22" s="26">
        <f>R22-10</f>
        <v>15</v>
      </c>
      <c r="R22" s="26">
        <f>S22-10</f>
        <v>25</v>
      </c>
      <c r="S22" s="26">
        <v>35</v>
      </c>
      <c r="T22" s="26">
        <v>75</v>
      </c>
    </row>
    <row r="23" spans="2:20" ht="15.75" customHeight="1" x14ac:dyDescent="0.25">
      <c r="B23" s="28" t="s">
        <v>60</v>
      </c>
      <c r="C23" s="29">
        <f t="shared" ref="C23:T23" si="1">SUM(C24:C27)</f>
        <v>743.7</v>
      </c>
      <c r="D23" s="29">
        <f t="shared" si="1"/>
        <v>792.40000000000009</v>
      </c>
      <c r="E23" s="29">
        <f t="shared" si="1"/>
        <v>862.8</v>
      </c>
      <c r="F23" s="29">
        <f t="shared" si="1"/>
        <v>913.59999999999991</v>
      </c>
      <c r="G23" s="29">
        <f t="shared" si="1"/>
        <v>755.9</v>
      </c>
      <c r="H23" s="29">
        <f t="shared" si="1"/>
        <v>922.8</v>
      </c>
      <c r="I23" s="29">
        <f t="shared" si="1"/>
        <v>975.6</v>
      </c>
      <c r="J23" s="29">
        <f t="shared" si="1"/>
        <v>1028.0999999999999</v>
      </c>
      <c r="K23" s="29">
        <f t="shared" si="1"/>
        <v>834</v>
      </c>
      <c r="L23" s="29">
        <f t="shared" si="1"/>
        <v>1082.3000000000002</v>
      </c>
      <c r="M23" s="29">
        <f t="shared" si="1"/>
        <v>1185.8</v>
      </c>
      <c r="N23" s="29">
        <f t="shared" si="1"/>
        <v>1290.9000000000001</v>
      </c>
      <c r="O23" s="29">
        <f t="shared" si="1"/>
        <v>1088.0999999999999</v>
      </c>
      <c r="P23" s="29">
        <f t="shared" si="1"/>
        <v>1255.5999999999999</v>
      </c>
      <c r="Q23" s="29">
        <f t="shared" si="1"/>
        <v>1362.4</v>
      </c>
      <c r="R23" s="29">
        <f t="shared" si="1"/>
        <v>1535.5</v>
      </c>
      <c r="S23" s="29">
        <f t="shared" si="1"/>
        <v>1202.7</v>
      </c>
      <c r="T23" s="29">
        <f t="shared" si="1"/>
        <v>1417</v>
      </c>
    </row>
    <row r="24" spans="2:20" ht="15.75" customHeight="1" x14ac:dyDescent="0.25">
      <c r="B24" s="1" t="s">
        <v>32</v>
      </c>
      <c r="C24" s="25"/>
      <c r="D24" s="25"/>
      <c r="E24" s="25"/>
      <c r="F24" s="25"/>
      <c r="G24" s="25"/>
      <c r="H24" s="25"/>
      <c r="I24" s="25"/>
      <c r="J24" s="25"/>
      <c r="K24" s="26">
        <v>3.1</v>
      </c>
      <c r="L24" s="26">
        <v>4.3</v>
      </c>
      <c r="M24" s="26">
        <v>14.9</v>
      </c>
      <c r="N24" s="26">
        <v>20.399999999999999</v>
      </c>
      <c r="O24" s="26">
        <v>60.2</v>
      </c>
      <c r="P24" s="26">
        <v>86.8</v>
      </c>
      <c r="Q24" s="26">
        <v>127.1</v>
      </c>
      <c r="R24" s="26">
        <f>+Q24+5</f>
        <v>132.1</v>
      </c>
      <c r="S24" s="26">
        <v>145</v>
      </c>
      <c r="T24" s="26">
        <v>201</v>
      </c>
    </row>
    <row r="25" spans="2:20" ht="15.75" customHeight="1" x14ac:dyDescent="0.25">
      <c r="B25" s="1" t="s">
        <v>33</v>
      </c>
      <c r="C25" s="26">
        <v>255.6</v>
      </c>
      <c r="D25" s="26">
        <v>186.2</v>
      </c>
      <c r="E25" s="26">
        <v>182.9</v>
      </c>
      <c r="F25" s="26">
        <v>205.8</v>
      </c>
      <c r="G25" s="26">
        <v>228.9</v>
      </c>
      <c r="H25" s="26">
        <v>218.9</v>
      </c>
      <c r="I25" s="26">
        <v>231.4</v>
      </c>
      <c r="J25" s="26">
        <v>243.5</v>
      </c>
      <c r="K25" s="26">
        <v>217.4</v>
      </c>
      <c r="L25" s="26">
        <v>227.7</v>
      </c>
      <c r="M25" s="26">
        <v>250.8</v>
      </c>
      <c r="N25" s="26">
        <v>261.60000000000002</v>
      </c>
      <c r="O25" s="26">
        <v>228.7</v>
      </c>
      <c r="P25" s="26">
        <v>246.4</v>
      </c>
      <c r="Q25" s="26">
        <v>268.89999999999998</v>
      </c>
      <c r="R25" s="26">
        <f>+N25</f>
        <v>261.60000000000002</v>
      </c>
      <c r="S25" s="26">
        <f>+O25+16</f>
        <v>244.7</v>
      </c>
      <c r="T25" s="26">
        <v>258</v>
      </c>
    </row>
    <row r="26" spans="2:20" ht="15.75" customHeight="1" x14ac:dyDescent="0.25">
      <c r="B26" s="1" t="s">
        <v>34</v>
      </c>
      <c r="C26" s="25"/>
      <c r="D26" s="25"/>
      <c r="E26" s="25"/>
      <c r="F26" s="25"/>
      <c r="G26" s="25"/>
      <c r="H26" s="25"/>
      <c r="I26" s="25"/>
      <c r="J26" s="25"/>
      <c r="K26" s="26">
        <v>9.4</v>
      </c>
      <c r="L26" s="26">
        <v>25.6</v>
      </c>
      <c r="M26" s="26">
        <v>40.5</v>
      </c>
      <c r="N26" s="26">
        <v>56.9</v>
      </c>
      <c r="O26" s="26">
        <v>37.200000000000003</v>
      </c>
      <c r="P26" s="26">
        <v>74.8</v>
      </c>
      <c r="Q26" s="26">
        <v>64.900000000000006</v>
      </c>
      <c r="R26" s="26">
        <f>+Q26+25</f>
        <v>89.9</v>
      </c>
      <c r="S26" s="26">
        <v>80</v>
      </c>
      <c r="T26" s="26">
        <v>102</v>
      </c>
    </row>
    <row r="27" spans="2:20" ht="15.75" customHeight="1" x14ac:dyDescent="0.25">
      <c r="B27" s="1" t="s">
        <v>35</v>
      </c>
      <c r="C27" s="26">
        <v>488.1</v>
      </c>
      <c r="D27" s="26">
        <v>606.20000000000005</v>
      </c>
      <c r="E27" s="26">
        <v>679.9</v>
      </c>
      <c r="F27" s="26">
        <v>707.8</v>
      </c>
      <c r="G27" s="26">
        <v>527</v>
      </c>
      <c r="H27" s="26">
        <v>703.9</v>
      </c>
      <c r="I27" s="26">
        <v>744.2</v>
      </c>
      <c r="J27" s="26">
        <v>784.6</v>
      </c>
      <c r="K27" s="26">
        <v>604.1</v>
      </c>
      <c r="L27" s="26">
        <v>824.7</v>
      </c>
      <c r="M27" s="26">
        <v>879.6</v>
      </c>
      <c r="N27" s="26">
        <v>952</v>
      </c>
      <c r="O27" s="26">
        <v>762</v>
      </c>
      <c r="P27" s="26">
        <v>847.6</v>
      </c>
      <c r="Q27" s="26">
        <v>901.5</v>
      </c>
      <c r="R27" s="26">
        <f>3563-O27-P27-Q27</f>
        <v>1051.9000000000001</v>
      </c>
      <c r="S27" s="26">
        <v>733</v>
      </c>
      <c r="T27" s="26">
        <v>856</v>
      </c>
    </row>
    <row r="28" spans="2:20" ht="15.75" customHeight="1" x14ac:dyDescent="0.25">
      <c r="B28" s="28" t="s">
        <v>61</v>
      </c>
      <c r="C28" s="29">
        <f t="shared" ref="C28:T28" si="2">SUM(C29:C30)</f>
        <v>149.30000000000001</v>
      </c>
      <c r="D28" s="29">
        <f t="shared" si="2"/>
        <v>157.5</v>
      </c>
      <c r="E28" s="29">
        <f t="shared" si="2"/>
        <v>168.5</v>
      </c>
      <c r="F28" s="29">
        <f t="shared" si="2"/>
        <v>175.6</v>
      </c>
      <c r="G28" s="29">
        <f t="shared" si="2"/>
        <v>154.30000000000001</v>
      </c>
      <c r="H28" s="29">
        <f t="shared" si="2"/>
        <v>169.3</v>
      </c>
      <c r="I28" s="29">
        <f t="shared" si="2"/>
        <v>168.5</v>
      </c>
      <c r="J28" s="29">
        <f t="shared" si="2"/>
        <v>186.1</v>
      </c>
      <c r="K28" s="29">
        <f t="shared" si="2"/>
        <v>225.7</v>
      </c>
      <c r="L28" s="29">
        <f t="shared" si="2"/>
        <v>192</v>
      </c>
      <c r="M28" s="29">
        <f t="shared" si="2"/>
        <v>204.3</v>
      </c>
      <c r="N28" s="29">
        <f t="shared" si="2"/>
        <v>257.7</v>
      </c>
      <c r="O28" s="29">
        <f t="shared" si="2"/>
        <v>146.1</v>
      </c>
      <c r="P28" s="29">
        <f t="shared" si="2"/>
        <v>249.7</v>
      </c>
      <c r="Q28" s="29">
        <f t="shared" si="2"/>
        <v>246.1</v>
      </c>
      <c r="R28" s="29">
        <f t="shared" si="2"/>
        <v>370.18000000000006</v>
      </c>
      <c r="S28" s="29">
        <f t="shared" si="2"/>
        <v>261.06</v>
      </c>
      <c r="T28" s="29">
        <f t="shared" si="2"/>
        <v>358</v>
      </c>
    </row>
    <row r="29" spans="2:20" ht="15.75" customHeight="1" x14ac:dyDescent="0.25">
      <c r="B29" s="1" t="s">
        <v>36</v>
      </c>
      <c r="C29" s="26">
        <v>149.30000000000001</v>
      </c>
      <c r="D29" s="26">
        <v>157.5</v>
      </c>
      <c r="E29" s="26">
        <v>168.5</v>
      </c>
      <c r="F29" s="26">
        <v>175.6</v>
      </c>
      <c r="G29" s="26">
        <v>154.30000000000001</v>
      </c>
      <c r="H29" s="26">
        <v>169.3</v>
      </c>
      <c r="I29" s="26">
        <v>168.5</v>
      </c>
      <c r="J29" s="26">
        <v>186.1</v>
      </c>
      <c r="K29" s="26">
        <v>225.7</v>
      </c>
      <c r="L29" s="26">
        <v>192</v>
      </c>
      <c r="M29" s="26">
        <v>202.9</v>
      </c>
      <c r="N29" s="26">
        <v>249.8</v>
      </c>
      <c r="O29" s="26">
        <v>124.6</v>
      </c>
      <c r="P29" s="26">
        <v>201.1</v>
      </c>
      <c r="Q29" s="26">
        <v>175.7</v>
      </c>
      <c r="R29" s="26">
        <f>+N29*1.1</f>
        <v>274.78000000000003</v>
      </c>
      <c r="S29" s="26">
        <f>+O29*1.1</f>
        <v>137.06</v>
      </c>
      <c r="T29" s="26">
        <v>191</v>
      </c>
    </row>
    <row r="30" spans="2:20" ht="15.75" customHeight="1" x14ac:dyDescent="0.25">
      <c r="B30" s="1" t="s">
        <v>37</v>
      </c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6">
        <v>1.4</v>
      </c>
      <c r="N30" s="26">
        <v>7.9</v>
      </c>
      <c r="O30" s="26">
        <v>21.5</v>
      </c>
      <c r="P30" s="26">
        <v>48.6</v>
      </c>
      <c r="Q30" s="26">
        <v>70.400000000000006</v>
      </c>
      <c r="R30" s="26">
        <f>+Q30+25</f>
        <v>95.4</v>
      </c>
      <c r="S30" s="26">
        <v>124</v>
      </c>
      <c r="T30" s="26">
        <v>167</v>
      </c>
    </row>
    <row r="31" spans="2:20" ht="15.75" customHeight="1" x14ac:dyDescent="0.25">
      <c r="B31" s="28" t="s">
        <v>62</v>
      </c>
      <c r="C31" s="29">
        <f>C32-(C5+C15+C23+C28)</f>
        <v>2765.5</v>
      </c>
      <c r="D31" s="29">
        <f>D32-(D5+D15+D23+D28)</f>
        <v>1235.7000000000007</v>
      </c>
      <c r="E31" s="29">
        <f>E32-(E5+E15+E23+E28)</f>
        <v>1349.6000000000004</v>
      </c>
      <c r="F31" s="29">
        <f>F32-(F5+F15+F23+F28)</f>
        <v>1193.0000000000009</v>
      </c>
      <c r="G31" s="29">
        <f>G32-(G5+G15+G23+G28)</f>
        <v>774.5</v>
      </c>
      <c r="H31" s="29">
        <f>H32-(H5+H15+H23+H28)</f>
        <v>1441</v>
      </c>
      <c r="I31" s="29">
        <f>I32-(I5+I15+I23+I28)</f>
        <v>2192.4000000000005</v>
      </c>
      <c r="J31" s="29">
        <f>J32-(J5+J15+J23+J28)</f>
        <v>814.29999999999927</v>
      </c>
      <c r="K31" s="29">
        <f>K32-(K5+K15+K23+K28)</f>
        <v>678.40000000000055</v>
      </c>
      <c r="L31" s="29">
        <f>L32-(L5+L15+L23+L28)</f>
        <v>126.49999999999636</v>
      </c>
      <c r="M31" s="29">
        <f>M32-(M5+M15+M23+M28)</f>
        <v>684.80000000000109</v>
      </c>
      <c r="N31" s="29">
        <f>N32-(N5+N15+N23+N28)</f>
        <v>693.30000000000109</v>
      </c>
      <c r="O31" s="29">
        <f>O32-(O5+O15+O23+O28)</f>
        <v>494.5</v>
      </c>
      <c r="P31" s="29">
        <f>P32-(P5+P15+P23+P28)</f>
        <v>548.99999999999818</v>
      </c>
      <c r="Q31" s="29">
        <f>Q32-(Q5+Q15+Q23+Q28)</f>
        <v>614.5</v>
      </c>
      <c r="R31" s="29">
        <f>R32-(R5+R15+R23+R28)</f>
        <v>391.52000000000044</v>
      </c>
      <c r="S31" s="29">
        <f>S32-(S5+S15+S23+S28)</f>
        <v>275.93999999999505</v>
      </c>
      <c r="T31" s="29">
        <f>T32-(T28+T23+T15+T5)</f>
        <v>587</v>
      </c>
    </row>
    <row r="32" spans="2:20" ht="15.75" customHeight="1" x14ac:dyDescent="0.25">
      <c r="B32" s="30" t="s">
        <v>63</v>
      </c>
      <c r="C32" s="31">
        <v>7810</v>
      </c>
      <c r="D32" s="31">
        <v>6488</v>
      </c>
      <c r="E32" s="31">
        <v>6941.6</v>
      </c>
      <c r="F32" s="31">
        <v>7301.8</v>
      </c>
      <c r="G32" s="31">
        <v>6960</v>
      </c>
      <c r="H32" s="31">
        <v>8312.1</v>
      </c>
      <c r="I32" s="31">
        <v>9498.6</v>
      </c>
      <c r="J32" s="31">
        <v>9353.4</v>
      </c>
      <c r="K32" s="31">
        <v>8768</v>
      </c>
      <c r="L32" s="31">
        <v>11302.8</v>
      </c>
      <c r="M32" s="31">
        <v>11439.1</v>
      </c>
      <c r="N32" s="31">
        <v>13532.8</v>
      </c>
      <c r="O32" s="31">
        <v>12729</v>
      </c>
      <c r="P32" s="31">
        <v>15557.7</v>
      </c>
      <c r="Q32" s="31">
        <v>17600.8</v>
      </c>
      <c r="R32" s="31">
        <v>19292</v>
      </c>
      <c r="S32" s="31">
        <v>19799</v>
      </c>
      <c r="T32" s="31">
        <v>22974</v>
      </c>
    </row>
    <row r="33" spans="2:37" ht="15.75" customHeight="1" x14ac:dyDescent="0.25">
      <c r="B33" s="1" t="s">
        <v>64</v>
      </c>
      <c r="C33" s="26">
        <v>2072.1</v>
      </c>
      <c r="D33" s="26">
        <v>1430.5</v>
      </c>
      <c r="E33" s="26">
        <v>1579.1</v>
      </c>
      <c r="F33" s="26">
        <v>1548.1</v>
      </c>
      <c r="G33" s="26">
        <v>1626.7</v>
      </c>
      <c r="H33" s="26">
        <v>1807.4</v>
      </c>
      <c r="I33" s="26">
        <v>1860.1</v>
      </c>
      <c r="J33" s="26">
        <v>1788</v>
      </c>
      <c r="K33" s="26">
        <v>1673.5</v>
      </c>
      <c r="L33" s="26">
        <v>2170.1999999999998</v>
      </c>
      <c r="M33" s="26">
        <v>2170.8000000000002</v>
      </c>
      <c r="N33" s="26">
        <v>2403.8000000000002</v>
      </c>
      <c r="O33" s="26">
        <v>2225</v>
      </c>
      <c r="P33" s="26">
        <v>2447.8000000000002</v>
      </c>
      <c r="Q33" s="26">
        <v>3008.3</v>
      </c>
      <c r="R33" s="26">
        <v>3371.7</v>
      </c>
      <c r="S33" s="26">
        <v>3577</v>
      </c>
      <c r="T33" s="26">
        <v>3268</v>
      </c>
    </row>
    <row r="34" spans="2:37" ht="15.75" customHeight="1" x14ac:dyDescent="0.25">
      <c r="B34" s="30" t="s">
        <v>65</v>
      </c>
      <c r="C34" s="31">
        <f t="shared" ref="C34:T34" si="3">C32-C33</f>
        <v>5737.9</v>
      </c>
      <c r="D34" s="31">
        <f t="shared" si="3"/>
        <v>5057.5</v>
      </c>
      <c r="E34" s="31">
        <f t="shared" si="3"/>
        <v>5362.5</v>
      </c>
      <c r="F34" s="31">
        <f t="shared" si="3"/>
        <v>5753.7000000000007</v>
      </c>
      <c r="G34" s="31">
        <f t="shared" si="3"/>
        <v>5333.3</v>
      </c>
      <c r="H34" s="31">
        <f t="shared" si="3"/>
        <v>6504.7000000000007</v>
      </c>
      <c r="I34" s="31">
        <f t="shared" si="3"/>
        <v>7638.5</v>
      </c>
      <c r="J34" s="31">
        <f t="shared" si="3"/>
        <v>7565.4</v>
      </c>
      <c r="K34" s="31">
        <f t="shared" si="3"/>
        <v>7094.5</v>
      </c>
      <c r="L34" s="31">
        <f t="shared" si="3"/>
        <v>9132.5999999999985</v>
      </c>
      <c r="M34" s="31">
        <f t="shared" si="3"/>
        <v>9268.2999999999993</v>
      </c>
      <c r="N34" s="31">
        <f t="shared" si="3"/>
        <v>11129</v>
      </c>
      <c r="O34" s="31">
        <f t="shared" si="3"/>
        <v>10504</v>
      </c>
      <c r="P34" s="31">
        <f t="shared" si="3"/>
        <v>13109.900000000001</v>
      </c>
      <c r="Q34" s="31">
        <f t="shared" si="3"/>
        <v>14592.5</v>
      </c>
      <c r="R34" s="31">
        <f t="shared" si="3"/>
        <v>15920.3</v>
      </c>
      <c r="S34" s="31">
        <f t="shared" si="3"/>
        <v>16222</v>
      </c>
      <c r="T34" s="31">
        <f t="shared" si="3"/>
        <v>19706</v>
      </c>
    </row>
    <row r="35" spans="2:37" ht="15.75" customHeight="1" x14ac:dyDescent="0.25">
      <c r="B35" s="1" t="s">
        <v>66</v>
      </c>
      <c r="C35" s="26">
        <v>1610.1</v>
      </c>
      <c r="D35" s="26">
        <v>1781.9</v>
      </c>
      <c r="E35" s="26">
        <v>1802.9</v>
      </c>
      <c r="F35" s="26">
        <v>1995.9</v>
      </c>
      <c r="G35" s="26">
        <v>1985.1</v>
      </c>
      <c r="H35" s="26">
        <v>2356.5</v>
      </c>
      <c r="I35" s="26">
        <v>2409.1</v>
      </c>
      <c r="J35" s="26">
        <v>2562.6999999999998</v>
      </c>
      <c r="K35" s="26">
        <v>2522.8000000000002</v>
      </c>
      <c r="L35" s="26">
        <v>2711.2</v>
      </c>
      <c r="M35" s="26">
        <v>2734.1</v>
      </c>
      <c r="N35" s="26">
        <v>3022.5</v>
      </c>
      <c r="O35" s="26">
        <v>2734</v>
      </c>
      <c r="P35" s="26">
        <v>3336.1</v>
      </c>
      <c r="Q35" s="26">
        <v>3465.7</v>
      </c>
      <c r="R35" s="26">
        <v>3801.5</v>
      </c>
      <c r="S35" s="26">
        <v>3510</v>
      </c>
      <c r="T35" s="26">
        <v>3819</v>
      </c>
    </row>
    <row r="36" spans="2:37" ht="15.75" customHeight="1" x14ac:dyDescent="0.25">
      <c r="B36" s="1" t="s">
        <v>67</v>
      </c>
      <c r="C36" s="26">
        <v>1557.9</v>
      </c>
      <c r="D36" s="26">
        <v>1625.1</v>
      </c>
      <c r="E36" s="26">
        <v>1614.2</v>
      </c>
      <c r="F36" s="26">
        <v>1643.2</v>
      </c>
      <c r="G36" s="26">
        <v>1749.2</v>
      </c>
      <c r="H36" s="26">
        <v>1925.4</v>
      </c>
      <c r="I36" s="26">
        <v>1803.9</v>
      </c>
      <c r="J36" s="26">
        <v>1924.6</v>
      </c>
      <c r="K36" s="26">
        <v>1952.2</v>
      </c>
      <c r="L36" s="26">
        <v>2117.3000000000002</v>
      </c>
      <c r="M36" s="26">
        <v>2099.8000000000002</v>
      </c>
      <c r="N36" s="26">
        <v>2424.5</v>
      </c>
      <c r="O36" s="26">
        <v>2468</v>
      </c>
      <c r="P36" s="26">
        <v>2753</v>
      </c>
      <c r="Q36" s="26">
        <v>2740.7</v>
      </c>
      <c r="R36" s="26">
        <v>3131.4</v>
      </c>
      <c r="S36" s="26">
        <v>2934</v>
      </c>
      <c r="T36" s="26">
        <v>3430</v>
      </c>
    </row>
    <row r="37" spans="2:37" ht="15.75" customHeight="1" x14ac:dyDescent="0.25">
      <c r="B37" s="1" t="s">
        <v>68</v>
      </c>
      <c r="C37" s="26">
        <v>165.6</v>
      </c>
      <c r="D37" s="26">
        <v>440.4</v>
      </c>
      <c r="E37" s="26">
        <v>62.4</v>
      </c>
      <c r="F37" s="26">
        <v>240.1</v>
      </c>
      <c r="G37" s="26">
        <v>105</v>
      </c>
      <c r="H37" s="26">
        <v>97.1</v>
      </c>
      <c r="I37" s="26">
        <v>2975.1</v>
      </c>
      <c r="J37" s="26">
        <v>622.6</v>
      </c>
      <c r="K37" s="26">
        <v>110.5</v>
      </c>
      <c r="L37" s="26">
        <v>154.30000000000001</v>
      </c>
      <c r="M37" s="26">
        <v>2826.4</v>
      </c>
      <c r="N37" s="26">
        <v>189.2</v>
      </c>
      <c r="O37" s="26">
        <v>1572</v>
      </c>
      <c r="P37" s="26">
        <v>153</v>
      </c>
      <c r="Q37" s="26">
        <v>655.7</v>
      </c>
      <c r="R37" s="26">
        <v>528.79999999999995</v>
      </c>
      <c r="S37" s="26">
        <v>584</v>
      </c>
      <c r="T37" s="26">
        <v>2776</v>
      </c>
    </row>
    <row r="38" spans="2:37" ht="15.75" customHeight="1" x14ac:dyDescent="0.25">
      <c r="B38" s="1" t="s">
        <v>69</v>
      </c>
      <c r="C38" s="26">
        <v>0</v>
      </c>
      <c r="D38" s="26">
        <v>0</v>
      </c>
      <c r="E38" s="26">
        <v>206.5</v>
      </c>
      <c r="F38" s="26">
        <v>38.1</v>
      </c>
      <c r="G38" s="26">
        <v>0</v>
      </c>
      <c r="H38" s="26">
        <v>0</v>
      </c>
      <c r="I38" s="26">
        <v>0</v>
      </c>
      <c r="J38" s="26">
        <v>67.7</v>
      </c>
      <c r="K38" s="26">
        <v>0</v>
      </c>
      <c r="L38" s="26">
        <v>435</v>
      </c>
      <c r="M38" s="26">
        <v>81.599999999999994</v>
      </c>
      <c r="N38" s="26">
        <v>344</v>
      </c>
      <c r="O38" s="26">
        <v>35</v>
      </c>
      <c r="P38" s="26">
        <v>0</v>
      </c>
      <c r="Q38" s="26">
        <v>364.9</v>
      </c>
      <c r="R38" s="26">
        <v>84.1</v>
      </c>
      <c r="S38" s="26">
        <v>279</v>
      </c>
      <c r="T38" s="26">
        <v>703</v>
      </c>
    </row>
    <row r="39" spans="2:37" ht="15.75" customHeight="1" x14ac:dyDescent="0.25">
      <c r="B39" s="1" t="s">
        <v>70</v>
      </c>
      <c r="C39" s="26">
        <v>350.7</v>
      </c>
      <c r="D39" s="26">
        <v>119.2</v>
      </c>
      <c r="E39" s="26">
        <v>-111</v>
      </c>
      <c r="F39" s="26">
        <v>-260</v>
      </c>
      <c r="G39" s="26">
        <v>-35.700000000000003</v>
      </c>
      <c r="H39" s="26">
        <v>36.799999999999997</v>
      </c>
      <c r="I39" s="26">
        <v>23.2</v>
      </c>
      <c r="J39" s="26">
        <v>121</v>
      </c>
      <c r="K39" s="26">
        <v>-27.1</v>
      </c>
      <c r="L39" s="26">
        <v>197.6</v>
      </c>
      <c r="M39" s="26">
        <v>-62</v>
      </c>
      <c r="N39" s="26">
        <v>110.2</v>
      </c>
      <c r="O39" s="26">
        <v>239</v>
      </c>
      <c r="P39" s="26">
        <v>90.6</v>
      </c>
      <c r="Q39" s="26">
        <v>133.1</v>
      </c>
      <c r="R39" s="26">
        <v>108.3</v>
      </c>
      <c r="S39" s="26">
        <v>65</v>
      </c>
      <c r="T39" s="26">
        <v>-269</v>
      </c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</row>
    <row r="40" spans="2:37" ht="15.75" customHeight="1" x14ac:dyDescent="0.25">
      <c r="B40" s="1" t="s">
        <v>71</v>
      </c>
      <c r="C40" s="26">
        <v>2053.6</v>
      </c>
      <c r="D40" s="26">
        <v>1090.9000000000001</v>
      </c>
      <c r="E40" s="26">
        <v>1565.5</v>
      </c>
      <c r="F40" s="26">
        <v>2096.4</v>
      </c>
      <c r="G40" s="26">
        <f t="shared" ref="G40:T40" si="4">G34-(SUM(G35:G39))</f>
        <v>1529.6999999999998</v>
      </c>
      <c r="H40" s="26">
        <f t="shared" si="4"/>
        <v>2088.9000000000005</v>
      </c>
      <c r="I40" s="26">
        <f t="shared" si="4"/>
        <v>427.19999999999982</v>
      </c>
      <c r="J40" s="26">
        <f t="shared" si="4"/>
        <v>2266.8000000000002</v>
      </c>
      <c r="K40" s="26">
        <f t="shared" si="4"/>
        <v>2536.1000000000004</v>
      </c>
      <c r="L40" s="26">
        <f t="shared" si="4"/>
        <v>3517.199999999998</v>
      </c>
      <c r="M40" s="26">
        <f t="shared" si="4"/>
        <v>1588.3999999999996</v>
      </c>
      <c r="N40" s="26">
        <f t="shared" si="4"/>
        <v>5038.6000000000004</v>
      </c>
      <c r="O40" s="26">
        <f t="shared" si="4"/>
        <v>3456</v>
      </c>
      <c r="P40" s="26">
        <f t="shared" si="4"/>
        <v>6777.2000000000007</v>
      </c>
      <c r="Q40" s="26">
        <f t="shared" si="4"/>
        <v>7232.4000000000005</v>
      </c>
      <c r="R40" s="26">
        <f t="shared" si="4"/>
        <v>8266.1999999999989</v>
      </c>
      <c r="S40" s="26">
        <f t="shared" si="4"/>
        <v>8850</v>
      </c>
      <c r="T40" s="26">
        <f t="shared" si="4"/>
        <v>9247</v>
      </c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</row>
    <row r="41" spans="2:37" ht="15.75" customHeight="1" x14ac:dyDescent="0.25">
      <c r="B41" s="1" t="s">
        <v>72</v>
      </c>
      <c r="C41" s="26">
        <v>150.69999999999999</v>
      </c>
      <c r="D41" s="26">
        <v>138.4</v>
      </c>
      <c r="E41" s="26">
        <v>113.8</v>
      </c>
      <c r="F41" s="26">
        <v>158.69999999999999</v>
      </c>
      <c r="G41" s="26">
        <v>184.8</v>
      </c>
      <c r="H41" s="26">
        <v>325.7</v>
      </c>
      <c r="I41" s="26">
        <v>484.6</v>
      </c>
      <c r="J41" s="26">
        <v>319.10000000000002</v>
      </c>
      <c r="K41" s="26">
        <v>293.2</v>
      </c>
      <c r="L41" s="26">
        <v>550.20000000000005</v>
      </c>
      <c r="M41" s="26">
        <v>618.1</v>
      </c>
      <c r="N41" s="26">
        <v>628.9</v>
      </c>
      <c r="O41" s="26">
        <v>697</v>
      </c>
      <c r="P41" s="26">
        <v>1115.9000000000001</v>
      </c>
      <c r="Q41" s="26">
        <v>1649.9</v>
      </c>
      <c r="R41" s="26">
        <v>1628.5</v>
      </c>
      <c r="S41" s="26">
        <v>1454</v>
      </c>
      <c r="T41" s="26">
        <v>2152</v>
      </c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</row>
    <row r="42" spans="2:37" ht="16.5" customHeight="1" x14ac:dyDescent="0.25">
      <c r="B42" s="32" t="s">
        <v>73</v>
      </c>
      <c r="C42" s="33">
        <f t="shared" ref="C42:T42" si="5">C40-C41</f>
        <v>1902.8999999999999</v>
      </c>
      <c r="D42" s="33">
        <f t="shared" si="5"/>
        <v>952.50000000000011</v>
      </c>
      <c r="E42" s="33">
        <f t="shared" si="5"/>
        <v>1451.7</v>
      </c>
      <c r="F42" s="33">
        <f t="shared" si="5"/>
        <v>1937.7</v>
      </c>
      <c r="G42" s="33">
        <f t="shared" si="5"/>
        <v>1344.8999999999999</v>
      </c>
      <c r="H42" s="33">
        <f t="shared" si="5"/>
        <v>1763.2000000000005</v>
      </c>
      <c r="I42" s="33">
        <f t="shared" si="5"/>
        <v>-57.400000000000205</v>
      </c>
      <c r="J42" s="33">
        <f t="shared" si="5"/>
        <v>1947.7000000000003</v>
      </c>
      <c r="K42" s="33">
        <f t="shared" si="5"/>
        <v>2242.9000000000005</v>
      </c>
      <c r="L42" s="33">
        <f t="shared" si="5"/>
        <v>2966.9999999999982</v>
      </c>
      <c r="M42" s="33">
        <f t="shared" si="5"/>
        <v>970.29999999999961</v>
      </c>
      <c r="N42" s="33">
        <f t="shared" si="5"/>
        <v>4409.7000000000007</v>
      </c>
      <c r="O42" s="33">
        <f t="shared" si="5"/>
        <v>2759</v>
      </c>
      <c r="P42" s="33">
        <f t="shared" si="5"/>
        <v>5661.3000000000011</v>
      </c>
      <c r="Q42" s="33">
        <f t="shared" si="5"/>
        <v>5582.5</v>
      </c>
      <c r="R42" s="33">
        <f t="shared" si="5"/>
        <v>6637.6999999999989</v>
      </c>
      <c r="S42" s="33">
        <f t="shared" si="5"/>
        <v>7396</v>
      </c>
      <c r="T42" s="33">
        <f t="shared" si="5"/>
        <v>7095</v>
      </c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</row>
    <row r="43" spans="2:37" ht="16.5" customHeight="1" x14ac:dyDescent="0.25">
      <c r="B43" s="1" t="s">
        <v>74</v>
      </c>
      <c r="C43" s="6">
        <v>2.1</v>
      </c>
      <c r="D43" s="6">
        <v>1.05</v>
      </c>
      <c r="E43" s="6">
        <v>1.61</v>
      </c>
      <c r="F43" s="6">
        <v>2.14</v>
      </c>
      <c r="G43" s="6">
        <f t="shared" ref="G43:T43" si="6">G42/G44</f>
        <v>1.4888741281966122</v>
      </c>
      <c r="H43" s="6">
        <f t="shared" si="6"/>
        <v>1.9526024363233672</v>
      </c>
      <c r="I43" s="6">
        <f t="shared" si="6"/>
        <v>-6.3791953767504114E-2</v>
      </c>
      <c r="J43" s="6">
        <f t="shared" si="6"/>
        <v>2.1617092119866816</v>
      </c>
      <c r="K43" s="6">
        <f t="shared" si="6"/>
        <v>2.4816331046691755</v>
      </c>
      <c r="L43" s="6">
        <f t="shared" si="6"/>
        <v>3.2813536828135348</v>
      </c>
      <c r="M43" s="6">
        <f t="shared" si="6"/>
        <v>1.0721546961325963</v>
      </c>
      <c r="N43" s="6">
        <f t="shared" si="6"/>
        <v>4.8779867256637175</v>
      </c>
      <c r="O43" s="6">
        <f t="shared" si="6"/>
        <v>3.0635132134132799</v>
      </c>
      <c r="P43" s="6">
        <f t="shared" si="6"/>
        <v>6.2917314958879764</v>
      </c>
      <c r="Q43" s="6">
        <f t="shared" si="6"/>
        <v>6.2110591900311531</v>
      </c>
      <c r="R43" s="6">
        <f t="shared" si="6"/>
        <v>7.3916481069042304</v>
      </c>
      <c r="S43" s="6">
        <f t="shared" si="6"/>
        <v>8.2553856457193877</v>
      </c>
      <c r="T43" s="6">
        <f t="shared" si="6"/>
        <v>7.9391632938743673</v>
      </c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</row>
    <row r="44" spans="2:37" ht="15.75" customHeight="1" x14ac:dyDescent="0.25">
      <c r="B44" s="1" t="s">
        <v>8</v>
      </c>
      <c r="C44" s="34">
        <v>906.4</v>
      </c>
      <c r="D44" s="34">
        <v>902.9</v>
      </c>
      <c r="E44" s="34">
        <v>903.8</v>
      </c>
      <c r="F44" s="34">
        <v>904.73199999999997</v>
      </c>
      <c r="G44" s="11">
        <v>903.3</v>
      </c>
      <c r="H44" s="11">
        <v>903</v>
      </c>
      <c r="I44" s="11">
        <v>899.8</v>
      </c>
      <c r="J44" s="11">
        <v>901</v>
      </c>
      <c r="K44" s="11">
        <v>903.8</v>
      </c>
      <c r="L44" s="11">
        <v>904.2</v>
      </c>
      <c r="M44" s="11">
        <v>905</v>
      </c>
      <c r="N44" s="11">
        <v>904</v>
      </c>
      <c r="O44" s="11">
        <v>900.6</v>
      </c>
      <c r="P44" s="11">
        <v>899.8</v>
      </c>
      <c r="Q44" s="11">
        <v>898.8</v>
      </c>
      <c r="R44" s="11">
        <v>898</v>
      </c>
      <c r="S44" s="11">
        <v>895.9</v>
      </c>
      <c r="T44" s="11">
        <v>893.67100000000005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</row>
    <row r="45" spans="2:37" ht="15.75" customHeight="1" x14ac:dyDescent="0.25"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</row>
    <row r="46" spans="2:37" ht="16.5" customHeight="1" x14ac:dyDescent="0.25">
      <c r="B46" s="21" t="s">
        <v>75</v>
      </c>
      <c r="C46" s="30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</row>
    <row r="47" spans="2:37" ht="15.75" customHeight="1" x14ac:dyDescent="0.25">
      <c r="B47" s="35" t="s">
        <v>76</v>
      </c>
      <c r="C47" s="36"/>
      <c r="D47" s="36"/>
      <c r="E47" s="36"/>
      <c r="F47" s="36"/>
      <c r="G47" s="37">
        <f>(G5-C5)/C5</f>
        <v>0.24716364533234686</v>
      </c>
      <c r="H47" s="37">
        <f>(H5-D5)/D5</f>
        <v>0.30359219142035365</v>
      </c>
      <c r="I47" s="37">
        <f>(I5-E5)/E5</f>
        <v>0.30843746417516904</v>
      </c>
      <c r="J47" s="37">
        <f>(J5-F5)/F5</f>
        <v>0.46619618542907393</v>
      </c>
      <c r="K47" s="37">
        <f>(K5-G5)/G5</f>
        <v>0.3272686821743751</v>
      </c>
      <c r="L47" s="37">
        <f>(L5-H5)/H5</f>
        <v>0.84461552905830484</v>
      </c>
      <c r="M47" s="37">
        <f>(M5-I5)/I5</f>
        <v>0.59057256757348775</v>
      </c>
      <c r="N47" s="37">
        <f>(N5-J5)/J5</f>
        <v>0.6037182171166815</v>
      </c>
      <c r="O47" s="37">
        <f>(O5-K5)/K5</f>
        <v>0.70360575132235725</v>
      </c>
      <c r="P47" s="37">
        <f>(P5-L5)/L5</f>
        <v>0.4233470758894487</v>
      </c>
      <c r="Q47" s="37">
        <f>(Q5-M5)/M5</f>
        <v>0.79737247989423821</v>
      </c>
      <c r="R47" s="37">
        <f>(R5-N5)/N5</f>
        <v>0.62075044350474762</v>
      </c>
      <c r="S47" s="37">
        <f>(S5-O5)/O5</f>
        <v>0.72634743631791865</v>
      </c>
      <c r="T47" s="37">
        <f>(T5-P5)/P5</f>
        <v>0.62044735289384745</v>
      </c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</row>
    <row r="48" spans="2:37" ht="15.75" customHeight="1" x14ac:dyDescent="0.25">
      <c r="B48" s="35" t="s">
        <v>77</v>
      </c>
      <c r="C48" s="36"/>
      <c r="D48" s="36"/>
      <c r="E48" s="36"/>
      <c r="F48" s="36"/>
      <c r="G48" s="37">
        <f t="shared" ref="G48:T48" si="7">(G15-C15)/C15</f>
        <v>0.35477475492895705</v>
      </c>
      <c r="H48" s="37">
        <f t="shared" si="7"/>
        <v>0.46838135757106958</v>
      </c>
      <c r="I48" s="37">
        <f t="shared" si="7"/>
        <v>0.49015398973401775</v>
      </c>
      <c r="J48" s="37">
        <f t="shared" si="7"/>
        <v>0.43737064326517117</v>
      </c>
      <c r="K48" s="37">
        <f t="shared" si="7"/>
        <v>0.35016260162601603</v>
      </c>
      <c r="L48" s="37">
        <f t="shared" si="7"/>
        <v>0.34544975635453734</v>
      </c>
      <c r="M48" s="37">
        <f t="shared" si="7"/>
        <v>0.31684098453059428</v>
      </c>
      <c r="N48" s="37">
        <f t="shared" si="7"/>
        <v>0.34097454210344419</v>
      </c>
      <c r="O48" s="37">
        <f t="shared" si="7"/>
        <v>0.11597519118444037</v>
      </c>
      <c r="P48" s="37">
        <f t="shared" si="7"/>
        <v>0.13429913860610809</v>
      </c>
      <c r="Q48" s="37">
        <f t="shared" si="7"/>
        <v>0.10624940549795496</v>
      </c>
      <c r="R48" s="37">
        <f t="shared" si="7"/>
        <v>6.0261145949660762E-2</v>
      </c>
      <c r="S48" s="37">
        <f t="shared" si="7"/>
        <v>0.22397884854044131</v>
      </c>
      <c r="T48" s="37">
        <f t="shared" si="7"/>
        <v>7.2661373835001555E-2</v>
      </c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</row>
    <row r="49" spans="2:37" ht="15.75" customHeight="1" x14ac:dyDescent="0.25">
      <c r="B49" s="35" t="s">
        <v>78</v>
      </c>
      <c r="C49" s="36"/>
      <c r="D49" s="36"/>
      <c r="E49" s="36"/>
      <c r="F49" s="36"/>
      <c r="G49" s="37">
        <f t="shared" ref="G49:T49" si="8">(G23-C23)/C23</f>
        <v>1.6404464165658102E-2</v>
      </c>
      <c r="H49" s="37">
        <f t="shared" si="8"/>
        <v>0.16456335184250359</v>
      </c>
      <c r="I49" s="37">
        <f t="shared" si="8"/>
        <v>0.13073713490959674</v>
      </c>
      <c r="J49" s="37">
        <f t="shared" si="8"/>
        <v>0.12532837127845886</v>
      </c>
      <c r="K49" s="37">
        <f t="shared" si="8"/>
        <v>0.10332054504564099</v>
      </c>
      <c r="L49" s="37">
        <f t="shared" si="8"/>
        <v>0.17284351972258369</v>
      </c>
      <c r="M49" s="37">
        <f t="shared" si="8"/>
        <v>0.21545715457154563</v>
      </c>
      <c r="N49" s="37">
        <f t="shared" si="8"/>
        <v>0.25561715786402123</v>
      </c>
      <c r="O49" s="37">
        <f t="shared" si="8"/>
        <v>0.30467625899280565</v>
      </c>
      <c r="P49" s="37">
        <f t="shared" si="8"/>
        <v>0.16012196248729529</v>
      </c>
      <c r="Q49" s="37">
        <f t="shared" si="8"/>
        <v>0.14892899308483737</v>
      </c>
      <c r="R49" s="37">
        <f t="shared" si="8"/>
        <v>0.18948020760709575</v>
      </c>
      <c r="S49" s="37">
        <f t="shared" si="8"/>
        <v>0.10532120209539578</v>
      </c>
      <c r="T49" s="37">
        <f t="shared" si="8"/>
        <v>0.12854412233195292</v>
      </c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</row>
    <row r="50" spans="2:37" ht="15.75" customHeight="1" x14ac:dyDescent="0.25">
      <c r="B50" s="35" t="s">
        <v>79</v>
      </c>
      <c r="C50" s="36"/>
      <c r="D50" s="36"/>
      <c r="E50" s="36"/>
      <c r="F50" s="36"/>
      <c r="G50" s="37">
        <f t="shared" ref="G50:T50" si="9">(G28-C28)/C28</f>
        <v>3.3489618218352307E-2</v>
      </c>
      <c r="H50" s="37">
        <f t="shared" si="9"/>
        <v>7.4920634920634999E-2</v>
      </c>
      <c r="I50" s="37">
        <f t="shared" si="9"/>
        <v>0</v>
      </c>
      <c r="J50" s="37">
        <f t="shared" si="9"/>
        <v>5.9794988610478363E-2</v>
      </c>
      <c r="K50" s="37">
        <f t="shared" si="9"/>
        <v>0.46273493195074511</v>
      </c>
      <c r="L50" s="37">
        <f t="shared" si="9"/>
        <v>0.13408151210868274</v>
      </c>
      <c r="M50" s="37">
        <f t="shared" si="9"/>
        <v>0.21246290801186951</v>
      </c>
      <c r="N50" s="37">
        <f t="shared" si="9"/>
        <v>0.38473938742611496</v>
      </c>
      <c r="O50" s="37">
        <f t="shared" si="9"/>
        <v>-0.35268054940186089</v>
      </c>
      <c r="P50" s="37">
        <f t="shared" si="9"/>
        <v>0.30052083333333329</v>
      </c>
      <c r="Q50" s="37">
        <f t="shared" si="9"/>
        <v>0.20460107684777279</v>
      </c>
      <c r="R50" s="37">
        <f t="shared" si="9"/>
        <v>0.43647652308886331</v>
      </c>
      <c r="S50" s="37">
        <f t="shared" si="9"/>
        <v>0.78685831622176605</v>
      </c>
      <c r="T50" s="37">
        <f t="shared" si="9"/>
        <v>0.43372046455746904</v>
      </c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</row>
    <row r="51" spans="2:37" ht="15.75" customHeight="1" x14ac:dyDescent="0.25">
      <c r="B51" s="35" t="s">
        <v>80</v>
      </c>
      <c r="C51" s="36"/>
      <c r="D51" s="36"/>
      <c r="E51" s="36"/>
      <c r="F51" s="36"/>
      <c r="G51" s="37">
        <f t="shared" ref="G51:T51" si="10">(G31-C31)/C31</f>
        <v>-0.71994214427770742</v>
      </c>
      <c r="H51" s="37">
        <f t="shared" si="10"/>
        <v>0.16614064902484352</v>
      </c>
      <c r="I51" s="37">
        <f t="shared" si="10"/>
        <v>0.62448132780082988</v>
      </c>
      <c r="J51" s="37">
        <f t="shared" si="10"/>
        <v>-0.31743503772003467</v>
      </c>
      <c r="K51" s="37">
        <f t="shared" si="10"/>
        <v>-0.12408005164622267</v>
      </c>
      <c r="L51" s="37">
        <f t="shared" si="10"/>
        <v>-0.91221374045801784</v>
      </c>
      <c r="M51" s="37">
        <f t="shared" si="10"/>
        <v>-0.68764823937237685</v>
      </c>
      <c r="N51" s="37">
        <f t="shared" si="10"/>
        <v>-0.14859388431781689</v>
      </c>
      <c r="O51" s="37">
        <f t="shared" si="10"/>
        <v>-0.27107900943396285</v>
      </c>
      <c r="P51" s="37">
        <f t="shared" si="10"/>
        <v>3.3399209486167112</v>
      </c>
      <c r="Q51" s="37">
        <f t="shared" si="10"/>
        <v>-0.10265771028037526</v>
      </c>
      <c r="R51" s="37">
        <f t="shared" si="10"/>
        <v>-0.43528054233376628</v>
      </c>
      <c r="S51" s="37">
        <f t="shared" si="10"/>
        <v>-0.44198179979778551</v>
      </c>
      <c r="T51" s="37">
        <f t="shared" si="10"/>
        <v>6.9216757741351442E-2</v>
      </c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</row>
    <row r="52" spans="2:37" ht="15.75" customHeight="1" x14ac:dyDescent="0.25">
      <c r="B52" s="35" t="s">
        <v>81</v>
      </c>
      <c r="C52" s="37">
        <f t="shared" ref="C52:T52" si="11">C34/C32</f>
        <v>0.73468629961587706</v>
      </c>
      <c r="D52" s="37">
        <f t="shared" si="11"/>
        <v>0.77951602959309496</v>
      </c>
      <c r="E52" s="37">
        <f t="shared" si="11"/>
        <v>0.77251642272674881</v>
      </c>
      <c r="F52" s="37">
        <f t="shared" si="11"/>
        <v>0.78798378482018139</v>
      </c>
      <c r="G52" s="37">
        <f t="shared" si="11"/>
        <v>0.76627873563218396</v>
      </c>
      <c r="H52" s="37">
        <f t="shared" si="11"/>
        <v>0.78255795767615888</v>
      </c>
      <c r="I52" s="37">
        <f t="shared" si="11"/>
        <v>0.80417114101025411</v>
      </c>
      <c r="J52" s="37">
        <f t="shared" si="11"/>
        <v>0.80883956636089549</v>
      </c>
      <c r="K52" s="37">
        <f t="shared" si="11"/>
        <v>0.80913549270072993</v>
      </c>
      <c r="L52" s="37">
        <f t="shared" si="11"/>
        <v>0.80799447924408108</v>
      </c>
      <c r="M52" s="37">
        <f t="shared" si="11"/>
        <v>0.81022982577300651</v>
      </c>
      <c r="N52" s="37">
        <f t="shared" si="11"/>
        <v>0.82237231023882718</v>
      </c>
      <c r="O52" s="37">
        <f t="shared" si="11"/>
        <v>0.82520229397438916</v>
      </c>
      <c r="P52" s="37">
        <f t="shared" si="11"/>
        <v>0.8426631185843666</v>
      </c>
      <c r="Q52" s="37">
        <f t="shared" si="11"/>
        <v>0.82908163265306123</v>
      </c>
      <c r="R52" s="37">
        <f t="shared" si="11"/>
        <v>0.82522807381297947</v>
      </c>
      <c r="S52" s="37">
        <f t="shared" si="11"/>
        <v>0.81933430981362698</v>
      </c>
      <c r="T52" s="37">
        <f t="shared" si="11"/>
        <v>0.85775224166449027</v>
      </c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</row>
    <row r="53" spans="2:37" ht="15.75" customHeight="1" x14ac:dyDescent="0.25">
      <c r="B53" s="35" t="s">
        <v>82</v>
      </c>
      <c r="C53" s="37">
        <f t="shared" ref="C53:T53" si="12">C35/C32</f>
        <v>0.20615877080665812</v>
      </c>
      <c r="D53" s="37">
        <f t="shared" si="12"/>
        <v>0.27464549938347721</v>
      </c>
      <c r="E53" s="37">
        <f t="shared" si="12"/>
        <v>0.25972398294341364</v>
      </c>
      <c r="F53" s="37">
        <f t="shared" si="12"/>
        <v>0.27334355912240815</v>
      </c>
      <c r="G53" s="37">
        <f t="shared" si="12"/>
        <v>0.28521551724137928</v>
      </c>
      <c r="H53" s="37">
        <f t="shared" si="12"/>
        <v>0.28350236402353196</v>
      </c>
      <c r="I53" s="37">
        <f t="shared" si="12"/>
        <v>0.25362685027267173</v>
      </c>
      <c r="J53" s="37">
        <f t="shared" si="12"/>
        <v>0.27398593024996259</v>
      </c>
      <c r="K53" s="37">
        <f t="shared" si="12"/>
        <v>0.28772810218978107</v>
      </c>
      <c r="L53" s="37">
        <f t="shared" si="12"/>
        <v>0.2398697667834519</v>
      </c>
      <c r="M53" s="37">
        <f t="shared" si="12"/>
        <v>0.23901355875899327</v>
      </c>
      <c r="N53" s="37">
        <f t="shared" si="12"/>
        <v>0.22334624024592103</v>
      </c>
      <c r="O53" s="37">
        <f t="shared" si="12"/>
        <v>0.21478513630293031</v>
      </c>
      <c r="P53" s="37">
        <f t="shared" si="12"/>
        <v>0.21443401016859817</v>
      </c>
      <c r="Q53" s="37">
        <f t="shared" si="12"/>
        <v>0.19690582246261534</v>
      </c>
      <c r="R53" s="37">
        <f t="shared" si="12"/>
        <v>0.19705059091851546</v>
      </c>
      <c r="S53" s="37">
        <f t="shared" si="12"/>
        <v>0.17728168089297439</v>
      </c>
      <c r="T53" s="37">
        <f t="shared" si="12"/>
        <v>0.16623139200835726</v>
      </c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</row>
    <row r="54" spans="2:37" ht="15.75" customHeight="1" x14ac:dyDescent="0.25">
      <c r="B54" s="35" t="s">
        <v>83</v>
      </c>
      <c r="C54" s="37">
        <f t="shared" ref="C54:T54" si="13">C36/C32</f>
        <v>0.1994750320102433</v>
      </c>
      <c r="D54" s="37">
        <f t="shared" si="13"/>
        <v>0.25047780517879159</v>
      </c>
      <c r="E54" s="37">
        <f t="shared" si="13"/>
        <v>0.23254004840382619</v>
      </c>
      <c r="F54" s="37">
        <f t="shared" si="13"/>
        <v>0.22504040099701444</v>
      </c>
      <c r="G54" s="37">
        <f t="shared" si="13"/>
        <v>0.2513218390804598</v>
      </c>
      <c r="H54" s="37">
        <f t="shared" si="13"/>
        <v>0.2316382141697044</v>
      </c>
      <c r="I54" s="37">
        <f t="shared" si="13"/>
        <v>0.18991219758701283</v>
      </c>
      <c r="J54" s="37">
        <f t="shared" si="13"/>
        <v>0.20576474864755062</v>
      </c>
      <c r="K54" s="37">
        <f t="shared" si="13"/>
        <v>0.22265054744525548</v>
      </c>
      <c r="L54" s="37">
        <f t="shared" si="13"/>
        <v>0.18732526453622114</v>
      </c>
      <c r="M54" s="37">
        <f t="shared" si="13"/>
        <v>0.1835633922249128</v>
      </c>
      <c r="N54" s="37">
        <f t="shared" si="13"/>
        <v>0.17915730669188934</v>
      </c>
      <c r="O54" s="37">
        <f t="shared" si="13"/>
        <v>0.19388797234661009</v>
      </c>
      <c r="P54" s="37">
        <f t="shared" si="13"/>
        <v>0.17695417703130925</v>
      </c>
      <c r="Q54" s="37">
        <f t="shared" si="13"/>
        <v>0.15571451297668287</v>
      </c>
      <c r="R54" s="37">
        <f t="shared" si="13"/>
        <v>0.16231598590089158</v>
      </c>
      <c r="S54" s="37">
        <f t="shared" si="13"/>
        <v>0.14818930249002474</v>
      </c>
      <c r="T54" s="37">
        <f t="shared" si="13"/>
        <v>0.14929920780012187</v>
      </c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</row>
    <row r="55" spans="2:37" ht="15.75" customHeight="1" x14ac:dyDescent="0.25">
      <c r="B55" s="35" t="s">
        <v>84</v>
      </c>
      <c r="C55" s="37">
        <f t="shared" ref="C55:T55" si="14">C37/C32</f>
        <v>2.1203585147247118E-2</v>
      </c>
      <c r="D55" s="37">
        <f t="shared" si="14"/>
        <v>6.7879161528976564E-2</v>
      </c>
      <c r="E55" s="37">
        <f t="shared" si="14"/>
        <v>8.9892820099112588E-3</v>
      </c>
      <c r="F55" s="37">
        <f t="shared" si="14"/>
        <v>3.288230299378235E-2</v>
      </c>
      <c r="G55" s="37">
        <f t="shared" si="14"/>
        <v>1.5086206896551725E-2</v>
      </c>
      <c r="H55" s="37">
        <f t="shared" si="14"/>
        <v>1.1681765137570528E-2</v>
      </c>
      <c r="I55" s="37">
        <f t="shared" si="14"/>
        <v>0.31321457899058808</v>
      </c>
      <c r="J55" s="37">
        <f t="shared" si="14"/>
        <v>6.6564030192229562E-2</v>
      </c>
      <c r="K55" s="37">
        <f t="shared" si="14"/>
        <v>1.2602645985401459E-2</v>
      </c>
      <c r="L55" s="37">
        <f t="shared" si="14"/>
        <v>1.3651484587889728E-2</v>
      </c>
      <c r="M55" s="37">
        <f t="shared" si="14"/>
        <v>0.24708237536169803</v>
      </c>
      <c r="N55" s="37">
        <f t="shared" si="14"/>
        <v>1.3980846535824073E-2</v>
      </c>
      <c r="O55" s="37">
        <f t="shared" si="14"/>
        <v>0.12349752533584728</v>
      </c>
      <c r="P55" s="37">
        <f t="shared" si="14"/>
        <v>9.834358549142868E-3</v>
      </c>
      <c r="Q55" s="37">
        <f t="shared" si="14"/>
        <v>3.7253988455070226E-2</v>
      </c>
      <c r="R55" s="37">
        <f t="shared" si="14"/>
        <v>2.7410325523533067E-2</v>
      </c>
      <c r="S55" s="37">
        <f t="shared" si="14"/>
        <v>2.9496439214101722E-2</v>
      </c>
      <c r="T55" s="37">
        <f t="shared" si="14"/>
        <v>0.12083224514668756</v>
      </c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</row>
    <row r="56" spans="2:37" ht="15.75" customHeight="1" x14ac:dyDescent="0.25">
      <c r="B56" s="35" t="s">
        <v>85</v>
      </c>
      <c r="C56" s="37">
        <f t="shared" ref="C56:T56" si="15">C41/C40</f>
        <v>7.3383326840670046E-2</v>
      </c>
      <c r="D56" s="37">
        <f t="shared" si="15"/>
        <v>0.12686772389769915</v>
      </c>
      <c r="E56" s="37">
        <f t="shared" si="15"/>
        <v>7.2692430533375915E-2</v>
      </c>
      <c r="F56" s="37">
        <f t="shared" si="15"/>
        <v>7.5701202060675432E-2</v>
      </c>
      <c r="G56" s="37">
        <f t="shared" si="15"/>
        <v>0.12080800156893511</v>
      </c>
      <c r="H56" s="37">
        <f t="shared" si="15"/>
        <v>0.15591938340753503</v>
      </c>
      <c r="I56" s="37">
        <f t="shared" si="15"/>
        <v>1.1343632958801504</v>
      </c>
      <c r="J56" s="37">
        <f t="shared" si="15"/>
        <v>0.14077113110993472</v>
      </c>
      <c r="K56" s="37">
        <f t="shared" si="15"/>
        <v>0.11561058317889671</v>
      </c>
      <c r="L56" s="37">
        <f t="shared" si="15"/>
        <v>0.15643125213237813</v>
      </c>
      <c r="M56" s="37">
        <f t="shared" si="15"/>
        <v>0.38913371946612957</v>
      </c>
      <c r="N56" s="37">
        <f t="shared" si="15"/>
        <v>0.12481641725876234</v>
      </c>
      <c r="O56" s="37">
        <f t="shared" si="15"/>
        <v>0.20167824074074073</v>
      </c>
      <c r="P56" s="37">
        <f t="shared" si="15"/>
        <v>0.16465501977217731</v>
      </c>
      <c r="Q56" s="37">
        <f t="shared" si="15"/>
        <v>0.22812620983352691</v>
      </c>
      <c r="R56" s="37">
        <f t="shared" si="15"/>
        <v>0.19700708910986914</v>
      </c>
      <c r="S56" s="37">
        <f t="shared" si="15"/>
        <v>0.16429378531073446</v>
      </c>
      <c r="T56" s="37">
        <f t="shared" si="15"/>
        <v>0.2327241267438088</v>
      </c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</row>
    <row r="59" spans="2:37" ht="15.75" customHeight="1" x14ac:dyDescent="0.25">
      <c r="D59" s="8"/>
    </row>
    <row r="60" spans="2:37" ht="15.75" customHeight="1" x14ac:dyDescent="0.25">
      <c r="B60" s="30"/>
      <c r="C60" s="30"/>
      <c r="D60" s="8"/>
      <c r="G60" s="38"/>
    </row>
    <row r="61" spans="2:37" ht="15.75" customHeight="1" x14ac:dyDescent="0.25">
      <c r="B61" s="30"/>
      <c r="C61" s="30"/>
      <c r="D61" s="8"/>
    </row>
    <row r="62" spans="2:37" ht="16.5" customHeight="1" x14ac:dyDescent="0.25"/>
    <row r="63" spans="2:37" ht="15.75" customHeight="1" x14ac:dyDescent="0.25"/>
    <row r="64" spans="2:3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6.5" customHeight="1" x14ac:dyDescent="0.25"/>
    <row r="75" ht="15" customHeight="1" x14ac:dyDescent="0.25"/>
    <row r="76" ht="15" hidden="1" customHeight="1" x14ac:dyDescent="0.25"/>
    <row r="77" ht="15" hidden="1" customHeight="1" x14ac:dyDescent="0.25"/>
    <row r="78" ht="15" hidden="1" customHeight="1" x14ac:dyDescent="0.25"/>
    <row r="79" ht="15" hidden="1" customHeight="1" x14ac:dyDescent="0.25"/>
    <row r="80" ht="15" hidden="1" customHeight="1" x14ac:dyDescent="0.25"/>
    <row r="81" ht="15" hidden="1" customHeight="1" x14ac:dyDescent="0.25"/>
    <row r="82" ht="15" hidden="1" customHeight="1" x14ac:dyDescent="0.25"/>
    <row r="83" ht="15" hidden="1" customHeight="1" x14ac:dyDescent="0.25"/>
    <row r="84" ht="15" hidden="1" customHeight="1" x14ac:dyDescent="0.25"/>
    <row r="85" ht="15.75" customHeight="1" x14ac:dyDescent="0.25"/>
    <row r="86" ht="15.75" hidden="1" customHeight="1" x14ac:dyDescent="0.25"/>
    <row r="87" ht="15.75" hidden="1" customHeight="1" x14ac:dyDescent="0.25"/>
    <row r="88" ht="15.75" hidden="1" customHeight="1" x14ac:dyDescent="0.25"/>
    <row r="89" ht="15.75" hidden="1" customHeight="1" x14ac:dyDescent="0.25"/>
    <row r="90" ht="15.75" hidden="1" customHeight="1" x14ac:dyDescent="0.25"/>
    <row r="91" ht="15.75" hidden="1" customHeight="1" x14ac:dyDescent="0.25"/>
    <row r="92" ht="15.75" hidden="1" customHeight="1" x14ac:dyDescent="0.25"/>
    <row r="93" ht="15.75" customHeight="1" x14ac:dyDescent="0.25"/>
    <row r="94" ht="15.75" hidden="1" customHeight="1" x14ac:dyDescent="0.25"/>
    <row r="95" ht="15.75" hidden="1" customHeight="1" x14ac:dyDescent="0.25"/>
    <row r="96" ht="15.75" hidden="1" customHeight="1" x14ac:dyDescent="0.25"/>
    <row r="97" spans="18:87" ht="15.75" hidden="1" customHeight="1" x14ac:dyDescent="0.25"/>
    <row r="98" spans="18:87" ht="15.75" customHeight="1" x14ac:dyDescent="0.25"/>
    <row r="99" spans="18:87" ht="15.75" hidden="1" customHeight="1" x14ac:dyDescent="0.25"/>
    <row r="100" spans="18:87" ht="15.75" hidden="1" customHeight="1" x14ac:dyDescent="0.25"/>
    <row r="101" spans="18:87" ht="15.75" customHeight="1" x14ac:dyDescent="0.25"/>
    <row r="102" spans="18:87" ht="15.75" customHeight="1" x14ac:dyDescent="0.25"/>
    <row r="103" spans="18:87" ht="15.75" customHeight="1" x14ac:dyDescent="0.25"/>
    <row r="104" spans="18:87" ht="15.75" customHeight="1" x14ac:dyDescent="0.25"/>
    <row r="105" spans="18:87" ht="15.75" customHeight="1" x14ac:dyDescent="0.25"/>
    <row r="106" spans="18:87" ht="15.75" customHeight="1" x14ac:dyDescent="0.25"/>
    <row r="107" spans="18:87" ht="15.75" customHeight="1" x14ac:dyDescent="0.25"/>
    <row r="108" spans="18:87" ht="15.75" customHeight="1" x14ac:dyDescent="0.25"/>
    <row r="109" spans="18:87" ht="15.75" customHeight="1" x14ac:dyDescent="0.25"/>
    <row r="110" spans="18:87" ht="15.75" customHeight="1" x14ac:dyDescent="0.25"/>
    <row r="111" spans="18:87" ht="15.75" customHeight="1" x14ac:dyDescent="0.25"/>
    <row r="112" spans="18:87" ht="15.75" customHeight="1" x14ac:dyDescent="0.25">
      <c r="R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  <c r="BB112" s="31"/>
      <c r="BC112" s="31"/>
      <c r="BD112" s="31"/>
      <c r="BE112" s="31"/>
      <c r="BF112" s="31"/>
      <c r="BG112" s="31"/>
      <c r="BH112" s="31"/>
      <c r="BI112" s="31"/>
      <c r="BJ112" s="31"/>
      <c r="BK112" s="31"/>
      <c r="BL112" s="31"/>
      <c r="BM112" s="31"/>
      <c r="BN112" s="31"/>
      <c r="BO112" s="31"/>
      <c r="BP112" s="31"/>
      <c r="BQ112" s="31"/>
      <c r="BR112" s="31"/>
      <c r="BS112" s="31"/>
      <c r="BT112" s="31"/>
      <c r="BU112" s="31"/>
      <c r="BV112" s="31"/>
      <c r="BW112" s="31"/>
      <c r="BX112" s="31"/>
      <c r="BY112" s="31"/>
      <c r="BZ112" s="31"/>
      <c r="CA112" s="31"/>
      <c r="CB112" s="31"/>
      <c r="CC112" s="31"/>
      <c r="CD112" s="31"/>
      <c r="CE112" s="31"/>
      <c r="CF112" s="31"/>
      <c r="CG112" s="31"/>
      <c r="CH112" s="31"/>
      <c r="CI112" s="31"/>
    </row>
    <row r="113" spans="6:90" ht="15.75" customHeight="1" x14ac:dyDescent="0.25">
      <c r="R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</row>
    <row r="114" spans="6:90" ht="15.75" customHeight="1" x14ac:dyDescent="0.25"/>
    <row r="115" spans="6:90" ht="15.75" customHeight="1" x14ac:dyDescent="0.25">
      <c r="F115"/>
      <c r="G115"/>
    </row>
    <row r="116" spans="6:90" ht="16.5" customHeight="1" x14ac:dyDescent="0.25"/>
    <row r="117" spans="6:90" ht="15.75" customHeight="1" x14ac:dyDescent="0.25"/>
    <row r="118" spans="6:90" ht="15.75" customHeight="1" x14ac:dyDescent="0.25"/>
    <row r="119" spans="6:90" ht="15.75" customHeight="1" x14ac:dyDescent="0.25"/>
    <row r="120" spans="6:90" ht="15.75" customHeight="1" x14ac:dyDescent="0.25"/>
    <row r="121" spans="6:90" ht="15.75" customHeight="1" x14ac:dyDescent="0.25"/>
    <row r="122" spans="6:90" ht="15.75" customHeight="1" x14ac:dyDescent="0.25"/>
    <row r="123" spans="6:90" ht="15.75" customHeight="1" x14ac:dyDescent="0.25"/>
    <row r="124" spans="6:90" ht="15.75" customHeight="1" x14ac:dyDescent="0.25"/>
    <row r="125" spans="6:90" ht="15.75" customHeight="1" x14ac:dyDescent="0.25"/>
    <row r="126" spans="6:90" ht="15.75" customHeight="1" x14ac:dyDescent="0.25"/>
    <row r="127" spans="6:90" ht="15.75" customHeight="1" x14ac:dyDescent="0.25"/>
    <row r="128" spans="6:90" ht="15.75" customHeight="1" x14ac:dyDescent="0.25"/>
    <row r="129" spans="6:7" ht="15.75" customHeight="1" x14ac:dyDescent="0.25"/>
    <row r="130" spans="6:7" ht="15.75" customHeight="1" x14ac:dyDescent="0.25"/>
    <row r="131" spans="6:7" ht="15.75" customHeight="1" x14ac:dyDescent="0.25"/>
    <row r="132" spans="6:7" ht="15.75" customHeight="1" x14ac:dyDescent="0.25"/>
    <row r="133" spans="6:7" ht="15.75" customHeight="1" x14ac:dyDescent="0.25"/>
    <row r="134" spans="6:7" ht="15.75" customHeight="1" x14ac:dyDescent="0.25"/>
    <row r="135" spans="6:7" ht="15.75" customHeight="1" x14ac:dyDescent="0.25"/>
    <row r="136" spans="6:7" ht="15.75" customHeight="1" x14ac:dyDescent="0.25"/>
    <row r="137" spans="6:7" ht="15.75" customHeight="1" x14ac:dyDescent="0.25"/>
    <row r="138" spans="6:7" ht="15.75" customHeight="1" x14ac:dyDescent="0.25"/>
    <row r="139" spans="6:7" ht="15.75" customHeight="1" x14ac:dyDescent="0.25"/>
    <row r="140" spans="6:7" ht="15.75" customHeight="1" x14ac:dyDescent="0.25"/>
    <row r="141" spans="6:7" ht="15.75" customHeight="1" x14ac:dyDescent="0.25"/>
    <row r="142" spans="6:7" ht="15.75" customHeight="1" x14ac:dyDescent="0.25"/>
    <row r="143" spans="6:7" ht="15.75" customHeight="1" x14ac:dyDescent="0.25"/>
    <row r="144" spans="6:7" ht="15.75" customHeight="1" x14ac:dyDescent="0.25">
      <c r="F144"/>
      <c r="G144"/>
    </row>
    <row r="145" spans="6:7" ht="15.75" customHeight="1" x14ac:dyDescent="0.25">
      <c r="F145"/>
      <c r="G145"/>
    </row>
    <row r="146" spans="6:7" ht="16.5" customHeight="1" x14ac:dyDescent="0.25"/>
    <row r="147" spans="6:7" ht="15.75" customHeight="1" x14ac:dyDescent="0.25"/>
    <row r="148" spans="6:7" ht="15.75" customHeight="1" x14ac:dyDescent="0.25"/>
    <row r="149" spans="6:7" ht="15.75" customHeight="1" x14ac:dyDescent="0.25"/>
    <row r="150" spans="6:7" ht="15.75" customHeight="1" x14ac:dyDescent="0.25"/>
    <row r="151" spans="6:7" ht="15.75" customHeight="1" x14ac:dyDescent="0.25"/>
    <row r="152" spans="6:7" ht="15.75" customHeight="1" x14ac:dyDescent="0.25"/>
    <row r="153" spans="6:7" ht="15.75" customHeight="1" x14ac:dyDescent="0.25"/>
    <row r="154" spans="6:7" ht="15.75" customHeight="1" x14ac:dyDescent="0.25"/>
    <row r="155" spans="6:7" ht="15.75" customHeight="1" x14ac:dyDescent="0.25"/>
    <row r="156" spans="6:7" ht="15.75" customHeight="1" x14ac:dyDescent="0.25"/>
    <row r="157" spans="6:7" ht="15.75" customHeight="1" x14ac:dyDescent="0.25"/>
    <row r="158" spans="6:7" ht="15.75" customHeight="1" x14ac:dyDescent="0.25"/>
    <row r="159" spans="6:7" ht="15.75" customHeight="1" x14ac:dyDescent="0.25"/>
    <row r="160" spans="6:7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spans="6:7" ht="15.75" customHeight="1" x14ac:dyDescent="0.25"/>
    <row r="178" spans="6:7" ht="15.75" customHeight="1" x14ac:dyDescent="0.25"/>
    <row r="179" spans="6:7" ht="15.75" customHeight="1" x14ac:dyDescent="0.25"/>
    <row r="180" spans="6:7" ht="15.75" customHeight="1" x14ac:dyDescent="0.25"/>
    <row r="181" spans="6:7" ht="15.75" customHeight="1" x14ac:dyDescent="0.25">
      <c r="F181"/>
      <c r="G181"/>
    </row>
    <row r="218" spans="2:8" ht="15.75" customHeight="1" x14ac:dyDescent="0.25">
      <c r="B218" s="67"/>
      <c r="C218" s="67"/>
      <c r="D218" s="68"/>
      <c r="E218" s="68"/>
      <c r="F218" s="68"/>
      <c r="G218" s="68"/>
      <c r="H218" s="68"/>
    </row>
    <row r="247" spans="2:3" ht="15.75" customHeight="1" x14ac:dyDescent="0.25">
      <c r="B247" s="64"/>
      <c r="C247" s="64"/>
    </row>
    <row r="248" spans="2:3" ht="15.75" customHeight="1" x14ac:dyDescent="0.25">
      <c r="B248" s="64"/>
      <c r="C248" s="64"/>
    </row>
    <row r="249" spans="2:3" ht="15.75" customHeight="1" x14ac:dyDescent="0.25">
      <c r="B249" s="64"/>
      <c r="C249" s="64"/>
    </row>
    <row r="250" spans="2:3" ht="15.75" customHeight="1" x14ac:dyDescent="0.25">
      <c r="B250" s="64"/>
      <c r="C250" s="64"/>
    </row>
    <row r="251" spans="2:3" ht="15.75" customHeight="1" x14ac:dyDescent="0.25">
      <c r="B251" s="64"/>
      <c r="C251" s="64"/>
    </row>
    <row r="252" spans="2:3" ht="15.75" customHeight="1" x14ac:dyDescent="0.25">
      <c r="B252" s="64"/>
      <c r="C252" s="64"/>
    </row>
    <row r="253" spans="2:3" ht="15.75" customHeight="1" x14ac:dyDescent="0.25">
      <c r="B253" s="64"/>
      <c r="C253" s="64"/>
    </row>
    <row r="254" spans="2:3" ht="15.75" customHeight="1" x14ac:dyDescent="0.25">
      <c r="B254" s="64"/>
      <c r="C254" s="64"/>
    </row>
    <row r="255" spans="2:3" ht="15.75" customHeight="1" x14ac:dyDescent="0.25">
      <c r="B255" s="64"/>
      <c r="C255" s="64"/>
    </row>
  </sheetData>
  <phoneticPr fontId="33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9213D-CD15-4127-B6FD-B9BE139F16CC}">
  <dimension ref="B1:Q54"/>
  <sheetViews>
    <sheetView workbookViewId="0">
      <selection activeCell="G25" sqref="G25"/>
    </sheetView>
  </sheetViews>
  <sheetFormatPr defaultRowHeight="15.75" x14ac:dyDescent="0.25"/>
  <cols>
    <col min="1" max="1" width="1.625" customWidth="1"/>
    <col min="2" max="2" width="31.125" bestFit="1" customWidth="1"/>
    <col min="3" max="17" width="12.125" customWidth="1"/>
  </cols>
  <sheetData>
    <row r="1" spans="2:17" ht="9" customHeight="1" x14ac:dyDescent="0.25"/>
    <row r="2" spans="2:17" ht="16.5" thickBot="1" x14ac:dyDescent="0.3">
      <c r="B2" s="21" t="s">
        <v>326</v>
      </c>
      <c r="C2" s="22" t="str">
        <f>C14</f>
        <v>FY'22</v>
      </c>
      <c r="D2" s="22" t="str">
        <f>D14</f>
        <v>FY'23</v>
      </c>
      <c r="E2" s="22" t="str">
        <f>E14</f>
        <v>FY'24</v>
      </c>
      <c r="F2" s="39" t="str">
        <f>F14</f>
        <v>FY'25</v>
      </c>
      <c r="G2" s="22" t="str">
        <f>G14</f>
        <v>FY'26</v>
      </c>
      <c r="H2" s="22" t="str">
        <f>H14</f>
        <v>FY'27</v>
      </c>
      <c r="I2" s="22" t="str">
        <f>I14</f>
        <v>FY'28</v>
      </c>
      <c r="J2" s="22" t="str">
        <f>J14</f>
        <v>FY'29</v>
      </c>
      <c r="K2" s="22" t="str">
        <f>K14</f>
        <v>FY'30</v>
      </c>
      <c r="L2" s="22" t="str">
        <f>L14</f>
        <v>FY'31</v>
      </c>
      <c r="M2" s="22" t="str">
        <f>M14</f>
        <v>FY'32</v>
      </c>
      <c r="N2" s="22" t="str">
        <f>N14</f>
        <v>FY'33</v>
      </c>
      <c r="O2" s="22" t="str">
        <f>O14</f>
        <v>FY'34</v>
      </c>
      <c r="P2" s="22" t="str">
        <f>P14</f>
        <v>FY'35</v>
      </c>
      <c r="Q2" s="22" t="str">
        <f>Q14</f>
        <v>FY'36</v>
      </c>
    </row>
    <row r="3" spans="2:17" x14ac:dyDescent="0.25">
      <c r="B3" s="35" t="s">
        <v>86</v>
      </c>
      <c r="C3" s="40"/>
      <c r="D3" s="38">
        <f>(D15-C15)/C15</f>
        <v>0.33643675747681495</v>
      </c>
      <c r="E3" s="38">
        <f>(E15-D15)/D15</f>
        <v>0.59548315799737761</v>
      </c>
      <c r="F3" s="41">
        <f>(F15-E15)/E15</f>
        <v>0.62672864258479022</v>
      </c>
      <c r="G3" s="42">
        <v>0.4</v>
      </c>
      <c r="H3" s="42">
        <v>0.3417</v>
      </c>
      <c r="I3" s="42">
        <v>0.2833</v>
      </c>
      <c r="J3" s="42">
        <v>0.22500000000000001</v>
      </c>
      <c r="K3" s="42">
        <v>0.16669999999999999</v>
      </c>
      <c r="L3" s="42">
        <v>0.10829999999999999</v>
      </c>
      <c r="M3" s="42">
        <v>0.05</v>
      </c>
      <c r="N3" s="42">
        <v>0.05</v>
      </c>
      <c r="O3" s="42">
        <v>0.05</v>
      </c>
      <c r="P3" s="42">
        <v>0.05</v>
      </c>
      <c r="Q3" s="42">
        <v>0.05</v>
      </c>
    </row>
    <row r="4" spans="2:17" x14ac:dyDescent="0.25">
      <c r="B4" s="35" t="s">
        <v>87</v>
      </c>
      <c r="C4" s="40"/>
      <c r="D4" s="38">
        <f>(D25-C25)/C25</f>
        <v>0.44060168186663506</v>
      </c>
      <c r="E4" s="38">
        <f>(E25-D25)/D25</f>
        <v>0.3376140754748006</v>
      </c>
      <c r="F4" s="41">
        <f>(F25-E25)/E25</f>
        <v>0.10211808671493745</v>
      </c>
      <c r="G4" s="42">
        <v>0.25</v>
      </c>
      <c r="H4" s="42">
        <v>0.2167</v>
      </c>
      <c r="I4" s="42">
        <v>0.18329999999999999</v>
      </c>
      <c r="J4" s="42">
        <v>0.15</v>
      </c>
      <c r="K4" s="42">
        <v>0.1167</v>
      </c>
      <c r="L4" s="42">
        <v>8.3299999999999999E-2</v>
      </c>
      <c r="M4" s="42">
        <v>0.05</v>
      </c>
      <c r="N4" s="42">
        <v>0.05</v>
      </c>
      <c r="O4" s="42">
        <v>0.05</v>
      </c>
      <c r="P4" s="42">
        <v>0.05</v>
      </c>
      <c r="Q4" s="42">
        <v>0.05</v>
      </c>
    </row>
    <row r="5" spans="2:17" x14ac:dyDescent="0.25">
      <c r="B5" s="35" t="s">
        <v>88</v>
      </c>
      <c r="C5" s="40"/>
      <c r="D5" s="38">
        <f>(D33-C33)/C33</f>
        <v>0.11166792452830178</v>
      </c>
      <c r="E5" s="38">
        <f>(E33-D33)/D33</f>
        <v>0.19297197479904421</v>
      </c>
      <c r="F5" s="41">
        <f>(F33-E33)/E33</f>
        <v>0.19317095379012073</v>
      </c>
      <c r="G5" s="42">
        <v>0.15</v>
      </c>
      <c r="H5" s="42">
        <v>0.1333</v>
      </c>
      <c r="I5" s="42">
        <v>0.1167</v>
      </c>
      <c r="J5" s="42">
        <v>0.1</v>
      </c>
      <c r="K5" s="42">
        <v>8.3299999999999999E-2</v>
      </c>
      <c r="L5" s="42">
        <v>6.6699999999999995E-2</v>
      </c>
      <c r="M5" s="42">
        <v>0.05</v>
      </c>
      <c r="N5" s="42">
        <v>0.05</v>
      </c>
      <c r="O5" s="42">
        <v>0.05</v>
      </c>
      <c r="P5" s="42">
        <v>0.05</v>
      </c>
      <c r="Q5" s="42">
        <v>0.05</v>
      </c>
    </row>
    <row r="6" spans="2:17" x14ac:dyDescent="0.25">
      <c r="B6" s="35" t="s">
        <v>89</v>
      </c>
      <c r="C6" s="40"/>
      <c r="D6" s="38">
        <f>(D38-C38)/C38</f>
        <v>4.194192656322026E-2</v>
      </c>
      <c r="E6" s="38">
        <f>(E38-D38)/D38</f>
        <v>0.29710999705101737</v>
      </c>
      <c r="F6" s="41">
        <f>(F38-E38)/E38</f>
        <v>0.15048311924519722</v>
      </c>
      <c r="G6" s="42">
        <v>0.3</v>
      </c>
      <c r="H6" s="42">
        <v>0.26329999999999998</v>
      </c>
      <c r="I6" s="42">
        <v>0.22670000000000001</v>
      </c>
      <c r="J6" s="42">
        <v>0.19</v>
      </c>
      <c r="K6" s="42">
        <v>0.15329999999999999</v>
      </c>
      <c r="L6" s="42">
        <v>0.1167</v>
      </c>
      <c r="M6" s="42">
        <v>0.08</v>
      </c>
      <c r="N6" s="42">
        <v>0.08</v>
      </c>
      <c r="O6" s="42">
        <v>0.08</v>
      </c>
      <c r="P6" s="42">
        <v>0.08</v>
      </c>
      <c r="Q6" s="42">
        <v>0.08</v>
      </c>
    </row>
    <row r="7" spans="2:17" x14ac:dyDescent="0.25">
      <c r="B7" s="35" t="s">
        <v>90</v>
      </c>
      <c r="C7" s="40"/>
      <c r="D7" s="38">
        <f>(D41-C41)/C41</f>
        <v>-0.20196216265778322</v>
      </c>
      <c r="E7" s="38">
        <f>(E41-D41)/D41</f>
        <v>-0.58197694458274307</v>
      </c>
      <c r="F7" s="41">
        <f>(F41-E41)/E41</f>
        <v>-6.1145213009620031E-2</v>
      </c>
      <c r="G7" s="42">
        <v>-0.02</v>
      </c>
      <c r="H7" s="42">
        <v>-0.02</v>
      </c>
      <c r="I7" s="42">
        <v>-0.02</v>
      </c>
      <c r="J7" s="42">
        <v>-0.02</v>
      </c>
      <c r="K7" s="42">
        <v>-0.02</v>
      </c>
      <c r="L7" s="42">
        <v>-0.02</v>
      </c>
      <c r="M7" s="42">
        <v>-0.02</v>
      </c>
      <c r="N7" s="42">
        <v>-0.02</v>
      </c>
      <c r="O7" s="42">
        <v>-0.02</v>
      </c>
      <c r="P7" s="42">
        <v>-0.02</v>
      </c>
      <c r="Q7" s="42">
        <v>-0.02</v>
      </c>
    </row>
    <row r="8" spans="2:17" x14ac:dyDescent="0.25">
      <c r="B8" s="35" t="s">
        <v>91</v>
      </c>
      <c r="C8" s="38">
        <f>C44/C42</f>
        <v>0.76771286622239954</v>
      </c>
      <c r="D8" s="38">
        <f>D44/D42</f>
        <v>0.7924575300154435</v>
      </c>
      <c r="E8" s="38">
        <f>E44/E42</f>
        <v>0.81310401019477074</v>
      </c>
      <c r="F8" s="41">
        <f>F44/F42</f>
        <v>0.83042521038056427</v>
      </c>
      <c r="G8" s="43">
        <f>AVERAGE('10QIS'!$C$52:$T$52)</f>
        <v>0.80475242866083063</v>
      </c>
      <c r="H8" s="43">
        <f>AVERAGE('10QIS'!$C$52:$T$52)</f>
        <v>0.80475242866083063</v>
      </c>
      <c r="I8" s="43">
        <f>AVERAGE('10QIS'!$C$52:$T$52)</f>
        <v>0.80475242866083063</v>
      </c>
      <c r="J8" s="43">
        <f>AVERAGE('10QIS'!$C$52:$T$52)</f>
        <v>0.80475242866083063</v>
      </c>
      <c r="K8" s="43">
        <f>AVERAGE('10QIS'!$C$52:$T$52)</f>
        <v>0.80475242866083063</v>
      </c>
      <c r="L8" s="43">
        <f>AVERAGE('10QIS'!$C$52:$T$52)</f>
        <v>0.80475242866083063</v>
      </c>
      <c r="M8" s="43">
        <f>AVERAGE('10QIS'!$C$52:$T$52)</f>
        <v>0.80475242866083063</v>
      </c>
      <c r="N8" s="43">
        <f>AVERAGE('10QIS'!$C$52:$T$52)</f>
        <v>0.80475242866083063</v>
      </c>
      <c r="O8" s="43">
        <f>AVERAGE('10QIS'!$C$52:$T$52)</f>
        <v>0.80475242866083063</v>
      </c>
      <c r="P8" s="43">
        <f>AVERAGE('10QIS'!$C$52:$T$52)</f>
        <v>0.80475242866083063</v>
      </c>
      <c r="Q8" s="43">
        <f>AVERAGE('10QIS'!$C$52:$T$52)</f>
        <v>0.80475242866083063</v>
      </c>
    </row>
    <row r="9" spans="2:17" x14ac:dyDescent="0.25">
      <c r="B9" s="35" t="s">
        <v>92</v>
      </c>
      <c r="C9" s="38">
        <f>C45/C42</f>
        <v>0.25194279187425977</v>
      </c>
      <c r="D9" s="38">
        <f>D45/D42</f>
        <v>0.27292734460396023</v>
      </c>
      <c r="E9" s="38">
        <f>E45/E42</f>
        <v>0.2440040228494296</v>
      </c>
      <c r="F9" s="41">
        <f>F45/F42</f>
        <v>0.20462415329973377</v>
      </c>
      <c r="G9" s="43">
        <f>AVERAGE('10QIS'!$C$53:$T$53)</f>
        <v>0.2370471541542023</v>
      </c>
      <c r="H9" s="43">
        <f>AVERAGE('10QIS'!$C$53:$T$53)</f>
        <v>0.2370471541542023</v>
      </c>
      <c r="I9" s="43">
        <f>AVERAGE('10QIS'!$C$53:$T$53)</f>
        <v>0.2370471541542023</v>
      </c>
      <c r="J9" s="43">
        <f>AVERAGE('10QIS'!$C$53:$T$53)</f>
        <v>0.2370471541542023</v>
      </c>
      <c r="K9" s="43">
        <f>AVERAGE('10QIS'!$C$53:$T$53)</f>
        <v>0.2370471541542023</v>
      </c>
      <c r="L9" s="43">
        <f>AVERAGE('10QIS'!$C$53:$T$53)</f>
        <v>0.2370471541542023</v>
      </c>
      <c r="M9" s="43">
        <f>AVERAGE('10QIS'!$C$53:$T$53)</f>
        <v>0.2370471541542023</v>
      </c>
      <c r="N9" s="43">
        <f>AVERAGE('10QIS'!$C$53:$T$53)</f>
        <v>0.2370471541542023</v>
      </c>
      <c r="O9" s="43">
        <f>AVERAGE('10QIS'!$C$53:$T$53)</f>
        <v>0.2370471541542023</v>
      </c>
      <c r="P9" s="43">
        <f>AVERAGE('10QIS'!$C$53:$T$53)</f>
        <v>0.2370471541542023</v>
      </c>
      <c r="Q9" s="43">
        <f>AVERAGE('10QIS'!$C$53:$T$53)</f>
        <v>0.2370471541542023</v>
      </c>
    </row>
    <row r="10" spans="2:17" x14ac:dyDescent="0.25">
      <c r="B10" s="35" t="s">
        <v>93</v>
      </c>
      <c r="C10" s="38">
        <f>C46/C42</f>
        <v>0.22565115936849622</v>
      </c>
      <c r="D10" s="38">
        <f>D46/D42</f>
        <v>0.21694638100345501</v>
      </c>
      <c r="E10" s="38">
        <f>E46/E42</f>
        <v>0.19079229264675521</v>
      </c>
      <c r="F10" s="41">
        <f>F46/F42</f>
        <v>0.170193082180747</v>
      </c>
      <c r="G10" s="43">
        <f>AVERAGE('10QIS'!$C$54:$T$54)</f>
        <v>0.19695710863991797</v>
      </c>
      <c r="H10" s="43">
        <f>AVERAGE('10QIS'!$C$54:$T$54)</f>
        <v>0.19695710863991797</v>
      </c>
      <c r="I10" s="43">
        <f>AVERAGE('10QIS'!$C$54:$T$54)</f>
        <v>0.19695710863991797</v>
      </c>
      <c r="J10" s="43">
        <f>AVERAGE('10QIS'!$C$54:$T$54)</f>
        <v>0.19695710863991797</v>
      </c>
      <c r="K10" s="43">
        <f>AVERAGE('10QIS'!$C$54:$T$54)</f>
        <v>0.19695710863991797</v>
      </c>
      <c r="L10" s="43">
        <f>AVERAGE('10QIS'!$C$54:$T$54)</f>
        <v>0.19695710863991797</v>
      </c>
      <c r="M10" s="43">
        <f>AVERAGE('10QIS'!$C$54:$T$54)</f>
        <v>0.19695710863991797</v>
      </c>
      <c r="N10" s="43">
        <f>AVERAGE('10QIS'!$C$54:$T$54)</f>
        <v>0.19695710863991797</v>
      </c>
      <c r="O10" s="43">
        <f>AVERAGE('10QIS'!$C$54:$T$54)</f>
        <v>0.19695710863991797</v>
      </c>
      <c r="P10" s="43">
        <f>AVERAGE('10QIS'!$C$54:$T$54)</f>
        <v>0.19695710863991797</v>
      </c>
      <c r="Q10" s="43">
        <f>AVERAGE('10QIS'!$C$54:$T$54)</f>
        <v>0.19695710863991797</v>
      </c>
    </row>
    <row r="11" spans="2:17" x14ac:dyDescent="0.25">
      <c r="B11" s="35" t="s">
        <v>94</v>
      </c>
      <c r="C11" s="38">
        <f>C47/C42</f>
        <v>3.183095433300398E-2</v>
      </c>
      <c r="D11" s="38">
        <f>D47/D42</f>
        <v>0.1113523873157094</v>
      </c>
      <c r="E11" s="38">
        <f>E47/E42</f>
        <v>7.2828671460636263E-2</v>
      </c>
      <c r="F11" s="41">
        <f>F47/F42</f>
        <v>4.4638268167138437E-2</v>
      </c>
      <c r="G11" s="43">
        <f>AVERAGE('10QIS'!$C$55:$T$55)</f>
        <v>6.5174619310669632E-2</v>
      </c>
      <c r="H11" s="43">
        <f>AVERAGE('10QIS'!$C$55:$T$55)</f>
        <v>6.5174619310669632E-2</v>
      </c>
      <c r="I11" s="43">
        <f>AVERAGE('10QIS'!$C$55:$T$55)</f>
        <v>6.5174619310669632E-2</v>
      </c>
      <c r="J11" s="43">
        <f>AVERAGE('10QIS'!$C$55:$T$55)</f>
        <v>6.5174619310669632E-2</v>
      </c>
      <c r="K11" s="43">
        <f>AVERAGE('10QIS'!$C$55:$T$55)</f>
        <v>6.5174619310669632E-2</v>
      </c>
      <c r="L11" s="43">
        <f>AVERAGE('10QIS'!$C$55:$T$55)</f>
        <v>6.5174619310669632E-2</v>
      </c>
      <c r="M11" s="43">
        <f>AVERAGE('10QIS'!$C$55:$T$55)</f>
        <v>6.5174619310669632E-2</v>
      </c>
      <c r="N11" s="43">
        <f>AVERAGE('10QIS'!$C$55:$T$55)</f>
        <v>6.5174619310669632E-2</v>
      </c>
      <c r="O11" s="43">
        <f>AVERAGE('10QIS'!$C$55:$T$55)</f>
        <v>6.5174619310669632E-2</v>
      </c>
      <c r="P11" s="43">
        <f>AVERAGE('10QIS'!$C$55:$T$55)</f>
        <v>6.5174619310669632E-2</v>
      </c>
      <c r="Q11" s="43">
        <f>AVERAGE('10QIS'!$C$55:$T$55)</f>
        <v>6.5174619310669632E-2</v>
      </c>
    </row>
    <row r="12" spans="2:17" x14ac:dyDescent="0.25">
      <c r="B12" s="35" t="s">
        <v>95</v>
      </c>
      <c r="C12" s="38">
        <f>C51/C50</f>
        <v>8.2510578279266583E-2</v>
      </c>
      <c r="D12" s="38">
        <f>D51/D50</f>
        <v>0.20818680100117226</v>
      </c>
      <c r="E12" s="38">
        <f>E51/E50</f>
        <v>0.16485414382940469</v>
      </c>
      <c r="F12" s="41">
        <f>F51/F50</f>
        <v>0.19786023519536136</v>
      </c>
      <c r="G12" s="43">
        <v>0.2</v>
      </c>
      <c r="H12" s="43">
        <v>0.2</v>
      </c>
      <c r="I12" s="43">
        <v>0.2</v>
      </c>
      <c r="J12" s="43">
        <v>0.2</v>
      </c>
      <c r="K12" s="43">
        <v>0.2</v>
      </c>
      <c r="L12" s="43">
        <v>0.2</v>
      </c>
      <c r="M12" s="43">
        <v>0.2</v>
      </c>
      <c r="N12" s="43">
        <v>0.2</v>
      </c>
      <c r="O12" s="43">
        <v>0.2</v>
      </c>
      <c r="P12" s="43">
        <v>0.2</v>
      </c>
      <c r="Q12" s="43">
        <v>0.2</v>
      </c>
    </row>
    <row r="13" spans="2:17" x14ac:dyDescent="0.25">
      <c r="B13" s="1"/>
      <c r="C13" s="1"/>
      <c r="D13" s="1"/>
      <c r="E13" s="1"/>
      <c r="F13" s="206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2:17" ht="16.5" thickBot="1" x14ac:dyDescent="0.3">
      <c r="B14" s="49" t="s">
        <v>114</v>
      </c>
      <c r="C14" s="22" t="s">
        <v>115</v>
      </c>
      <c r="D14" s="22" t="s">
        <v>116</v>
      </c>
      <c r="E14" s="22" t="s">
        <v>117</v>
      </c>
      <c r="F14" s="39" t="s">
        <v>118</v>
      </c>
      <c r="G14" s="22" t="s">
        <v>119</v>
      </c>
      <c r="H14" s="22" t="s">
        <v>120</v>
      </c>
      <c r="I14" s="22" t="s">
        <v>121</v>
      </c>
      <c r="J14" s="22" t="s">
        <v>122</v>
      </c>
      <c r="K14" s="22" t="s">
        <v>123</v>
      </c>
      <c r="L14" s="22" t="s">
        <v>124</v>
      </c>
      <c r="M14" s="22" t="s">
        <v>125</v>
      </c>
      <c r="N14" s="22" t="s">
        <v>126</v>
      </c>
      <c r="O14" s="22" t="s">
        <v>127</v>
      </c>
      <c r="P14" s="22" t="s">
        <v>128</v>
      </c>
      <c r="Q14" s="22" t="s">
        <v>129</v>
      </c>
    </row>
    <row r="15" spans="2:17" x14ac:dyDescent="0.25">
      <c r="B15" s="50" t="s">
        <v>57</v>
      </c>
      <c r="C15" s="26">
        <f>SUM('10QIS'!C5:F5)</f>
        <v>13812.7</v>
      </c>
      <c r="D15" s="26">
        <f>SUM('10QIS'!G5:J5)</f>
        <v>18459.800000000003</v>
      </c>
      <c r="E15" s="26">
        <f>SUM('10QIS'!K5:N5)</f>
        <v>29452.299999999996</v>
      </c>
      <c r="F15" s="51">
        <f>SUM('10QIS'!O5:R5)</f>
        <v>47910.900000000009</v>
      </c>
      <c r="G15" s="26">
        <f>F15*(1+G3)</f>
        <v>67075.260000000009</v>
      </c>
      <c r="H15" s="26">
        <f>G15*(1+H3)</f>
        <v>89994.876342000003</v>
      </c>
      <c r="I15" s="26">
        <f>H15*(1+I3)</f>
        <v>115490.42480968861</v>
      </c>
      <c r="J15" s="26">
        <f>I15*(1+J3)</f>
        <v>141475.77039186857</v>
      </c>
      <c r="K15" s="26">
        <f>J15*(1+K3)</f>
        <v>165059.78131619308</v>
      </c>
      <c r="L15" s="26">
        <f>K15*(1+L3)</f>
        <v>182935.75563273681</v>
      </c>
      <c r="M15" s="26">
        <f>L15*(1+M3)</f>
        <v>192082.54341437365</v>
      </c>
      <c r="N15" s="26">
        <f>M15*(1+N3)</f>
        <v>201686.67058509233</v>
      </c>
      <c r="O15" s="26">
        <f>N15*(1+O3)</f>
        <v>211771.00411434696</v>
      </c>
      <c r="P15" s="26">
        <f>O15*(1+P3)</f>
        <v>222359.55432006432</v>
      </c>
      <c r="Q15" s="26">
        <f>P15*(1+Q3)</f>
        <v>233477.53203606754</v>
      </c>
    </row>
    <row r="16" spans="2:17" hidden="1" x14ac:dyDescent="0.25">
      <c r="B16" s="1" t="s">
        <v>7</v>
      </c>
      <c r="C16" s="26">
        <f>SUM('10QIS'!C6:F6)</f>
        <v>466.5</v>
      </c>
      <c r="D16" s="26">
        <f>SUM('10QIS'!G6:J6)</f>
        <v>5163.1000000000004</v>
      </c>
      <c r="E16" s="26">
        <f>SUM('10QIS'!K6:N6)</f>
        <v>11540</v>
      </c>
      <c r="F16" s="51">
        <f>SUM('10QIS'!O6:R6)</f>
        <v>22965</v>
      </c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</row>
    <row r="17" spans="2:17" hidden="1" x14ac:dyDescent="0.25">
      <c r="B17" s="1" t="s">
        <v>9</v>
      </c>
      <c r="C17" s="26">
        <f>SUM('10QIS'!C7:F7)</f>
        <v>0</v>
      </c>
      <c r="D17" s="26">
        <f>SUM('10QIS'!G7:J7)</f>
        <v>175.8</v>
      </c>
      <c r="E17" s="26">
        <f>SUM('10QIS'!K7:N7)</f>
        <v>4925.3999999999996</v>
      </c>
      <c r="F17" s="51">
        <f>SUM('10QIS'!O7:R7)</f>
        <v>13542.4</v>
      </c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</row>
    <row r="18" spans="2:17" hidden="1" x14ac:dyDescent="0.25">
      <c r="B18" s="1" t="s">
        <v>11</v>
      </c>
      <c r="C18" s="26">
        <f>SUM('10QIS'!C8:F8)</f>
        <v>7439.8</v>
      </c>
      <c r="D18" s="26">
        <f>SUM('10QIS'!G8:J8)</f>
        <v>7132.5</v>
      </c>
      <c r="E18" s="26">
        <f>SUM('10QIS'!K8:N8)</f>
        <v>5253.5</v>
      </c>
      <c r="F18" s="51">
        <f>SUM('10QIS'!O8:R8)</f>
        <v>4276</v>
      </c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</row>
    <row r="19" spans="2:17" hidden="1" x14ac:dyDescent="0.25">
      <c r="B19" s="27" t="s">
        <v>13</v>
      </c>
      <c r="C19" s="26">
        <f>SUM('10QIS'!C9:F9)</f>
        <v>0</v>
      </c>
      <c r="D19" s="26">
        <f>SUM('10QIS'!G9:J9)</f>
        <v>0</v>
      </c>
      <c r="E19" s="26">
        <f>SUM('10QIS'!K9:N9)</f>
        <v>0</v>
      </c>
      <c r="F19" s="51">
        <f>SUM('10QIS'!O9:R9)</f>
        <v>0</v>
      </c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</row>
    <row r="20" spans="2:17" hidden="1" x14ac:dyDescent="0.25">
      <c r="B20" s="27" t="s">
        <v>16</v>
      </c>
      <c r="C20" s="26">
        <f>SUM('10QIS'!C10:F10)</f>
        <v>0</v>
      </c>
      <c r="D20" s="26">
        <f>SUM('10QIS'!G10:J10)</f>
        <v>0</v>
      </c>
      <c r="E20" s="26">
        <f>SUM('10QIS'!K10:N10)</f>
        <v>0</v>
      </c>
      <c r="F20" s="51">
        <f>SUM('10QIS'!O10:R10)</f>
        <v>0</v>
      </c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</row>
    <row r="21" spans="2:17" hidden="1" x14ac:dyDescent="0.25">
      <c r="B21" s="1" t="s">
        <v>18</v>
      </c>
      <c r="C21" s="26">
        <f>SUM('10QIS'!C11:F11)</f>
        <v>760.40000000000009</v>
      </c>
      <c r="D21" s="26">
        <f>SUM('10QIS'!G11:J11)</f>
        <v>728.3</v>
      </c>
      <c r="E21" s="26">
        <f>SUM('10QIS'!K11:N11)</f>
        <v>676.9</v>
      </c>
      <c r="F21" s="51">
        <f>SUM('10QIS'!O11:R11)</f>
        <v>657.7</v>
      </c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</row>
    <row r="22" spans="2:17" hidden="1" x14ac:dyDescent="0.25">
      <c r="B22" s="1" t="s">
        <v>19</v>
      </c>
      <c r="C22" s="26">
        <f>SUM('10QIS'!C12:F12)</f>
        <v>2060.6000000000004</v>
      </c>
      <c r="D22" s="26">
        <f>SUM('10QIS'!G12:J12)</f>
        <v>1663.2999999999997</v>
      </c>
      <c r="E22" s="26">
        <f>SUM('10QIS'!K12:N12)</f>
        <v>2324.8000000000002</v>
      </c>
      <c r="F22" s="51">
        <f>SUM('10QIS'!O12:R12)</f>
        <v>2233.5</v>
      </c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</row>
    <row r="23" spans="2:17" hidden="1" x14ac:dyDescent="0.25">
      <c r="B23" s="1" t="s">
        <v>58</v>
      </c>
      <c r="C23" s="26">
        <f>SUM('10QIS'!C13:F13)</f>
        <v>1019.4000000000001</v>
      </c>
      <c r="D23" s="26">
        <f>SUM('10QIS'!G13:J13)</f>
        <v>852.10000000000014</v>
      </c>
      <c r="E23" s="26">
        <f>SUM('10QIS'!K13:N13)</f>
        <v>917.2</v>
      </c>
      <c r="F23" s="51">
        <f>SUM('10QIS'!O13:R13)</f>
        <v>805.3</v>
      </c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2:17" hidden="1" x14ac:dyDescent="0.25">
      <c r="B24" s="1" t="s">
        <v>21</v>
      </c>
      <c r="C24" s="26">
        <f>SUM('10QIS'!C14:F14)</f>
        <v>2066</v>
      </c>
      <c r="D24" s="26">
        <f>SUM('10QIS'!G14:J14)</f>
        <v>2744.7</v>
      </c>
      <c r="E24" s="26">
        <f>SUM('10QIS'!K14:N14)</f>
        <v>3814.5</v>
      </c>
      <c r="F24" s="51">
        <f>SUM('10QIS'!O14:R14)</f>
        <v>3431</v>
      </c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</row>
    <row r="25" spans="2:17" x14ac:dyDescent="0.25">
      <c r="B25" s="50" t="s">
        <v>59</v>
      </c>
      <c r="C25" s="26">
        <f>SUM('10QIS'!C15:F15)</f>
        <v>4221.5</v>
      </c>
      <c r="D25" s="26">
        <f>SUM('10QIS'!G15:J15)</f>
        <v>6081.5</v>
      </c>
      <c r="E25" s="26">
        <f>SUM('10QIS'!K15:N15)</f>
        <v>8134.7</v>
      </c>
      <c r="F25" s="51">
        <f>SUM('10QIS'!O15:R15)</f>
        <v>8965.4000000000015</v>
      </c>
      <c r="G25" s="26">
        <f>F25*(1+G4)</f>
        <v>11206.750000000002</v>
      </c>
      <c r="H25" s="26">
        <f>G25*(1+H4)</f>
        <v>13635.252725</v>
      </c>
      <c r="I25" s="26">
        <f>H25*(1+I4)</f>
        <v>16134.5945494925</v>
      </c>
      <c r="J25" s="26">
        <f>I25*(1+J4)</f>
        <v>18554.783731916374</v>
      </c>
      <c r="K25" s="26">
        <f>J25*(1+K4)</f>
        <v>20720.126993431015</v>
      </c>
      <c r="L25" s="26">
        <f>K25*(1+L4)</f>
        <v>22446.113571983817</v>
      </c>
      <c r="M25" s="26">
        <f>L25*(1+M4)</f>
        <v>23568.419250583007</v>
      </c>
      <c r="N25" s="26">
        <f>M25*(1+N4)</f>
        <v>24746.840213112158</v>
      </c>
      <c r="O25" s="26">
        <f>N25*(1+O4)</f>
        <v>25984.182223767766</v>
      </c>
      <c r="P25" s="26">
        <f>O25*(1+P4)</f>
        <v>27283.391334956155</v>
      </c>
      <c r="Q25" s="26">
        <f>P25*(1+Q4)</f>
        <v>28647.560901703964</v>
      </c>
    </row>
    <row r="26" spans="2:17" hidden="1" x14ac:dyDescent="0.25">
      <c r="B26" s="1" t="s">
        <v>23</v>
      </c>
      <c r="C26" s="26">
        <f>SUM('10QIS'!C16:F16)</f>
        <v>2483.6000000000004</v>
      </c>
      <c r="D26" s="26">
        <f>SUM('10QIS'!G16:J16)</f>
        <v>3863.2999999999997</v>
      </c>
      <c r="E26" s="26">
        <f>SUM('10QIS'!K16:N16)</f>
        <v>5306.5</v>
      </c>
      <c r="F26" s="51">
        <f>SUM('10QIS'!O16:R16)</f>
        <v>5722.4</v>
      </c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</row>
    <row r="27" spans="2:17" hidden="1" x14ac:dyDescent="0.25">
      <c r="B27" s="1" t="s">
        <v>24</v>
      </c>
      <c r="C27" s="26">
        <f>SUM('10QIS'!C17:F17)</f>
        <v>971.5</v>
      </c>
      <c r="D27" s="26">
        <f>SUM('10QIS'!G17:J17)</f>
        <v>974.80000000000007</v>
      </c>
      <c r="E27" s="26">
        <f>SUM('10QIS'!K17:N17)</f>
        <v>973.4</v>
      </c>
      <c r="F27" s="51">
        <f>SUM('10QIS'!O17:R17)</f>
        <v>982.7</v>
      </c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</row>
    <row r="28" spans="2:17" hidden="1" x14ac:dyDescent="0.25">
      <c r="B28" s="1" t="s">
        <v>25</v>
      </c>
      <c r="C28" s="26">
        <f>SUM('10QIS'!C18:F18)</f>
        <v>408.4</v>
      </c>
      <c r="D28" s="26">
        <f>SUM('10QIS'!G18:J18)</f>
        <v>596.5</v>
      </c>
      <c r="E28" s="26">
        <f>SUM('10QIS'!K18:N18)</f>
        <v>627.4</v>
      </c>
      <c r="F28" s="51">
        <f>SUM('10QIS'!O18:R18)</f>
        <v>706.3</v>
      </c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</row>
    <row r="29" spans="2:17" hidden="1" x14ac:dyDescent="0.25">
      <c r="B29" s="1" t="s">
        <v>27</v>
      </c>
      <c r="C29" s="26">
        <f>SUM('10QIS'!C19:F19)</f>
        <v>64.599999999999994</v>
      </c>
      <c r="D29" s="26">
        <f>SUM('10QIS'!G19:J19)</f>
        <v>253.60000000000002</v>
      </c>
      <c r="E29" s="26">
        <f>SUM('10QIS'!K19:N19)</f>
        <v>364.4</v>
      </c>
      <c r="F29" s="51">
        <f>SUM('10QIS'!O19:R19)</f>
        <v>445.3</v>
      </c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</row>
    <row r="30" spans="2:17" hidden="1" x14ac:dyDescent="0.25">
      <c r="B30" s="1" t="s">
        <v>28</v>
      </c>
      <c r="C30" s="26">
        <f>SUM('10QIS'!C20:F20)</f>
        <v>293.39999999999998</v>
      </c>
      <c r="D30" s="26">
        <f>SUM('10QIS'!G20:J20)</f>
        <v>393.29999999999995</v>
      </c>
      <c r="E30" s="26">
        <f>SUM('10QIS'!K20:N20)</f>
        <v>525.9</v>
      </c>
      <c r="F30" s="51">
        <f>SUM('10QIS'!O20:R20)</f>
        <v>552.6</v>
      </c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</row>
    <row r="31" spans="2:17" hidden="1" x14ac:dyDescent="0.25">
      <c r="B31" s="1" t="s">
        <v>30</v>
      </c>
      <c r="C31" s="26">
        <f>SUM('10QIS'!C21:F21)</f>
        <v>0</v>
      </c>
      <c r="D31" s="26">
        <f>SUM('10QIS'!G21:J21)</f>
        <v>0</v>
      </c>
      <c r="E31" s="26">
        <f>SUM('10QIS'!K21:N21)</f>
        <v>337.1</v>
      </c>
      <c r="F31" s="51">
        <f>SUM('10QIS'!O21:R21)</f>
        <v>511.1</v>
      </c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</row>
    <row r="32" spans="2:17" hidden="1" x14ac:dyDescent="0.25">
      <c r="B32" s="1" t="s">
        <v>31</v>
      </c>
      <c r="C32" s="26">
        <f>SUM('10QIS'!C22:F22)</f>
        <v>0</v>
      </c>
      <c r="D32" s="26">
        <f>SUM('10QIS'!G22:J22)</f>
        <v>0</v>
      </c>
      <c r="E32" s="26">
        <f>SUM('10QIS'!K22:N22)</f>
        <v>0</v>
      </c>
      <c r="F32" s="51">
        <f>SUM('10QIS'!O22:R22)</f>
        <v>45</v>
      </c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</row>
    <row r="33" spans="2:17" x14ac:dyDescent="0.25">
      <c r="B33" s="50" t="s">
        <v>60</v>
      </c>
      <c r="C33" s="26">
        <f>SUM('10QIS'!C23:F23)</f>
        <v>3312.5</v>
      </c>
      <c r="D33" s="26">
        <f>SUM('10QIS'!G23:J23)</f>
        <v>3682.3999999999996</v>
      </c>
      <c r="E33" s="26">
        <f>SUM('10QIS'!K23:N23)</f>
        <v>4393</v>
      </c>
      <c r="F33" s="51">
        <f>SUM('10QIS'!O23:R23)</f>
        <v>5241.6000000000004</v>
      </c>
      <c r="G33" s="26">
        <f>F33*(1+G5)</f>
        <v>6027.84</v>
      </c>
      <c r="H33" s="26">
        <f>G33*(1+H5)</f>
        <v>6831.3510720000004</v>
      </c>
      <c r="I33" s="26">
        <f>H33*(1+I5)</f>
        <v>7628.5697421024006</v>
      </c>
      <c r="J33" s="26">
        <f>I33*(1+J5)</f>
        <v>8391.4267163126406</v>
      </c>
      <c r="K33" s="26">
        <f>J33*(1+K5)</f>
        <v>9090.4325617814829</v>
      </c>
      <c r="L33" s="26">
        <f>K33*(1+L5)</f>
        <v>9696.7644136523086</v>
      </c>
      <c r="M33" s="26">
        <f>L33*(1+M5)</f>
        <v>10181.602634334924</v>
      </c>
      <c r="N33" s="26">
        <f>M33*(1+N5)</f>
        <v>10690.68276605167</v>
      </c>
      <c r="O33" s="26">
        <f>N33*(1+O5)</f>
        <v>11225.216904354254</v>
      </c>
      <c r="P33" s="26">
        <f>O33*(1+P5)</f>
        <v>11786.477749571968</v>
      </c>
      <c r="Q33" s="26">
        <f>P33*(1+Q5)</f>
        <v>12375.801637050567</v>
      </c>
    </row>
    <row r="34" spans="2:17" hidden="1" x14ac:dyDescent="0.25">
      <c r="B34" s="1" t="s">
        <v>32</v>
      </c>
      <c r="C34" s="26">
        <f>SUM('10QIS'!C24:F24)</f>
        <v>0</v>
      </c>
      <c r="D34" s="26">
        <f>SUM('10QIS'!G24:J24)</f>
        <v>0</v>
      </c>
      <c r="E34" s="26">
        <f>SUM('10QIS'!K24:N24)</f>
        <v>42.7</v>
      </c>
      <c r="F34" s="51">
        <f>SUM('10QIS'!O24:R24)</f>
        <v>406.20000000000005</v>
      </c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</row>
    <row r="35" spans="2:17" hidden="1" x14ac:dyDescent="0.25">
      <c r="B35" s="1" t="s">
        <v>33</v>
      </c>
      <c r="C35" s="26">
        <f>SUM('10QIS'!C25:F25)</f>
        <v>830.5</v>
      </c>
      <c r="D35" s="26">
        <f>SUM('10QIS'!G25:J25)</f>
        <v>922.7</v>
      </c>
      <c r="E35" s="26">
        <f>SUM('10QIS'!K25:N25)</f>
        <v>957.50000000000011</v>
      </c>
      <c r="F35" s="51">
        <f>SUM('10QIS'!O25:R25)</f>
        <v>1005.6</v>
      </c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</row>
    <row r="36" spans="2:17" hidden="1" x14ac:dyDescent="0.25">
      <c r="B36" s="1" t="s">
        <v>34</v>
      </c>
      <c r="C36" s="26">
        <f>SUM('10QIS'!C26:F26)</f>
        <v>0</v>
      </c>
      <c r="D36" s="26">
        <f>SUM('10QIS'!G26:J26)</f>
        <v>0</v>
      </c>
      <c r="E36" s="26">
        <f>SUM('10QIS'!K26:N26)</f>
        <v>132.4</v>
      </c>
      <c r="F36" s="51">
        <f>SUM('10QIS'!O26:R26)</f>
        <v>266.8</v>
      </c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</row>
    <row r="37" spans="2:17" hidden="1" x14ac:dyDescent="0.25">
      <c r="B37" s="1" t="s">
        <v>35</v>
      </c>
      <c r="C37" s="26">
        <f>SUM('10QIS'!C27:F27)</f>
        <v>2482</v>
      </c>
      <c r="D37" s="26">
        <f>SUM('10QIS'!G27:J27)</f>
        <v>2759.7000000000003</v>
      </c>
      <c r="E37" s="26">
        <f>SUM('10QIS'!K27:N27)</f>
        <v>3260.4</v>
      </c>
      <c r="F37" s="51">
        <f>SUM('10QIS'!O27:R27)</f>
        <v>3563</v>
      </c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</row>
    <row r="38" spans="2:17" x14ac:dyDescent="0.25">
      <c r="B38" s="50" t="s">
        <v>61</v>
      </c>
      <c r="C38" s="26">
        <f>SUM('10QIS'!C28:F28)</f>
        <v>650.9</v>
      </c>
      <c r="D38" s="26">
        <f>SUM('10QIS'!G28:J28)</f>
        <v>678.2</v>
      </c>
      <c r="E38" s="26">
        <f>SUM('10QIS'!K28:N28)</f>
        <v>879.7</v>
      </c>
      <c r="F38" s="51">
        <f>SUM('10QIS'!O28:R28)</f>
        <v>1012.08</v>
      </c>
      <c r="G38" s="26">
        <f>F38*(1+G6)</f>
        <v>1315.7040000000002</v>
      </c>
      <c r="H38" s="26">
        <f>G38*(1+H6)</f>
        <v>1662.1288632000003</v>
      </c>
      <c r="I38" s="26">
        <f>H38*(1+I6)</f>
        <v>2038.9334764874407</v>
      </c>
      <c r="J38" s="26">
        <f>I38*(1+J6)</f>
        <v>2426.3308370200543</v>
      </c>
      <c r="K38" s="26">
        <f>J38*(1+K6)</f>
        <v>2798.2873543352284</v>
      </c>
      <c r="L38" s="26">
        <f>K38*(1+L6)</f>
        <v>3124.8474885861497</v>
      </c>
      <c r="M38" s="26">
        <f>L38*(1+M6)</f>
        <v>3374.8352876730419</v>
      </c>
      <c r="N38" s="26">
        <f>M38*(1+N6)</f>
        <v>3644.8221106868855</v>
      </c>
      <c r="O38" s="26">
        <f>N38*(1+O6)</f>
        <v>3936.4078795418368</v>
      </c>
      <c r="P38" s="26">
        <f>O38*(1+P6)</f>
        <v>4251.3205099051838</v>
      </c>
      <c r="Q38" s="26">
        <f>P38*(1+Q6)</f>
        <v>4591.426150697599</v>
      </c>
    </row>
    <row r="39" spans="2:17" hidden="1" x14ac:dyDescent="0.25">
      <c r="B39" s="1" t="s">
        <v>36</v>
      </c>
      <c r="C39" s="26">
        <f>SUM('10QIS'!C29:F29)</f>
        <v>650.9</v>
      </c>
      <c r="D39" s="26">
        <f>SUM('10QIS'!G29:J29)</f>
        <v>678.2</v>
      </c>
      <c r="E39" s="26">
        <f>SUM('10QIS'!K29:N29)</f>
        <v>870.40000000000009</v>
      </c>
      <c r="F39" s="51">
        <f>SUM('10QIS'!O29:R29)</f>
        <v>776.18000000000006</v>
      </c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</row>
    <row r="40" spans="2:17" hidden="1" x14ac:dyDescent="0.25">
      <c r="B40" s="1" t="s">
        <v>37</v>
      </c>
      <c r="C40" s="26">
        <f>SUM('10QIS'!C30:F30)</f>
        <v>0</v>
      </c>
      <c r="D40" s="26">
        <f>SUM('10QIS'!G30:J30)</f>
        <v>0</v>
      </c>
      <c r="E40" s="26">
        <f>SUM('10QIS'!K30:N30)</f>
        <v>9.3000000000000007</v>
      </c>
      <c r="F40" s="51">
        <f>SUM('10QIS'!O30:R30)</f>
        <v>235.9</v>
      </c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</row>
    <row r="41" spans="2:17" x14ac:dyDescent="0.25">
      <c r="B41" s="1" t="s">
        <v>130</v>
      </c>
      <c r="C41" s="26">
        <f>SUM('10QIS'!C31:F31)</f>
        <v>6543.800000000002</v>
      </c>
      <c r="D41" s="26">
        <f>SUM('10QIS'!G31:J31)</f>
        <v>5222.2</v>
      </c>
      <c r="E41" s="26">
        <f>SUM('10QIS'!K31:N31)</f>
        <v>2182.9999999999991</v>
      </c>
      <c r="F41" s="51">
        <f>SUM('10QIS'!O31:R31)</f>
        <v>2049.5199999999986</v>
      </c>
      <c r="G41" s="26">
        <f>F41*(1+G7)</f>
        <v>2008.5295999999987</v>
      </c>
      <c r="H41" s="26">
        <f>G41*(1+H7)</f>
        <v>1968.3590079999988</v>
      </c>
      <c r="I41" s="26">
        <f>H41*(1+I7)</f>
        <v>1928.9918278399987</v>
      </c>
      <c r="J41" s="26">
        <f>I41*(1+J7)</f>
        <v>1890.4119912831986</v>
      </c>
      <c r="K41" s="26">
        <f>J41*(1+K7)</f>
        <v>1852.6037514575346</v>
      </c>
      <c r="L41" s="26">
        <f>K41*(1+L7)</f>
        <v>1815.5516764283839</v>
      </c>
      <c r="M41" s="26">
        <f>L41*(1+M7)</f>
        <v>1779.2406428998161</v>
      </c>
      <c r="N41" s="26">
        <f>M41*(1+N7)</f>
        <v>1743.6558300418196</v>
      </c>
      <c r="O41" s="26">
        <f>N41*(1+O7)</f>
        <v>1708.7827134409831</v>
      </c>
      <c r="P41" s="26">
        <f>O41*(1+P7)</f>
        <v>1674.6070591721634</v>
      </c>
      <c r="Q41" s="26">
        <f>P41*(1+Q7)</f>
        <v>1641.1149179887202</v>
      </c>
    </row>
    <row r="42" spans="2:17" x14ac:dyDescent="0.25">
      <c r="B42" s="30" t="s">
        <v>63</v>
      </c>
      <c r="C42" s="31">
        <f>C15+C25+C33+C38+C41</f>
        <v>28541.400000000005</v>
      </c>
      <c r="D42" s="31">
        <f>D15+D25+D33+D38+D41</f>
        <v>34124.100000000006</v>
      </c>
      <c r="E42" s="31">
        <f>E15+E25+E33+E38+E41</f>
        <v>45042.69999999999</v>
      </c>
      <c r="F42" s="52">
        <f>F15+F25+F33+F38+F41</f>
        <v>65179.500000000007</v>
      </c>
      <c r="G42" s="31">
        <f>G15+G25+G33+G38+G41</f>
        <v>87634.083599999998</v>
      </c>
      <c r="H42" s="31">
        <f>H15+H25+H33+H38+H41</f>
        <v>114091.96801020001</v>
      </c>
      <c r="I42" s="31">
        <f>I15+I25+I33+I38+I41</f>
        <v>143221.51440561094</v>
      </c>
      <c r="J42" s="31">
        <f>J15+J25+J33+J38+J41</f>
        <v>172738.72366840087</v>
      </c>
      <c r="K42" s="31">
        <f>K15+K25+K33+K38+K41</f>
        <v>199521.23197719833</v>
      </c>
      <c r="L42" s="31">
        <f>L15+L25+L33+L38+L41</f>
        <v>220019.03278338746</v>
      </c>
      <c r="M42" s="31">
        <f>M15+M25+M33+M38+M41</f>
        <v>230986.64122986447</v>
      </c>
      <c r="N42" s="31">
        <f>N15+N25+N33+N38+N41</f>
        <v>242512.67150498487</v>
      </c>
      <c r="O42" s="31">
        <f>O15+O25+O33+O38+O41</f>
        <v>254625.59383545179</v>
      </c>
      <c r="P42" s="31">
        <f>P15+P25+P33+P38+P41</f>
        <v>267355.35097366979</v>
      </c>
      <c r="Q42" s="31">
        <f>Q15+Q25+Q33+Q38+Q41</f>
        <v>280733.43564350833</v>
      </c>
    </row>
    <row r="43" spans="2:17" x14ac:dyDescent="0.25">
      <c r="B43" s="1" t="s">
        <v>64</v>
      </c>
      <c r="C43" s="26">
        <f>SUM('10QIS'!C33:F33)</f>
        <v>6629.7999999999993</v>
      </c>
      <c r="D43" s="26">
        <f>SUM('10QIS'!G33:J33)</f>
        <v>7082.2000000000007</v>
      </c>
      <c r="E43" s="26">
        <f>SUM('10QIS'!K33:N33)</f>
        <v>8418.2999999999993</v>
      </c>
      <c r="F43" s="51">
        <f>SUM('10QIS'!O33:R33)</f>
        <v>11052.8</v>
      </c>
      <c r="G43" s="26">
        <f>G42*(1-$G$8)</f>
        <v>17110.341989433731</v>
      </c>
      <c r="H43" s="26">
        <f>H42*(1-$G$8)</f>
        <v>22276.179663297757</v>
      </c>
      <c r="I43" s="26">
        <f>I42*(1-$G$8)</f>
        <v>27963.652851213395</v>
      </c>
      <c r="J43" s="26">
        <f>J42*(1-$G$8)</f>
        <v>33726.816272483164</v>
      </c>
      <c r="K43" s="26">
        <f>K42*(1-$G$8)</f>
        <v>38956.035974146995</v>
      </c>
      <c r="L43" s="26">
        <f>L42*(1-$G$8)</f>
        <v>42958.181799349484</v>
      </c>
      <c r="M43" s="26">
        <f>M42*(1-$G$8)</f>
        <v>45099.580711923081</v>
      </c>
      <c r="N43" s="26">
        <f>N42*(1-$G$8)</f>
        <v>47350.01013032208</v>
      </c>
      <c r="O43" s="26">
        <f>O42*(1-$G$8)</f>
        <v>49715.028797165738</v>
      </c>
      <c r="P43" s="26">
        <f>P42*(1-$G$8)</f>
        <v>52200.482962140253</v>
      </c>
      <c r="Q43" s="26">
        <f>Q42*(1-$G$8)</f>
        <v>54812.521503096003</v>
      </c>
    </row>
    <row r="44" spans="2:17" x14ac:dyDescent="0.25">
      <c r="B44" s="30" t="s">
        <v>65</v>
      </c>
      <c r="C44" s="31">
        <f>SUM('10QIS'!C34:F34)</f>
        <v>21911.599999999999</v>
      </c>
      <c r="D44" s="31">
        <f>SUM('10QIS'!G34:J34)</f>
        <v>27041.9</v>
      </c>
      <c r="E44" s="31">
        <f>SUM('10QIS'!K34:N34)</f>
        <v>36624.399999999994</v>
      </c>
      <c r="F44" s="52">
        <f>SUM('10QIS'!O34:R34)</f>
        <v>54126.7</v>
      </c>
      <c r="G44" s="31">
        <f>G42*($G$8)</f>
        <v>70523.741610566271</v>
      </c>
      <c r="H44" s="31">
        <f>H42*($G$8)</f>
        <v>91815.788346902264</v>
      </c>
      <c r="I44" s="31">
        <f>I42*($G$8)</f>
        <v>115257.86155439755</v>
      </c>
      <c r="J44" s="31">
        <f>J42*($G$8)</f>
        <v>139011.90739591772</v>
      </c>
      <c r="K44" s="31">
        <f>K42*($G$8)</f>
        <v>160565.19600305133</v>
      </c>
      <c r="L44" s="31">
        <f>L42*($G$8)</f>
        <v>177060.85098403797</v>
      </c>
      <c r="M44" s="31">
        <f>M42*($G$8)</f>
        <v>185887.0605179414</v>
      </c>
      <c r="N44" s="31">
        <f>N42*($G$8)</f>
        <v>195162.6613746628</v>
      </c>
      <c r="O44" s="31">
        <f>O42*($G$8)</f>
        <v>204910.56503828606</v>
      </c>
      <c r="P44" s="31">
        <f>P42*($G$8)</f>
        <v>215154.86801152953</v>
      </c>
      <c r="Q44" s="31">
        <f>Q42*($G$8)</f>
        <v>225920.91414041232</v>
      </c>
    </row>
    <row r="45" spans="2:17" x14ac:dyDescent="0.25">
      <c r="B45" s="1" t="s">
        <v>66</v>
      </c>
      <c r="C45" s="26">
        <f>SUM('10QIS'!C35:F35)</f>
        <v>7190.7999999999993</v>
      </c>
      <c r="D45" s="26">
        <f>SUM('10QIS'!G35:J35)</f>
        <v>9313.4000000000015</v>
      </c>
      <c r="E45" s="26">
        <f>SUM('10QIS'!K35:N35)</f>
        <v>10990.6</v>
      </c>
      <c r="F45" s="51">
        <f>SUM('10QIS'!O35:R35)</f>
        <v>13337.3</v>
      </c>
      <c r="G45" s="26">
        <f>G$42*G9</f>
        <v>20773.410124291451</v>
      </c>
      <c r="H45" s="26">
        <f>H$42*H9</f>
        <v>27045.176328670201</v>
      </c>
      <c r="I45" s="26">
        <f>I$42*I9</f>
        <v>33950.252403505161</v>
      </c>
      <c r="J45" s="26">
        <f>J$42*J9</f>
        <v>40947.222857823574</v>
      </c>
      <c r="K45" s="26">
        <f>K$42*K9</f>
        <v>47295.940233535293</v>
      </c>
      <c r="L45" s="26">
        <f>L$42*L9</f>
        <v>52154.885581062139</v>
      </c>
      <c r="M45" s="26">
        <f>M$42*M9</f>
        <v>54754.725951177104</v>
      </c>
      <c r="N45" s="26">
        <f>N$42*N9</f>
        <v>57486.938626589574</v>
      </c>
      <c r="O45" s="26">
        <f>O$42*O9</f>
        <v>60358.27239351764</v>
      </c>
      <c r="P45" s="26">
        <f>P$42*P9</f>
        <v>63375.825096206361</v>
      </c>
      <c r="Q45" s="26">
        <f>Q$42*Q9</f>
        <v>66547.061995225551</v>
      </c>
    </row>
    <row r="46" spans="2:17" x14ac:dyDescent="0.25">
      <c r="B46" s="1" t="s">
        <v>67</v>
      </c>
      <c r="C46" s="26">
        <f>SUM('10QIS'!C36:F36)</f>
        <v>6440.4</v>
      </c>
      <c r="D46" s="26">
        <f>SUM('10QIS'!G36:J36)</f>
        <v>7403.1</v>
      </c>
      <c r="E46" s="26">
        <f>SUM('10QIS'!K36:N36)</f>
        <v>8593.7999999999993</v>
      </c>
      <c r="F46" s="51">
        <f>SUM('10QIS'!O36:R36)</f>
        <v>11093.1</v>
      </c>
      <c r="G46" s="26">
        <f>G$42*G10</f>
        <v>17260.155724164855</v>
      </c>
      <c r="H46" s="26">
        <f>H$42*H10</f>
        <v>22471.224138327008</v>
      </c>
      <c r="I46" s="26">
        <f>I$42*I10</f>
        <v>28208.495372359492</v>
      </c>
      <c r="J46" s="26">
        <f>J$42*J10</f>
        <v>34022.119563877997</v>
      </c>
      <c r="K46" s="26">
        <f>K$42*K10</f>
        <v>39297.124962503331</v>
      </c>
      <c r="L46" s="26">
        <f>L$42*L10</f>
        <v>43334.312542767315</v>
      </c>
      <c r="M46" s="26">
        <f>M$42*M10</f>
        <v>45494.460991080174</v>
      </c>
      <c r="N46" s="26">
        <f>N$42*N10</f>
        <v>47764.594588164044</v>
      </c>
      <c r="O46" s="26">
        <f>O$42*O10</f>
        <v>50150.320747552702</v>
      </c>
      <c r="P46" s="26">
        <f>P$42*P10</f>
        <v>52657.536907184476</v>
      </c>
      <c r="Q46" s="26">
        <f>Q$42*Q10</f>
        <v>55292.445782895891</v>
      </c>
    </row>
    <row r="47" spans="2:17" x14ac:dyDescent="0.25">
      <c r="B47" s="1" t="s">
        <v>68</v>
      </c>
      <c r="C47" s="26">
        <f>SUM('10QIS'!C37:F37)</f>
        <v>908.5</v>
      </c>
      <c r="D47" s="26">
        <f>SUM('10QIS'!G37:J37)</f>
        <v>3799.7999999999997</v>
      </c>
      <c r="E47" s="26">
        <f>SUM('10QIS'!K37:N37)</f>
        <v>3280.4</v>
      </c>
      <c r="F47" s="51">
        <f>SUM('10QIS'!O37:R37)</f>
        <v>2909.5</v>
      </c>
      <c r="G47" s="26">
        <f>G$42*G11</f>
        <v>5711.5180372693967</v>
      </c>
      <c r="H47" s="26">
        <f>H$42*H11</f>
        <v>7435.9005814698839</v>
      </c>
      <c r="I47" s="26">
        <f>I$42*I11</f>
        <v>9334.4076784832796</v>
      </c>
      <c r="J47" s="26">
        <f>J$42*J11</f>
        <v>11258.180555298984</v>
      </c>
      <c r="K47" s="26">
        <f>K$42*K11</f>
        <v>13003.720338509705</v>
      </c>
      <c r="L47" s="26">
        <f>L$42*L11</f>
        <v>14339.656702759019</v>
      </c>
      <c r="M47" s="26">
        <f>M$42*M11</f>
        <v>15054.466408006643</v>
      </c>
      <c r="N47" s="26">
        <f>N$42*N11</f>
        <v>15805.671043350869</v>
      </c>
      <c r="O47" s="26">
        <f>O$42*O11</f>
        <v>16595.12614497876</v>
      </c>
      <c r="P47" s="26">
        <f>P$42*P11</f>
        <v>17424.783220379395</v>
      </c>
      <c r="Q47" s="26">
        <f>Q$42*Q11</f>
        <v>18296.694795842028</v>
      </c>
    </row>
    <row r="48" spans="2:17" x14ac:dyDescent="0.25">
      <c r="B48" s="1" t="s">
        <v>69</v>
      </c>
      <c r="C48" s="26">
        <f>SUM('10QIS'!C38:F38)</f>
        <v>244.6</v>
      </c>
      <c r="D48" s="26">
        <f>SUM('10QIS'!G38:J38)</f>
        <v>67.7</v>
      </c>
      <c r="E48" s="26">
        <f>SUM('10QIS'!K38:N38)</f>
        <v>860.6</v>
      </c>
      <c r="F48" s="51">
        <f>SUM('10QIS'!O38:R38)</f>
        <v>484</v>
      </c>
      <c r="G48" s="26">
        <f>AVERAGE(C48:F48)</f>
        <v>414.22500000000002</v>
      </c>
      <c r="H48" s="26">
        <f>AVERAGE(D48:G48)</f>
        <v>456.63125000000002</v>
      </c>
      <c r="I48" s="26">
        <f>AVERAGE(E48:H48)</f>
        <v>553.86406249999993</v>
      </c>
      <c r="J48" s="26">
        <f>AVERAGE(F48:I48)</f>
        <v>477.18007812500002</v>
      </c>
      <c r="K48" s="26">
        <f>AVERAGE(G48:J48)</f>
        <v>475.47509765625</v>
      </c>
      <c r="L48" s="26">
        <f>AVERAGE(H48:K48)</f>
        <v>490.78762207031252</v>
      </c>
      <c r="M48" s="26">
        <f>AVERAGE(I48:L48)</f>
        <v>499.32671508789065</v>
      </c>
      <c r="N48" s="26">
        <f>AVERAGE(J48:M48)</f>
        <v>485.69237823486333</v>
      </c>
      <c r="O48" s="26">
        <f>AVERAGE(K48:N48)</f>
        <v>487.82045326232912</v>
      </c>
      <c r="P48" s="26">
        <f>AVERAGE(L48:O48)</f>
        <v>490.90679216384888</v>
      </c>
      <c r="Q48" s="26">
        <f>AVERAGE(M48:P48)</f>
        <v>490.93658468723299</v>
      </c>
    </row>
    <row r="49" spans="2:17" x14ac:dyDescent="0.25">
      <c r="B49" s="1" t="s">
        <v>70</v>
      </c>
      <c r="C49" s="26">
        <f>SUM('10QIS'!C39:F39)</f>
        <v>98.899999999999977</v>
      </c>
      <c r="D49" s="26">
        <f>SUM('10QIS'!G39:J39)</f>
        <v>145.29999999999998</v>
      </c>
      <c r="E49" s="26">
        <f>SUM('10QIS'!K39:N39)</f>
        <v>218.7</v>
      </c>
      <c r="F49" s="51">
        <f>SUM('10QIS'!O39:R39)</f>
        <v>571</v>
      </c>
      <c r="G49" s="26">
        <f>(BS!F29+BS!F35)*CFS!G11</f>
        <v>571</v>
      </c>
      <c r="H49" s="26">
        <f>(BS!G29+BS!G35)*CFS!H11</f>
        <v>766.17627898379146</v>
      </c>
      <c r="I49" s="26">
        <f>(BS!H29+BS!H35)*CFS!I11</f>
        <v>975.59270347918562</v>
      </c>
      <c r="J49" s="26">
        <f>(BS!I29+BS!I35)*CFS!J11</f>
        <v>1173.8169754080386</v>
      </c>
      <c r="K49" s="26">
        <f>(BS!J29+BS!J35)*CFS!K11</f>
        <v>1334.9128491612373</v>
      </c>
      <c r="L49" s="26">
        <f>(BS!K29+BS!K35)*CFS!L11</f>
        <v>1430.6822835433795</v>
      </c>
      <c r="M49" s="26">
        <f>(BS!L29+BS!L35)*CFS!M11</f>
        <v>1367.5544877656507</v>
      </c>
      <c r="N49" s="26">
        <f>(BS!M29+BS!M35)*CFS!N11</f>
        <v>1303.7994445524605</v>
      </c>
      <c r="O49" s="26">
        <f>(BS!N29+BS!N35)*CFS!O11</f>
        <v>1241.9501218794317</v>
      </c>
      <c r="P49" s="26">
        <f>(BS!O29+BS!O35)*CFS!P11</f>
        <v>1183.3246092179304</v>
      </c>
      <c r="Q49" s="26">
        <f>(BS!P29+BS!P35)*CFS!Q11</f>
        <v>1127.797981901758</v>
      </c>
    </row>
    <row r="50" spans="2:17" x14ac:dyDescent="0.25">
      <c r="B50" s="1" t="s">
        <v>71</v>
      </c>
      <c r="C50" s="26">
        <f>SUM('10QIS'!C40:F40)</f>
        <v>6806.4</v>
      </c>
      <c r="D50" s="26">
        <f>SUM('10QIS'!G40:J40)</f>
        <v>6312.6</v>
      </c>
      <c r="E50" s="26">
        <f>SUM('10QIS'!K40:N40)</f>
        <v>12680.3</v>
      </c>
      <c r="F50" s="51">
        <f>SUM('10QIS'!O40:R40)</f>
        <v>25731.800000000003</v>
      </c>
      <c r="G50" s="26">
        <f>G44-SUM(G45:G49)</f>
        <v>25793.432724840575</v>
      </c>
      <c r="H50" s="26">
        <f>H44-SUM(H45:H49)</f>
        <v>33640.679769451388</v>
      </c>
      <c r="I50" s="26">
        <f>I44-SUM(I45:I49)</f>
        <v>42235.249334070439</v>
      </c>
      <c r="J50" s="26">
        <f>J44-SUM(J45:J49)</f>
        <v>51133.387365384115</v>
      </c>
      <c r="K50" s="26">
        <f>K44-SUM(K45:K49)</f>
        <v>59158.022521685503</v>
      </c>
      <c r="L50" s="26">
        <f>L44-SUM(L45:L49)</f>
        <v>65310.526251835792</v>
      </c>
      <c r="M50" s="26">
        <f>M44-SUM(M45:M49)</f>
        <v>68716.52596482393</v>
      </c>
      <c r="N50" s="26">
        <f>N44-SUM(N45:N49)</f>
        <v>72315.965293770991</v>
      </c>
      <c r="O50" s="26">
        <f>O44-SUM(O45:O49)</f>
        <v>76077.075177095205</v>
      </c>
      <c r="P50" s="26">
        <f>P44-SUM(P45:P49)</f>
        <v>80022.491386377515</v>
      </c>
      <c r="Q50" s="26">
        <f>Q44-SUM(Q45:Q49)</f>
        <v>84165.976999859849</v>
      </c>
    </row>
    <row r="51" spans="2:17" x14ac:dyDescent="0.25">
      <c r="B51" s="1" t="s">
        <v>72</v>
      </c>
      <c r="C51" s="26">
        <f>SUM('10QIS'!C41:F41)</f>
        <v>561.6</v>
      </c>
      <c r="D51" s="26">
        <f>SUM('10QIS'!G41:J41)</f>
        <v>1314.2</v>
      </c>
      <c r="E51" s="26">
        <f>SUM('10QIS'!K41:N41)</f>
        <v>2090.4</v>
      </c>
      <c r="F51" s="51">
        <f>SUM('10QIS'!O41:R41)</f>
        <v>5091.3</v>
      </c>
      <c r="G51" s="26">
        <f>G50*G12</f>
        <v>5158.6865449681154</v>
      </c>
      <c r="H51" s="26">
        <f>H50*H12</f>
        <v>6728.135953890278</v>
      </c>
      <c r="I51" s="26">
        <f>I50*I12</f>
        <v>8447.0498668140881</v>
      </c>
      <c r="J51" s="26">
        <f>J50*J12</f>
        <v>10226.677473076823</v>
      </c>
      <c r="K51" s="26">
        <f>K50*K12</f>
        <v>11831.604504337101</v>
      </c>
      <c r="L51" s="26">
        <f>L50*L12</f>
        <v>13062.10525036716</v>
      </c>
      <c r="M51" s="26">
        <f>M50*M12</f>
        <v>13743.305192964786</v>
      </c>
      <c r="N51" s="26">
        <f>N50*N12</f>
        <v>14463.193058754199</v>
      </c>
      <c r="O51" s="26">
        <f>O50*O12</f>
        <v>15215.415035419042</v>
      </c>
      <c r="P51" s="26">
        <f>P50*P12</f>
        <v>16004.498277275503</v>
      </c>
      <c r="Q51" s="26">
        <f>Q50*Q12</f>
        <v>16833.19539997197</v>
      </c>
    </row>
    <row r="52" spans="2:17" x14ac:dyDescent="0.25">
      <c r="B52" s="30" t="s">
        <v>73</v>
      </c>
      <c r="C52" s="31">
        <f>SUM('10QIS'!C42:F42)</f>
        <v>6244.8</v>
      </c>
      <c r="D52" s="31">
        <f>SUM('10QIS'!G42:J42)</f>
        <v>4998.4000000000005</v>
      </c>
      <c r="E52" s="31">
        <f>SUM('10QIS'!K42:N42)</f>
        <v>10589.899999999998</v>
      </c>
      <c r="F52" s="52">
        <f>SUM('10QIS'!O42:R42)</f>
        <v>20640.5</v>
      </c>
      <c r="G52" s="31">
        <f>G50-G51</f>
        <v>20634.746179872462</v>
      </c>
      <c r="H52" s="31">
        <f>H50-H51</f>
        <v>26912.543815561112</v>
      </c>
      <c r="I52" s="31">
        <f>I50-I51</f>
        <v>33788.199467256352</v>
      </c>
      <c r="J52" s="31">
        <f>J50-J51</f>
        <v>40906.709892307292</v>
      </c>
      <c r="K52" s="31">
        <f>K50-K51</f>
        <v>47326.418017348406</v>
      </c>
      <c r="L52" s="31">
        <f>L50-L51</f>
        <v>52248.421001468632</v>
      </c>
      <c r="M52" s="31">
        <f>M50-M51</f>
        <v>54973.220771859145</v>
      </c>
      <c r="N52" s="31">
        <f>N50-N51</f>
        <v>57852.77223501679</v>
      </c>
      <c r="O52" s="31">
        <f>O50-O51</f>
        <v>60861.660141676162</v>
      </c>
      <c r="P52" s="31">
        <f>P50-P51</f>
        <v>64017.993109102012</v>
      </c>
      <c r="Q52" s="31">
        <f>Q50-Q51</f>
        <v>67332.78159988788</v>
      </c>
    </row>
    <row r="53" spans="2:17" x14ac:dyDescent="0.25">
      <c r="B53" s="1" t="s">
        <v>74</v>
      </c>
      <c r="C53" s="6">
        <f>C52/C54</f>
        <v>6.9178516197928897</v>
      </c>
      <c r="D53" s="6">
        <f>D52/D54</f>
        <v>5.5428460536164792</v>
      </c>
      <c r="E53" s="6">
        <f>E52/E54</f>
        <v>11.711252419131874</v>
      </c>
      <c r="F53" s="53">
        <f>F52/F54</f>
        <v>22.951740242410764</v>
      </c>
      <c r="G53" s="6">
        <f>G52/G54</f>
        <v>23.061109260121519</v>
      </c>
      <c r="H53" s="6">
        <f>H52/H54</f>
        <v>29.971093953517581</v>
      </c>
      <c r="I53" s="6">
        <f>I52/I54</f>
        <v>37.628152421912525</v>
      </c>
      <c r="J53" s="6">
        <f>J52/J54</f>
        <v>45.555665563012738</v>
      </c>
      <c r="K53" s="6">
        <f>K52/K54</f>
        <v>52.70495909276508</v>
      </c>
      <c r="L53" s="6">
        <f>L52/L54</f>
        <v>58.186336657351333</v>
      </c>
      <c r="M53" s="6">
        <f>M52/M54</f>
        <v>61.152701231279984</v>
      </c>
      <c r="N53" s="6">
        <f>N52/N54</f>
        <v>64.284429396096215</v>
      </c>
      <c r="O53" s="6">
        <f>O52/O54</f>
        <v>67.552761131778851</v>
      </c>
      <c r="P53" s="6">
        <f>P52/P54</f>
        <v>70.97731926282168</v>
      </c>
      <c r="Q53" s="6">
        <f>Q52/Q54</f>
        <v>74.569778614417046</v>
      </c>
    </row>
    <row r="54" spans="2:17" x14ac:dyDescent="0.25">
      <c r="B54" s="1" t="s">
        <v>8</v>
      </c>
      <c r="C54" s="11">
        <f>AVERAGE('10QIS'!F44:I44)</f>
        <v>902.70800000000008</v>
      </c>
      <c r="D54" s="11">
        <f>AVERAGE('10QIS'!G44:J44)</f>
        <v>901.77499999999998</v>
      </c>
      <c r="E54" s="11">
        <f>AVERAGE('10QIS'!K44:N44)</f>
        <v>904.25</v>
      </c>
      <c r="F54" s="54">
        <f>AVERAGE('10QIS'!O44:R44)</f>
        <v>899.3</v>
      </c>
      <c r="G54" s="11">
        <f>AVERAGE('10QIS'!S44:T44)</f>
        <v>894.78549999999996</v>
      </c>
      <c r="H54" s="11">
        <v>897.95</v>
      </c>
      <c r="I54" s="11">
        <v>897.95</v>
      </c>
      <c r="J54" s="11">
        <v>897.95</v>
      </c>
      <c r="K54" s="11">
        <v>897.95</v>
      </c>
      <c r="L54" s="11">
        <v>897.95</v>
      </c>
      <c r="M54" s="11">
        <v>898.95</v>
      </c>
      <c r="N54" s="11">
        <v>899.95</v>
      </c>
      <c r="O54" s="11">
        <v>900.95</v>
      </c>
      <c r="P54" s="11">
        <v>901.95</v>
      </c>
      <c r="Q54" s="11">
        <v>902.95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D506E-6145-48BA-92C4-F0A8B1E51286}">
  <dimension ref="B1:Q41"/>
  <sheetViews>
    <sheetView topLeftCell="A7" workbookViewId="0">
      <selection activeCell="F12" sqref="F12"/>
    </sheetView>
  </sheetViews>
  <sheetFormatPr defaultRowHeight="15.75" x14ac:dyDescent="0.25"/>
  <cols>
    <col min="1" max="1" width="1.375" customWidth="1"/>
    <col min="2" max="2" width="38.125" bestFit="1" customWidth="1"/>
    <col min="3" max="17" width="12" customWidth="1"/>
  </cols>
  <sheetData>
    <row r="1" spans="2:17" ht="12" customHeight="1" x14ac:dyDescent="0.25"/>
    <row r="2" spans="2:17" ht="15.75" customHeight="1" thickBot="1" x14ac:dyDescent="0.3">
      <c r="B2" s="21" t="s">
        <v>328</v>
      </c>
      <c r="C2" s="22" t="s">
        <v>115</v>
      </c>
      <c r="D2" s="22" t="s">
        <v>116</v>
      </c>
      <c r="E2" s="22" t="s">
        <v>117</v>
      </c>
      <c r="F2" s="181" t="s">
        <v>118</v>
      </c>
      <c r="G2" s="22" t="s">
        <v>119</v>
      </c>
      <c r="H2" s="22" t="s">
        <v>120</v>
      </c>
      <c r="I2" s="22" t="s">
        <v>121</v>
      </c>
      <c r="J2" s="22" t="s">
        <v>122</v>
      </c>
      <c r="K2" s="22" t="s">
        <v>123</v>
      </c>
      <c r="L2" s="22" t="s">
        <v>124</v>
      </c>
      <c r="M2" s="22" t="s">
        <v>125</v>
      </c>
      <c r="N2" s="22" t="s">
        <v>126</v>
      </c>
      <c r="O2" s="22" t="s">
        <v>127</v>
      </c>
      <c r="P2" s="22" t="s">
        <v>128</v>
      </c>
      <c r="Q2" s="22" t="s">
        <v>129</v>
      </c>
    </row>
    <row r="3" spans="2:17" ht="15.75" customHeight="1" x14ac:dyDescent="0.25">
      <c r="B3" s="35" t="s">
        <v>96</v>
      </c>
      <c r="C3" s="38">
        <f>BS!C15/IS!C42</f>
        <v>0.24161393624699554</v>
      </c>
      <c r="D3" s="38">
        <f>BS!D15/IS!D42</f>
        <v>0.26639530419849894</v>
      </c>
      <c r="E3" s="38">
        <f>BS!E15/IS!E42</f>
        <v>0.24434592064862903</v>
      </c>
      <c r="F3" s="41">
        <f>BS!F15/IS!F42</f>
        <v>0.27247830989805072</v>
      </c>
      <c r="G3" s="44">
        <f>BS!$F$15/IS!$F$42</f>
        <v>0.27247830989805072</v>
      </c>
      <c r="H3" s="44">
        <f>BS!$F$15/IS!$F$42</f>
        <v>0.27247830989805072</v>
      </c>
      <c r="I3" s="44">
        <f>BS!$F$15/IS!$F$42</f>
        <v>0.27247830989805072</v>
      </c>
      <c r="J3" s="44">
        <f>BS!$F$15/IS!$F$42</f>
        <v>0.27247830989805072</v>
      </c>
      <c r="K3" s="44">
        <f>BS!$F$15/IS!$F$42</f>
        <v>0.27247830989805072</v>
      </c>
      <c r="L3" s="44">
        <f>BS!$F$15/IS!$F$42</f>
        <v>0.27247830989805072</v>
      </c>
      <c r="M3" s="44">
        <f>BS!$F$15/IS!$F$42</f>
        <v>0.27247830989805072</v>
      </c>
      <c r="N3" s="44">
        <f>BS!$F$15/IS!$F$42</f>
        <v>0.27247830989805072</v>
      </c>
      <c r="O3" s="44">
        <f>BS!$F$15/IS!$F$42</f>
        <v>0.27247830989805072</v>
      </c>
      <c r="P3" s="44">
        <f>BS!$F$15/IS!$F$42</f>
        <v>0.27247830989805072</v>
      </c>
      <c r="Q3" s="44">
        <f>BS!$F$15/IS!$F$42</f>
        <v>0.27247830989805072</v>
      </c>
    </row>
    <row r="4" spans="2:17" ht="15.75" customHeight="1" x14ac:dyDescent="0.25">
      <c r="B4" s="35" t="s">
        <v>97</v>
      </c>
      <c r="C4" s="38">
        <f>BS!C16/IS!C42</f>
        <v>5.8266237815944547E-2</v>
      </c>
      <c r="D4" s="38">
        <f>BS!D16/IS!D42</f>
        <v>6.5809794250983891E-2</v>
      </c>
      <c r="E4" s="38">
        <f>BS!E16/IS!E42</f>
        <v>5.039662364822714E-2</v>
      </c>
      <c r="F4" s="41">
        <f>BS!F16/IS!F42</f>
        <v>3.6744681993571594E-2</v>
      </c>
      <c r="G4" s="44">
        <f>BS!$F$16/IS!$F$42</f>
        <v>3.6744681993571594E-2</v>
      </c>
      <c r="H4" s="44">
        <f>BS!$F$16/IS!$F$42</f>
        <v>3.6744681993571594E-2</v>
      </c>
      <c r="I4" s="44">
        <f>BS!$F$16/IS!$F$42</f>
        <v>3.6744681993571594E-2</v>
      </c>
      <c r="J4" s="44">
        <f>BS!$F$16/IS!$F$42</f>
        <v>3.6744681993571594E-2</v>
      </c>
      <c r="K4" s="44">
        <f>BS!$F$16/IS!$F$42</f>
        <v>3.6744681993571594E-2</v>
      </c>
      <c r="L4" s="44">
        <f>BS!$F$16/IS!$F$42</f>
        <v>3.6744681993571594E-2</v>
      </c>
      <c r="M4" s="44">
        <f>BS!$F$16/IS!$F$42</f>
        <v>3.6744681993571594E-2</v>
      </c>
      <c r="N4" s="44">
        <f>BS!$F$16/IS!$F$42</f>
        <v>3.6744681993571594E-2</v>
      </c>
      <c r="O4" s="44">
        <f>BS!$F$16/IS!$F$42</f>
        <v>3.6744681993571594E-2</v>
      </c>
      <c r="P4" s="44">
        <f>BS!$F$16/IS!$F$42</f>
        <v>3.6744681993571594E-2</v>
      </c>
      <c r="Q4" s="44">
        <f>BS!$F$16/IS!$F$42</f>
        <v>3.6744681993571594E-2</v>
      </c>
    </row>
    <row r="5" spans="2:17" ht="15.75" customHeight="1" x14ac:dyDescent="0.25">
      <c r="B5" s="35" t="s">
        <v>98</v>
      </c>
      <c r="C5" s="38">
        <f>BS!C17/IS!C43</f>
        <v>0.65009502549096509</v>
      </c>
      <c r="D5" s="38">
        <f>BS!D17/IS!D43</f>
        <v>0.81511394764338763</v>
      </c>
      <c r="E5" s="38">
        <f>BS!E17/IS!E43</f>
        <v>0.90148842402860441</v>
      </c>
      <c r="F5" s="41">
        <f>BS!F17/IS!F43</f>
        <v>1.2434858135495079</v>
      </c>
      <c r="G5" s="44">
        <f>BS!$F$17/IS!$F$43</f>
        <v>1.2434858135495079</v>
      </c>
      <c r="H5" s="44">
        <f>BS!$F$17/IS!$F$43</f>
        <v>1.2434858135495079</v>
      </c>
      <c r="I5" s="44">
        <f>BS!$F$17/IS!$F$43</f>
        <v>1.2434858135495079</v>
      </c>
      <c r="J5" s="44">
        <f>BS!$F$17/IS!$F$43</f>
        <v>1.2434858135495079</v>
      </c>
      <c r="K5" s="44">
        <f>BS!$F$17/IS!$F$43</f>
        <v>1.2434858135495079</v>
      </c>
      <c r="L5" s="44">
        <f>BS!$F$17/IS!$F$43</f>
        <v>1.2434858135495079</v>
      </c>
      <c r="M5" s="44">
        <f>BS!$F$17/IS!$F$43</f>
        <v>1.2434858135495079</v>
      </c>
      <c r="N5" s="44">
        <f>BS!$F$17/IS!$F$43</f>
        <v>1.2434858135495079</v>
      </c>
      <c r="O5" s="44">
        <f>BS!$F$17/IS!$F$43</f>
        <v>1.2434858135495079</v>
      </c>
      <c r="P5" s="44">
        <f>BS!$F$17/IS!$F$43</f>
        <v>1.2434858135495079</v>
      </c>
      <c r="Q5" s="44">
        <f>BS!$F$17/IS!$F$43</f>
        <v>1.2434858135495079</v>
      </c>
    </row>
    <row r="6" spans="2:17" ht="15.75" customHeight="1" x14ac:dyDescent="0.25">
      <c r="B6" s="35" t="s">
        <v>99</v>
      </c>
      <c r="C6" s="38">
        <f>BS!C18/IS!C42</f>
        <v>0.10325351944894082</v>
      </c>
      <c r="D6" s="38">
        <f>BS!D18/IS!D42</f>
        <v>0.16237204790749057</v>
      </c>
      <c r="E6" s="38">
        <f>BS!E18/IS!E42</f>
        <v>0.18517984046249453</v>
      </c>
      <c r="F6" s="41">
        <f>BS!F18/IS!F42</f>
        <v>0.21962426836658763</v>
      </c>
      <c r="G6" s="44">
        <f>BS!$F$18/IS!$F$42</f>
        <v>0.21962426836658763</v>
      </c>
      <c r="H6" s="44">
        <f>BS!$F$18/IS!$F$42</f>
        <v>0.21962426836658763</v>
      </c>
      <c r="I6" s="44">
        <f>BS!$F$18/IS!$F$42</f>
        <v>0.21962426836658763</v>
      </c>
      <c r="J6" s="44">
        <f>BS!$F$18/IS!$F$42</f>
        <v>0.21962426836658763</v>
      </c>
      <c r="K6" s="44">
        <f>BS!$F$18/IS!$F$42</f>
        <v>0.21962426836658763</v>
      </c>
      <c r="L6" s="44">
        <f>BS!$F$18/IS!$F$42</f>
        <v>0.21962426836658763</v>
      </c>
      <c r="M6" s="44">
        <f>BS!$F$18/IS!$F$42</f>
        <v>0.21962426836658763</v>
      </c>
      <c r="N6" s="44">
        <f>BS!$F$18/IS!$F$42</f>
        <v>0.21962426836658763</v>
      </c>
      <c r="O6" s="44">
        <f>BS!$F$18/IS!$F$42</f>
        <v>0.21962426836658763</v>
      </c>
      <c r="P6" s="44">
        <f>BS!$F$18/IS!$F$42</f>
        <v>0.21962426836658763</v>
      </c>
      <c r="Q6" s="44">
        <f>BS!$F$18/IS!$F$42</f>
        <v>0.21962426836658763</v>
      </c>
    </row>
    <row r="7" spans="2:17" ht="15.75" customHeight="1" x14ac:dyDescent="0.25">
      <c r="B7" s="35" t="s">
        <v>100</v>
      </c>
      <c r="C7" s="38">
        <f>BS!C19/IS!C42</f>
        <v>5.3255972026599943E-3</v>
      </c>
      <c r="D7" s="38">
        <f>BS!D19/IS!D42</f>
        <v>7.5782218432134466E-3</v>
      </c>
      <c r="E7" s="38">
        <f>BS!E19/IS!E42</f>
        <v>5.9055074407173653E-3</v>
      </c>
      <c r="F7" s="41">
        <f>BS!F19/IS!F42</f>
        <v>2.2553103353048116E-3</v>
      </c>
      <c r="G7" s="44">
        <f>BS!$F$19/IS!$F$42</f>
        <v>2.2553103353048116E-3</v>
      </c>
      <c r="H7" s="44">
        <f>BS!$F$19/IS!$F$42</f>
        <v>2.2553103353048116E-3</v>
      </c>
      <c r="I7" s="44">
        <f>BS!$F$19/IS!$F$42</f>
        <v>2.2553103353048116E-3</v>
      </c>
      <c r="J7" s="44">
        <f>BS!$F$19/IS!$F$42</f>
        <v>2.2553103353048116E-3</v>
      </c>
      <c r="K7" s="44">
        <f>BS!$F$19/IS!$F$42</f>
        <v>2.2553103353048116E-3</v>
      </c>
      <c r="L7" s="44">
        <f>BS!$F$19/IS!$F$42</f>
        <v>2.2553103353048116E-3</v>
      </c>
      <c r="M7" s="44">
        <f>BS!$F$19/IS!$F$42</f>
        <v>2.2553103353048116E-3</v>
      </c>
      <c r="N7" s="44">
        <f>BS!$F$19/IS!$F$42</f>
        <v>2.2553103353048116E-3</v>
      </c>
      <c r="O7" s="44">
        <f>BS!$F$19/IS!$F$42</f>
        <v>2.2553103353048116E-3</v>
      </c>
      <c r="P7" s="44">
        <f>BS!$F$19/IS!$F$42</f>
        <v>2.2553103353048116E-3</v>
      </c>
      <c r="Q7" s="44">
        <f>BS!$F$19/IS!$F$42</f>
        <v>2.2553103353048116E-3</v>
      </c>
    </row>
    <row r="8" spans="2:17" ht="15.75" customHeight="1" x14ac:dyDescent="0.25">
      <c r="B8" s="35" t="s">
        <v>101</v>
      </c>
      <c r="C8" s="38">
        <f>(BS!C29+BS!C30)/IS!C43</f>
        <v>0.51761742435669256</v>
      </c>
      <c r="D8" s="38">
        <f>(BS!D29+BS!D30)/IS!D43</f>
        <v>1.3418570500691873</v>
      </c>
      <c r="E8" s="38">
        <f>(BS!E29+BS!E30)/IS!E43</f>
        <v>0.99141156765617766</v>
      </c>
      <c r="F8" s="41">
        <f>(BS!F29+BS!F30)/IS!F43</f>
        <v>0.63459033005211352</v>
      </c>
      <c r="G8" s="44">
        <f>BS!$F$30/IS!$F$43</f>
        <v>0.48666401273885351</v>
      </c>
      <c r="H8" s="44">
        <f>BS!$F$30/IS!$F$43</f>
        <v>0.48666401273885351</v>
      </c>
      <c r="I8" s="44">
        <f>BS!$F$30/IS!$F$43</f>
        <v>0.48666401273885351</v>
      </c>
      <c r="J8" s="44">
        <f>BS!$F$30/IS!$F$43</f>
        <v>0.48666401273885351</v>
      </c>
      <c r="K8" s="44">
        <f>BS!$F$30/IS!$F$43</f>
        <v>0.48666401273885351</v>
      </c>
      <c r="L8" s="44">
        <f>BS!$F$30/IS!$F$43</f>
        <v>0.48666401273885351</v>
      </c>
      <c r="M8" s="44">
        <f>BS!$F$30/IS!$F$43</f>
        <v>0.48666401273885351</v>
      </c>
      <c r="N8" s="44">
        <f>BS!$F$30/IS!$F$43</f>
        <v>0.48666401273885351</v>
      </c>
      <c r="O8" s="44">
        <f>BS!$F$30/IS!$F$43</f>
        <v>0.48666401273885351</v>
      </c>
      <c r="P8" s="44">
        <f>BS!$F$30/IS!$F$43</f>
        <v>0.48666401273885351</v>
      </c>
      <c r="Q8" s="44">
        <f>BS!$F$30/IS!$F$43</f>
        <v>0.48666401273885351</v>
      </c>
    </row>
    <row r="9" spans="2:17" ht="15.75" customHeight="1" x14ac:dyDescent="0.25">
      <c r="B9" s="35" t="s">
        <v>102</v>
      </c>
      <c r="C9" s="38">
        <f>BS!C31/IS!C42</f>
        <v>3.7132025759072776E-2</v>
      </c>
      <c r="D9" s="38">
        <f>BS!D31/IS!D42</f>
        <v>4.8364645514460451E-2</v>
      </c>
      <c r="E9" s="38">
        <f>BS!E31/IS!E42</f>
        <v>4.6489220228805125E-2</v>
      </c>
      <c r="F9" s="41">
        <f>BS!F31/IS!F42</f>
        <v>3.6437837049992705E-2</v>
      </c>
      <c r="G9" s="44">
        <f>BS!$F$31/IS!$F$42</f>
        <v>3.6437837049992705E-2</v>
      </c>
      <c r="H9" s="44">
        <f>BS!$F$31/IS!$F$42</f>
        <v>3.6437837049992705E-2</v>
      </c>
      <c r="I9" s="44">
        <f>BS!$F$31/IS!$F$42</f>
        <v>3.6437837049992705E-2</v>
      </c>
      <c r="J9" s="44">
        <f>BS!$F$31/IS!$F$42</f>
        <v>3.6437837049992705E-2</v>
      </c>
      <c r="K9" s="44">
        <f>BS!$F$31/IS!$F$42</f>
        <v>3.6437837049992705E-2</v>
      </c>
      <c r="L9" s="44">
        <f>BS!$F$31/IS!$F$42</f>
        <v>3.6437837049992705E-2</v>
      </c>
      <c r="M9" s="44">
        <f>BS!$F$31/IS!$F$42</f>
        <v>3.6437837049992705E-2</v>
      </c>
      <c r="N9" s="44">
        <f>BS!$F$31/IS!$F$42</f>
        <v>3.6437837049992705E-2</v>
      </c>
      <c r="O9" s="44">
        <f>BS!$F$31/IS!$F$42</f>
        <v>3.6437837049992705E-2</v>
      </c>
      <c r="P9" s="44">
        <f>BS!$F$31/IS!$F$42</f>
        <v>3.6437837049992705E-2</v>
      </c>
      <c r="Q9" s="44">
        <f>BS!$F$31/IS!$F$42</f>
        <v>3.6437837049992705E-2</v>
      </c>
    </row>
    <row r="10" spans="2:17" ht="15.75" customHeight="1" x14ac:dyDescent="0.25">
      <c r="B10" s="35" t="s">
        <v>103</v>
      </c>
      <c r="C10" s="38">
        <f>BS!C32/IS!C42</f>
        <v>0.30776696307819512</v>
      </c>
      <c r="D10" s="38">
        <f>BS!D32/IS!D42</f>
        <v>0.34254383265785759</v>
      </c>
      <c r="E10" s="38">
        <f>BS!E32/IS!E42</f>
        <v>0.2561791366858559</v>
      </c>
      <c r="F10" s="41">
        <f>BS!F32/IS!F42</f>
        <v>0.26667894046440982</v>
      </c>
      <c r="G10" s="44">
        <f>BS!$F$32/IS!$F$42</f>
        <v>0.26667894046440982</v>
      </c>
      <c r="H10" s="44">
        <f>BS!$F$32/IS!$F$42</f>
        <v>0.26667894046440982</v>
      </c>
      <c r="I10" s="44">
        <f>BS!$F$32/IS!$F$42</f>
        <v>0.26667894046440982</v>
      </c>
      <c r="J10" s="44">
        <f>BS!$F$32/IS!$F$42</f>
        <v>0.26667894046440982</v>
      </c>
      <c r="K10" s="44">
        <f>BS!$F$32/IS!$F$42</f>
        <v>0.26667894046440982</v>
      </c>
      <c r="L10" s="44">
        <f>BS!$F$32/IS!$F$42</f>
        <v>0.26667894046440982</v>
      </c>
      <c r="M10" s="44">
        <f>BS!$F$32/IS!$F$42</f>
        <v>0.26667894046440982</v>
      </c>
      <c r="N10" s="44">
        <f>BS!$F$32/IS!$F$42</f>
        <v>0.26667894046440982</v>
      </c>
      <c r="O10" s="44">
        <f>BS!$F$32/IS!$F$42</f>
        <v>0.26667894046440982</v>
      </c>
      <c r="P10" s="44">
        <f>BS!$F$32/IS!$F$42</f>
        <v>0.26667894046440982</v>
      </c>
      <c r="Q10" s="44">
        <f>BS!$F$32/IS!$F$42</f>
        <v>0.26667894046440982</v>
      </c>
    </row>
    <row r="11" spans="2:17" ht="15.75" customHeight="1" x14ac:dyDescent="0.25">
      <c r="B11" s="35" t="s">
        <v>104</v>
      </c>
      <c r="C11" s="38">
        <f>BS!C33/IS!C42</f>
        <v>0.13533323523022694</v>
      </c>
      <c r="D11" s="38">
        <f>BS!D33/IS!D42</f>
        <v>0.13042102209289033</v>
      </c>
      <c r="E11" s="38">
        <f>BS!E33/IS!E42</f>
        <v>0.14202079360251499</v>
      </c>
      <c r="F11" s="41">
        <f>BS!F33/IS!F42</f>
        <v>0.12974938439233194</v>
      </c>
      <c r="G11" s="44">
        <f>BS!$F$33/IS!$F$42</f>
        <v>0.12974938439233194</v>
      </c>
      <c r="H11" s="44">
        <f>BS!$F$33/IS!$F$42</f>
        <v>0.12974938439233194</v>
      </c>
      <c r="I11" s="44">
        <f>BS!$F$33/IS!$F$42</f>
        <v>0.12974938439233194</v>
      </c>
      <c r="J11" s="44">
        <f>BS!$F$33/IS!$F$42</f>
        <v>0.12974938439233194</v>
      </c>
      <c r="K11" s="44">
        <f>BS!$F$33/IS!$F$42</f>
        <v>0.12974938439233194</v>
      </c>
      <c r="L11" s="44">
        <f>BS!$F$33/IS!$F$42</f>
        <v>0.12974938439233194</v>
      </c>
      <c r="M11" s="44">
        <f>BS!$F$33/IS!$F$42</f>
        <v>0.12974938439233194</v>
      </c>
      <c r="N11" s="44">
        <f>BS!$F$33/IS!$F$42</f>
        <v>0.12974938439233194</v>
      </c>
      <c r="O11" s="44">
        <f>BS!$F$33/IS!$F$42</f>
        <v>0.12974938439233194</v>
      </c>
      <c r="P11" s="44">
        <f>BS!$F$33/IS!$F$42</f>
        <v>0.12974938439233194</v>
      </c>
      <c r="Q11" s="44">
        <f>BS!$F$33/IS!$F$42</f>
        <v>0.12974938439233194</v>
      </c>
    </row>
    <row r="12" spans="2:17" ht="15.75" customHeight="1" x14ac:dyDescent="0.25">
      <c r="F12" s="206"/>
    </row>
    <row r="13" spans="2:17" ht="15.75" customHeight="1" thickBot="1" x14ac:dyDescent="0.3">
      <c r="B13" s="55" t="s">
        <v>131</v>
      </c>
      <c r="C13" s="56" t="s">
        <v>115</v>
      </c>
      <c r="D13" s="56" t="s">
        <v>116</v>
      </c>
      <c r="E13" s="56" t="s">
        <v>117</v>
      </c>
      <c r="F13" s="57" t="s">
        <v>118</v>
      </c>
      <c r="G13" s="56" t="s">
        <v>119</v>
      </c>
      <c r="H13" s="56" t="s">
        <v>120</v>
      </c>
      <c r="I13" s="56" t="s">
        <v>121</v>
      </c>
      <c r="J13" s="56" t="s">
        <v>122</v>
      </c>
      <c r="K13" s="56" t="s">
        <v>123</v>
      </c>
      <c r="L13" s="56" t="s">
        <v>124</v>
      </c>
      <c r="M13" s="56" t="s">
        <v>125</v>
      </c>
      <c r="N13" s="56" t="s">
        <v>126</v>
      </c>
      <c r="O13" s="56" t="s">
        <v>127</v>
      </c>
      <c r="P13" s="56" t="s">
        <v>128</v>
      </c>
      <c r="Q13" s="56" t="s">
        <v>129</v>
      </c>
    </row>
    <row r="14" spans="2:17" x14ac:dyDescent="0.25">
      <c r="B14" s="58" t="s">
        <v>132</v>
      </c>
      <c r="C14" s="59">
        <v>2067</v>
      </c>
      <c r="D14" s="59">
        <v>2818.6</v>
      </c>
      <c r="E14" s="59">
        <v>3268</v>
      </c>
      <c r="F14" s="60">
        <v>7268</v>
      </c>
      <c r="G14" s="59">
        <f>CFS!G47</f>
        <v>14581.700693774201</v>
      </c>
      <c r="H14" s="59">
        <f>CFS!H47</f>
        <v>23809.272608289852</v>
      </c>
      <c r="I14" s="59">
        <f>CFS!I47</f>
        <v>32159.311997256089</v>
      </c>
      <c r="J14" s="59">
        <f>CFS!J47</f>
        <v>38343.788875923754</v>
      </c>
      <c r="K14" s="59">
        <f>CFS!K47</f>
        <v>40948.786105848587</v>
      </c>
      <c r="L14" s="59">
        <f>CFS!L47</f>
        <v>33743.519886339433</v>
      </c>
      <c r="M14" s="59">
        <f>CFS!M47</f>
        <v>29131.952665518431</v>
      </c>
      <c r="N14" s="59">
        <f>CFS!N47</f>
        <v>24843.532019142491</v>
      </c>
      <c r="O14" s="59">
        <f>CFS!O47</f>
        <v>20977.309058564162</v>
      </c>
      <c r="P14" s="59">
        <f>CFS!P47</f>
        <v>17530.481556622894</v>
      </c>
      <c r="Q14" s="59">
        <f>CFS!Q47</f>
        <v>14500.688145699576</v>
      </c>
    </row>
    <row r="15" spans="2:17" x14ac:dyDescent="0.25">
      <c r="B15" s="58" t="s">
        <v>133</v>
      </c>
      <c r="C15" s="59">
        <v>6896</v>
      </c>
      <c r="D15" s="59">
        <v>9090.5</v>
      </c>
      <c r="E15" s="59">
        <v>11006</v>
      </c>
      <c r="F15" s="60">
        <v>17760</v>
      </c>
      <c r="G15" s="59">
        <f>IS!G$42*BS!G3</f>
        <v>23878.386988792485</v>
      </c>
      <c r="H15" s="59">
        <f>IS!H$42*BS!H3</f>
        <v>31087.586616361768</v>
      </c>
      <c r="I15" s="59">
        <f>IS!I$42*BS!I3</f>
        <v>39024.756186280196</v>
      </c>
      <c r="J15" s="59">
        <f>IS!J$42*BS!J3</f>
        <v>47067.555479112278</v>
      </c>
      <c r="K15" s="59">
        <f>IS!K$42*BS!K3</f>
        <v>54365.208077923911</v>
      </c>
      <c r="L15" s="59">
        <f>IS!L$42*BS!L3</f>
        <v>59950.414198221231</v>
      </c>
      <c r="M15" s="59">
        <f>IS!M$42*BS!M3</f>
        <v>62938.849611340869</v>
      </c>
      <c r="N15" s="59">
        <f>IS!N$42*BS!N3</f>
        <v>66079.442860539435</v>
      </c>
      <c r="O15" s="59">
        <f>IS!O$42*BS!O3</f>
        <v>69379.951465071426</v>
      </c>
      <c r="P15" s="59">
        <f>IS!P$42*BS!P3</f>
        <v>72848.534175505716</v>
      </c>
      <c r="Q15" s="59">
        <f>IS!Q$42*BS!Q3</f>
        <v>76493.772076016336</v>
      </c>
    </row>
    <row r="16" spans="2:17" x14ac:dyDescent="0.25">
      <c r="B16" s="58" t="s">
        <v>134</v>
      </c>
      <c r="C16" s="59">
        <v>1663</v>
      </c>
      <c r="D16" s="59">
        <v>2245.6999999999998</v>
      </c>
      <c r="E16" s="59">
        <v>2270</v>
      </c>
      <c r="F16" s="60">
        <v>2395</v>
      </c>
      <c r="G16" s="59">
        <f>IS!G$42*BS!G4</f>
        <v>3220.0865336800675</v>
      </c>
      <c r="H16" s="59">
        <f>IS!H$42*BS!H4</f>
        <v>4192.2730825555427</v>
      </c>
      <c r="I16" s="59">
        <f>IS!I$42*BS!I4</f>
        <v>5262.629001471907</v>
      </c>
      <c r="J16" s="59">
        <f>IS!J$42*BS!J4</f>
        <v>6347.2294691708285</v>
      </c>
      <c r="K16" s="59">
        <f>IS!K$42*BS!K4</f>
        <v>7331.3442199677802</v>
      </c>
      <c r="L16" s="59">
        <f>IS!L$42*BS!L4</f>
        <v>8084.5293921587754</v>
      </c>
      <c r="M16" s="59">
        <f>IS!M$42*BS!M4</f>
        <v>8487.5306767545826</v>
      </c>
      <c r="N16" s="59">
        <f>IS!N$42*BS!N4</f>
        <v>8911.0509938621599</v>
      </c>
      <c r="O16" s="59">
        <f>IS!O$42*BS!O4</f>
        <v>9356.1364729079996</v>
      </c>
      <c r="P16" s="59">
        <f>IS!P$42*BS!P4</f>
        <v>9823.8873508072174</v>
      </c>
      <c r="Q16" s="59">
        <f>IS!Q$42*BS!Q4</f>
        <v>10315.46081768351</v>
      </c>
    </row>
    <row r="17" spans="2:17" x14ac:dyDescent="0.25">
      <c r="B17" s="58" t="s">
        <v>135</v>
      </c>
      <c r="C17" s="59">
        <v>4310</v>
      </c>
      <c r="D17" s="59">
        <v>5772.8</v>
      </c>
      <c r="E17" s="59">
        <v>7589</v>
      </c>
      <c r="F17" s="60">
        <v>13744</v>
      </c>
      <c r="G17" s="59">
        <f>IS!G$43*BS!G5</f>
        <v>21276.467528841309</v>
      </c>
      <c r="H17" s="59">
        <f>IS!H$43*BS!H5</f>
        <v>27700.113391390816</v>
      </c>
      <c r="I17" s="59">
        <f>IS!I$43*BS!I5</f>
        <v>34772.405615507108</v>
      </c>
      <c r="J17" s="59">
        <f>IS!J$43*BS!J5</f>
        <v>41938.817571023508</v>
      </c>
      <c r="K17" s="59">
        <f>IS!K$43*BS!K5</f>
        <v>48441.278085976075</v>
      </c>
      <c r="L17" s="59">
        <f>IS!L$43*BS!L5</f>
        <v>53417.88964337176</v>
      </c>
      <c r="M17" s="59">
        <f>IS!M$43*BS!M5</f>
        <v>56080.688812307366</v>
      </c>
      <c r="N17" s="59">
        <f>IS!N$43*BS!N5</f>
        <v>58879.065868480997</v>
      </c>
      <c r="O17" s="59">
        <f>IS!O$43*BS!O5</f>
        <v>61819.933029480853</v>
      </c>
      <c r="P17" s="59">
        <f>IS!P$43*BS!P5</f>
        <v>64910.560023854203</v>
      </c>
      <c r="Q17" s="59">
        <f>IS!Q$43*BS!Q5</f>
        <v>68158.592893977228</v>
      </c>
    </row>
    <row r="18" spans="2:17" x14ac:dyDescent="0.25">
      <c r="B18" s="58" t="s">
        <v>136</v>
      </c>
      <c r="C18" s="59">
        <v>2947</v>
      </c>
      <c r="D18" s="59">
        <v>5540.8</v>
      </c>
      <c r="E18" s="59">
        <v>8341</v>
      </c>
      <c r="F18" s="60">
        <v>14315</v>
      </c>
      <c r="G18" s="59">
        <f>IS!G$42*BS!G6</f>
        <v>19246.571494626376</v>
      </c>
      <c r="H18" s="59">
        <f>IS!H$42*BS!H6</f>
        <v>25057.365000744299</v>
      </c>
      <c r="I18" s="59">
        <f>IS!I$42*BS!I6</f>
        <v>31454.920315686995</v>
      </c>
      <c r="J18" s="59">
        <f>IS!J$42*BS!J6</f>
        <v>37937.615804250694</v>
      </c>
      <c r="K18" s="59">
        <f>IS!K$42*BS!K6</f>
        <v>43819.70459659239</v>
      </c>
      <c r="L18" s="59">
        <f>IS!L$42*BS!L6</f>
        <v>48321.519101775732</v>
      </c>
      <c r="M18" s="59">
        <f>IS!M$42*BS!M6</f>
        <v>50730.27208256445</v>
      </c>
      <c r="N18" s="59">
        <f>IS!N$42*BS!N6</f>
        <v>53261.668048908905</v>
      </c>
      <c r="O18" s="59">
        <f>IS!O$42*BS!O6</f>
        <v>55921.959753519004</v>
      </c>
      <c r="P18" s="59">
        <f>IS!P$42*BS!P6</f>
        <v>58717.723351484477</v>
      </c>
      <c r="Q18" s="59">
        <f>IS!Q$42*BS!Q6</f>
        <v>61655.875409244029</v>
      </c>
    </row>
    <row r="19" spans="2:17" x14ac:dyDescent="0.25">
      <c r="B19" s="58" t="s">
        <v>137</v>
      </c>
      <c r="C19" s="59">
        <v>152</v>
      </c>
      <c r="D19" s="59">
        <v>258.60000000000002</v>
      </c>
      <c r="E19" s="59">
        <v>266</v>
      </c>
      <c r="F19" s="60">
        <v>147</v>
      </c>
      <c r="G19" s="59">
        <f>IS!G$42*BS!G7</f>
        <v>197.6420544680459</v>
      </c>
      <c r="H19" s="59">
        <f>IS!H$42*BS!H7</f>
        <v>257.31279462867002</v>
      </c>
      <c r="I19" s="59">
        <f>IS!I$42*BS!I7</f>
        <v>323.0089616769813</v>
      </c>
      <c r="J19" s="59">
        <f>IS!J$42*BS!J7</f>
        <v>389.57942879670634</v>
      </c>
      <c r="K19" s="59">
        <f>IS!K$42*BS!K7</f>
        <v>449.98229659092425</v>
      </c>
      <c r="L19" s="59">
        <f>IS!L$42*BS!L7</f>
        <v>496.21119860014193</v>
      </c>
      <c r="M19" s="59">
        <f>IS!M$42*BS!M7</f>
        <v>520.94655928305792</v>
      </c>
      <c r="N19" s="59">
        <f>IS!N$42*BS!N7</f>
        <v>546.94133448757304</v>
      </c>
      <c r="O19" s="59">
        <f>IS!O$42*BS!O7</f>
        <v>574.2597334102195</v>
      </c>
      <c r="P19" s="59">
        <f>IS!P$42*BS!P7</f>
        <v>602.96928624996281</v>
      </c>
      <c r="Q19" s="59">
        <f>IS!Q$42*BS!Q7</f>
        <v>633.14101887243248</v>
      </c>
    </row>
    <row r="20" spans="2:17" x14ac:dyDescent="0.25">
      <c r="B20" s="61" t="s">
        <v>138</v>
      </c>
      <c r="C20" s="62">
        <v>18035</v>
      </c>
      <c r="D20" s="62">
        <v>25727</v>
      </c>
      <c r="E20" s="62">
        <v>32740</v>
      </c>
      <c r="F20" s="63">
        <v>55629</v>
      </c>
      <c r="G20" s="62">
        <f>SUM(G14:G19)</f>
        <v>82400.855294182489</v>
      </c>
      <c r="H20" s="62">
        <f>SUM(H14:H19)</f>
        <v>112103.92349397094</v>
      </c>
      <c r="I20" s="62">
        <f>SUM(I14:I19)</f>
        <v>142997.03207787927</v>
      </c>
      <c r="J20" s="62">
        <f>SUM(J14:J19)</f>
        <v>172024.58662827779</v>
      </c>
      <c r="K20" s="62">
        <f>SUM(K14:K19)</f>
        <v>195356.30338289967</v>
      </c>
      <c r="L20" s="62">
        <f>SUM(L14:L19)</f>
        <v>204014.08342046707</v>
      </c>
      <c r="M20" s="62">
        <f>SUM(M14:M19)</f>
        <v>207890.24040776875</v>
      </c>
      <c r="N20" s="62">
        <f>SUM(N14:N19)</f>
        <v>212521.70112542156</v>
      </c>
      <c r="O20" s="62">
        <f>SUM(O14:O19)</f>
        <v>218029.54951295367</v>
      </c>
      <c r="P20" s="62">
        <f>SUM(P14:P19)</f>
        <v>224434.15574452447</v>
      </c>
      <c r="Q20" s="62">
        <f>SUM(Q14:Q19)</f>
        <v>231757.53036149312</v>
      </c>
    </row>
    <row r="21" spans="2:17" x14ac:dyDescent="0.25">
      <c r="B21" s="58" t="s">
        <v>139</v>
      </c>
      <c r="C21" s="59">
        <v>2902</v>
      </c>
      <c r="D21" s="59">
        <v>3052.2</v>
      </c>
      <c r="E21" s="59">
        <v>3216</v>
      </c>
      <c r="F21" s="60">
        <v>2802</v>
      </c>
      <c r="G21" s="59">
        <f>F21</f>
        <v>2802</v>
      </c>
      <c r="H21" s="59">
        <f>G21</f>
        <v>2802</v>
      </c>
      <c r="I21" s="59">
        <f>H21</f>
        <v>2802</v>
      </c>
      <c r="J21" s="59">
        <f>I21</f>
        <v>2802</v>
      </c>
      <c r="K21" s="59">
        <f>J21</f>
        <v>2802</v>
      </c>
      <c r="L21" s="59">
        <f>K21</f>
        <v>2802</v>
      </c>
      <c r="M21" s="59">
        <f>L21</f>
        <v>2802</v>
      </c>
      <c r="N21" s="59">
        <f>M21</f>
        <v>2802</v>
      </c>
      <c r="O21" s="59">
        <f>N21</f>
        <v>2802</v>
      </c>
      <c r="P21" s="59">
        <f>O21</f>
        <v>2802</v>
      </c>
      <c r="Q21" s="59">
        <f>P21</f>
        <v>2802</v>
      </c>
    </row>
    <row r="22" spans="2:17" x14ac:dyDescent="0.25">
      <c r="B22" s="58" t="s">
        <v>140</v>
      </c>
      <c r="C22" s="59">
        <v>4073</v>
      </c>
      <c r="D22" s="59">
        <v>4939.7</v>
      </c>
      <c r="E22" s="59">
        <v>5770</v>
      </c>
      <c r="F22" s="60">
        <v>5898</v>
      </c>
      <c r="G22" s="59">
        <f>F22</f>
        <v>5898</v>
      </c>
      <c r="H22" s="59">
        <f>G22</f>
        <v>5898</v>
      </c>
      <c r="I22" s="59">
        <f>H22</f>
        <v>5898</v>
      </c>
      <c r="J22" s="59">
        <f>I22</f>
        <v>5898</v>
      </c>
      <c r="K22" s="59">
        <f>J22</f>
        <v>5898</v>
      </c>
      <c r="L22" s="59">
        <f>K22</f>
        <v>5898</v>
      </c>
      <c r="M22" s="59">
        <f>L22</f>
        <v>5898</v>
      </c>
      <c r="N22" s="59">
        <f>M22</f>
        <v>5898</v>
      </c>
      <c r="O22" s="59">
        <f>N22</f>
        <v>5898</v>
      </c>
      <c r="P22" s="59">
        <f>O22</f>
        <v>5898</v>
      </c>
      <c r="Q22" s="59">
        <f>P22</f>
        <v>5898</v>
      </c>
    </row>
    <row r="23" spans="2:17" x14ac:dyDescent="0.25">
      <c r="B23" s="58" t="s">
        <v>141</v>
      </c>
      <c r="C23" s="59">
        <v>7207</v>
      </c>
      <c r="D23" s="59">
        <v>6906.6</v>
      </c>
      <c r="E23" s="59">
        <v>6166</v>
      </c>
      <c r="F23" s="60">
        <v>6521</v>
      </c>
      <c r="G23" s="59">
        <f>F23</f>
        <v>6521</v>
      </c>
      <c r="H23" s="59">
        <f>G23</f>
        <v>6521</v>
      </c>
      <c r="I23" s="59">
        <f>H23</f>
        <v>6521</v>
      </c>
      <c r="J23" s="59">
        <f>I23</f>
        <v>6521</v>
      </c>
      <c r="K23" s="59">
        <f>J23</f>
        <v>6521</v>
      </c>
      <c r="L23" s="59">
        <f>K23</f>
        <v>6521</v>
      </c>
      <c r="M23" s="59">
        <f>L23</f>
        <v>6521</v>
      </c>
      <c r="N23" s="59">
        <f>M23</f>
        <v>6521</v>
      </c>
      <c r="O23" s="59">
        <f>N23</f>
        <v>6521</v>
      </c>
      <c r="P23" s="59">
        <f>O23</f>
        <v>6521</v>
      </c>
      <c r="Q23" s="59">
        <f>P23</f>
        <v>6521</v>
      </c>
    </row>
    <row r="24" spans="2:17" x14ac:dyDescent="0.25">
      <c r="B24" s="58" t="s">
        <v>142</v>
      </c>
      <c r="C24" s="59">
        <v>2793</v>
      </c>
      <c r="D24" s="59">
        <v>5477.3</v>
      </c>
      <c r="E24" s="59">
        <v>8001</v>
      </c>
      <c r="F24" s="60">
        <v>9959</v>
      </c>
      <c r="G24" s="59">
        <f>F24-CFS!G16</f>
        <v>12202.666666666666</v>
      </c>
      <c r="H24" s="59">
        <f>G24-CFS!H16</f>
        <v>14446.333333333332</v>
      </c>
      <c r="I24" s="59">
        <f>H24-CFS!I16</f>
        <v>16690</v>
      </c>
      <c r="J24" s="59">
        <f>I24-CFS!J16</f>
        <v>18933.666666666668</v>
      </c>
      <c r="K24" s="59">
        <f>J24-CFS!K16</f>
        <v>21177.333333333336</v>
      </c>
      <c r="L24" s="59">
        <f>K24-CFS!L16</f>
        <v>23421.000000000004</v>
      </c>
      <c r="M24" s="59">
        <f>L24-CFS!M16</f>
        <v>25664.666666666672</v>
      </c>
      <c r="N24" s="59">
        <f>M24-CFS!N16</f>
        <v>27908.333333333339</v>
      </c>
      <c r="O24" s="59">
        <f>N24-CFS!O16</f>
        <v>30152.000000000007</v>
      </c>
      <c r="P24" s="59">
        <f>O24-CFS!P16</f>
        <v>32395.666666666675</v>
      </c>
      <c r="Q24" s="59">
        <f>P24-CFS!Q16</f>
        <v>34639.333333333343</v>
      </c>
    </row>
    <row r="25" spans="2:17" x14ac:dyDescent="0.25">
      <c r="B25" s="58" t="s">
        <v>143</v>
      </c>
      <c r="C25" s="59">
        <v>10144</v>
      </c>
      <c r="D25" s="59">
        <v>12913.6</v>
      </c>
      <c r="E25" s="59">
        <v>17102</v>
      </c>
      <c r="F25" s="60">
        <v>24675</v>
      </c>
      <c r="G25" s="59">
        <f>F25-CFS!G27-CFS!G15</f>
        <v>29728.065374063073</v>
      </c>
      <c r="H25" s="59">
        <f>G25-CFS!H27-CFS!H15</f>
        <v>36306.717758248597</v>
      </c>
      <c r="I25" s="59">
        <f>H25-CFS!I27-CFS!I15</f>
        <v>44565.007746961033</v>
      </c>
      <c r="J25" s="59">
        <f>I25-CFS!J27-CFS!J15</f>
        <v>54525.28835322331</v>
      </c>
      <c r="K25" s="59">
        <f>J25-CFS!K27-CFS!K15</f>
        <v>66029.874095184423</v>
      </c>
      <c r="L25" s="59">
        <f>K25-CFS!L27-CFS!L15</f>
        <v>78716.382706002871</v>
      </c>
      <c r="M25" s="59">
        <f>L25-CFS!M27-CFS!M15</f>
        <v>92035.294146867862</v>
      </c>
      <c r="N25" s="59">
        <f>M25-CFS!N27-CFS!N15</f>
        <v>106018.80755640814</v>
      </c>
      <c r="O25" s="59">
        <f>N25-CFS!O27-CFS!O15</f>
        <v>120700.76369385065</v>
      </c>
      <c r="P25" s="59">
        <f>O25-CFS!P27-CFS!P15</f>
        <v>136116.72984626595</v>
      </c>
      <c r="Q25" s="59">
        <f>P25-CFS!Q27-CFS!Q15</f>
        <v>152304.08920141048</v>
      </c>
    </row>
    <row r="26" spans="2:17" x14ac:dyDescent="0.25">
      <c r="B26" s="58" t="s">
        <v>144</v>
      </c>
      <c r="C26" s="59">
        <v>4337</v>
      </c>
      <c r="D26" s="59">
        <v>4989.8999999999996</v>
      </c>
      <c r="E26" s="59">
        <v>5720</v>
      </c>
      <c r="F26" s="60">
        <v>6992</v>
      </c>
      <c r="G26" s="59">
        <f>F26</f>
        <v>6992</v>
      </c>
      <c r="H26" s="59">
        <f>G26</f>
        <v>6992</v>
      </c>
      <c r="I26" s="59">
        <f>H26</f>
        <v>6992</v>
      </c>
      <c r="J26" s="59">
        <f>I26</f>
        <v>6992</v>
      </c>
      <c r="K26" s="59">
        <f>J26</f>
        <v>6992</v>
      </c>
      <c r="L26" s="59">
        <f>K26</f>
        <v>6992</v>
      </c>
      <c r="M26" s="59">
        <f>L26</f>
        <v>6992</v>
      </c>
      <c r="N26" s="59">
        <f>M26</f>
        <v>6992</v>
      </c>
      <c r="O26" s="59">
        <f>N26</f>
        <v>6992</v>
      </c>
      <c r="P26" s="59">
        <f>O26</f>
        <v>6992</v>
      </c>
      <c r="Q26" s="59">
        <f>P26</f>
        <v>6992</v>
      </c>
    </row>
    <row r="27" spans="2:17" x14ac:dyDescent="0.25">
      <c r="B27" s="61" t="s">
        <v>145</v>
      </c>
      <c r="C27" s="62">
        <v>49489.8</v>
      </c>
      <c r="D27" s="62">
        <v>64006.3</v>
      </c>
      <c r="E27" s="62">
        <v>78715</v>
      </c>
      <c r="F27" s="63">
        <v>112476</v>
      </c>
      <c r="G27" s="62">
        <f>G20+SUM(G21:G26)</f>
        <v>146544.58733491221</v>
      </c>
      <c r="H27" s="62">
        <f>H20+SUM(H21:H26)</f>
        <v>185069.97458555287</v>
      </c>
      <c r="I27" s="62">
        <f>I20+SUM(I21:I26)</f>
        <v>226465.03982484029</v>
      </c>
      <c r="J27" s="62">
        <f>J20+SUM(J21:J26)</f>
        <v>267696.54164816777</v>
      </c>
      <c r="K27" s="62">
        <f>K20+SUM(K21:K26)</f>
        <v>304776.51081141742</v>
      </c>
      <c r="L27" s="62">
        <f>L20+SUM(L21:L26)</f>
        <v>328364.46612646995</v>
      </c>
      <c r="M27" s="62">
        <f>M20+SUM(M21:M26)</f>
        <v>347803.20122130332</v>
      </c>
      <c r="N27" s="62">
        <f>N20+SUM(N21:N26)</f>
        <v>368661.84201516304</v>
      </c>
      <c r="O27" s="62">
        <f>O20+SUM(O21:O26)</f>
        <v>391095.31320680433</v>
      </c>
      <c r="P27" s="62">
        <f>P20+SUM(P21:P26)</f>
        <v>415159.55225745705</v>
      </c>
      <c r="Q27" s="62">
        <f>Q20+SUM(Q21:Q26)</f>
        <v>440913.95289623691</v>
      </c>
    </row>
    <row r="28" spans="2:17" x14ac:dyDescent="0.25">
      <c r="B28" s="1"/>
      <c r="C28" s="1"/>
      <c r="D28" s="1"/>
      <c r="E28" s="1"/>
      <c r="F28" s="46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2:17" x14ac:dyDescent="0.25">
      <c r="B29" s="58" t="s">
        <v>146</v>
      </c>
      <c r="C29" s="59">
        <v>1501.1</v>
      </c>
      <c r="D29" s="59">
        <v>6904.5</v>
      </c>
      <c r="E29" s="59">
        <v>5117</v>
      </c>
      <c r="F29" s="60">
        <v>1635</v>
      </c>
      <c r="G29" s="59">
        <f>F29+CFS!G37</f>
        <v>1718.82</v>
      </c>
      <c r="H29" s="59">
        <f>G29+CFS!H37</f>
        <v>2262.7394730869742</v>
      </c>
      <c r="I29" s="59">
        <f>H29+CFS!I37</f>
        <v>2853.8372186718184</v>
      </c>
      <c r="J29" s="59">
        <f>I29+CFS!J37</f>
        <v>3456.4796316770676</v>
      </c>
      <c r="K29" s="59">
        <f>J29+CFS!K37</f>
        <v>4007.9410355337141</v>
      </c>
      <c r="L29" s="59">
        <f>K29+CFS!L37</f>
        <v>4433.2773479101061</v>
      </c>
      <c r="M29" s="59">
        <f>L29+CFS!M37</f>
        <v>4555.7077326773715</v>
      </c>
      <c r="N29" s="59">
        <f>M29+CFS!N37</f>
        <v>4576.5871937123729</v>
      </c>
      <c r="O29" s="59">
        <f>N29+CFS!O37</f>
        <v>4606.1994047102526</v>
      </c>
      <c r="P29" s="59">
        <f>O29+CFS!P37</f>
        <v>4646.807214615209</v>
      </c>
      <c r="Q29" s="59">
        <f>P29+CFS!Q37</f>
        <v>4698.5407726584954</v>
      </c>
    </row>
    <row r="30" spans="2:17" x14ac:dyDescent="0.25">
      <c r="B30" s="58" t="s">
        <v>147</v>
      </c>
      <c r="C30" s="59">
        <v>1930.6</v>
      </c>
      <c r="D30" s="59">
        <v>2598.8000000000002</v>
      </c>
      <c r="E30" s="59">
        <v>3229</v>
      </c>
      <c r="F30" s="60">
        <v>5379</v>
      </c>
      <c r="G30" s="59">
        <f>IS!G$43*BS!G8</f>
        <v>8326.9876919119179</v>
      </c>
      <c r="H30" s="59">
        <f>IS!H$43*BS!H8</f>
        <v>10841.014983432129</v>
      </c>
      <c r="I30" s="59">
        <f>IS!I$43*BS!I8</f>
        <v>13608.903507407793</v>
      </c>
      <c r="J30" s="59">
        <f>IS!J$43*BS!J8</f>
        <v>16413.627744072717</v>
      </c>
      <c r="K30" s="59">
        <f>IS!K$43*BS!K8</f>
        <v>18958.500787577508</v>
      </c>
      <c r="L30" s="59">
        <f>IS!L$43*BS!L8</f>
        <v>20906.201134436604</v>
      </c>
      <c r="M30" s="59">
        <f>IS!M$43*BS!M8</f>
        <v>21948.342922104286</v>
      </c>
      <c r="N30" s="59">
        <f>IS!N$43*BS!N8</f>
        <v>23043.545933247908</v>
      </c>
      <c r="O30" s="59">
        <f>IS!O$43*BS!O8</f>
        <v>24194.515407856336</v>
      </c>
      <c r="P30" s="59">
        <f>IS!P$43*BS!P8</f>
        <v>25404.096505261328</v>
      </c>
      <c r="Q30" s="59">
        <f>IS!Q$43*BS!Q8</f>
        <v>26675.281663031394</v>
      </c>
    </row>
    <row r="31" spans="2:17" x14ac:dyDescent="0.25">
      <c r="B31" s="58" t="s">
        <v>148</v>
      </c>
      <c r="C31" s="59">
        <v>1059.8</v>
      </c>
      <c r="D31" s="59">
        <v>1650.4</v>
      </c>
      <c r="E31" s="59">
        <v>2094</v>
      </c>
      <c r="F31" s="60">
        <v>2375</v>
      </c>
      <c r="G31" s="59">
        <f>IS!G$42*BS!G9</f>
        <v>3193.1964582422379</v>
      </c>
      <c r="H31" s="59">
        <f>IS!H$42*BS!H9</f>
        <v>4157.2645390686484</v>
      </c>
      <c r="I31" s="59">
        <f>IS!I$42*BS!I9</f>
        <v>5218.6822039648341</v>
      </c>
      <c r="J31" s="59">
        <f>IS!J$42*BS!J9</f>
        <v>6294.2254652529091</v>
      </c>
      <c r="K31" s="59">
        <f>IS!K$42*BS!K9</f>
        <v>7270.1221387989463</v>
      </c>
      <c r="L31" s="59">
        <f>IS!L$42*BS!L9</f>
        <v>8017.0176644580752</v>
      </c>
      <c r="M31" s="59">
        <f>IS!M$42*BS!M9</f>
        <v>8416.6535938589277</v>
      </c>
      <c r="N31" s="59">
        <f>IS!N$42*BS!N9</f>
        <v>8836.6372068570472</v>
      </c>
      <c r="O31" s="59">
        <f>IS!O$42*BS!O9</f>
        <v>9278.0058969338188</v>
      </c>
      <c r="P31" s="59">
        <f>IS!P$42*BS!P9</f>
        <v>9741.8507132221876</v>
      </c>
      <c r="Q31" s="59">
        <f>IS!Q$42*BS!Q9</f>
        <v>10229.31918246277</v>
      </c>
    </row>
    <row r="32" spans="2:17" x14ac:dyDescent="0.25">
      <c r="B32" s="58" t="s">
        <v>149</v>
      </c>
      <c r="C32" s="59">
        <v>8784.1</v>
      </c>
      <c r="D32" s="59">
        <v>11689</v>
      </c>
      <c r="E32" s="59">
        <v>11539</v>
      </c>
      <c r="F32" s="60">
        <v>17382</v>
      </c>
      <c r="G32" s="59">
        <f>IS!G$42*BS!G10</f>
        <v>23370.164563017512</v>
      </c>
      <c r="H32" s="59">
        <f>IS!H$42*BS!H10</f>
        <v>30425.925144459477</v>
      </c>
      <c r="I32" s="59">
        <f>IS!I$42*BS!I10</f>
        <v>38194.161713396534</v>
      </c>
      <c r="J32" s="59">
        <f>IS!J$42*BS!J10</f>
        <v>46065.779805063612</v>
      </c>
      <c r="K32" s="59">
        <f>IS!K$42*BS!K10</f>
        <v>53208.110743832971</v>
      </c>
      <c r="L32" s="59">
        <f>IS!L$42*BS!L10</f>
        <v>58674.442544678015</v>
      </c>
      <c r="M32" s="59">
        <f>IS!M$42*BS!M10</f>
        <v>61599.272744613016</v>
      </c>
      <c r="N32" s="59">
        <f>IS!N$42*BS!N10</f>
        <v>64673.022286142834</v>
      </c>
      <c r="O32" s="59">
        <f>IS!O$42*BS!O10</f>
        <v>67903.283579159441</v>
      </c>
      <c r="P32" s="59">
        <f>IS!P$42*BS!P10</f>
        <v>71298.04172514868</v>
      </c>
      <c r="Q32" s="59">
        <f>IS!Q$42*BS!Q10</f>
        <v>74865.695170344377</v>
      </c>
    </row>
    <row r="33" spans="2:17" x14ac:dyDescent="0.25">
      <c r="B33" s="58" t="s">
        <v>150</v>
      </c>
      <c r="C33" s="59">
        <v>3862.6</v>
      </c>
      <c r="D33" s="59">
        <v>4450.5</v>
      </c>
      <c r="E33" s="59">
        <v>6397</v>
      </c>
      <c r="F33" s="60">
        <v>8457</v>
      </c>
      <c r="G33" s="59">
        <f>IS!G$42*BS!G11</f>
        <v>11370.468398886152</v>
      </c>
      <c r="H33" s="59">
        <f>IS!H$42*BS!H11</f>
        <v>14803.362613433081</v>
      </c>
      <c r="I33" s="59">
        <f>IS!I$42*BS!I11</f>
        <v>18582.903325865522</v>
      </c>
      <c r="J33" s="59">
        <f>IS!J$42*BS!J11</f>
        <v>22412.74305669215</v>
      </c>
      <c r="K33" s="59">
        <f>IS!K$42*BS!K11</f>
        <v>25887.757022241138</v>
      </c>
      <c r="L33" s="59">
        <f>IS!L$42*BS!L11</f>
        <v>28547.334058240824</v>
      </c>
      <c r="M33" s="59">
        <f>IS!M$42*BS!M11</f>
        <v>29970.374502427356</v>
      </c>
      <c r="N33" s="59">
        <f>IS!N$42*BS!N11</f>
        <v>31465.869835111607</v>
      </c>
      <c r="O33" s="59">
        <f>IS!O$42*BS!O11</f>
        <v>33037.514050681821</v>
      </c>
      <c r="P33" s="59">
        <f>IS!P$42*BS!P11</f>
        <v>34689.192202829501</v>
      </c>
      <c r="Q33" s="59">
        <f>IS!Q$42*BS!Q11</f>
        <v>36424.990453089544</v>
      </c>
    </row>
    <row r="34" spans="2:17" x14ac:dyDescent="0.25">
      <c r="B34" s="61" t="s">
        <v>151</v>
      </c>
      <c r="C34" s="62">
        <v>17138.2</v>
      </c>
      <c r="D34" s="62">
        <v>27293.200000000001</v>
      </c>
      <c r="E34" s="62">
        <v>28376</v>
      </c>
      <c r="F34" s="63">
        <v>35228</v>
      </c>
      <c r="G34" s="62">
        <f>SUM(G29:G33)</f>
        <v>47979.637112057819</v>
      </c>
      <c r="H34" s="62">
        <f>SUM(H29:H33)</f>
        <v>62490.306753480312</v>
      </c>
      <c r="I34" s="62">
        <f>SUM(I29:I33)</f>
        <v>78458.487969306501</v>
      </c>
      <c r="J34" s="62">
        <f>SUM(J29:J33)</f>
        <v>94642.855702758461</v>
      </c>
      <c r="K34" s="62">
        <f>SUM(K29:K33)</f>
        <v>109332.43172798428</v>
      </c>
      <c r="L34" s="62">
        <f>SUM(L29:L33)</f>
        <v>120578.27274972362</v>
      </c>
      <c r="M34" s="62">
        <f>SUM(M29:M33)</f>
        <v>126490.35149568095</v>
      </c>
      <c r="N34" s="62">
        <f>SUM(N29:N33)</f>
        <v>132595.66245507178</v>
      </c>
      <c r="O34" s="62">
        <f>SUM(O29:O33)</f>
        <v>139019.51833934165</v>
      </c>
      <c r="P34" s="62">
        <f>SUM(P29:P33)</f>
        <v>145779.98836107689</v>
      </c>
      <c r="Q34" s="62">
        <f>SUM(Q29:Q33)</f>
        <v>152893.82724158658</v>
      </c>
    </row>
    <row r="35" spans="2:17" x14ac:dyDescent="0.25">
      <c r="B35" s="58" t="s">
        <v>152</v>
      </c>
      <c r="C35" s="59">
        <v>14737.5</v>
      </c>
      <c r="D35" s="59">
        <v>18320.8</v>
      </c>
      <c r="E35" s="59">
        <v>28527</v>
      </c>
      <c r="F35" s="60">
        <v>40868</v>
      </c>
      <c r="G35" s="59">
        <f>F35+CFS!G38+CFS!G39</f>
        <v>55312.336542290868</v>
      </c>
      <c r="H35" s="59">
        <f>G35+CFS!H38+CFS!H39</f>
        <v>70356.554180110616</v>
      </c>
      <c r="I35" s="59">
        <f>H35+CFS!I38+CFS!I39</f>
        <v>84520.493614546853</v>
      </c>
      <c r="J35" s="59">
        <f>I35+CFS!J38+CFS!J39</f>
        <v>95909.196073927247</v>
      </c>
      <c r="K35" s="59">
        <f>J35+CFS!K38+CFS!K39</f>
        <v>102486.43566752103</v>
      </c>
      <c r="L35" s="59">
        <f>K35+CFS!L38+CFS!L39</f>
        <v>97362.113884144972</v>
      </c>
      <c r="M35" s="59">
        <f>L35+CFS!M38+CFS!M39</f>
        <v>92494.008189937726</v>
      </c>
      <c r="N35" s="59">
        <f>M35+CFS!N38+CFS!N39</f>
        <v>87869.307780440839</v>
      </c>
      <c r="O35" s="59">
        <f>N35+CFS!O38+CFS!O39</f>
        <v>83475.842391418802</v>
      </c>
      <c r="P35" s="59">
        <f>O35+CFS!P38+CFS!P39</f>
        <v>79302.050271847867</v>
      </c>
      <c r="Q35" s="59">
        <f>P35+CFS!Q38+CFS!Q39</f>
        <v>75336.947758255468</v>
      </c>
    </row>
    <row r="36" spans="2:17" x14ac:dyDescent="0.25">
      <c r="B36" s="58" t="s">
        <v>153</v>
      </c>
      <c r="C36" s="59">
        <v>3796.9</v>
      </c>
      <c r="D36" s="59">
        <v>3849.2</v>
      </c>
      <c r="E36" s="59">
        <v>4061</v>
      </c>
      <c r="F36" s="60">
        <v>5875</v>
      </c>
      <c r="G36" s="59">
        <f>F36</f>
        <v>5875</v>
      </c>
      <c r="H36" s="59">
        <f>G36</f>
        <v>5875</v>
      </c>
      <c r="I36" s="59">
        <f>H36</f>
        <v>5875</v>
      </c>
      <c r="J36" s="59">
        <f>I36</f>
        <v>5875</v>
      </c>
      <c r="K36" s="59">
        <f>J36</f>
        <v>5875</v>
      </c>
      <c r="L36" s="59">
        <f>K36</f>
        <v>5875</v>
      </c>
      <c r="M36" s="59">
        <f>L36</f>
        <v>5875</v>
      </c>
      <c r="N36" s="59">
        <f>M36</f>
        <v>5875</v>
      </c>
      <c r="O36" s="59">
        <f>N36</f>
        <v>5875</v>
      </c>
      <c r="P36" s="59">
        <f>O36</f>
        <v>5875</v>
      </c>
      <c r="Q36" s="59">
        <f>P36</f>
        <v>5875</v>
      </c>
    </row>
    <row r="37" spans="2:17" x14ac:dyDescent="0.25">
      <c r="B37" s="58" t="s">
        <v>154</v>
      </c>
      <c r="C37" s="59">
        <v>3041.8</v>
      </c>
      <c r="D37" s="59">
        <v>3679.4</v>
      </c>
      <c r="E37" s="59">
        <v>3479</v>
      </c>
      <c r="F37" s="60">
        <v>3970</v>
      </c>
      <c r="G37" s="59">
        <f>F37</f>
        <v>3970</v>
      </c>
      <c r="H37" s="59">
        <f>G37</f>
        <v>3970</v>
      </c>
      <c r="I37" s="59">
        <f>H37</f>
        <v>3970</v>
      </c>
      <c r="J37" s="59">
        <f>I37</f>
        <v>3970</v>
      </c>
      <c r="K37" s="59">
        <f>J37</f>
        <v>3970</v>
      </c>
      <c r="L37" s="59">
        <f>K37</f>
        <v>3970</v>
      </c>
      <c r="M37" s="59">
        <f>L37</f>
        <v>3970</v>
      </c>
      <c r="N37" s="59">
        <f>M37</f>
        <v>3970</v>
      </c>
      <c r="O37" s="59">
        <f>N37</f>
        <v>3970</v>
      </c>
      <c r="P37" s="59">
        <f>O37</f>
        <v>3970</v>
      </c>
      <c r="Q37" s="59">
        <f>P37</f>
        <v>3970</v>
      </c>
    </row>
    <row r="38" spans="2:17" x14ac:dyDescent="0.25">
      <c r="B38" s="61" t="s">
        <v>155</v>
      </c>
      <c r="C38" s="62">
        <v>21576.2</v>
      </c>
      <c r="D38" s="62">
        <v>25849.4</v>
      </c>
      <c r="E38" s="62">
        <v>36067</v>
      </c>
      <c r="F38" s="63">
        <v>50713</v>
      </c>
      <c r="G38" s="62">
        <f>SUM(G35:G37)</f>
        <v>65157.336542290868</v>
      </c>
      <c r="H38" s="62">
        <f>SUM(H35:H37)</f>
        <v>80201.554180110616</v>
      </c>
      <c r="I38" s="62">
        <f>SUM(I35:I37)</f>
        <v>94365.493614546853</v>
      </c>
      <c r="J38" s="62">
        <f>SUM(J35:J37)</f>
        <v>105754.19607392725</v>
      </c>
      <c r="K38" s="62">
        <f>SUM(K35:K37)</f>
        <v>112331.43566752103</v>
      </c>
      <c r="L38" s="62">
        <f>SUM(L35:L37)</f>
        <v>107207.11388414497</v>
      </c>
      <c r="M38" s="62">
        <f>SUM(M35:M37)</f>
        <v>102339.00818993773</v>
      </c>
      <c r="N38" s="62">
        <f>SUM(N35:N37)</f>
        <v>97714.307780440839</v>
      </c>
      <c r="O38" s="62">
        <f>SUM(O35:O37)</f>
        <v>93320.842391418802</v>
      </c>
      <c r="P38" s="62">
        <f>SUM(P35:P37)</f>
        <v>89147.050271847867</v>
      </c>
      <c r="Q38" s="62">
        <f>SUM(Q35:Q37)</f>
        <v>85181.947758255468</v>
      </c>
    </row>
    <row r="39" spans="2:17" x14ac:dyDescent="0.25">
      <c r="B39" s="61" t="s">
        <v>156</v>
      </c>
      <c r="C39" s="62">
        <v>10775.4</v>
      </c>
      <c r="D39" s="62">
        <v>10863.7</v>
      </c>
      <c r="E39" s="62">
        <v>14272</v>
      </c>
      <c r="F39" s="63">
        <v>26535</v>
      </c>
      <c r="G39" s="62">
        <f>F39+IS!G52+CFS!G17+CFS!G36+CFS!G40</f>
        <v>33407.613680563547</v>
      </c>
      <c r="H39" s="62">
        <f>G39+IS!H52+CFS!H17+CFS!H36+CFS!H40</f>
        <v>42378.113651961961</v>
      </c>
      <c r="I39" s="62">
        <f>H39+IS!I52+CFS!I17+CFS!I36+CFS!I40</f>
        <v>53641.058240986968</v>
      </c>
      <c r="J39" s="62">
        <f>I39+IS!J52+CFS!J17+CFS!J36+CFS!J40</f>
        <v>67299.489871482045</v>
      </c>
      <c r="K39" s="62">
        <f>J39+IS!K52+CFS!K17+CFS!K36+CFS!K40</f>
        <v>83112.643415912142</v>
      </c>
      <c r="L39" s="62">
        <f>K39+IS!L52+CFS!L17+CFS!L36+CFS!L40</f>
        <v>100579.07949260139</v>
      </c>
      <c r="M39" s="62">
        <f>L39+IS!M52+CFS!M17+CFS!M36+CFS!M40</f>
        <v>118973.84153568464</v>
      </c>
      <c r="N39" s="62">
        <f>M39+IS!N52+CFS!N17+CFS!N36+CFS!N40</f>
        <v>138351.87177965045</v>
      </c>
      <c r="O39" s="62">
        <f>N39+IS!O52+CFS!O17+CFS!O36+CFS!O40</f>
        <v>158754.95247604392</v>
      </c>
      <c r="P39" s="62">
        <f>O39+IS!P52+CFS!P17+CFS!P36+CFS!P40</f>
        <v>180232.51362453241</v>
      </c>
      <c r="Q39" s="62">
        <f>P39+IS!Q52+CFS!Q17+CFS!Q36+CFS!Q40</f>
        <v>202838.17789639495</v>
      </c>
    </row>
    <row r="40" spans="2:17" x14ac:dyDescent="0.25">
      <c r="B40" s="61" t="s">
        <v>157</v>
      </c>
      <c r="C40" s="62">
        <v>49489.8</v>
      </c>
      <c r="D40" s="62">
        <v>64006.3</v>
      </c>
      <c r="E40" s="62">
        <v>78715</v>
      </c>
      <c r="F40" s="63">
        <v>112476</v>
      </c>
      <c r="G40" s="62">
        <f>G34+G38+G39</f>
        <v>146544.58733491224</v>
      </c>
      <c r="H40" s="62">
        <f>H34+H38+H39</f>
        <v>185069.97458555287</v>
      </c>
      <c r="I40" s="62">
        <f>I34+I38+I39</f>
        <v>226465.03982484032</v>
      </c>
      <c r="J40" s="62">
        <f>J34+J38+J39</f>
        <v>267696.54164816777</v>
      </c>
      <c r="K40" s="62">
        <f>K34+K38+K39</f>
        <v>304776.51081141748</v>
      </c>
      <c r="L40" s="62">
        <f>L34+L38+L39</f>
        <v>328364.46612647001</v>
      </c>
      <c r="M40" s="62">
        <f>M34+M38+M39</f>
        <v>347803.20122130332</v>
      </c>
      <c r="N40" s="62">
        <f>N34+N38+N39</f>
        <v>368661.84201516304</v>
      </c>
      <c r="O40" s="62">
        <f>O34+O38+O39</f>
        <v>391095.31320680433</v>
      </c>
      <c r="P40" s="62">
        <f>P34+P38+P39</f>
        <v>415159.55225745717</v>
      </c>
      <c r="Q40" s="62">
        <f>Q34+Q38+Q39</f>
        <v>440913.95289623702</v>
      </c>
    </row>
    <row r="41" spans="2:17" x14ac:dyDescent="0.25">
      <c r="B41" s="64" t="s">
        <v>158</v>
      </c>
      <c r="C41" s="65">
        <v>0</v>
      </c>
      <c r="D41" s="65">
        <v>0</v>
      </c>
      <c r="E41" s="65">
        <v>0</v>
      </c>
      <c r="F41" s="66">
        <v>0</v>
      </c>
      <c r="G41" s="65">
        <f>G27-G40</f>
        <v>0</v>
      </c>
      <c r="H41" s="65">
        <f>H27-H40</f>
        <v>0</v>
      </c>
      <c r="I41" s="65">
        <f>I27-I40</f>
        <v>0</v>
      </c>
      <c r="J41" s="65">
        <f>J27-J40</f>
        <v>0</v>
      </c>
      <c r="K41" s="65">
        <f>K27-K40</f>
        <v>0</v>
      </c>
      <c r="L41" s="65">
        <f>L27-L40</f>
        <v>0</v>
      </c>
      <c r="M41" s="65">
        <f>M27-M40</f>
        <v>0</v>
      </c>
      <c r="N41" s="65">
        <f>N27-N40</f>
        <v>0</v>
      </c>
      <c r="O41" s="65">
        <f>O27-O40</f>
        <v>0</v>
      </c>
      <c r="P41" s="65">
        <f>P27-P40</f>
        <v>0</v>
      </c>
      <c r="Q41" s="65">
        <f>Q27-Q40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6C5E-DED1-4D3A-86F7-C5D209E8BD3C}">
  <dimension ref="B1:Q47"/>
  <sheetViews>
    <sheetView tabSelected="1" workbookViewId="0">
      <selection activeCell="E24" sqref="E24"/>
    </sheetView>
  </sheetViews>
  <sheetFormatPr defaultRowHeight="15.75" x14ac:dyDescent="0.25"/>
  <cols>
    <col min="1" max="1" width="1.625" customWidth="1"/>
    <col min="2" max="2" width="43.625" bestFit="1" customWidth="1"/>
    <col min="3" max="17" width="12.125" customWidth="1"/>
  </cols>
  <sheetData>
    <row r="1" spans="2:17" ht="7.5" customHeight="1" x14ac:dyDescent="0.25"/>
    <row r="2" spans="2:17" ht="15.75" customHeight="1" thickBot="1" x14ac:dyDescent="0.3">
      <c r="B2" s="21" t="s">
        <v>329</v>
      </c>
      <c r="C2" s="22" t="s">
        <v>115</v>
      </c>
      <c r="D2" s="22" t="s">
        <v>116</v>
      </c>
      <c r="E2" s="22" t="s">
        <v>117</v>
      </c>
      <c r="F2" s="181" t="s">
        <v>118</v>
      </c>
      <c r="G2" s="22" t="s">
        <v>119</v>
      </c>
      <c r="H2" s="22" t="s">
        <v>120</v>
      </c>
      <c r="I2" s="22" t="s">
        <v>121</v>
      </c>
      <c r="J2" s="22" t="s">
        <v>122</v>
      </c>
      <c r="K2" s="22" t="s">
        <v>123</v>
      </c>
      <c r="L2" s="22" t="s">
        <v>124</v>
      </c>
      <c r="M2" s="22" t="s">
        <v>125</v>
      </c>
      <c r="N2" s="22" t="s">
        <v>126</v>
      </c>
      <c r="O2" s="22" t="s">
        <v>127</v>
      </c>
      <c r="P2" s="22" t="s">
        <v>128</v>
      </c>
      <c r="Q2" s="22" t="s">
        <v>129</v>
      </c>
    </row>
    <row r="3" spans="2:17" ht="15.75" customHeight="1" x14ac:dyDescent="0.25">
      <c r="B3" s="35" t="s">
        <v>105</v>
      </c>
      <c r="C3" s="38">
        <f>CFS!C15/IS!C42</f>
        <v>5.3343564085854223E-2</v>
      </c>
      <c r="D3" s="38">
        <f>CFS!D15/IS!D42</f>
        <v>4.4748432925703525E-2</v>
      </c>
      <c r="E3" s="38">
        <f>CFS!E15/IS!E42</f>
        <v>3.9229442284765353E-2</v>
      </c>
      <c r="F3" s="41">
        <f>CFS!F15/IS!F42</f>
        <v>3.0638467616351764E-2</v>
      </c>
      <c r="G3" s="44">
        <f>AVERAGE(C3:F3)</f>
        <v>4.1989976728168718E-2</v>
      </c>
      <c r="H3" s="44">
        <v>4.1989976728168697E-2</v>
      </c>
      <c r="I3" s="44">
        <v>4.1989976728168697E-2</v>
      </c>
      <c r="J3" s="44">
        <v>4.1989976728168697E-2</v>
      </c>
      <c r="K3" s="44">
        <v>4.1989976728168697E-2</v>
      </c>
      <c r="L3" s="44">
        <v>4.1989976728168697E-2</v>
      </c>
      <c r="M3" s="44">
        <v>4.1989976728168697E-2</v>
      </c>
      <c r="N3" s="44">
        <v>4.1989976728168697E-2</v>
      </c>
      <c r="O3" s="44">
        <v>4.1989976728168697E-2</v>
      </c>
      <c r="P3" s="44">
        <v>4.1989976728168697E-2</v>
      </c>
      <c r="Q3" s="44">
        <v>4.1989976728168697E-2</v>
      </c>
    </row>
    <row r="4" spans="2:17" ht="15.75" customHeight="1" x14ac:dyDescent="0.25">
      <c r="B4" s="1" t="s">
        <v>106</v>
      </c>
      <c r="C4" s="38">
        <f>CFS!C17/IS!C42</f>
        <v>1.3002165275704764E-2</v>
      </c>
      <c r="D4" s="38">
        <f>CFS!D17/IS!D42</f>
        <v>1.8432720569919788E-2</v>
      </c>
      <c r="E4" s="38">
        <f>CFS!E17/IS!E42</f>
        <v>1.4341946641742173E-2</v>
      </c>
      <c r="F4" s="41">
        <f>CFS!F17/IS!F42</f>
        <v>9.6042467340191305E-3</v>
      </c>
      <c r="G4" s="44">
        <f>AVERAGE(C4:F4)</f>
        <v>1.3845269805346463E-2</v>
      </c>
      <c r="H4" s="44">
        <v>1.38452698053465E-2</v>
      </c>
      <c r="I4" s="44">
        <v>1.38452698053465E-2</v>
      </c>
      <c r="J4" s="44">
        <v>1.38452698053465E-2</v>
      </c>
      <c r="K4" s="44">
        <v>1.38452698053465E-2</v>
      </c>
      <c r="L4" s="44">
        <v>1.38452698053465E-2</v>
      </c>
      <c r="M4" s="44">
        <v>1.38452698053465E-2</v>
      </c>
      <c r="N4" s="44">
        <v>1.38452698053465E-2</v>
      </c>
      <c r="O4" s="44">
        <v>1.38452698053465E-2</v>
      </c>
      <c r="P4" s="44">
        <v>1.38452698053465E-2</v>
      </c>
      <c r="Q4" s="44">
        <v>1.38452698053465E-2</v>
      </c>
    </row>
    <row r="5" spans="2:17" ht="15.75" customHeight="1" x14ac:dyDescent="0.25">
      <c r="B5" s="1" t="s">
        <v>107</v>
      </c>
      <c r="C5" s="38">
        <f>CFS!C27/IS!C42</f>
        <v>-6.4968782190081759E-2</v>
      </c>
      <c r="D5" s="38">
        <f>CFS!D27/IS!D42</f>
        <v>-0.10104295790951262</v>
      </c>
      <c r="E5" s="38">
        <f>CFS!E27/IS!E42</f>
        <v>-0.11229344599679862</v>
      </c>
      <c r="F5" s="41">
        <f>CFS!F27/IS!F42</f>
        <v>-0.12029856013010225</v>
      </c>
      <c r="G5" s="44">
        <f>AVERAGE(C5:F5)</f>
        <v>-9.9650936556623812E-2</v>
      </c>
      <c r="H5" s="44">
        <v>-9.9650936556623798E-2</v>
      </c>
      <c r="I5" s="44">
        <v>-9.9650936556623798E-2</v>
      </c>
      <c r="J5" s="44">
        <v>-9.9650936556623798E-2</v>
      </c>
      <c r="K5" s="44">
        <v>-9.9650936556623798E-2</v>
      </c>
      <c r="L5" s="44">
        <v>-9.9650936556623798E-2</v>
      </c>
      <c r="M5" s="44">
        <v>-9.9650936556623798E-2</v>
      </c>
      <c r="N5" s="44">
        <v>-9.9650936556623798E-2</v>
      </c>
      <c r="O5" s="44">
        <v>-9.9650936556623798E-2</v>
      </c>
      <c r="P5" s="44">
        <v>-9.9650936556623798E-2</v>
      </c>
      <c r="Q5" s="44">
        <v>-9.9650936556623798E-2</v>
      </c>
    </row>
    <row r="6" spans="2:17" ht="15.75" customHeight="1" x14ac:dyDescent="0.25">
      <c r="B6" s="1" t="s">
        <v>108</v>
      </c>
      <c r="C6" s="38">
        <f>CFS!C36/IS!C52</f>
        <v>-0.56619907763259036</v>
      </c>
      <c r="D6" s="38">
        <f>CFS!D36/IS!D52</f>
        <v>-0.81406049935979508</v>
      </c>
      <c r="E6" s="38">
        <f>CFS!E36/IS!E52</f>
        <v>-0.44193051870178196</v>
      </c>
      <c r="F6" s="41">
        <f>CFS!F36/IS!F52</f>
        <v>-0.2608463942249461</v>
      </c>
      <c r="G6" s="44">
        <f>AVERAGE(C6:F6)</f>
        <v>-0.5207591224797784</v>
      </c>
      <c r="H6" s="44">
        <v>-0.52075912247977796</v>
      </c>
      <c r="I6" s="44">
        <v>-0.52075912247977796</v>
      </c>
      <c r="J6" s="44">
        <v>-0.52075912247977796</v>
      </c>
      <c r="K6" s="44">
        <v>-0.52075912247977796</v>
      </c>
      <c r="L6" s="44">
        <v>-0.52075912247977796</v>
      </c>
      <c r="M6" s="44">
        <v>-0.52075912247977796</v>
      </c>
      <c r="N6" s="44">
        <v>-0.52075912247977796</v>
      </c>
      <c r="O6" s="44">
        <v>-0.52075912247977796</v>
      </c>
      <c r="P6" s="44">
        <v>-0.52075912247977796</v>
      </c>
      <c r="Q6" s="44">
        <v>-0.52075912247977796</v>
      </c>
    </row>
    <row r="7" spans="2:17" ht="15.75" customHeight="1" x14ac:dyDescent="0.25">
      <c r="B7" s="1" t="s">
        <v>109</v>
      </c>
      <c r="C7" s="38">
        <f>BS!C29/(BS!C34+BS!C38)</f>
        <v>3.8773686276940875E-2</v>
      </c>
      <c r="D7" s="38">
        <f>BS!D29/(BS!D34+BS!D38)</f>
        <v>0.12992401576136658</v>
      </c>
      <c r="E7" s="38">
        <f>BS!E29/(BS!E34+BS!E38)</f>
        <v>7.9403503871638498E-2</v>
      </c>
      <c r="F7" s="41">
        <f>BS!F29/(BS!F34+BS!F38)</f>
        <v>1.9024679722134952E-2</v>
      </c>
      <c r="G7" s="44">
        <v>0.02</v>
      </c>
      <c r="H7" s="44">
        <v>0.02</v>
      </c>
      <c r="I7" s="44">
        <v>0.02</v>
      </c>
      <c r="J7" s="44">
        <v>0.02</v>
      </c>
      <c r="K7" s="44">
        <v>0.02</v>
      </c>
      <c r="L7" s="44">
        <v>0.02</v>
      </c>
      <c r="M7" s="44">
        <v>0.02</v>
      </c>
      <c r="N7" s="44">
        <v>0.02</v>
      </c>
      <c r="O7" s="44">
        <v>0.02</v>
      </c>
      <c r="P7" s="44">
        <v>0.02</v>
      </c>
      <c r="Q7" s="44">
        <v>0.02</v>
      </c>
    </row>
    <row r="8" spans="2:17" ht="15.75" customHeight="1" x14ac:dyDescent="0.25">
      <c r="B8" s="1" t="s">
        <v>110</v>
      </c>
      <c r="C8" s="38"/>
      <c r="D8" s="38">
        <f>(CFS!D38)/(-CFS!D27+IS!D47)</f>
        <v>0.54623471950109004</v>
      </c>
      <c r="E8" s="38">
        <f>(CFS!E38)/(-CFS!E27+IS!E47)</f>
        <v>1.3692075218267294</v>
      </c>
      <c r="F8" s="41">
        <f>(CFS!F38)/(-CFS!F27+IS!F47)</f>
        <v>1.2247802427794057</v>
      </c>
      <c r="G8" s="42">
        <v>1</v>
      </c>
      <c r="H8" s="42">
        <v>0.8</v>
      </c>
      <c r="I8" s="42">
        <v>0.6</v>
      </c>
      <c r="J8" s="42">
        <v>0.4</v>
      </c>
      <c r="K8" s="42">
        <v>0.2</v>
      </c>
      <c r="L8" s="42">
        <v>0</v>
      </c>
      <c r="M8" s="42">
        <v>0</v>
      </c>
      <c r="N8" s="42">
        <v>0</v>
      </c>
      <c r="O8" s="42">
        <v>0</v>
      </c>
      <c r="P8" s="42">
        <v>0</v>
      </c>
      <c r="Q8" s="42">
        <v>0</v>
      </c>
    </row>
    <row r="9" spans="2:17" ht="15.75" customHeight="1" x14ac:dyDescent="0.25">
      <c r="B9" s="1" t="s">
        <v>111</v>
      </c>
      <c r="C9" s="38">
        <f>CFS!C40/IS!C42</f>
        <v>-5.2555235552565735E-2</v>
      </c>
      <c r="D9" s="38">
        <f>CFS!D40/IS!D42</f>
        <v>-2.1978601633449668E-2</v>
      </c>
      <c r="E9" s="38">
        <f>CFS!E40/IS!E42</f>
        <v>-5.5502889480426365E-2</v>
      </c>
      <c r="F9" s="41">
        <f>CFS!F40/IS!F42</f>
        <v>-6.3025951411103176E-2</v>
      </c>
      <c r="G9" s="44">
        <f>AVERAGE(C9:F9)</f>
        <v>-4.826566951938624E-2</v>
      </c>
      <c r="H9" s="44">
        <v>-4.8265669519386198E-2</v>
      </c>
      <c r="I9" s="44">
        <v>-4.8265669519386198E-2</v>
      </c>
      <c r="J9" s="44">
        <v>-4.8265669519386198E-2</v>
      </c>
      <c r="K9" s="44">
        <v>-4.8265669519386198E-2</v>
      </c>
      <c r="L9" s="44">
        <v>-4.8265669519386198E-2</v>
      </c>
      <c r="M9" s="44">
        <v>-4.8265669519386198E-2</v>
      </c>
      <c r="N9" s="44">
        <v>-4.8265669519386198E-2</v>
      </c>
      <c r="O9" s="44">
        <v>-4.8265669519386198E-2</v>
      </c>
      <c r="P9" s="44">
        <v>-4.8265669519386198E-2</v>
      </c>
      <c r="Q9" s="44">
        <v>-4.8265669519386198E-2</v>
      </c>
    </row>
    <row r="10" spans="2:17" ht="15.75" customHeight="1" x14ac:dyDescent="0.25">
      <c r="B10" s="45" t="s">
        <v>112</v>
      </c>
      <c r="C10" s="1"/>
      <c r="D10" s="1"/>
      <c r="E10" s="1"/>
      <c r="F10" s="46"/>
      <c r="G10" s="47">
        <v>0</v>
      </c>
      <c r="H10" s="47">
        <v>0</v>
      </c>
      <c r="I10" s="47">
        <v>0</v>
      </c>
      <c r="J10" s="47">
        <v>0</v>
      </c>
      <c r="K10" s="47">
        <v>0</v>
      </c>
      <c r="L10" s="47">
        <v>0.05</v>
      </c>
      <c r="M10" s="47">
        <v>0.05</v>
      </c>
      <c r="N10" s="47">
        <v>0.05</v>
      </c>
      <c r="O10" s="47">
        <v>0.05</v>
      </c>
      <c r="P10" s="47">
        <v>0.05</v>
      </c>
      <c r="Q10" s="47">
        <v>0.05</v>
      </c>
    </row>
    <row r="11" spans="2:17" ht="15.75" customHeight="1" x14ac:dyDescent="0.25">
      <c r="B11" s="45" t="s">
        <v>113</v>
      </c>
      <c r="C11" s="1"/>
      <c r="D11" s="1"/>
      <c r="E11" s="1"/>
      <c r="F11" s="46"/>
      <c r="G11" s="48">
        <f>IS!$F$49/(BS!$F$29+BS!$F$35)</f>
        <v>1.3434345810883938E-2</v>
      </c>
      <c r="H11" s="48">
        <f>IS!$F$49/(BS!$F$29+BS!$F$35)</f>
        <v>1.3434345810883938E-2</v>
      </c>
      <c r="I11" s="48">
        <f>IS!$F$49/(BS!$F$29+BS!$F$35)</f>
        <v>1.3434345810883938E-2</v>
      </c>
      <c r="J11" s="48">
        <f>IS!$F$49/(BS!$F$29+BS!$F$35)</f>
        <v>1.3434345810883938E-2</v>
      </c>
      <c r="K11" s="48">
        <f>IS!$F$49/(BS!$F$29+BS!$F$35)</f>
        <v>1.3434345810883938E-2</v>
      </c>
      <c r="L11" s="48">
        <f>IS!$F$49/(BS!$F$29+BS!$F$35)</f>
        <v>1.3434345810883938E-2</v>
      </c>
      <c r="M11" s="48">
        <f>IS!$F$49/(BS!$F$29+BS!$F$35)</f>
        <v>1.3434345810883938E-2</v>
      </c>
      <c r="N11" s="48">
        <f>IS!$F$49/(BS!$F$29+BS!$F$35)</f>
        <v>1.3434345810883938E-2</v>
      </c>
      <c r="O11" s="48">
        <f>IS!$F$49/(BS!$F$29+BS!$F$35)</f>
        <v>1.3434345810883938E-2</v>
      </c>
      <c r="P11" s="48">
        <f>IS!$F$49/(BS!$F$29+BS!$F$35)</f>
        <v>1.3434345810883938E-2</v>
      </c>
      <c r="Q11" s="48">
        <f>IS!$F$49/(BS!$F$29+BS!$F$35)</f>
        <v>1.3434345810883938E-2</v>
      </c>
    </row>
    <row r="12" spans="2:17" ht="15.75" customHeight="1" x14ac:dyDescent="0.25">
      <c r="F12" s="206"/>
    </row>
    <row r="13" spans="2:17" ht="16.5" thickBot="1" x14ac:dyDescent="0.3">
      <c r="B13" s="55" t="s">
        <v>159</v>
      </c>
      <c r="C13" s="56" t="s">
        <v>115</v>
      </c>
      <c r="D13" s="56" t="s">
        <v>116</v>
      </c>
      <c r="E13" s="56" t="s">
        <v>117</v>
      </c>
      <c r="F13" s="57" t="s">
        <v>118</v>
      </c>
      <c r="G13" s="56" t="s">
        <v>119</v>
      </c>
      <c r="H13" s="56" t="s">
        <v>120</v>
      </c>
      <c r="I13" s="56" t="s">
        <v>121</v>
      </c>
      <c r="J13" s="56" t="s">
        <v>122</v>
      </c>
      <c r="K13" s="56" t="s">
        <v>123</v>
      </c>
      <c r="L13" s="56" t="s">
        <v>124</v>
      </c>
      <c r="M13" s="56" t="s">
        <v>125</v>
      </c>
      <c r="N13" s="56" t="s">
        <v>126</v>
      </c>
      <c r="O13" s="56" t="s">
        <v>127</v>
      </c>
      <c r="P13" s="56" t="s">
        <v>128</v>
      </c>
      <c r="Q13" s="56" t="s">
        <v>129</v>
      </c>
    </row>
    <row r="14" spans="2:17" x14ac:dyDescent="0.25">
      <c r="B14" s="58" t="s">
        <v>160</v>
      </c>
      <c r="C14" s="59">
        <v>6244.8</v>
      </c>
      <c r="D14" s="59">
        <v>5240</v>
      </c>
      <c r="E14" s="59">
        <v>10590</v>
      </c>
      <c r="F14" s="60">
        <v>20640</v>
      </c>
      <c r="G14" s="59">
        <f>IS!G52</f>
        <v>20634.746179872462</v>
      </c>
      <c r="H14" s="59">
        <f>IS!H52</f>
        <v>26912.543815561112</v>
      </c>
      <c r="I14" s="59">
        <f>IS!I52</f>
        <v>33788.199467256352</v>
      </c>
      <c r="J14" s="59">
        <f>IS!J52</f>
        <v>40906.709892307292</v>
      </c>
      <c r="K14" s="59">
        <f>IS!K52</f>
        <v>47326.418017348406</v>
      </c>
      <c r="L14" s="59">
        <f>IS!L52</f>
        <v>52248.421001468632</v>
      </c>
      <c r="M14" s="59">
        <f>IS!M52</f>
        <v>54973.220771859145</v>
      </c>
      <c r="N14" s="59">
        <f>IS!N52</f>
        <v>57852.77223501679</v>
      </c>
      <c r="O14" s="59">
        <f>IS!O52</f>
        <v>60861.660141676162</v>
      </c>
      <c r="P14" s="59">
        <f>IS!P52</f>
        <v>64017.993109102012</v>
      </c>
      <c r="Q14" s="59">
        <f>IS!Q52</f>
        <v>67332.78159988788</v>
      </c>
    </row>
    <row r="15" spans="2:17" x14ac:dyDescent="0.25">
      <c r="B15" s="58" t="s">
        <v>161</v>
      </c>
      <c r="C15" s="59">
        <v>1522.5</v>
      </c>
      <c r="D15" s="59">
        <v>1527</v>
      </c>
      <c r="E15" s="59">
        <v>1767</v>
      </c>
      <c r="F15" s="60">
        <v>1997</v>
      </c>
      <c r="G15" s="59">
        <f>IS!G$42*CFS!G3</f>
        <v>3679.7531309583919</v>
      </c>
      <c r="H15" s="59">
        <f>IS!H$42*CFS!H3</f>
        <v>4790.719081619266</v>
      </c>
      <c r="I15" s="59">
        <f>IS!I$42*CFS!I3</f>
        <v>6013.8680568646814</v>
      </c>
      <c r="J15" s="59">
        <f>IS!J$42*CFS!J3</f>
        <v>7253.2949868897158</v>
      </c>
      <c r="K15" s="59">
        <f>IS!K$42*CFS!K3</f>
        <v>8377.8918874981064</v>
      </c>
      <c r="L15" s="59">
        <f>IS!L$42*CFS!L3</f>
        <v>9238.5940663286256</v>
      </c>
      <c r="M15" s="59">
        <f>IS!M$42*CFS!M3</f>
        <v>9699.123689759861</v>
      </c>
      <c r="N15" s="59">
        <f>IS!N$42*CFS!N3</f>
        <v>10183.101432780335</v>
      </c>
      <c r="O15" s="59">
        <f>IS!O$42*CFS!O3</f>
        <v>10691.722759546756</v>
      </c>
      <c r="P15" s="59">
        <f>IS!P$42*CFS!P3</f>
        <v>11226.244965535769</v>
      </c>
      <c r="Q15" s="59">
        <f>IS!Q$42*CFS!Q3</f>
        <v>11787.990429489759</v>
      </c>
    </row>
    <row r="16" spans="2:17" x14ac:dyDescent="0.25">
      <c r="B16" s="58" t="s">
        <v>162</v>
      </c>
      <c r="C16" s="59">
        <v>-2185.1999999999998</v>
      </c>
      <c r="D16" s="59">
        <v>-2341</v>
      </c>
      <c r="E16" s="59">
        <v>-2683</v>
      </c>
      <c r="F16" s="60">
        <v>-1707</v>
      </c>
      <c r="G16" s="59">
        <f>AVERAGE($D$16:$F$16)</f>
        <v>-2243.6666666666665</v>
      </c>
      <c r="H16" s="59">
        <f>AVERAGE($D$16:$F$16)</f>
        <v>-2243.6666666666665</v>
      </c>
      <c r="I16" s="59">
        <f>AVERAGE($D$16:$F$16)</f>
        <v>-2243.6666666666665</v>
      </c>
      <c r="J16" s="59">
        <f>AVERAGE($D$16:$F$16)</f>
        <v>-2243.6666666666665</v>
      </c>
      <c r="K16" s="59">
        <f>AVERAGE($D$16:$F$16)</f>
        <v>-2243.6666666666665</v>
      </c>
      <c r="L16" s="59">
        <f>AVERAGE($D$16:$F$16)</f>
        <v>-2243.6666666666665</v>
      </c>
      <c r="M16" s="59">
        <f>AVERAGE($D$16:$F$16)</f>
        <v>-2243.6666666666665</v>
      </c>
      <c r="N16" s="59">
        <f>AVERAGE($D$16:$F$16)</f>
        <v>-2243.6666666666665</v>
      </c>
      <c r="O16" s="59">
        <f>AVERAGE($D$16:$F$16)</f>
        <v>-2243.6666666666665</v>
      </c>
      <c r="P16" s="59">
        <f>AVERAGE($D$16:$F$16)</f>
        <v>-2243.6666666666665</v>
      </c>
      <c r="Q16" s="59">
        <f>AVERAGE($D$16:$F$16)</f>
        <v>-2243.6666666666665</v>
      </c>
    </row>
    <row r="17" spans="2:17" x14ac:dyDescent="0.25">
      <c r="B17" s="58" t="s">
        <v>163</v>
      </c>
      <c r="C17" s="59">
        <v>371.1</v>
      </c>
      <c r="D17" s="59">
        <v>629</v>
      </c>
      <c r="E17" s="59">
        <v>646</v>
      </c>
      <c r="F17" s="60">
        <v>626</v>
      </c>
      <c r="G17" s="59">
        <f>IS!G$42*CFS!G4</f>
        <v>1213.3175315862877</v>
      </c>
      <c r="H17" s="59">
        <f>IS!H$42*CFS!H4</f>
        <v>1579.634079724181</v>
      </c>
      <c r="I17" s="59">
        <f>IS!I$42*CFS!I4</f>
        <v>1982.9405088760038</v>
      </c>
      <c r="J17" s="59">
        <f>IS!J$42*CFS!J4</f>
        <v>2391.6142350202035</v>
      </c>
      <c r="K17" s="59">
        <f>IS!K$42*CFS!K4</f>
        <v>2762.4252886194386</v>
      </c>
      <c r="L17" s="59">
        <f>IS!L$42*CFS!L4</f>
        <v>3046.2228711973762</v>
      </c>
      <c r="M17" s="59">
        <f>IS!M$42*CFS!M4</f>
        <v>3198.0723692582474</v>
      </c>
      <c r="N17" s="59">
        <f>IS!N$42*CFS!N4</f>
        <v>3357.6533682018817</v>
      </c>
      <c r="O17" s="59">
        <f>IS!O$42*CFS!O4</f>
        <v>3525.3600459984027</v>
      </c>
      <c r="P17" s="59">
        <f>IS!P$42*CFS!P4</f>
        <v>3701.6069681335662</v>
      </c>
      <c r="Q17" s="59">
        <f>IS!Q$42*CFS!Q4</f>
        <v>3886.8301598662506</v>
      </c>
    </row>
    <row r="18" spans="2:17" x14ac:dyDescent="0.25">
      <c r="B18" s="58" t="s">
        <v>164</v>
      </c>
      <c r="C18" s="59">
        <v>0</v>
      </c>
      <c r="D18" s="59">
        <v>-1879</v>
      </c>
      <c r="E18" s="59">
        <v>-224</v>
      </c>
      <c r="F18" s="60">
        <v>-180</v>
      </c>
      <c r="G18" s="59">
        <v>0</v>
      </c>
      <c r="H18" s="59">
        <v>0</v>
      </c>
      <c r="I18" s="59">
        <v>0</v>
      </c>
      <c r="J18" s="59">
        <v>0</v>
      </c>
      <c r="K18" s="59">
        <v>0</v>
      </c>
      <c r="L18" s="59">
        <v>0</v>
      </c>
      <c r="M18" s="59">
        <v>0</v>
      </c>
      <c r="N18" s="59">
        <v>0</v>
      </c>
      <c r="O18" s="59">
        <v>0</v>
      </c>
      <c r="P18" s="59">
        <v>0</v>
      </c>
      <c r="Q18" s="59">
        <v>0</v>
      </c>
    </row>
    <row r="19" spans="2:17" x14ac:dyDescent="0.25">
      <c r="B19" s="58" t="s">
        <v>165</v>
      </c>
      <c r="C19" s="59">
        <v>420.9</v>
      </c>
      <c r="D19" s="59">
        <v>3800</v>
      </c>
      <c r="E19" s="59">
        <v>3280</v>
      </c>
      <c r="F19" s="60">
        <v>2910</v>
      </c>
      <c r="G19" s="59">
        <f>IS!G47</f>
        <v>5711.5180372693967</v>
      </c>
      <c r="H19" s="59">
        <f>IS!H47</f>
        <v>7435.9005814698839</v>
      </c>
      <c r="I19" s="59">
        <f>IS!I47</f>
        <v>9334.4076784832796</v>
      </c>
      <c r="J19" s="59">
        <f>IS!J47</f>
        <v>11258.180555298984</v>
      </c>
      <c r="K19" s="59">
        <f>IS!K47</f>
        <v>13003.720338509705</v>
      </c>
      <c r="L19" s="59">
        <f>IS!L47</f>
        <v>14339.656702759019</v>
      </c>
      <c r="M19" s="59">
        <f>IS!M47</f>
        <v>15054.466408006643</v>
      </c>
      <c r="N19" s="59">
        <f>IS!N47</f>
        <v>15805.671043350869</v>
      </c>
      <c r="O19" s="59">
        <f>IS!O47</f>
        <v>16595.12614497876</v>
      </c>
      <c r="P19" s="59">
        <f>IS!P47</f>
        <v>17424.783220379395</v>
      </c>
      <c r="Q19" s="59">
        <f>IS!Q47</f>
        <v>18296.694795842028</v>
      </c>
    </row>
    <row r="20" spans="2:17" x14ac:dyDescent="0.25">
      <c r="B20" s="58" t="s">
        <v>166</v>
      </c>
      <c r="C20" s="59">
        <v>304.8</v>
      </c>
      <c r="D20" s="59">
        <v>319</v>
      </c>
      <c r="E20" s="59">
        <v>826</v>
      </c>
      <c r="F20" s="60">
        <v>620</v>
      </c>
      <c r="G20" s="59">
        <v>0</v>
      </c>
      <c r="H20" s="59">
        <v>0</v>
      </c>
      <c r="I20" s="59">
        <v>0</v>
      </c>
      <c r="J20" s="59">
        <v>0</v>
      </c>
      <c r="K20" s="59">
        <v>0</v>
      </c>
      <c r="L20" s="59">
        <v>0</v>
      </c>
      <c r="M20" s="59">
        <v>0</v>
      </c>
      <c r="N20" s="59">
        <v>0</v>
      </c>
      <c r="O20" s="59">
        <v>0</v>
      </c>
      <c r="P20" s="59">
        <v>0</v>
      </c>
      <c r="Q20" s="59">
        <v>0</v>
      </c>
    </row>
    <row r="21" spans="2:17" x14ac:dyDescent="0.25">
      <c r="B21" s="58" t="s">
        <v>167</v>
      </c>
      <c r="C21" s="59">
        <v>-299.60000000000002</v>
      </c>
      <c r="D21" s="59">
        <v>-2451</v>
      </c>
      <c r="E21" s="59">
        <v>-2155</v>
      </c>
      <c r="F21" s="60">
        <v>-7000</v>
      </c>
      <c r="G21" s="59">
        <f>-(BS!G15+BS!G16-BS!F15-BS!F16)</f>
        <v>-6943.4735224725518</v>
      </c>
      <c r="H21" s="59">
        <f>-(BS!H15+BS!H16-BS!G15-BS!G16)</f>
        <v>-8181.3861764447574</v>
      </c>
      <c r="I21" s="59">
        <f>-(BS!I15+BS!I16-BS!H15-BS!H16)</f>
        <v>-9007.5254888347899</v>
      </c>
      <c r="J21" s="59">
        <f>-(BS!J15+BS!J16-BS!I15-BS!I16)</f>
        <v>-9127.3997605310051</v>
      </c>
      <c r="K21" s="59">
        <f>-(BS!K15+BS!K16-BS!J15-BS!J16)</f>
        <v>-8281.7673496085863</v>
      </c>
      <c r="L21" s="59">
        <f>-(BS!L15+BS!L16-BS!K15-BS!K16)</f>
        <v>-6338.3912924883125</v>
      </c>
      <c r="M21" s="59">
        <f>-(BS!M15+BS!M16-BS!L15-BS!L16)</f>
        <v>-3391.4366977154395</v>
      </c>
      <c r="N21" s="59">
        <f>-(BS!N15+BS!N16-BS!M15-BS!M16)</f>
        <v>-3564.1135663061377</v>
      </c>
      <c r="O21" s="59">
        <f>-(BS!O15+BS!O16-BS!N15-BS!N16)</f>
        <v>-3745.5940835778256</v>
      </c>
      <c r="P21" s="59">
        <f>-(BS!P15+BS!P16-BS!O15-BS!O16)</f>
        <v>-3936.3335883335039</v>
      </c>
      <c r="Q21" s="59">
        <f>-(BS!Q15+BS!Q16-BS!P15-BS!P16)</f>
        <v>-4136.8113673869047</v>
      </c>
    </row>
    <row r="22" spans="2:17" x14ac:dyDescent="0.25">
      <c r="B22" s="58" t="s">
        <v>168</v>
      </c>
      <c r="C22" s="59">
        <v>-599.70000000000005</v>
      </c>
      <c r="D22" s="59">
        <v>-1425</v>
      </c>
      <c r="E22" s="59">
        <v>-2507</v>
      </c>
      <c r="F22" s="60">
        <v>-4671</v>
      </c>
      <c r="G22" s="59">
        <f>-(BS!G17-BS!F17)</f>
        <v>-7532.4675288413091</v>
      </c>
      <c r="H22" s="59">
        <f>-(BS!H17-BS!G17)</f>
        <v>-6423.645862549507</v>
      </c>
      <c r="I22" s="59">
        <f>-(BS!I17-BS!H17)</f>
        <v>-7072.2922241162923</v>
      </c>
      <c r="J22" s="59">
        <f>-(BS!J17-BS!I17)</f>
        <v>-7166.4119555163998</v>
      </c>
      <c r="K22" s="59">
        <f>-(BS!K17-BS!J17)</f>
        <v>-6502.4605149525669</v>
      </c>
      <c r="L22" s="59">
        <f>-(BS!L17-BS!K17)</f>
        <v>-4976.6115573956849</v>
      </c>
      <c r="M22" s="59">
        <f>-(BS!M17-BS!L17)</f>
        <v>-2662.7991689356058</v>
      </c>
      <c r="N22" s="59">
        <f>-(BS!N17-BS!M17)</f>
        <v>-2798.377056173631</v>
      </c>
      <c r="O22" s="59">
        <f>-(BS!O17-BS!N17)</f>
        <v>-2940.8671609998564</v>
      </c>
      <c r="P22" s="59">
        <f>-(BS!P17-BS!O17)</f>
        <v>-3090.6269943733496</v>
      </c>
      <c r="Q22" s="59">
        <f>-(BS!Q17-BS!P17)</f>
        <v>-3248.0328701230246</v>
      </c>
    </row>
    <row r="23" spans="2:17" x14ac:dyDescent="0.25">
      <c r="B23" s="58" t="s">
        <v>169</v>
      </c>
      <c r="C23" s="59">
        <v>-793.5</v>
      </c>
      <c r="D23" s="59">
        <v>-3453</v>
      </c>
      <c r="E23" s="59">
        <v>-3331</v>
      </c>
      <c r="F23" s="60">
        <v>-6609</v>
      </c>
      <c r="G23" s="59">
        <f>-(BS!G18+BS!G19-BS!F18-BS!F19)</f>
        <v>-4982.2135490944202</v>
      </c>
      <c r="H23" s="59">
        <f>-(BS!H18+BS!H19-BS!G18-BS!G19)</f>
        <v>-5870.4642462785469</v>
      </c>
      <c r="I23" s="59">
        <f>-(BS!I18+BS!I19-BS!H18-BS!H19)</f>
        <v>-6463.2514819910057</v>
      </c>
      <c r="J23" s="59">
        <f>-(BS!J18+BS!J19-BS!I18-BS!I19)</f>
        <v>-6549.2659556834251</v>
      </c>
      <c r="K23" s="59">
        <f>-(BS!K18+BS!K19-BS!J18-BS!J19)</f>
        <v>-5942.4916601359155</v>
      </c>
      <c r="L23" s="59">
        <f>-(BS!L18+BS!L19-BS!K18-BS!K19)</f>
        <v>-4548.0434071925574</v>
      </c>
      <c r="M23" s="59">
        <f>-(BS!M18+BS!M19-BS!L18-BS!L19)</f>
        <v>-2433.4883414716369</v>
      </c>
      <c r="N23" s="59">
        <f>-(BS!N18+BS!N19-BS!M18-BS!M19)</f>
        <v>-2557.3907415489689</v>
      </c>
      <c r="O23" s="59">
        <f>-(BS!O18+BS!O19-BS!N18-BS!N19)</f>
        <v>-2687.6101035327438</v>
      </c>
      <c r="P23" s="59">
        <f>-(BS!P18+BS!P19-BS!O18-BS!O19)</f>
        <v>-2824.4731508052191</v>
      </c>
      <c r="Q23" s="59">
        <f>-(BS!Q18+BS!Q19-BS!P18-BS!P19)</f>
        <v>-2968.3237903820213</v>
      </c>
    </row>
    <row r="24" spans="2:17" x14ac:dyDescent="0.25">
      <c r="B24" s="58" t="s">
        <v>170</v>
      </c>
      <c r="C24" s="59">
        <v>1678.3</v>
      </c>
      <c r="D24" s="59">
        <v>4274</v>
      </c>
      <c r="E24" s="59">
        <v>2609</v>
      </c>
      <c r="F24" s="60">
        <v>10187</v>
      </c>
      <c r="G24" s="59">
        <f>(BS!G30+BS!G31+BS!G32+BS!G33+BS!G36+BS!G37)-(BS!F30+BS!F31+BS!F32+BS!F33+BS!F36+BS!F37)</f>
        <v>12667.817112057819</v>
      </c>
      <c r="H24" s="59">
        <f>(BS!H30+BS!H31+BS!H32+BS!H33+BS!H36+BS!H37)-(BS!G30+BS!G31+BS!G32+BS!G33+BS!G36+BS!G37)</f>
        <v>13966.750168335522</v>
      </c>
      <c r="I24" s="59">
        <f>(BS!I30+BS!I31+BS!I32+BS!I33+BS!I36+BS!I37)-(BS!H30+BS!H31+BS!H32+BS!H33+BS!H36+BS!H37)</f>
        <v>15377.083470241341</v>
      </c>
      <c r="J24" s="59">
        <f>(BS!J30+BS!J31+BS!J32+BS!J33+BS!J36+BS!J37)-(BS!I30+BS!I31+BS!I32+BS!I33+BS!I36+BS!I37)</f>
        <v>15581.725320446712</v>
      </c>
      <c r="K24" s="59">
        <f>(BS!K30+BS!K31+BS!K32+BS!K33+BS!K36+BS!K37)-(BS!J30+BS!J31+BS!J32+BS!J33+BS!J36+BS!J37)</f>
        <v>14138.114621369154</v>
      </c>
      <c r="L24" s="59">
        <f>(BS!L30+BS!L31+BS!L32+BS!L33+BS!L36+BS!L37)-(BS!K30+BS!K31+BS!K32+BS!K33+BS!K36+BS!K37)</f>
        <v>10820.504709362969</v>
      </c>
      <c r="M24" s="59">
        <f>(BS!M30+BS!M31+BS!M32+BS!M33+BS!M36+BS!M37)-(BS!L30+BS!L31+BS!L32+BS!L33+BS!L36+BS!L37)</f>
        <v>5789.6483611900621</v>
      </c>
      <c r="N24" s="59">
        <f>(BS!N30+BS!N31+BS!N32+BS!N33+BS!N36+BS!N37)-(BS!M30+BS!M31+BS!M32+BS!M33+BS!M36+BS!M37)</f>
        <v>6084.4314983558143</v>
      </c>
      <c r="O24" s="59">
        <f>(BS!O30+BS!O31+BS!O32+BS!O33+BS!O36+BS!O37)-(BS!N30+BS!N31+BS!N32+BS!N33+BS!N36+BS!N37)</f>
        <v>6394.2436732720234</v>
      </c>
      <c r="P24" s="59">
        <f>(BS!P30+BS!P31+BS!P32+BS!P33+BS!P36+BS!P37)-(BS!O30+BS!O31+BS!O32+BS!O33+BS!O36+BS!O37)</f>
        <v>6719.8622118302737</v>
      </c>
      <c r="Q24" s="59">
        <f>(BS!Q30+BS!Q31+BS!Q32+BS!Q33+BS!Q36+BS!Q37)-(BS!P30+BS!P31+BS!P32+BS!P33+BS!P36+BS!P37)</f>
        <v>7062.1053224664065</v>
      </c>
    </row>
    <row r="25" spans="2:17" x14ac:dyDescent="0.25">
      <c r="B25" s="61" t="s">
        <v>171</v>
      </c>
      <c r="C25" s="59">
        <v>7084.4</v>
      </c>
      <c r="D25" s="62">
        <v>4240</v>
      </c>
      <c r="E25" s="62">
        <v>8818</v>
      </c>
      <c r="F25" s="63">
        <v>16813</v>
      </c>
      <c r="G25" s="62">
        <f>SUM(G14:G24)</f>
        <v>22205.330724669409</v>
      </c>
      <c r="H25" s="62">
        <f>SUM(H14:H24)</f>
        <v>31966.384774770486</v>
      </c>
      <c r="I25" s="62">
        <f>SUM(I14:I24)</f>
        <v>41709.763320112899</v>
      </c>
      <c r="J25" s="62">
        <f>SUM(J14:J24)</f>
        <v>52304.780651565408</v>
      </c>
      <c r="K25" s="62">
        <f>SUM(K14:K24)</f>
        <v>62638.183961981078</v>
      </c>
      <c r="L25" s="62">
        <f>SUM(L14:L24)</f>
        <v>71586.686427373381</v>
      </c>
      <c r="M25" s="62">
        <f>SUM(M14:M24)</f>
        <v>77983.140725284611</v>
      </c>
      <c r="N25" s="62">
        <f>SUM(N14:N24)</f>
        <v>82120.081547010283</v>
      </c>
      <c r="O25" s="62">
        <f>SUM(O14:O24)</f>
        <v>86450.374750694988</v>
      </c>
      <c r="P25" s="62">
        <f>SUM(P14:P24)</f>
        <v>90995.390074802257</v>
      </c>
      <c r="Q25" s="62">
        <f>SUM(Q14:Q24)</f>
        <v>95769.567612993691</v>
      </c>
    </row>
    <row r="26" spans="2:17" x14ac:dyDescent="0.25">
      <c r="B26" s="1"/>
      <c r="C26" s="1"/>
      <c r="D26" s="1"/>
      <c r="E26" s="1"/>
      <c r="F26" s="46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2:17" x14ac:dyDescent="0.25">
      <c r="B27" s="58" t="s">
        <v>172</v>
      </c>
      <c r="C27" s="59">
        <v>-1854.3</v>
      </c>
      <c r="D27" s="59">
        <v>-3448</v>
      </c>
      <c r="E27" s="59">
        <v>-5058</v>
      </c>
      <c r="F27" s="60">
        <v>-7841</v>
      </c>
      <c r="G27" s="59">
        <f>IS!G$42*CFS!G5</f>
        <v>-8732.818505021467</v>
      </c>
      <c r="H27" s="59">
        <f>IS!H$42*CFS!H5</f>
        <v>-11369.371465804794</v>
      </c>
      <c r="I27" s="59">
        <f>IS!I$42*CFS!I5</f>
        <v>-14272.158045577118</v>
      </c>
      <c r="J27" s="59">
        <f>IS!J$42*CFS!J5</f>
        <v>-17213.575593151985</v>
      </c>
      <c r="K27" s="59">
        <f>IS!K$42*CFS!K5</f>
        <v>-19882.477629459212</v>
      </c>
      <c r="L27" s="59">
        <f>IS!L$42*CFS!L5</f>
        <v>-21925.102677147075</v>
      </c>
      <c r="M27" s="59">
        <f>IS!M$42*CFS!M5</f>
        <v>-23018.035130624849</v>
      </c>
      <c r="N27" s="59">
        <f>IS!N$42*CFS!N5</f>
        <v>-24166.614842320596</v>
      </c>
      <c r="O27" s="59">
        <f>IS!O$42*CFS!O5</f>
        <v>-25373.678896989266</v>
      </c>
      <c r="P27" s="59">
        <f>IS!P$42*CFS!P5</f>
        <v>-26642.211117951058</v>
      </c>
      <c r="Q27" s="59">
        <f>IS!Q$42*CFS!Q5</f>
        <v>-27975.34978463428</v>
      </c>
    </row>
    <row r="28" spans="2:17" x14ac:dyDescent="0.25">
      <c r="B28" s="58" t="s">
        <v>173</v>
      </c>
      <c r="C28" s="59">
        <v>342.2</v>
      </c>
      <c r="D28" s="59">
        <v>508</v>
      </c>
      <c r="E28" s="59">
        <v>374</v>
      </c>
      <c r="F28" s="60">
        <v>964</v>
      </c>
      <c r="G28" s="59">
        <v>0</v>
      </c>
      <c r="H28" s="59">
        <v>0</v>
      </c>
      <c r="I28" s="59">
        <v>0</v>
      </c>
      <c r="J28" s="59">
        <v>0</v>
      </c>
      <c r="K28" s="59">
        <v>0</v>
      </c>
      <c r="L28" s="59">
        <v>0</v>
      </c>
      <c r="M28" s="59">
        <v>0</v>
      </c>
      <c r="N28" s="59">
        <v>0</v>
      </c>
      <c r="O28" s="59">
        <v>0</v>
      </c>
      <c r="P28" s="59">
        <v>0</v>
      </c>
      <c r="Q28" s="59">
        <v>0</v>
      </c>
    </row>
    <row r="29" spans="2:17" x14ac:dyDescent="0.25">
      <c r="B29" s="58" t="s">
        <v>174</v>
      </c>
      <c r="C29" s="59">
        <v>-600.20000000000005</v>
      </c>
      <c r="D29" s="59">
        <v>-731</v>
      </c>
      <c r="E29" s="59">
        <v>-677</v>
      </c>
      <c r="F29" s="60">
        <v>-645</v>
      </c>
      <c r="G29" s="59">
        <v>0</v>
      </c>
      <c r="H29" s="59">
        <v>0</v>
      </c>
      <c r="I29" s="59">
        <v>0</v>
      </c>
      <c r="J29" s="59">
        <v>0</v>
      </c>
      <c r="K29" s="59">
        <v>0</v>
      </c>
      <c r="L29" s="59">
        <v>0</v>
      </c>
      <c r="M29" s="59">
        <v>0</v>
      </c>
      <c r="N29" s="59">
        <v>0</v>
      </c>
      <c r="O29" s="59">
        <v>0</v>
      </c>
      <c r="P29" s="59">
        <v>0</v>
      </c>
      <c r="Q29" s="59">
        <v>0</v>
      </c>
    </row>
    <row r="30" spans="2:17" x14ac:dyDescent="0.25">
      <c r="B30" s="58" t="s">
        <v>175</v>
      </c>
      <c r="C30" s="59">
        <v>0</v>
      </c>
      <c r="D30" s="59">
        <v>1604</v>
      </c>
      <c r="E30" s="59">
        <v>601</v>
      </c>
      <c r="F30" s="60">
        <v>218</v>
      </c>
      <c r="G30" s="59">
        <v>0</v>
      </c>
      <c r="H30" s="59">
        <v>0</v>
      </c>
      <c r="I30" s="59">
        <v>0</v>
      </c>
      <c r="J30" s="59">
        <v>0</v>
      </c>
      <c r="K30" s="59">
        <v>0</v>
      </c>
      <c r="L30" s="59">
        <v>0</v>
      </c>
      <c r="M30" s="59">
        <v>0</v>
      </c>
      <c r="N30" s="59">
        <v>0</v>
      </c>
      <c r="O30" s="59">
        <v>0</v>
      </c>
      <c r="P30" s="59">
        <v>0</v>
      </c>
      <c r="Q30" s="59">
        <v>0</v>
      </c>
    </row>
    <row r="31" spans="2:17" x14ac:dyDescent="0.25">
      <c r="B31" s="58" t="s">
        <v>176</v>
      </c>
      <c r="C31" s="59">
        <v>-629.70000000000005</v>
      </c>
      <c r="D31" s="59">
        <v>-3944</v>
      </c>
      <c r="E31" s="59">
        <v>-3346</v>
      </c>
      <c r="F31" s="60">
        <v>-3008</v>
      </c>
      <c r="G31" s="59">
        <f>-G19</f>
        <v>-5711.5180372693967</v>
      </c>
      <c r="H31" s="59">
        <f>-H19</f>
        <v>-7435.9005814698839</v>
      </c>
      <c r="I31" s="59">
        <f>-I19</f>
        <v>-9334.4076784832796</v>
      </c>
      <c r="J31" s="59">
        <f>-J19</f>
        <v>-11258.180555298984</v>
      </c>
      <c r="K31" s="59">
        <f>-K19</f>
        <v>-13003.720338509705</v>
      </c>
      <c r="L31" s="59">
        <f>-L19</f>
        <v>-14339.656702759019</v>
      </c>
      <c r="M31" s="59">
        <f>-M19</f>
        <v>-15054.466408006643</v>
      </c>
      <c r="N31" s="59">
        <f>-N19</f>
        <v>-15805.671043350869</v>
      </c>
      <c r="O31" s="59">
        <f>-O19</f>
        <v>-16595.12614497876</v>
      </c>
      <c r="P31" s="59">
        <f>-P19</f>
        <v>-17424.783220379395</v>
      </c>
      <c r="Q31" s="59">
        <f>-Q19</f>
        <v>-18296.694795842028</v>
      </c>
    </row>
    <row r="32" spans="2:17" x14ac:dyDescent="0.25">
      <c r="B32" s="58" t="s">
        <v>177</v>
      </c>
      <c r="C32" s="59">
        <v>-327.2</v>
      </c>
      <c r="D32" s="59">
        <v>-1044</v>
      </c>
      <c r="E32" s="59">
        <v>-948</v>
      </c>
      <c r="F32" s="60">
        <v>-661</v>
      </c>
      <c r="G32" s="59">
        <v>0</v>
      </c>
      <c r="H32" s="59">
        <v>0</v>
      </c>
      <c r="I32" s="59">
        <v>0</v>
      </c>
      <c r="J32" s="59">
        <v>0</v>
      </c>
      <c r="K32" s="59">
        <v>0</v>
      </c>
      <c r="L32" s="59">
        <v>0</v>
      </c>
      <c r="M32" s="59">
        <v>0</v>
      </c>
      <c r="N32" s="59">
        <v>0</v>
      </c>
      <c r="O32" s="59">
        <v>0</v>
      </c>
      <c r="P32" s="59">
        <v>0</v>
      </c>
      <c r="Q32" s="59">
        <v>0</v>
      </c>
    </row>
    <row r="33" spans="2:17" x14ac:dyDescent="0.25">
      <c r="B33" s="58" t="s">
        <v>178</v>
      </c>
      <c r="C33" s="59">
        <v>-206.4</v>
      </c>
      <c r="D33" s="59">
        <v>-98</v>
      </c>
      <c r="E33" s="59">
        <v>-248</v>
      </c>
      <c r="F33" s="60">
        <v>1</v>
      </c>
      <c r="G33" s="59">
        <v>0</v>
      </c>
      <c r="H33" s="59">
        <v>0</v>
      </c>
      <c r="I33" s="59">
        <v>0</v>
      </c>
      <c r="J33" s="59">
        <v>0</v>
      </c>
      <c r="K33" s="59">
        <v>0</v>
      </c>
      <c r="L33" s="59">
        <v>0</v>
      </c>
      <c r="M33" s="59">
        <v>0</v>
      </c>
      <c r="N33" s="59">
        <v>0</v>
      </c>
      <c r="O33" s="59">
        <v>0</v>
      </c>
      <c r="P33" s="59">
        <v>0</v>
      </c>
      <c r="Q33" s="59">
        <v>0</v>
      </c>
    </row>
    <row r="34" spans="2:17" x14ac:dyDescent="0.25">
      <c r="B34" s="61" t="s">
        <v>179</v>
      </c>
      <c r="C34" s="62">
        <v>-3261.6</v>
      </c>
      <c r="D34" s="62">
        <v>-7153</v>
      </c>
      <c r="E34" s="62">
        <v>-9302</v>
      </c>
      <c r="F34" s="63">
        <v>-10972</v>
      </c>
      <c r="G34" s="62">
        <f>SUM(G27:G33)</f>
        <v>-14444.336542290865</v>
      </c>
      <c r="H34" s="62">
        <f>SUM(H27:H33)</f>
        <v>-18805.272047274677</v>
      </c>
      <c r="I34" s="62">
        <f>SUM(I27:I33)</f>
        <v>-23606.565724060398</v>
      </c>
      <c r="J34" s="62">
        <f>SUM(J27:J33)</f>
        <v>-28471.756148450972</v>
      </c>
      <c r="K34" s="62">
        <f>SUM(K27:K33)</f>
        <v>-32886.197967968918</v>
      </c>
      <c r="L34" s="62">
        <f>SUM(L27:L33)</f>
        <v>-36264.759379906092</v>
      </c>
      <c r="M34" s="62">
        <f>SUM(M27:M33)</f>
        <v>-38072.501538631492</v>
      </c>
      <c r="N34" s="62">
        <f>SUM(N27:N33)</f>
        <v>-39972.285885671467</v>
      </c>
      <c r="O34" s="62">
        <f>SUM(O27:O33)</f>
        <v>-41968.805041968022</v>
      </c>
      <c r="P34" s="62">
        <f>SUM(P27:P33)</f>
        <v>-44066.994338330449</v>
      </c>
      <c r="Q34" s="62">
        <f>SUM(Q27:Q33)</f>
        <v>-46272.044580476308</v>
      </c>
    </row>
    <row r="35" spans="2:17" x14ac:dyDescent="0.25">
      <c r="B35" s="1"/>
      <c r="C35" s="1"/>
      <c r="D35" s="1"/>
      <c r="E35" s="1"/>
      <c r="F35" s="46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2:17" x14ac:dyDescent="0.25">
      <c r="B36" s="58" t="s">
        <v>180</v>
      </c>
      <c r="C36" s="59">
        <v>-3535.8</v>
      </c>
      <c r="D36" s="59">
        <v>-4069</v>
      </c>
      <c r="E36" s="59">
        <v>-4680</v>
      </c>
      <c r="F36" s="60">
        <v>-5384</v>
      </c>
      <c r="G36" s="59">
        <f>IS!G$52*CFS!G6</f>
        <v>-10745.732313223343</v>
      </c>
      <c r="H36" s="59">
        <f>IS!H$52*CFS!H6</f>
        <v>-14014.95270109018</v>
      </c>
      <c r="I36" s="59">
        <f>IS!I$52*CFS!I6</f>
        <v>-17595.513104740119</v>
      </c>
      <c r="J36" s="59">
        <f>IS!J$52*CFS!J6</f>
        <v>-21302.542347052797</v>
      </c>
      <c r="K36" s="59">
        <f>IS!K$52*CFS!K6</f>
        <v>-24645.66391682551</v>
      </c>
      <c r="L36" s="59">
        <f>IS!L$52*CFS!L6</f>
        <v>-27208.841871678807</v>
      </c>
      <c r="M36" s="59">
        <f>IS!M$52*CFS!M6</f>
        <v>-28627.806209040471</v>
      </c>
      <c r="N36" s="59">
        <f>IS!N$52*CFS!N6</f>
        <v>-30127.358902129807</v>
      </c>
      <c r="O36" s="59">
        <f>IS!O$52*CFS!O6</f>
        <v>-31694.264728041759</v>
      </c>
      <c r="P36" s="59">
        <f>IS!P$52*CFS!P6</f>
        <v>-33337.953914412436</v>
      </c>
      <c r="Q36" s="59">
        <f>IS!Q$52*CFS!Q6</f>
        <v>-35064.160260080149</v>
      </c>
    </row>
    <row r="37" spans="2:17" x14ac:dyDescent="0.25">
      <c r="B37" s="58" t="s">
        <v>181</v>
      </c>
      <c r="C37" s="59">
        <v>1498</v>
      </c>
      <c r="D37" s="59">
        <v>4691</v>
      </c>
      <c r="E37" s="59">
        <v>-1852</v>
      </c>
      <c r="F37" s="60">
        <v>-4338</v>
      </c>
      <c r="G37" s="69">
        <f>(BS!F34+BS!F38)*CFS!G7-BS!F29</f>
        <v>83.819999999999936</v>
      </c>
      <c r="H37" s="59">
        <f>(BS!G34+BS!G38)*CFS!H7-BS!G29</f>
        <v>543.91947308697422</v>
      </c>
      <c r="I37" s="59">
        <f>(BS!H34+BS!H38)*CFS!I7-BS!H29</f>
        <v>591.09774558484423</v>
      </c>
      <c r="J37" s="59">
        <f>(BS!I34+BS!I38)*CFS!J7-BS!I29</f>
        <v>602.64241300524918</v>
      </c>
      <c r="K37" s="59">
        <f>(BS!J34+BS!J38)*CFS!K7-BS!J29</f>
        <v>551.46140385664648</v>
      </c>
      <c r="L37" s="59">
        <f>(BS!K34+BS!K38)*CFS!L7-BS!K29</f>
        <v>425.33631237639202</v>
      </c>
      <c r="M37" s="59">
        <f>(BS!L34+BS!L38)*CFS!M7-BS!L29</f>
        <v>122.43038476726542</v>
      </c>
      <c r="N37" s="59">
        <f>(BS!M34+BS!M38)*CFS!N7-BS!M29</f>
        <v>20.879461035001441</v>
      </c>
      <c r="O37" s="59">
        <f>(BS!N34+BS!N38)*CFS!O7-BS!N29</f>
        <v>29.612210997879629</v>
      </c>
      <c r="P37" s="59">
        <f>(BS!O34+BS!O38)*CFS!P7-BS!O29</f>
        <v>40.607809904956412</v>
      </c>
      <c r="Q37" s="59">
        <f>(BS!P34+BS!P38)*CFS!Q7-BS!P29</f>
        <v>51.733558043286394</v>
      </c>
    </row>
    <row r="38" spans="2:17" x14ac:dyDescent="0.25">
      <c r="B38" s="58" t="s">
        <v>182</v>
      </c>
      <c r="C38" s="59">
        <v>0</v>
      </c>
      <c r="D38" s="59">
        <v>3959</v>
      </c>
      <c r="E38" s="59">
        <v>11417</v>
      </c>
      <c r="F38" s="60">
        <v>13167</v>
      </c>
      <c r="G38" s="69">
        <f>(-G27+IS!G47)*CFS!G8</f>
        <v>14444.336542290865</v>
      </c>
      <c r="H38" s="59">
        <f>(-H27+IS!H47)*CFS!H8</f>
        <v>15044.217637819742</v>
      </c>
      <c r="I38" s="59">
        <f>(-I27+IS!I47)*CFS!I8</f>
        <v>14163.939434436239</v>
      </c>
      <c r="J38" s="59">
        <f>(-J27+IS!J47)*CFS!J8</f>
        <v>11388.702459380389</v>
      </c>
      <c r="K38" s="59">
        <f>(-K27+IS!K47)*CFS!K8</f>
        <v>6577.2395935937839</v>
      </c>
      <c r="L38" s="59">
        <f>(-L27+IS!L47)*CFS!L8</f>
        <v>0</v>
      </c>
      <c r="M38" s="59">
        <f>(-M27+IS!M47)*CFS!M8</f>
        <v>0</v>
      </c>
      <c r="N38" s="59">
        <f>(-N27+IS!N47)*CFS!N8</f>
        <v>0</v>
      </c>
      <c r="O38" s="59">
        <f>(-O27+IS!O47)*CFS!O8</f>
        <v>0</v>
      </c>
      <c r="P38" s="59">
        <f>(-P27+IS!P47)*CFS!P8</f>
        <v>0</v>
      </c>
      <c r="Q38" s="59">
        <f>(-Q27+IS!Q47)*CFS!Q8</f>
        <v>0</v>
      </c>
    </row>
    <row r="39" spans="2:17" x14ac:dyDescent="0.25">
      <c r="B39" s="58" t="s">
        <v>183</v>
      </c>
      <c r="C39" s="59">
        <v>-1560</v>
      </c>
      <c r="D39" s="59">
        <v>0</v>
      </c>
      <c r="E39" s="59">
        <v>-664</v>
      </c>
      <c r="F39" s="60">
        <v>-778</v>
      </c>
      <c r="G39" s="69">
        <f>-BS!F35*CFS!G10</f>
        <v>0</v>
      </c>
      <c r="H39" s="59">
        <f>-BS!G35*CFS!H10</f>
        <v>0</v>
      </c>
      <c r="I39" s="59">
        <f>-BS!H35*CFS!I10</f>
        <v>0</v>
      </c>
      <c r="J39" s="59">
        <f>-BS!I35*CFS!J10</f>
        <v>0</v>
      </c>
      <c r="K39" s="59">
        <f>-BS!J35*CFS!K10</f>
        <v>0</v>
      </c>
      <c r="L39" s="59">
        <f>-BS!K35*CFS!L10</f>
        <v>-5124.3217833760518</v>
      </c>
      <c r="M39" s="59">
        <f>-BS!L35*CFS!M10</f>
        <v>-4868.1056942072491</v>
      </c>
      <c r="N39" s="59">
        <f>-BS!M35*CFS!N10</f>
        <v>-4624.7004094968861</v>
      </c>
      <c r="O39" s="59">
        <f>-BS!N35*CFS!O10</f>
        <v>-4393.4653890220425</v>
      </c>
      <c r="P39" s="59">
        <f>-BS!O35*CFS!P10</f>
        <v>-4173.7921195709405</v>
      </c>
      <c r="Q39" s="59">
        <f>-BS!P35*CFS!Q10</f>
        <v>-3965.1025135923937</v>
      </c>
    </row>
    <row r="40" spans="2:17" x14ac:dyDescent="0.25">
      <c r="B40" s="58" t="s">
        <v>184</v>
      </c>
      <c r="C40" s="59">
        <v>-1500</v>
      </c>
      <c r="D40" s="59">
        <v>-750</v>
      </c>
      <c r="E40" s="59">
        <v>-2500</v>
      </c>
      <c r="F40" s="60">
        <v>-4108</v>
      </c>
      <c r="G40" s="69">
        <f>IS!G42*CFS!G9</f>
        <v>-4229.7177176718651</v>
      </c>
      <c r="H40" s="59">
        <f>IS!H42*CFS!H9</f>
        <v>-5506.7252227966956</v>
      </c>
      <c r="I40" s="59">
        <f>IS!I42*CFS!I9</f>
        <v>-6912.6822823672273</v>
      </c>
      <c r="J40" s="59">
        <f>IS!J42*CFS!J9</f>
        <v>-8337.3501497796115</v>
      </c>
      <c r="K40" s="59">
        <f>IS!K42*CFS!K9</f>
        <v>-9630.0258447122451</v>
      </c>
      <c r="L40" s="59">
        <f>IS!L42*CFS!L9</f>
        <v>-10619.365924297977</v>
      </c>
      <c r="M40" s="59">
        <f>IS!M42*CFS!M9</f>
        <v>-11148.724888993665</v>
      </c>
      <c r="N40" s="59">
        <f>IS!N42*CFS!N9</f>
        <v>-11705.036457123066</v>
      </c>
      <c r="O40" s="59">
        <f>IS!O42*CFS!O9</f>
        <v>-12289.674763239376</v>
      </c>
      <c r="P40" s="59">
        <f>IS!P42*CFS!P9</f>
        <v>-12904.085014334652</v>
      </c>
      <c r="Q40" s="59">
        <f>IS!Q42*CFS!Q9</f>
        <v>-13549.787227811446</v>
      </c>
    </row>
    <row r="41" spans="2:17" x14ac:dyDescent="0.25">
      <c r="B41" s="58" t="s">
        <v>185</v>
      </c>
      <c r="C41" s="59">
        <v>-308.89999999999998</v>
      </c>
      <c r="D41" s="59">
        <v>-335</v>
      </c>
      <c r="E41" s="59">
        <v>-491</v>
      </c>
      <c r="F41" s="60">
        <v>-772</v>
      </c>
      <c r="G41" s="69">
        <v>0</v>
      </c>
      <c r="H41" s="59">
        <v>0</v>
      </c>
      <c r="I41" s="59">
        <v>0</v>
      </c>
      <c r="J41" s="59">
        <v>0</v>
      </c>
      <c r="K41" s="59">
        <v>0</v>
      </c>
      <c r="L41" s="59">
        <v>0</v>
      </c>
      <c r="M41" s="59">
        <v>0</v>
      </c>
      <c r="N41" s="59">
        <v>0</v>
      </c>
      <c r="O41" s="59">
        <v>0</v>
      </c>
      <c r="P41" s="59">
        <v>0</v>
      </c>
      <c r="Q41" s="59">
        <v>0</v>
      </c>
    </row>
    <row r="42" spans="2:17" x14ac:dyDescent="0.25">
      <c r="B42" s="61" t="s">
        <v>186</v>
      </c>
      <c r="C42" s="62">
        <v>-5406.7</v>
      </c>
      <c r="D42" s="62">
        <v>3496</v>
      </c>
      <c r="E42" s="62">
        <v>1230</v>
      </c>
      <c r="F42" s="63">
        <v>-2213</v>
      </c>
      <c r="G42" s="62">
        <f>SUM(G36:G41)</f>
        <v>-447.29348860434402</v>
      </c>
      <c r="H42" s="62">
        <f>SUM(H36:H41)</f>
        <v>-3933.540812980159</v>
      </c>
      <c r="I42" s="62">
        <f>SUM(I36:I41)</f>
        <v>-9753.1582070862642</v>
      </c>
      <c r="J42" s="62">
        <f>SUM(J36:J41)</f>
        <v>-17648.547624446772</v>
      </c>
      <c r="K42" s="62">
        <f>SUM(K36:K41)</f>
        <v>-27146.988764087328</v>
      </c>
      <c r="L42" s="62">
        <f>SUM(L36:L41)</f>
        <v>-42527.193266976443</v>
      </c>
      <c r="M42" s="62">
        <f>SUM(M36:M41)</f>
        <v>-44522.206407474121</v>
      </c>
      <c r="N42" s="62">
        <f>SUM(N36:N41)</f>
        <v>-46436.216307714756</v>
      </c>
      <c r="O42" s="62">
        <f>SUM(O36:O41)</f>
        <v>-48347.792669305294</v>
      </c>
      <c r="P42" s="62">
        <f>SUM(P36:P41)</f>
        <v>-50375.223238413077</v>
      </c>
      <c r="Q42" s="62">
        <f>SUM(Q36:Q41)</f>
        <v>-52527.316443440701</v>
      </c>
    </row>
    <row r="43" spans="2:17" x14ac:dyDescent="0.25">
      <c r="B43" s="1"/>
      <c r="C43" s="1"/>
      <c r="D43" s="1"/>
      <c r="E43" s="1"/>
      <c r="F43" s="46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2:17" x14ac:dyDescent="0.25">
      <c r="B44" s="58" t="s">
        <v>187</v>
      </c>
      <c r="C44" s="59">
        <v>-167.6</v>
      </c>
      <c r="D44" s="59">
        <v>169</v>
      </c>
      <c r="E44" s="59">
        <v>-297</v>
      </c>
      <c r="F44" s="60">
        <v>372</v>
      </c>
      <c r="G44" s="59">
        <v>0</v>
      </c>
      <c r="H44" s="59">
        <v>0</v>
      </c>
      <c r="I44" s="59">
        <v>0</v>
      </c>
      <c r="J44" s="59">
        <v>0</v>
      </c>
      <c r="K44" s="59">
        <v>0</v>
      </c>
      <c r="L44" s="59">
        <v>0</v>
      </c>
      <c r="M44" s="59">
        <v>0</v>
      </c>
      <c r="N44" s="59">
        <v>0</v>
      </c>
      <c r="O44" s="59">
        <v>0</v>
      </c>
      <c r="P44" s="59">
        <v>0</v>
      </c>
      <c r="Q44" s="59">
        <v>0</v>
      </c>
    </row>
    <row r="45" spans="2:17" x14ac:dyDescent="0.25">
      <c r="B45" s="61" t="s">
        <v>188</v>
      </c>
      <c r="C45" s="62">
        <v>-1751.5</v>
      </c>
      <c r="D45" s="62">
        <v>752</v>
      </c>
      <c r="E45" s="62">
        <v>449</v>
      </c>
      <c r="F45" s="63">
        <v>4000</v>
      </c>
      <c r="G45" s="62">
        <f>G25+G34+G42+G44</f>
        <v>7313.7006937742008</v>
      </c>
      <c r="H45" s="62">
        <f>H25+H34+H42+H44</f>
        <v>9227.5719145156509</v>
      </c>
      <c r="I45" s="62">
        <f>I25+I34+I42+I44</f>
        <v>8350.0393889662373</v>
      </c>
      <c r="J45" s="62">
        <f>J25+J34+J42+J44</f>
        <v>6184.476878667665</v>
      </c>
      <c r="K45" s="62">
        <f>K25+K34+K42+K44</f>
        <v>2604.9972299248329</v>
      </c>
      <c r="L45" s="62">
        <f>L25+L34+L42+L44</f>
        <v>-7205.2662195091543</v>
      </c>
      <c r="M45" s="62">
        <f>M25+M34+M42+M44</f>
        <v>-4611.5672208210017</v>
      </c>
      <c r="N45" s="62">
        <f>N25+N34+N42+N44</f>
        <v>-4288.4206463759401</v>
      </c>
      <c r="O45" s="62">
        <f>O25+O34+O42+O44</f>
        <v>-3866.2229605783286</v>
      </c>
      <c r="P45" s="62">
        <f>P25+P34+P42+P44</f>
        <v>-3446.8275019412686</v>
      </c>
      <c r="Q45" s="62">
        <f>Q25+Q34+Q42+Q44</f>
        <v>-3029.7934109233174</v>
      </c>
    </row>
    <row r="46" spans="2:17" x14ac:dyDescent="0.25">
      <c r="B46" s="58" t="s">
        <v>189</v>
      </c>
      <c r="C46" s="59">
        <v>3818.5</v>
      </c>
      <c r="D46" s="59">
        <v>2067</v>
      </c>
      <c r="E46" s="59">
        <v>2818.6</v>
      </c>
      <c r="F46" s="60">
        <v>3268</v>
      </c>
      <c r="G46" s="59">
        <f>BS!F14</f>
        <v>7268</v>
      </c>
      <c r="H46" s="59">
        <f>BS!G14</f>
        <v>14581.700693774201</v>
      </c>
      <c r="I46" s="59">
        <f>BS!H14</f>
        <v>23809.272608289852</v>
      </c>
      <c r="J46" s="59">
        <f>BS!I14</f>
        <v>32159.311997256089</v>
      </c>
      <c r="K46" s="59">
        <f>BS!J14</f>
        <v>38343.788875923754</v>
      </c>
      <c r="L46" s="59">
        <f>BS!K14</f>
        <v>40948.786105848587</v>
      </c>
      <c r="M46" s="59">
        <f>BS!L14</f>
        <v>33743.519886339433</v>
      </c>
      <c r="N46" s="59">
        <f>BS!M14</f>
        <v>29131.952665518431</v>
      </c>
      <c r="O46" s="59">
        <f>BS!N14</f>
        <v>24843.532019142491</v>
      </c>
      <c r="P46" s="59">
        <f>BS!O14</f>
        <v>20977.309058564162</v>
      </c>
      <c r="Q46" s="59">
        <f>BS!P14</f>
        <v>17530.481556622894</v>
      </c>
    </row>
    <row r="47" spans="2:17" x14ac:dyDescent="0.25">
      <c r="B47" s="61" t="s">
        <v>190</v>
      </c>
      <c r="C47" s="62">
        <v>2067</v>
      </c>
      <c r="D47" s="62">
        <v>2819</v>
      </c>
      <c r="E47" s="62">
        <v>3267.6</v>
      </c>
      <c r="F47" s="63">
        <v>7268</v>
      </c>
      <c r="G47" s="62">
        <f>G46+G45</f>
        <v>14581.700693774201</v>
      </c>
      <c r="H47" s="62">
        <f>H46+H45</f>
        <v>23809.272608289852</v>
      </c>
      <c r="I47" s="62">
        <f>I46+I45</f>
        <v>32159.311997256089</v>
      </c>
      <c r="J47" s="62">
        <f>J46+J45</f>
        <v>38343.788875923754</v>
      </c>
      <c r="K47" s="62">
        <f>K46+K45</f>
        <v>40948.786105848587</v>
      </c>
      <c r="L47" s="62">
        <f>L46+L45</f>
        <v>33743.519886339433</v>
      </c>
      <c r="M47" s="62">
        <f>M46+M45</f>
        <v>29131.952665518431</v>
      </c>
      <c r="N47" s="62">
        <f>N46+N45</f>
        <v>24843.532019142491</v>
      </c>
      <c r="O47" s="62">
        <f>O46+O45</f>
        <v>20977.309058564162</v>
      </c>
      <c r="P47" s="62">
        <f>P46+P45</f>
        <v>17530.481556622894</v>
      </c>
      <c r="Q47" s="62">
        <f>Q46+Q45</f>
        <v>14500.688145699576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47B34-934B-47E8-9A7A-E87453E50FAF}">
  <dimension ref="B1:Q116"/>
  <sheetViews>
    <sheetView zoomScale="110" zoomScaleNormal="110" workbookViewId="0">
      <selection activeCell="H6" sqref="H6"/>
    </sheetView>
  </sheetViews>
  <sheetFormatPr defaultRowHeight="15.75" x14ac:dyDescent="0.25"/>
  <cols>
    <col min="1" max="1" width="2" customWidth="1"/>
    <col min="2" max="2" width="37.375" bestFit="1" customWidth="1"/>
    <col min="3" max="4" width="0" hidden="1" customWidth="1"/>
    <col min="5" max="5" width="12.375" hidden="1" customWidth="1"/>
    <col min="6" max="14" width="12.375" customWidth="1"/>
    <col min="16" max="16" width="14.625" customWidth="1"/>
    <col min="17" max="17" width="17.875" bestFit="1" customWidth="1"/>
  </cols>
  <sheetData>
    <row r="1" spans="2:17" ht="10.5" customHeight="1" x14ac:dyDescent="0.25"/>
    <row r="2" spans="2:17" ht="24" x14ac:dyDescent="0.4">
      <c r="B2" s="180" t="s">
        <v>38</v>
      </c>
      <c r="C2" s="70"/>
      <c r="D2" s="70"/>
      <c r="E2" s="70"/>
      <c r="F2" s="70"/>
      <c r="G2" s="70"/>
      <c r="H2" s="71"/>
      <c r="I2" s="72"/>
      <c r="J2" s="72"/>
      <c r="K2" s="72"/>
      <c r="L2" s="72"/>
      <c r="M2" s="72"/>
      <c r="N2" s="72"/>
      <c r="O2" s="73"/>
      <c r="P2" s="73"/>
      <c r="Q2" s="73"/>
    </row>
    <row r="4" spans="2:17" x14ac:dyDescent="0.25">
      <c r="B4" t="s">
        <v>256</v>
      </c>
      <c r="C4" s="75"/>
      <c r="D4" s="76"/>
      <c r="E4" s="76"/>
      <c r="F4" s="76"/>
      <c r="G4" s="76"/>
      <c r="H4" s="192">
        <f ca="1">TODAY()</f>
        <v>46245</v>
      </c>
      <c r="I4" s="77"/>
      <c r="J4" s="77"/>
      <c r="K4" s="77"/>
      <c r="M4" s="77"/>
      <c r="N4" s="77"/>
      <c r="O4" s="77"/>
      <c r="P4" s="77"/>
      <c r="Q4" s="77"/>
    </row>
    <row r="5" spans="2:17" x14ac:dyDescent="0.25">
      <c r="B5" t="s">
        <v>257</v>
      </c>
      <c r="C5" s="75"/>
      <c r="D5" s="76"/>
      <c r="E5" s="76"/>
      <c r="F5" s="76"/>
      <c r="G5" s="76"/>
      <c r="H5" s="191">
        <f>Main!C3</f>
        <v>1215.02</v>
      </c>
      <c r="I5" s="77"/>
      <c r="J5" s="77"/>
      <c r="K5" s="77"/>
      <c r="L5" s="77"/>
      <c r="M5" s="77"/>
      <c r="N5" s="77"/>
      <c r="O5" s="77"/>
      <c r="P5" s="77"/>
      <c r="Q5" s="77"/>
    </row>
    <row r="6" spans="2:17" x14ac:dyDescent="0.25">
      <c r="B6" t="s">
        <v>258</v>
      </c>
      <c r="C6" s="75"/>
      <c r="D6" s="76"/>
      <c r="E6" s="76"/>
      <c r="F6" s="76"/>
      <c r="G6" s="76"/>
      <c r="H6" s="193">
        <f>Main!C4</f>
        <v>893.7</v>
      </c>
      <c r="I6" s="77"/>
      <c r="J6" s="77"/>
      <c r="K6" s="77"/>
      <c r="L6" s="77"/>
      <c r="M6" s="77"/>
      <c r="N6" s="77"/>
      <c r="O6" s="77"/>
      <c r="P6" s="77"/>
      <c r="Q6" s="77"/>
    </row>
    <row r="7" spans="2:17" x14ac:dyDescent="0.25">
      <c r="B7" s="75"/>
      <c r="C7" s="75"/>
      <c r="D7" s="76"/>
      <c r="E7" s="76"/>
      <c r="F7" s="76"/>
      <c r="G7" s="76"/>
      <c r="H7" s="78"/>
      <c r="I7" s="77"/>
      <c r="J7" s="77"/>
      <c r="K7" s="77"/>
      <c r="L7" s="77"/>
      <c r="M7" s="77"/>
      <c r="N7" s="77"/>
      <c r="O7" s="77"/>
      <c r="P7" s="77"/>
      <c r="Q7" s="77"/>
    </row>
    <row r="8" spans="2:17" ht="18.75" x14ac:dyDescent="0.3">
      <c r="B8" s="188" t="s">
        <v>259</v>
      </c>
      <c r="C8" s="80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77"/>
      <c r="P8" s="77"/>
      <c r="Q8" s="77"/>
    </row>
    <row r="9" spans="2:17" x14ac:dyDescent="0.25">
      <c r="B9" s="75"/>
      <c r="C9" s="75"/>
      <c r="D9" s="81"/>
      <c r="E9" s="82"/>
      <c r="F9" s="81"/>
      <c r="G9" s="81"/>
      <c r="H9" s="81"/>
      <c r="I9" s="83"/>
      <c r="J9" s="185" t="s">
        <v>260</v>
      </c>
      <c r="K9" s="186"/>
      <c r="L9" s="186"/>
      <c r="M9" s="186"/>
      <c r="N9" s="187"/>
      <c r="O9" s="77"/>
      <c r="P9" s="77"/>
      <c r="Q9" s="77"/>
    </row>
    <row r="10" spans="2:17" x14ac:dyDescent="0.25">
      <c r="B10" s="75"/>
      <c r="C10" s="84">
        <f t="shared" ref="C10:G10" si="0">D10-365</f>
        <v>-730</v>
      </c>
      <c r="D10" s="85">
        <f t="shared" si="0"/>
        <v>-365</v>
      </c>
      <c r="E10" s="86"/>
      <c r="F10" s="86" t="s">
        <v>115</v>
      </c>
      <c r="G10" s="86" t="s">
        <v>116</v>
      </c>
      <c r="H10" s="86" t="s">
        <v>117</v>
      </c>
      <c r="I10" s="86" t="s">
        <v>118</v>
      </c>
      <c r="J10" s="87" t="s">
        <v>119</v>
      </c>
      <c r="K10" s="87" t="s">
        <v>120</v>
      </c>
      <c r="L10" s="87" t="s">
        <v>121</v>
      </c>
      <c r="M10" s="87" t="s">
        <v>122</v>
      </c>
      <c r="N10" s="88" t="s">
        <v>123</v>
      </c>
      <c r="O10" s="77"/>
      <c r="P10" s="89"/>
      <c r="Q10" s="89"/>
    </row>
    <row r="11" spans="2:17" x14ac:dyDescent="0.25">
      <c r="B11" s="75" t="s">
        <v>261</v>
      </c>
      <c r="C11" s="90"/>
      <c r="D11" s="91"/>
      <c r="E11" s="91"/>
      <c r="F11" s="194">
        <f>IS!C42</f>
        <v>28541.400000000005</v>
      </c>
      <c r="G11" s="194">
        <f>IS!D42</f>
        <v>34124.100000000006</v>
      </c>
      <c r="H11" s="194">
        <f>IS!E42</f>
        <v>45042.69999999999</v>
      </c>
      <c r="I11" s="194">
        <f>IS!F42</f>
        <v>65179.500000000007</v>
      </c>
      <c r="J11" s="95">
        <f>IS!G42</f>
        <v>87634.083599999998</v>
      </c>
      <c r="K11" s="95">
        <f>IS!H42</f>
        <v>114091.96801020001</v>
      </c>
      <c r="L11" s="95">
        <f>IS!I42</f>
        <v>143221.51440561094</v>
      </c>
      <c r="M11" s="95">
        <f>IS!J42</f>
        <v>172738.72366840087</v>
      </c>
      <c r="N11" s="95">
        <f>IS!K42</f>
        <v>199521.23197719833</v>
      </c>
      <c r="O11" s="93"/>
      <c r="P11" s="77"/>
      <c r="Q11" s="77"/>
    </row>
    <row r="12" spans="2:17" x14ac:dyDescent="0.25">
      <c r="B12" s="75"/>
      <c r="C12" s="94"/>
      <c r="D12" s="76"/>
      <c r="E12" s="76"/>
      <c r="F12" s="76"/>
      <c r="G12" s="76"/>
      <c r="H12" s="78"/>
      <c r="I12" s="77"/>
      <c r="J12" s="77"/>
      <c r="K12" s="77"/>
      <c r="L12" s="77"/>
      <c r="M12" s="77"/>
      <c r="N12" s="77"/>
      <c r="O12" s="77"/>
      <c r="P12" s="77"/>
      <c r="Q12" s="77"/>
    </row>
    <row r="13" spans="2:17" x14ac:dyDescent="0.25">
      <c r="B13" s="75" t="s">
        <v>262</v>
      </c>
      <c r="C13" s="90"/>
      <c r="D13" s="92"/>
      <c r="E13" s="92"/>
      <c r="F13" s="195">
        <f>IS!C50+IS!C49</f>
        <v>6905.2999999999993</v>
      </c>
      <c r="G13" s="195">
        <f>IS!D50+IS!D49</f>
        <v>6457.9000000000005</v>
      </c>
      <c r="H13" s="195">
        <f>IS!E50+IS!E49</f>
        <v>12899</v>
      </c>
      <c r="I13" s="195">
        <f>IS!F50+IS!F49</f>
        <v>26302.800000000003</v>
      </c>
      <c r="J13" s="95">
        <f>IS!G50+IS!G49</f>
        <v>26364.432724840575</v>
      </c>
      <c r="K13" s="95">
        <f>IS!H50+IS!H49</f>
        <v>34406.856048435176</v>
      </c>
      <c r="L13" s="95">
        <f>IS!I50+IS!I49</f>
        <v>43210.842037549621</v>
      </c>
      <c r="M13" s="95">
        <f>IS!J50+IS!J49</f>
        <v>52307.204340792152</v>
      </c>
      <c r="N13" s="95">
        <f>IS!K50+IS!K49</f>
        <v>60492.935370846739</v>
      </c>
      <c r="O13" s="77"/>
      <c r="P13" s="77"/>
      <c r="Q13" s="77"/>
    </row>
    <row r="14" spans="2:17" x14ac:dyDescent="0.25">
      <c r="B14" s="75"/>
      <c r="C14" s="94"/>
      <c r="D14" s="76"/>
      <c r="E14" s="76"/>
      <c r="F14" s="76"/>
      <c r="G14" s="76"/>
      <c r="H14" s="78"/>
      <c r="I14" s="77"/>
      <c r="J14" s="77"/>
      <c r="K14" s="77"/>
      <c r="L14" s="77"/>
      <c r="M14" s="77"/>
      <c r="N14" s="77"/>
      <c r="O14" s="77"/>
      <c r="P14" s="77"/>
      <c r="Q14" s="77"/>
    </row>
    <row r="15" spans="2:17" x14ac:dyDescent="0.25">
      <c r="B15" s="75" t="s">
        <v>263</v>
      </c>
      <c r="C15" s="90"/>
      <c r="D15" s="92"/>
      <c r="E15" s="92"/>
      <c r="F15" s="195">
        <f>CFS!C15</f>
        <v>1522.5</v>
      </c>
      <c r="G15" s="195">
        <f>CFS!D15</f>
        <v>1527</v>
      </c>
      <c r="H15" s="195">
        <f>CFS!E15</f>
        <v>1767</v>
      </c>
      <c r="I15" s="195">
        <f>CFS!F15</f>
        <v>1997</v>
      </c>
      <c r="J15" s="95">
        <f>CFS!G15</f>
        <v>3679.7531309583919</v>
      </c>
      <c r="K15" s="95">
        <f>CFS!H15</f>
        <v>4790.719081619266</v>
      </c>
      <c r="L15" s="95">
        <f>CFS!I15</f>
        <v>6013.8680568646814</v>
      </c>
      <c r="M15" s="95">
        <f>CFS!J15</f>
        <v>7253.2949868897158</v>
      </c>
      <c r="N15" s="95">
        <f>CFS!K15</f>
        <v>8377.8918874981064</v>
      </c>
      <c r="O15" s="77"/>
      <c r="P15" s="77"/>
      <c r="Q15" s="77"/>
    </row>
    <row r="16" spans="2:17" x14ac:dyDescent="0.25">
      <c r="B16" s="75"/>
      <c r="C16" s="75"/>
      <c r="D16" s="76"/>
      <c r="E16" s="76"/>
      <c r="F16" s="76"/>
      <c r="G16" s="76"/>
      <c r="H16" s="78"/>
      <c r="I16" s="77"/>
      <c r="J16" s="77"/>
      <c r="K16" s="77"/>
      <c r="L16" s="77"/>
      <c r="M16" s="77"/>
      <c r="N16" s="77"/>
      <c r="O16" s="77"/>
      <c r="P16" s="77"/>
      <c r="Q16" s="77"/>
    </row>
    <row r="17" spans="2:17" ht="18.75" x14ac:dyDescent="0.3">
      <c r="B17" s="79" t="s">
        <v>264</v>
      </c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7"/>
      <c r="P17" s="77"/>
      <c r="Q17" s="77"/>
    </row>
    <row r="18" spans="2:17" x14ac:dyDescent="0.25">
      <c r="B18" s="75"/>
      <c r="C18" s="75"/>
      <c r="D18" s="81"/>
      <c r="E18" s="82"/>
      <c r="F18" s="81"/>
      <c r="G18" s="81"/>
      <c r="H18" s="81"/>
      <c r="I18" s="182"/>
      <c r="J18" s="185" t="s">
        <v>260</v>
      </c>
      <c r="K18" s="186"/>
      <c r="L18" s="186"/>
      <c r="M18" s="186"/>
      <c r="N18" s="187"/>
      <c r="O18" s="77"/>
      <c r="P18" s="77"/>
      <c r="Q18" s="77"/>
    </row>
    <row r="19" spans="2:17" x14ac:dyDescent="0.25">
      <c r="B19" s="75"/>
      <c r="C19" s="84">
        <f t="shared" ref="C19:G19" si="1">D19-365</f>
        <v>-730</v>
      </c>
      <c r="D19" s="85">
        <f t="shared" si="1"/>
        <v>-365</v>
      </c>
      <c r="E19" s="86"/>
      <c r="F19" s="86" t="s">
        <v>115</v>
      </c>
      <c r="G19" s="86" t="s">
        <v>116</v>
      </c>
      <c r="H19" s="86" t="s">
        <v>117</v>
      </c>
      <c r="I19" s="86" t="s">
        <v>118</v>
      </c>
      <c r="J19" s="183" t="s">
        <v>119</v>
      </c>
      <c r="K19" s="183" t="s">
        <v>120</v>
      </c>
      <c r="L19" s="183" t="s">
        <v>121</v>
      </c>
      <c r="M19" s="183" t="s">
        <v>122</v>
      </c>
      <c r="N19" s="184" t="s">
        <v>123</v>
      </c>
      <c r="O19" s="77"/>
      <c r="P19" s="77"/>
      <c r="Q19" s="77"/>
    </row>
    <row r="20" spans="2:17" x14ac:dyDescent="0.25">
      <c r="B20" s="96" t="s">
        <v>265</v>
      </c>
      <c r="C20" s="97"/>
      <c r="D20" s="97"/>
      <c r="E20" s="92"/>
      <c r="F20" s="195">
        <f>BS!C15</f>
        <v>6896</v>
      </c>
      <c r="G20" s="195">
        <f>BS!D15</f>
        <v>9090.5</v>
      </c>
      <c r="H20" s="195">
        <f>BS!E15</f>
        <v>11006</v>
      </c>
      <c r="I20" s="195">
        <f>BS!F15</f>
        <v>17760</v>
      </c>
      <c r="J20" s="95">
        <f>BS!G15</f>
        <v>23878.386988792485</v>
      </c>
      <c r="K20" s="95">
        <f>BS!H15</f>
        <v>31087.586616361768</v>
      </c>
      <c r="L20" s="95">
        <f>BS!I15</f>
        <v>39024.756186280196</v>
      </c>
      <c r="M20" s="95">
        <f>BS!J15</f>
        <v>47067.555479112278</v>
      </c>
      <c r="N20" s="95">
        <f>BS!K15</f>
        <v>54365.208077923911</v>
      </c>
      <c r="O20" s="77"/>
      <c r="P20" s="77"/>
      <c r="Q20" s="77"/>
    </row>
    <row r="21" spans="2:17" x14ac:dyDescent="0.25">
      <c r="B21" s="96" t="s">
        <v>135</v>
      </c>
      <c r="C21" s="97"/>
      <c r="D21" s="97"/>
      <c r="E21" s="92"/>
      <c r="F21" s="195">
        <f>BS!C17</f>
        <v>4310</v>
      </c>
      <c r="G21" s="195">
        <f>BS!D17</f>
        <v>5772.8</v>
      </c>
      <c r="H21" s="195">
        <f>BS!E17</f>
        <v>7589</v>
      </c>
      <c r="I21" s="195">
        <f>BS!F17</f>
        <v>13744</v>
      </c>
      <c r="J21" s="95">
        <f>BS!G17</f>
        <v>21276.467528841309</v>
      </c>
      <c r="K21" s="95">
        <f>BS!H17</f>
        <v>27700.113391390816</v>
      </c>
      <c r="L21" s="95">
        <f>BS!I17</f>
        <v>34772.405615507108</v>
      </c>
      <c r="M21" s="95">
        <f>BS!J17</f>
        <v>41938.817571023508</v>
      </c>
      <c r="N21" s="95">
        <f>BS!K17</f>
        <v>48441.278085976075</v>
      </c>
      <c r="O21" s="77"/>
      <c r="P21" s="77"/>
      <c r="Q21" s="77"/>
    </row>
    <row r="22" spans="2:17" x14ac:dyDescent="0.25">
      <c r="B22" s="96" t="s">
        <v>266</v>
      </c>
      <c r="C22" s="97"/>
      <c r="D22" s="97"/>
      <c r="E22" s="92"/>
      <c r="F22" s="195">
        <f>BS!C18</f>
        <v>2947</v>
      </c>
      <c r="G22" s="195">
        <f>BS!D18</f>
        <v>5540.8</v>
      </c>
      <c r="H22" s="195">
        <f>BS!E18</f>
        <v>8341</v>
      </c>
      <c r="I22" s="195">
        <f>BS!F18</f>
        <v>14315</v>
      </c>
      <c r="J22" s="95">
        <f>BS!G18</f>
        <v>19246.571494626376</v>
      </c>
      <c r="K22" s="95">
        <f>BS!H18</f>
        <v>25057.365000744299</v>
      </c>
      <c r="L22" s="95">
        <f>BS!I18</f>
        <v>31454.920315686995</v>
      </c>
      <c r="M22" s="95">
        <f>BS!J18</f>
        <v>37937.615804250694</v>
      </c>
      <c r="N22" s="95">
        <f>BS!K18</f>
        <v>43819.70459659239</v>
      </c>
      <c r="O22" s="77"/>
      <c r="P22" s="77"/>
      <c r="Q22" s="77"/>
    </row>
    <row r="23" spans="2:17" x14ac:dyDescent="0.25">
      <c r="B23" s="75"/>
      <c r="C23" s="98"/>
      <c r="D23" s="98"/>
      <c r="E23" s="98"/>
      <c r="F23" s="98"/>
      <c r="G23" s="98"/>
      <c r="H23" s="98"/>
      <c r="I23" s="98"/>
      <c r="J23" s="95"/>
      <c r="K23" s="95"/>
      <c r="L23" s="95"/>
      <c r="M23" s="95"/>
      <c r="N23" s="95"/>
      <c r="O23" s="77"/>
      <c r="P23" s="77"/>
      <c r="Q23" s="77"/>
    </row>
    <row r="24" spans="2:17" x14ac:dyDescent="0.25">
      <c r="B24" s="96" t="s">
        <v>267</v>
      </c>
      <c r="C24" s="99"/>
      <c r="D24" s="99"/>
      <c r="E24" s="99"/>
      <c r="F24" s="196">
        <f>BS!C30</f>
        <v>1930.6</v>
      </c>
      <c r="G24" s="196">
        <f>BS!D30</f>
        <v>2598.8000000000002</v>
      </c>
      <c r="H24" s="196">
        <f>BS!E30</f>
        <v>3229</v>
      </c>
      <c r="I24" s="196">
        <f>BS!F30</f>
        <v>5379</v>
      </c>
      <c r="J24" s="95">
        <f>BS!G30</f>
        <v>8326.9876919119179</v>
      </c>
      <c r="K24" s="95">
        <f>BS!H30</f>
        <v>10841.014983432129</v>
      </c>
      <c r="L24" s="95">
        <f>BS!I30</f>
        <v>13608.903507407793</v>
      </c>
      <c r="M24" s="95">
        <f>BS!J30</f>
        <v>16413.627744072717</v>
      </c>
      <c r="N24" s="95">
        <f>BS!K30</f>
        <v>18958.500787577508</v>
      </c>
      <c r="O24" s="77"/>
      <c r="P24" s="77"/>
      <c r="Q24" s="77"/>
    </row>
    <row r="25" spans="2:17" x14ac:dyDescent="0.25">
      <c r="B25" s="96" t="s">
        <v>268</v>
      </c>
      <c r="C25" s="97"/>
      <c r="D25" s="97"/>
      <c r="E25" s="99"/>
      <c r="F25" s="196">
        <f>BS!C31</f>
        <v>1059.8</v>
      </c>
      <c r="G25" s="196">
        <f>BS!D31</f>
        <v>1650.4</v>
      </c>
      <c r="H25" s="196">
        <f>BS!E31</f>
        <v>2094</v>
      </c>
      <c r="I25" s="196">
        <f>BS!F31</f>
        <v>2375</v>
      </c>
      <c r="J25" s="95">
        <f>BS!G31</f>
        <v>3193.1964582422379</v>
      </c>
      <c r="K25" s="95">
        <f>BS!H31</f>
        <v>4157.2645390686484</v>
      </c>
      <c r="L25" s="95">
        <f>BS!I31</f>
        <v>5218.6822039648341</v>
      </c>
      <c r="M25" s="95">
        <f>BS!J31</f>
        <v>6294.2254652529091</v>
      </c>
      <c r="N25" s="95">
        <f>BS!K31</f>
        <v>7270.1221387989463</v>
      </c>
      <c r="O25" s="77"/>
      <c r="P25" s="77"/>
      <c r="Q25" s="77"/>
    </row>
    <row r="26" spans="2:17" x14ac:dyDescent="0.25">
      <c r="B26" s="75"/>
      <c r="C26" s="98"/>
      <c r="D26" s="98"/>
      <c r="E26" s="98"/>
      <c r="F26" s="98"/>
      <c r="G26" s="98"/>
      <c r="H26" s="98"/>
      <c r="I26" s="98"/>
      <c r="J26" s="95"/>
      <c r="K26" s="95"/>
      <c r="L26" s="95"/>
      <c r="M26" s="95"/>
      <c r="N26" s="95"/>
      <c r="O26" s="77"/>
      <c r="P26" s="77"/>
      <c r="Q26" s="77"/>
    </row>
    <row r="27" spans="2:17" x14ac:dyDescent="0.25">
      <c r="B27" s="75" t="s">
        <v>15</v>
      </c>
      <c r="C27" s="97"/>
      <c r="D27" s="97"/>
      <c r="E27" s="99"/>
      <c r="F27" s="196">
        <f>BS!C29+BS!C35</f>
        <v>16238.6</v>
      </c>
      <c r="G27" s="196">
        <f>BS!D29+BS!D35</f>
        <v>25225.3</v>
      </c>
      <c r="H27" s="196">
        <f>BS!E29+BS!E35</f>
        <v>33644</v>
      </c>
      <c r="I27" s="196">
        <f>BS!F29+BS!F35</f>
        <v>42503</v>
      </c>
      <c r="J27" s="95">
        <f>BS!G29+BS!G35</f>
        <v>57031.156542290868</v>
      </c>
      <c r="K27" s="95">
        <f>BS!H29+BS!H35</f>
        <v>72619.293653197587</v>
      </c>
      <c r="L27" s="95">
        <f>BS!I29+BS!I35</f>
        <v>87374.330833218672</v>
      </c>
      <c r="M27" s="95">
        <f>BS!J29+BS!J35</f>
        <v>99365.675705604313</v>
      </c>
      <c r="N27" s="95">
        <f>BS!K29+BS!K35</f>
        <v>106494.37670305475</v>
      </c>
      <c r="O27" s="77"/>
      <c r="P27" s="77"/>
      <c r="Q27" s="77"/>
    </row>
    <row r="28" spans="2:17" x14ac:dyDescent="0.25">
      <c r="B28" s="75"/>
      <c r="C28" s="98"/>
      <c r="D28" s="98"/>
      <c r="E28" s="98"/>
      <c r="F28" s="98"/>
      <c r="G28" s="98"/>
      <c r="H28" s="98"/>
      <c r="I28" s="98"/>
      <c r="J28" s="95"/>
      <c r="K28" s="95"/>
      <c r="L28" s="95"/>
      <c r="M28" s="95"/>
      <c r="N28" s="95"/>
      <c r="O28" s="77"/>
      <c r="P28" s="77"/>
      <c r="Q28" s="77"/>
    </row>
    <row r="29" spans="2:17" x14ac:dyDescent="0.25">
      <c r="B29" s="75" t="s">
        <v>269</v>
      </c>
      <c r="C29" s="97"/>
      <c r="D29" s="97"/>
      <c r="E29" s="97"/>
      <c r="F29" s="197">
        <f>CFS!C27</f>
        <v>-1854.3</v>
      </c>
      <c r="G29" s="197">
        <f>CFS!D27</f>
        <v>-3448</v>
      </c>
      <c r="H29" s="197">
        <f>CFS!E27</f>
        <v>-5058</v>
      </c>
      <c r="I29" s="197">
        <f>CFS!F27</f>
        <v>-7841</v>
      </c>
      <c r="J29" s="95">
        <f>CFS!G27</f>
        <v>-8732.818505021467</v>
      </c>
      <c r="K29" s="95">
        <f>CFS!H27</f>
        <v>-11369.371465804794</v>
      </c>
      <c r="L29" s="95">
        <f>CFS!I27</f>
        <v>-14272.158045577118</v>
      </c>
      <c r="M29" s="95">
        <f>CFS!J27</f>
        <v>-17213.575593151985</v>
      </c>
      <c r="N29" s="95">
        <f>CFS!K27</f>
        <v>-19882.477629459212</v>
      </c>
      <c r="O29" s="77"/>
      <c r="P29" s="77"/>
      <c r="Q29" s="77"/>
    </row>
    <row r="30" spans="2:17" x14ac:dyDescent="0.25">
      <c r="B30" s="75"/>
      <c r="C30" s="75"/>
      <c r="D30" s="76"/>
      <c r="E30" s="76"/>
      <c r="F30" s="76"/>
      <c r="G30" s="76"/>
      <c r="H30" s="78"/>
      <c r="I30" s="77"/>
      <c r="J30" s="77"/>
      <c r="K30" s="77"/>
      <c r="L30" s="77"/>
      <c r="M30" s="77"/>
      <c r="N30" s="77"/>
      <c r="O30" s="100"/>
      <c r="P30" s="100"/>
      <c r="Q30" s="100"/>
    </row>
    <row r="31" spans="2:17" ht="18.75" x14ac:dyDescent="0.3">
      <c r="B31" s="79" t="s">
        <v>270</v>
      </c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100"/>
      <c r="P31" s="100"/>
      <c r="Q31" s="100"/>
    </row>
    <row r="32" spans="2:17" x14ac:dyDescent="0.25">
      <c r="B32" s="101" t="s">
        <v>271</v>
      </c>
      <c r="C32" s="101"/>
      <c r="D32" s="81"/>
      <c r="E32" s="102"/>
      <c r="F32" s="81"/>
      <c r="G32" s="81"/>
      <c r="H32" s="81"/>
      <c r="I32" s="103"/>
      <c r="J32" s="185" t="s">
        <v>260</v>
      </c>
      <c r="K32" s="186"/>
      <c r="L32" s="186"/>
      <c r="M32" s="186"/>
      <c r="N32" s="187"/>
      <c r="O32" s="100"/>
      <c r="P32" s="100"/>
      <c r="Q32" s="100"/>
    </row>
    <row r="33" spans="2:17" x14ac:dyDescent="0.25">
      <c r="B33" s="104"/>
      <c r="C33" s="84">
        <f t="shared" ref="C33:G33" si="2">D33-365</f>
        <v>-730</v>
      </c>
      <c r="D33" s="85">
        <f t="shared" si="2"/>
        <v>-365</v>
      </c>
      <c r="E33" s="86"/>
      <c r="F33" s="86" t="s">
        <v>115</v>
      </c>
      <c r="G33" s="86" t="s">
        <v>116</v>
      </c>
      <c r="H33" s="86" t="s">
        <v>117</v>
      </c>
      <c r="I33" s="86" t="s">
        <v>118</v>
      </c>
      <c r="J33" s="87" t="s">
        <v>119</v>
      </c>
      <c r="K33" s="87" t="s">
        <v>120</v>
      </c>
      <c r="L33" s="87" t="s">
        <v>121</v>
      </c>
      <c r="M33" s="87" t="s">
        <v>122</v>
      </c>
      <c r="N33" s="88" t="s">
        <v>123</v>
      </c>
      <c r="O33" s="100"/>
      <c r="P33" s="100"/>
      <c r="Q33" s="100"/>
    </row>
    <row r="34" spans="2:17" x14ac:dyDescent="0.25">
      <c r="B34" s="105" t="s">
        <v>272</v>
      </c>
      <c r="C34" s="105"/>
      <c r="D34" s="106"/>
      <c r="E34" s="107"/>
      <c r="F34" s="107"/>
      <c r="G34" s="107"/>
      <c r="H34" s="107"/>
      <c r="I34" s="107"/>
      <c r="J34" s="106">
        <v>1</v>
      </c>
      <c r="K34" s="106">
        <f t="shared" ref="K34:N34" si="3">J34+1</f>
        <v>2</v>
      </c>
      <c r="L34" s="106">
        <f t="shared" si="3"/>
        <v>3</v>
      </c>
      <c r="M34" s="106">
        <f t="shared" si="3"/>
        <v>4</v>
      </c>
      <c r="N34" s="106">
        <f t="shared" si="3"/>
        <v>5</v>
      </c>
      <c r="O34" s="100"/>
      <c r="P34" s="100"/>
      <c r="Q34" s="100"/>
    </row>
    <row r="35" spans="2:17" x14ac:dyDescent="0.25">
      <c r="B35" s="100" t="s">
        <v>273</v>
      </c>
      <c r="C35" s="108">
        <f>C11</f>
        <v>0</v>
      </c>
      <c r="D35" s="109">
        <f>D11</f>
        <v>0</v>
      </c>
      <c r="E35" s="109">
        <f>E11</f>
        <v>0</v>
      </c>
      <c r="F35" s="109">
        <f>F11</f>
        <v>28541.400000000005</v>
      </c>
      <c r="G35" s="109">
        <f>G11</f>
        <v>34124.100000000006</v>
      </c>
      <c r="H35" s="109">
        <f>H11</f>
        <v>45042.69999999999</v>
      </c>
      <c r="I35" s="110">
        <f>I11</f>
        <v>65179.500000000007</v>
      </c>
      <c r="J35" s="110">
        <f>J11</f>
        <v>87634.083599999998</v>
      </c>
      <c r="K35" s="110">
        <f>K11</f>
        <v>114091.96801020001</v>
      </c>
      <c r="L35" s="110">
        <f>L11</f>
        <v>143221.51440561094</v>
      </c>
      <c r="M35" s="110">
        <f>M11</f>
        <v>172738.72366840087</v>
      </c>
      <c r="N35" s="110">
        <f>N11</f>
        <v>199521.23197719833</v>
      </c>
      <c r="O35" s="100"/>
      <c r="P35" s="100"/>
      <c r="Q35" s="100"/>
    </row>
    <row r="36" spans="2:17" x14ac:dyDescent="0.25">
      <c r="B36" s="100" t="s">
        <v>262</v>
      </c>
      <c r="C36" s="108">
        <f>C13</f>
        <v>0</v>
      </c>
      <c r="D36" s="110">
        <f>D13</f>
        <v>0</v>
      </c>
      <c r="E36" s="110">
        <f>E13</f>
        <v>0</v>
      </c>
      <c r="F36" s="110">
        <f>F13</f>
        <v>6905.2999999999993</v>
      </c>
      <c r="G36" s="110">
        <f>G13</f>
        <v>6457.9000000000005</v>
      </c>
      <c r="H36" s="110">
        <f>H13</f>
        <v>12899</v>
      </c>
      <c r="I36" s="110">
        <f>I13</f>
        <v>26302.800000000003</v>
      </c>
      <c r="J36" s="110">
        <f>J13</f>
        <v>26364.432724840575</v>
      </c>
      <c r="K36" s="110">
        <f>K13</f>
        <v>34406.856048435176</v>
      </c>
      <c r="L36" s="110">
        <f>L13</f>
        <v>43210.842037549621</v>
      </c>
      <c r="M36" s="110">
        <f>M13</f>
        <v>52307.204340792152</v>
      </c>
      <c r="N36" s="110">
        <f>N13</f>
        <v>60492.935370846739</v>
      </c>
      <c r="O36" s="100"/>
      <c r="P36" s="100"/>
      <c r="Q36" s="100"/>
    </row>
    <row r="37" spans="2:17" x14ac:dyDescent="0.25">
      <c r="B37" s="100" t="s">
        <v>274</v>
      </c>
      <c r="C37" s="111"/>
      <c r="D37" s="111"/>
      <c r="E37" s="111"/>
      <c r="F37" s="198">
        <f>IS!C12</f>
        <v>8.2510578279266583E-2</v>
      </c>
      <c r="G37" s="198">
        <f>IS!D12</f>
        <v>0.20818680100117226</v>
      </c>
      <c r="H37" s="198">
        <f>IS!E12</f>
        <v>0.16485414382940469</v>
      </c>
      <c r="I37" s="198">
        <f>IS!F12</f>
        <v>0.19786023519536136</v>
      </c>
      <c r="J37" s="198">
        <f>IS!G12</f>
        <v>0.2</v>
      </c>
      <c r="K37" s="198">
        <f>IS!H12</f>
        <v>0.2</v>
      </c>
      <c r="L37" s="198">
        <f>IS!I12</f>
        <v>0.2</v>
      </c>
      <c r="M37" s="198">
        <f>IS!J12</f>
        <v>0.2</v>
      </c>
      <c r="N37" s="198">
        <f>IS!K12</f>
        <v>0.2</v>
      </c>
      <c r="O37" s="100"/>
      <c r="P37" s="89"/>
      <c r="Q37" s="89"/>
    </row>
    <row r="38" spans="2:17" x14ac:dyDescent="0.25">
      <c r="B38" s="104" t="s">
        <v>275</v>
      </c>
      <c r="C38" s="112">
        <f t="shared" ref="C38:N38" si="4">C36*(1-C37)</f>
        <v>0</v>
      </c>
      <c r="D38" s="112">
        <f t="shared" si="4"/>
        <v>0</v>
      </c>
      <c r="E38" s="112">
        <f t="shared" si="4"/>
        <v>0</v>
      </c>
      <c r="F38" s="112">
        <f t="shared" si="4"/>
        <v>6335.5397038081801</v>
      </c>
      <c r="G38" s="112">
        <f t="shared" si="4"/>
        <v>5113.4504578145297</v>
      </c>
      <c r="H38" s="112">
        <f t="shared" si="4"/>
        <v>10772.546398744509</v>
      </c>
      <c r="I38" s="112">
        <f t="shared" si="4"/>
        <v>21098.521805703451</v>
      </c>
      <c r="J38" s="113">
        <f t="shared" si="4"/>
        <v>21091.546179872461</v>
      </c>
      <c r="K38" s="113">
        <f t="shared" si="4"/>
        <v>27525.484838748143</v>
      </c>
      <c r="L38" s="113">
        <f t="shared" si="4"/>
        <v>34568.673630039695</v>
      </c>
      <c r="M38" s="113">
        <f t="shared" si="4"/>
        <v>41845.763472633727</v>
      </c>
      <c r="N38" s="113">
        <f t="shared" si="4"/>
        <v>48394.348296677395</v>
      </c>
      <c r="O38" s="100"/>
      <c r="P38" s="100"/>
      <c r="Q38" s="100"/>
    </row>
    <row r="39" spans="2:17" x14ac:dyDescent="0.25">
      <c r="B39" s="114" t="s">
        <v>276</v>
      </c>
      <c r="C39" s="115">
        <f>C15</f>
        <v>0</v>
      </c>
      <c r="D39" s="115">
        <f>D15</f>
        <v>0</v>
      </c>
      <c r="E39" s="115">
        <f>E15</f>
        <v>0</v>
      </c>
      <c r="F39" s="115">
        <f>F15</f>
        <v>1522.5</v>
      </c>
      <c r="G39" s="115">
        <f>G15</f>
        <v>1527</v>
      </c>
      <c r="H39" s="115">
        <f>H15</f>
        <v>1767</v>
      </c>
      <c r="I39" s="115">
        <f>I15</f>
        <v>1997</v>
      </c>
      <c r="J39" s="115">
        <f>J15</f>
        <v>3679.7531309583919</v>
      </c>
      <c r="K39" s="115">
        <f>K15</f>
        <v>4790.719081619266</v>
      </c>
      <c r="L39" s="115">
        <f>L15</f>
        <v>6013.8680568646814</v>
      </c>
      <c r="M39" s="115">
        <f>M15</f>
        <v>7253.2949868897158</v>
      </c>
      <c r="N39" s="115">
        <f>N15</f>
        <v>8377.8918874981064</v>
      </c>
      <c r="O39" s="100"/>
      <c r="P39" s="100"/>
      <c r="Q39" s="100"/>
    </row>
    <row r="40" spans="2:17" x14ac:dyDescent="0.25">
      <c r="B40" s="96" t="s">
        <v>277</v>
      </c>
      <c r="C40" s="96"/>
      <c r="D40" s="116">
        <f>(D20-C20)*-1</f>
        <v>0</v>
      </c>
      <c r="E40" s="116">
        <f>(E20-D20)*-1</f>
        <v>0</v>
      </c>
      <c r="F40" s="116">
        <f>(F20-E20)*-1</f>
        <v>-6896</v>
      </c>
      <c r="G40" s="116">
        <f>(G20-F20)*-1</f>
        <v>-2194.5</v>
      </c>
      <c r="H40" s="116">
        <f>(H20-G20)*-1</f>
        <v>-1915.5</v>
      </c>
      <c r="I40" s="116">
        <f>(I20-H20)*-1</f>
        <v>-6754</v>
      </c>
      <c r="J40" s="116">
        <f>(J20-I20)*-1</f>
        <v>-6118.3869887924848</v>
      </c>
      <c r="K40" s="116">
        <f>(K20-J20)*-1</f>
        <v>-7209.1996275692836</v>
      </c>
      <c r="L40" s="116">
        <f>(L20-K20)*-1</f>
        <v>-7937.1695699184274</v>
      </c>
      <c r="M40" s="116">
        <f>(M20-L20)*-1</f>
        <v>-8042.7992928320818</v>
      </c>
      <c r="N40" s="116">
        <f>(N20-M20)*-1</f>
        <v>-7297.6525988116337</v>
      </c>
      <c r="O40" s="100"/>
      <c r="P40" s="100"/>
      <c r="Q40" s="100"/>
    </row>
    <row r="41" spans="2:17" x14ac:dyDescent="0.25">
      <c r="B41" s="96" t="s">
        <v>278</v>
      </c>
      <c r="C41" s="96"/>
      <c r="D41" s="116">
        <f>(D21-C21)*-1</f>
        <v>0</v>
      </c>
      <c r="E41" s="116">
        <f>(E21-D21)*-1</f>
        <v>0</v>
      </c>
      <c r="F41" s="116">
        <f>(F21-E21)*-1</f>
        <v>-4310</v>
      </c>
      <c r="G41" s="116">
        <f>(G21-F21)*-1</f>
        <v>-1462.8000000000002</v>
      </c>
      <c r="H41" s="116">
        <f>(H21-G21)*-1</f>
        <v>-1816.1999999999998</v>
      </c>
      <c r="I41" s="116">
        <f>(I21-H21)*-1</f>
        <v>-6155</v>
      </c>
      <c r="J41" s="116">
        <f>(J21-I21)*-1</f>
        <v>-7532.4675288413091</v>
      </c>
      <c r="K41" s="116">
        <f>(K21-J21)*-1</f>
        <v>-6423.645862549507</v>
      </c>
      <c r="L41" s="116">
        <f>(L21-K21)*-1</f>
        <v>-7072.2922241162923</v>
      </c>
      <c r="M41" s="116">
        <f>(M21-L21)*-1</f>
        <v>-7166.4119555163998</v>
      </c>
      <c r="N41" s="116">
        <f>(N21-M21)*-1</f>
        <v>-6502.4605149525669</v>
      </c>
      <c r="O41" s="100"/>
      <c r="P41" s="100"/>
      <c r="Q41" s="100"/>
    </row>
    <row r="42" spans="2:17" x14ac:dyDescent="0.25">
      <c r="B42" s="96" t="s">
        <v>279</v>
      </c>
      <c r="C42" s="96"/>
      <c r="D42" s="116">
        <f>(D22-C22)*-1</f>
        <v>0</v>
      </c>
      <c r="E42" s="116">
        <f>(E22-D22)*-1</f>
        <v>0</v>
      </c>
      <c r="F42" s="116">
        <f>(F22-E22)*-1</f>
        <v>-2947</v>
      </c>
      <c r="G42" s="116">
        <f>(G22-F22)*-1</f>
        <v>-2593.8000000000002</v>
      </c>
      <c r="H42" s="116">
        <f>(H22-G22)*-1</f>
        <v>-2800.2</v>
      </c>
      <c r="I42" s="116">
        <f>(I22-H22)*-1</f>
        <v>-5974</v>
      </c>
      <c r="J42" s="116">
        <f>(J22-I22)*-1</f>
        <v>-4931.5714946263761</v>
      </c>
      <c r="K42" s="116">
        <f>(K22-J22)*-1</f>
        <v>-5810.7935061179232</v>
      </c>
      <c r="L42" s="116">
        <f>(L22-K22)*-1</f>
        <v>-6397.555314942696</v>
      </c>
      <c r="M42" s="116">
        <f>(M22-L22)*-1</f>
        <v>-6482.6954885636987</v>
      </c>
      <c r="N42" s="116">
        <f>(N22-M22)*-1</f>
        <v>-5882.0887923416958</v>
      </c>
      <c r="O42" s="100"/>
      <c r="P42" s="100"/>
      <c r="Q42" s="100"/>
    </row>
    <row r="43" spans="2:17" x14ac:dyDescent="0.25">
      <c r="B43" s="96" t="s">
        <v>280</v>
      </c>
      <c r="C43" s="96"/>
      <c r="D43" s="116">
        <f>(D24-C24)</f>
        <v>0</v>
      </c>
      <c r="E43" s="116">
        <f>(E24-D24)</f>
        <v>0</v>
      </c>
      <c r="F43" s="116">
        <f>(F24-E24)</f>
        <v>1930.6</v>
      </c>
      <c r="G43" s="116">
        <f>(G24-F24)</f>
        <v>668.20000000000027</v>
      </c>
      <c r="H43" s="116">
        <f>(H24-G24)</f>
        <v>630.19999999999982</v>
      </c>
      <c r="I43" s="116">
        <f>(I24-H24)</f>
        <v>2150</v>
      </c>
      <c r="J43" s="116">
        <f>(J24-I24)</f>
        <v>2947.9876919119179</v>
      </c>
      <c r="K43" s="116">
        <f>(K24-J24)</f>
        <v>2514.0272915202113</v>
      </c>
      <c r="L43" s="116">
        <f>(L24-K24)</f>
        <v>2767.8885239756637</v>
      </c>
      <c r="M43" s="116">
        <f>(M24-L24)</f>
        <v>2804.7242366649243</v>
      </c>
      <c r="N43" s="116">
        <f>(N24-M24)</f>
        <v>2544.873043504791</v>
      </c>
      <c r="O43" s="100"/>
      <c r="P43" s="100"/>
      <c r="Q43" s="100"/>
    </row>
    <row r="44" spans="2:17" x14ac:dyDescent="0.25">
      <c r="B44" s="96" t="s">
        <v>281</v>
      </c>
      <c r="C44" s="96"/>
      <c r="D44" s="116">
        <f>(D25-C25)</f>
        <v>0</v>
      </c>
      <c r="E44" s="116">
        <f>(E25-D25)</f>
        <v>0</v>
      </c>
      <c r="F44" s="116">
        <f>(F25-E25)</f>
        <v>1059.8</v>
      </c>
      <c r="G44" s="116">
        <f>(G25-F25)</f>
        <v>590.60000000000014</v>
      </c>
      <c r="H44" s="116">
        <f>(H25-G25)</f>
        <v>443.59999999999991</v>
      </c>
      <c r="I44" s="116">
        <f>(I25-H25)</f>
        <v>281</v>
      </c>
      <c r="J44" s="116">
        <f>(J25-I25)</f>
        <v>818.1964582422379</v>
      </c>
      <c r="K44" s="116">
        <f>(K25-J25)</f>
        <v>964.06808082641055</v>
      </c>
      <c r="L44" s="116">
        <f>(L25-K25)</f>
        <v>1061.4176648961857</v>
      </c>
      <c r="M44" s="116">
        <f>(M25-L25)</f>
        <v>1075.543261288075</v>
      </c>
      <c r="N44" s="116">
        <f>(N25-M25)</f>
        <v>975.89667354603716</v>
      </c>
      <c r="O44" s="100"/>
      <c r="P44" s="100"/>
      <c r="Q44" s="100"/>
    </row>
    <row r="45" spans="2:17" x14ac:dyDescent="0.25">
      <c r="B45" s="114" t="s">
        <v>282</v>
      </c>
      <c r="C45" s="117"/>
      <c r="D45" s="118">
        <f>D29*-1</f>
        <v>0</v>
      </c>
      <c r="E45" s="118">
        <f>E29*-1</f>
        <v>0</v>
      </c>
      <c r="F45" s="118">
        <f>F29*-1</f>
        <v>1854.3</v>
      </c>
      <c r="G45" s="118">
        <f>G29*-1</f>
        <v>3448</v>
      </c>
      <c r="H45" s="118">
        <f>H29*-1</f>
        <v>5058</v>
      </c>
      <c r="I45" s="118">
        <f>I29*-1</f>
        <v>7841</v>
      </c>
      <c r="J45" s="118">
        <f>J29*-1</f>
        <v>8732.818505021467</v>
      </c>
      <c r="K45" s="118">
        <f>K29*-1</f>
        <v>11369.371465804794</v>
      </c>
      <c r="L45" s="118">
        <f>L29*-1</f>
        <v>14272.158045577118</v>
      </c>
      <c r="M45" s="118">
        <f>M29*-1</f>
        <v>17213.575593151985</v>
      </c>
      <c r="N45" s="118">
        <f>N29*-1</f>
        <v>19882.477629459212</v>
      </c>
      <c r="O45" s="100"/>
      <c r="P45" s="100"/>
      <c r="Q45" s="100"/>
    </row>
    <row r="46" spans="2:17" x14ac:dyDescent="0.25">
      <c r="B46" s="104" t="s">
        <v>283</v>
      </c>
      <c r="C46" s="104"/>
      <c r="D46" s="119">
        <f t="shared" ref="D46:N46" si="5">SUM(D38:D45)</f>
        <v>0</v>
      </c>
      <c r="E46" s="119">
        <f t="shared" si="5"/>
        <v>0</v>
      </c>
      <c r="F46" s="119">
        <f t="shared" si="5"/>
        <v>-1450.2602961918203</v>
      </c>
      <c r="G46" s="119">
        <f t="shared" si="5"/>
        <v>5096.1504578145295</v>
      </c>
      <c r="H46" s="119">
        <f t="shared" si="5"/>
        <v>12139.446398744511</v>
      </c>
      <c r="I46" s="119">
        <f t="shared" si="5"/>
        <v>14484.521805703451</v>
      </c>
      <c r="J46" s="119">
        <f t="shared" si="5"/>
        <v>18687.875953746305</v>
      </c>
      <c r="K46" s="119">
        <f t="shared" si="5"/>
        <v>27720.031762282113</v>
      </c>
      <c r="L46" s="119">
        <f t="shared" si="5"/>
        <v>37276.98881237593</v>
      </c>
      <c r="M46" s="119">
        <f t="shared" si="5"/>
        <v>48500.994813716243</v>
      </c>
      <c r="N46" s="119">
        <f t="shared" si="5"/>
        <v>60493.285624579643</v>
      </c>
      <c r="O46" s="100"/>
      <c r="P46" s="120"/>
      <c r="Q46" s="100"/>
    </row>
    <row r="47" spans="2:17" x14ac:dyDescent="0.25">
      <c r="B47" s="96" t="s">
        <v>284</v>
      </c>
      <c r="C47" s="96"/>
      <c r="D47" s="121"/>
      <c r="E47" s="121"/>
      <c r="F47" s="122"/>
      <c r="G47" s="122"/>
      <c r="H47" s="123"/>
      <c r="I47" s="123"/>
      <c r="J47" s="124">
        <f>$H$74</f>
        <v>6.7102096605434286E-2</v>
      </c>
      <c r="K47" s="124">
        <f t="shared" ref="K47:N47" si="6">$H$74</f>
        <v>6.7102096605434286E-2</v>
      </c>
      <c r="L47" s="124">
        <f t="shared" si="6"/>
        <v>6.7102096605434286E-2</v>
      </c>
      <c r="M47" s="124">
        <f t="shared" si="6"/>
        <v>6.7102096605434286E-2</v>
      </c>
      <c r="N47" s="124">
        <f t="shared" si="6"/>
        <v>6.7102096605434286E-2</v>
      </c>
      <c r="O47" s="100"/>
      <c r="P47" s="120"/>
      <c r="Q47" s="100"/>
    </row>
    <row r="48" spans="2:17" x14ac:dyDescent="0.25">
      <c r="B48" s="96" t="s">
        <v>285</v>
      </c>
      <c r="C48" s="96"/>
      <c r="D48" s="110"/>
      <c r="E48" s="110"/>
      <c r="G48" s="110"/>
      <c r="H48" s="110"/>
      <c r="I48" s="110"/>
      <c r="J48" s="125">
        <f>J46/(1+J47)^J34</f>
        <v>17512.734735686896</v>
      </c>
      <c r="K48" s="125">
        <f t="shared" ref="K48:M48" si="7">K46/(1+K47)^K34</f>
        <v>24343.4303749848</v>
      </c>
      <c r="L48" s="125">
        <f t="shared" si="7"/>
        <v>30677.707603406416</v>
      </c>
      <c r="M48" s="125">
        <f t="shared" si="7"/>
        <v>37404.749776359706</v>
      </c>
      <c r="N48" s="125">
        <f>N46/(1+N47)^N34</f>
        <v>43719.713508953508</v>
      </c>
      <c r="O48" s="100"/>
      <c r="P48" s="100"/>
      <c r="Q48" s="100"/>
    </row>
    <row r="49" spans="2:17" x14ac:dyDescent="0.25">
      <c r="B49" s="104" t="s">
        <v>286</v>
      </c>
      <c r="C49" s="104"/>
      <c r="D49" s="119"/>
      <c r="F49" s="113">
        <f>SUM(J48:N48)</f>
        <v>153658.33599939133</v>
      </c>
      <c r="G49" s="119"/>
      <c r="H49" s="100"/>
      <c r="I49" s="100"/>
      <c r="J49" s="124">
        <f t="shared" ref="J49:N49" si="8">J46/I46-1</f>
        <v>0.29019626636122253</v>
      </c>
      <c r="K49" s="124">
        <f t="shared" si="8"/>
        <v>0.48331634001054891</v>
      </c>
      <c r="L49" s="124">
        <f t="shared" si="8"/>
        <v>0.34476717530669299</v>
      </c>
      <c r="M49" s="124">
        <f t="shared" si="8"/>
        <v>0.30109744265647209</v>
      </c>
      <c r="N49" s="124">
        <f t="shared" si="8"/>
        <v>0.24725865638269218</v>
      </c>
      <c r="O49" s="100"/>
      <c r="P49" s="100"/>
      <c r="Q49" s="100"/>
    </row>
    <row r="50" spans="2:17" x14ac:dyDescent="0.25"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</row>
    <row r="51" spans="2:17" ht="18.75" x14ac:dyDescent="0.3">
      <c r="B51" s="79" t="s">
        <v>287</v>
      </c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100"/>
      <c r="P51" s="100"/>
      <c r="Q51" s="100"/>
    </row>
    <row r="52" spans="2:17" x14ac:dyDescent="0.25">
      <c r="B52" s="126" t="s">
        <v>288</v>
      </c>
      <c r="C52" s="126"/>
      <c r="D52" s="127"/>
      <c r="E52" s="127"/>
      <c r="F52" s="128"/>
      <c r="G52" s="128"/>
      <c r="H52" s="129"/>
      <c r="I52" s="129"/>
      <c r="J52" s="129"/>
      <c r="K52" s="128"/>
      <c r="L52" s="129"/>
      <c r="M52" s="100"/>
      <c r="N52" s="100"/>
      <c r="O52" s="100"/>
      <c r="P52" s="100"/>
      <c r="Q52" s="100"/>
    </row>
    <row r="53" spans="2:17" x14ac:dyDescent="0.25">
      <c r="B53" s="100" t="s">
        <v>289</v>
      </c>
      <c r="C53" s="100"/>
      <c r="D53" s="130"/>
      <c r="F53" s="199">
        <v>0.01</v>
      </c>
      <c r="G53" s="131"/>
      <c r="H53" s="132" t="s">
        <v>290</v>
      </c>
      <c r="I53" s="133"/>
      <c r="J53" s="133"/>
      <c r="K53" s="133"/>
      <c r="L53" s="133"/>
      <c r="M53" s="100"/>
      <c r="N53" s="100"/>
      <c r="O53" s="100"/>
      <c r="P53" s="100"/>
      <c r="Q53" s="100"/>
    </row>
    <row r="54" spans="2:17" x14ac:dyDescent="0.25">
      <c r="B54" s="100" t="s">
        <v>291</v>
      </c>
      <c r="C54" s="100"/>
      <c r="D54" s="134"/>
      <c r="F54" s="134">
        <f>H74</f>
        <v>6.7102096605434286E-2</v>
      </c>
      <c r="G54" s="135"/>
      <c r="H54" s="136">
        <v>2021</v>
      </c>
      <c r="I54" s="137" t="str">
        <f>J33</f>
        <v>FY'26</v>
      </c>
      <c r="J54" s="137" t="str">
        <f>K33</f>
        <v>FY'27</v>
      </c>
      <c r="K54" s="137" t="str">
        <f>L33</f>
        <v>FY'28</v>
      </c>
      <c r="L54" s="137" t="str">
        <f>M33</f>
        <v>FY'29</v>
      </c>
      <c r="M54" s="100"/>
      <c r="N54" s="100"/>
      <c r="O54" s="100"/>
      <c r="P54" s="100"/>
      <c r="Q54" s="100"/>
    </row>
    <row r="55" spans="2:17" x14ac:dyDescent="0.25">
      <c r="B55" s="100" t="s">
        <v>292</v>
      </c>
      <c r="C55" s="100"/>
      <c r="D55" s="115"/>
      <c r="F55" s="115">
        <f>N46*(1+F53)</f>
        <v>61098.218480825439</v>
      </c>
      <c r="G55" s="128"/>
      <c r="H55" s="129"/>
      <c r="I55" s="138">
        <f t="shared" ref="I55:L55" si="9">K46/J46-1</f>
        <v>0.48331634001054891</v>
      </c>
      <c r="J55" s="138">
        <f t="shared" si="9"/>
        <v>0.34476717530669299</v>
      </c>
      <c r="K55" s="139">
        <f t="shared" si="9"/>
        <v>0.30109744265647209</v>
      </c>
      <c r="L55" s="138">
        <f t="shared" si="9"/>
        <v>0.24725865638269218</v>
      </c>
      <c r="M55" s="100"/>
      <c r="N55" s="100"/>
      <c r="O55" s="100"/>
      <c r="P55" s="100"/>
      <c r="Q55" s="100"/>
    </row>
    <row r="56" spans="2:17" x14ac:dyDescent="0.25">
      <c r="B56" s="100" t="s">
        <v>287</v>
      </c>
      <c r="C56" s="100"/>
      <c r="D56" s="115"/>
      <c r="F56" s="115">
        <f>F55/(F54-F53)</f>
        <v>1069982.0516749793</v>
      </c>
      <c r="G56" s="128"/>
      <c r="H56" s="129"/>
      <c r="I56" s="129"/>
      <c r="J56" s="129"/>
      <c r="K56" s="128"/>
      <c r="L56" s="129"/>
      <c r="M56" s="100"/>
      <c r="N56" s="100"/>
      <c r="O56" s="100"/>
      <c r="P56" s="100"/>
      <c r="Q56" s="100"/>
    </row>
    <row r="57" spans="2:17" x14ac:dyDescent="0.25">
      <c r="B57" s="104" t="s">
        <v>293</v>
      </c>
      <c r="C57" s="104"/>
      <c r="D57" s="140"/>
      <c r="F57" s="141">
        <f>F56/(1+F54)^N34</f>
        <v>773297.53667645063</v>
      </c>
      <c r="G57" s="142"/>
      <c r="H57" s="129"/>
      <c r="I57" s="129"/>
      <c r="J57" s="129"/>
      <c r="K57" s="142"/>
      <c r="L57" s="129"/>
      <c r="M57" s="100"/>
      <c r="N57" s="100"/>
      <c r="O57" s="100"/>
      <c r="P57" s="100"/>
      <c r="Q57" s="100"/>
    </row>
    <row r="58" spans="2:17" x14ac:dyDescent="0.25">
      <c r="B58" s="100"/>
      <c r="C58" s="100"/>
      <c r="D58" s="143"/>
      <c r="E58" s="143"/>
      <c r="F58" s="143"/>
      <c r="G58" s="129"/>
      <c r="H58" s="129"/>
      <c r="I58" s="129"/>
      <c r="J58" s="129"/>
      <c r="K58" s="129"/>
      <c r="L58" s="129"/>
      <c r="M58" s="100"/>
      <c r="N58" s="100"/>
      <c r="O58" s="100"/>
      <c r="P58" s="100"/>
      <c r="Q58" s="100"/>
    </row>
    <row r="59" spans="2:17" ht="18.75" x14ac:dyDescent="0.3">
      <c r="B59" s="79" t="s">
        <v>291</v>
      </c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100"/>
      <c r="P59" s="100"/>
      <c r="Q59" s="100"/>
    </row>
    <row r="60" spans="2:17" x14ac:dyDescent="0.25">
      <c r="B60" s="100" t="s">
        <v>294</v>
      </c>
      <c r="C60" s="100"/>
      <c r="D60" s="100"/>
      <c r="E60" s="100"/>
      <c r="F60" s="100"/>
      <c r="G60" s="100"/>
      <c r="H60" s="144">
        <f>H5</f>
        <v>1215.02</v>
      </c>
      <c r="I60" s="100"/>
      <c r="J60" s="100"/>
      <c r="K60" s="100"/>
      <c r="L60" s="100"/>
      <c r="M60" s="100"/>
      <c r="N60" s="100"/>
      <c r="O60" s="100"/>
      <c r="P60" s="100"/>
      <c r="Q60" s="100"/>
    </row>
    <row r="61" spans="2:17" x14ac:dyDescent="0.25">
      <c r="B61" s="100" t="s">
        <v>258</v>
      </c>
      <c r="C61" s="100"/>
      <c r="D61" s="100"/>
      <c r="E61" s="100"/>
      <c r="F61" s="100"/>
      <c r="G61" s="100"/>
      <c r="H61" s="145">
        <f>H6</f>
        <v>893.7</v>
      </c>
      <c r="I61" s="100"/>
      <c r="J61" s="100"/>
      <c r="K61" s="100"/>
      <c r="L61" s="100"/>
      <c r="M61" s="124"/>
      <c r="N61" s="100"/>
      <c r="O61" s="100"/>
      <c r="P61" s="100"/>
      <c r="Q61" s="100"/>
    </row>
    <row r="62" spans="2:17" x14ac:dyDescent="0.25">
      <c r="B62" s="100" t="s">
        <v>295</v>
      </c>
      <c r="C62" s="100"/>
      <c r="D62" s="100"/>
      <c r="E62" s="100"/>
      <c r="F62" s="100"/>
      <c r="G62" s="100"/>
      <c r="H62" s="199">
        <v>4.9000000000000002E-2</v>
      </c>
      <c r="I62" s="100"/>
      <c r="J62" s="100"/>
      <c r="K62" s="100"/>
      <c r="L62" s="100" t="s">
        <v>323</v>
      </c>
      <c r="M62" s="202">
        <v>4.2299999999999997E-2</v>
      </c>
      <c r="N62" s="100" t="s">
        <v>325</v>
      </c>
      <c r="O62" s="100"/>
      <c r="P62" s="100"/>
      <c r="Q62" s="100"/>
    </row>
    <row r="63" spans="2:17" x14ac:dyDescent="0.25">
      <c r="B63" s="100" t="s">
        <v>296</v>
      </c>
      <c r="C63" s="100"/>
      <c r="D63" s="100"/>
      <c r="E63" s="100"/>
      <c r="F63" s="100"/>
      <c r="G63" s="100"/>
      <c r="H63" s="200">
        <f>J37</f>
        <v>0.2</v>
      </c>
      <c r="I63" s="100"/>
      <c r="J63" s="100"/>
      <c r="K63" s="100"/>
      <c r="L63" s="100" t="s">
        <v>297</v>
      </c>
      <c r="M63" s="202">
        <v>4.6940000000000003E-2</v>
      </c>
      <c r="N63" s="100" t="s">
        <v>324</v>
      </c>
      <c r="O63" s="100"/>
      <c r="P63" s="100"/>
      <c r="Q63" s="100"/>
    </row>
    <row r="64" spans="2:17" x14ac:dyDescent="0.25">
      <c r="B64" s="100" t="s">
        <v>298</v>
      </c>
      <c r="C64" s="100"/>
      <c r="D64" s="100"/>
      <c r="E64" s="100"/>
      <c r="F64" s="100"/>
      <c r="G64" s="100"/>
      <c r="H64" s="146">
        <f>H62*(1-H63)</f>
        <v>3.9200000000000006E-2</v>
      </c>
      <c r="I64" s="100"/>
      <c r="J64" s="100"/>
      <c r="K64" s="100"/>
      <c r="L64" s="100" t="s">
        <v>299</v>
      </c>
      <c r="M64" s="203">
        <v>0.51</v>
      </c>
      <c r="N64" s="100" t="s">
        <v>300</v>
      </c>
      <c r="O64" s="100"/>
      <c r="P64" s="100"/>
      <c r="Q64" s="100"/>
    </row>
    <row r="65" spans="2:17" x14ac:dyDescent="0.25">
      <c r="B65" s="100" t="s">
        <v>301</v>
      </c>
      <c r="C65" s="100"/>
      <c r="D65" s="100"/>
      <c r="E65" s="100"/>
      <c r="F65" s="100"/>
      <c r="G65" s="100"/>
      <c r="H65" s="199">
        <f>M66</f>
        <v>6.8513000000000004E-2</v>
      </c>
      <c r="I65" s="100"/>
      <c r="J65" s="100"/>
      <c r="K65" s="100"/>
      <c r="L65" s="100"/>
      <c r="M65" s="100"/>
      <c r="N65" s="100"/>
      <c r="O65" s="100"/>
      <c r="P65" s="100"/>
      <c r="Q65" s="100"/>
    </row>
    <row r="66" spans="2:17" x14ac:dyDescent="0.25">
      <c r="B66" s="100"/>
      <c r="C66" s="100"/>
      <c r="D66" s="143"/>
      <c r="E66" s="143"/>
      <c r="F66" s="100"/>
      <c r="G66" s="143"/>
      <c r="H66" s="100"/>
      <c r="I66" s="100"/>
      <c r="J66" s="100"/>
      <c r="K66" s="100"/>
      <c r="L66" s="100" t="s">
        <v>302</v>
      </c>
      <c r="M66" s="124">
        <f>M63+M64*(M62)</f>
        <v>6.8513000000000004E-2</v>
      </c>
      <c r="N66" s="100"/>
      <c r="O66" s="100"/>
      <c r="P66" s="100"/>
      <c r="Q66" s="100"/>
    </row>
    <row r="67" spans="2:17" x14ac:dyDescent="0.25">
      <c r="B67" s="100" t="s">
        <v>303</v>
      </c>
      <c r="C67" s="100"/>
      <c r="D67" s="100"/>
      <c r="E67" s="100"/>
      <c r="F67" s="100"/>
      <c r="G67" s="100"/>
      <c r="H67" s="201">
        <f>Main!C7</f>
        <v>54908</v>
      </c>
      <c r="I67" s="100"/>
      <c r="J67" s="100"/>
      <c r="K67" s="100"/>
      <c r="L67" s="147" t="s">
        <v>304</v>
      </c>
      <c r="M67" s="100"/>
      <c r="N67" s="100"/>
      <c r="O67" s="100"/>
      <c r="P67" s="100"/>
      <c r="Q67" s="100"/>
    </row>
    <row r="68" spans="2:17" x14ac:dyDescent="0.25">
      <c r="B68" s="100" t="s">
        <v>305</v>
      </c>
      <c r="C68" s="100"/>
      <c r="D68" s="100"/>
      <c r="E68" s="100"/>
      <c r="F68" s="100"/>
      <c r="G68" s="100"/>
      <c r="H68" s="201">
        <f>Main!C5</f>
        <v>1085863.3740000001</v>
      </c>
      <c r="I68" s="100"/>
      <c r="J68" s="100"/>
      <c r="K68" s="100"/>
      <c r="L68" s="100"/>
      <c r="M68" s="100"/>
      <c r="N68" s="100"/>
      <c r="O68" s="100"/>
      <c r="P68" s="100"/>
      <c r="Q68" s="100"/>
    </row>
    <row r="69" spans="2:17" x14ac:dyDescent="0.25">
      <c r="B69" s="148" t="s">
        <v>306</v>
      </c>
      <c r="C69" s="148"/>
      <c r="D69" s="100"/>
      <c r="E69" s="100"/>
      <c r="F69" s="100"/>
      <c r="G69" s="100"/>
      <c r="H69" s="113">
        <f>SUM(H67:H68)</f>
        <v>1140771.3740000001</v>
      </c>
      <c r="I69" s="100"/>
      <c r="J69" s="100"/>
      <c r="K69" s="100"/>
      <c r="L69" s="100"/>
      <c r="M69" s="100"/>
      <c r="N69" s="100"/>
      <c r="O69" s="100"/>
      <c r="P69" s="100"/>
      <c r="Q69" s="100"/>
    </row>
    <row r="70" spans="2:17" x14ac:dyDescent="0.25">
      <c r="B70" s="148"/>
      <c r="C70" s="148"/>
      <c r="D70" s="100"/>
      <c r="E70" s="100"/>
      <c r="F70" s="100"/>
      <c r="G70" s="100"/>
      <c r="H70" s="149"/>
      <c r="I70" s="100"/>
      <c r="J70" s="100"/>
      <c r="K70" s="100"/>
      <c r="L70" s="100"/>
      <c r="M70" s="100"/>
      <c r="N70" s="100"/>
      <c r="O70" s="100"/>
      <c r="P70" s="100"/>
      <c r="Q70" s="100"/>
    </row>
    <row r="71" spans="2:17" x14ac:dyDescent="0.25">
      <c r="B71" s="100" t="s">
        <v>307</v>
      </c>
      <c r="C71" s="100"/>
      <c r="D71" s="100"/>
      <c r="E71" s="100"/>
      <c r="F71" s="100"/>
      <c r="G71" s="100"/>
      <c r="H71" s="150">
        <f>H67/H69</f>
        <v>4.8132343825801505E-2</v>
      </c>
      <c r="I71" s="100"/>
      <c r="J71" s="100"/>
      <c r="K71" s="100"/>
      <c r="L71" s="100"/>
      <c r="M71" s="100"/>
      <c r="N71" s="100"/>
      <c r="O71" s="100"/>
      <c r="P71" s="100"/>
      <c r="Q71" s="100"/>
    </row>
    <row r="72" spans="2:17" x14ac:dyDescent="0.25">
      <c r="B72" s="100" t="s">
        <v>308</v>
      </c>
      <c r="C72" s="100"/>
      <c r="D72" s="100"/>
      <c r="E72" s="100"/>
      <c r="F72" s="100"/>
      <c r="G72" s="100"/>
      <c r="H72" s="150">
        <f>H68/H69</f>
        <v>0.95186765617419855</v>
      </c>
      <c r="I72" s="100"/>
      <c r="J72" s="100"/>
      <c r="K72" s="100"/>
      <c r="L72" s="100"/>
      <c r="M72" s="100"/>
      <c r="N72" s="100"/>
      <c r="O72" s="100"/>
      <c r="P72" s="100"/>
      <c r="Q72" s="100"/>
    </row>
    <row r="73" spans="2:17" x14ac:dyDescent="0.25">
      <c r="B73" s="148"/>
      <c r="C73" s="148"/>
      <c r="D73" s="100"/>
      <c r="E73" s="100"/>
      <c r="F73" s="100"/>
      <c r="G73" s="100"/>
      <c r="H73" s="149"/>
      <c r="I73" s="100"/>
      <c r="J73" s="100"/>
      <c r="K73" s="100"/>
      <c r="L73" s="100"/>
      <c r="M73" s="100"/>
      <c r="N73" s="100"/>
      <c r="O73" s="100"/>
      <c r="P73" s="100"/>
      <c r="Q73" s="100"/>
    </row>
    <row r="74" spans="2:17" x14ac:dyDescent="0.25">
      <c r="B74" s="104" t="s">
        <v>309</v>
      </c>
      <c r="C74" s="104"/>
      <c r="D74" s="104"/>
      <c r="E74" s="104"/>
      <c r="F74" s="104"/>
      <c r="G74" s="104"/>
      <c r="H74" s="151">
        <f>H71*H64+H72*H65</f>
        <v>6.7102096605434286E-2</v>
      </c>
      <c r="I74" s="100"/>
      <c r="J74" s="100"/>
      <c r="K74" s="100"/>
      <c r="L74" s="100"/>
      <c r="M74" s="100"/>
      <c r="N74" s="100"/>
      <c r="O74" s="100"/>
      <c r="P74" s="100"/>
      <c r="Q74" s="100"/>
    </row>
    <row r="75" spans="2:17" x14ac:dyDescent="0.25">
      <c r="B75" s="100"/>
      <c r="C75" s="100"/>
      <c r="D75" s="143"/>
      <c r="E75" s="143"/>
      <c r="F75" s="143"/>
      <c r="G75" s="143"/>
      <c r="H75" s="100"/>
      <c r="I75" s="100"/>
      <c r="J75" s="100"/>
      <c r="K75" s="100"/>
      <c r="L75" s="100"/>
      <c r="M75" s="100"/>
      <c r="N75" s="100"/>
      <c r="O75" s="100"/>
      <c r="P75" s="100"/>
      <c r="Q75" s="100"/>
    </row>
    <row r="76" spans="2:17" ht="18.75" x14ac:dyDescent="0.3">
      <c r="B76" s="79" t="s">
        <v>310</v>
      </c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100"/>
      <c r="P76" s="100"/>
      <c r="Q76" s="100"/>
    </row>
    <row r="77" spans="2:17" x14ac:dyDescent="0.25">
      <c r="B77" s="100" t="s">
        <v>311</v>
      </c>
      <c r="C77" s="100"/>
      <c r="D77" s="152"/>
      <c r="E77" s="152"/>
      <c r="F77" s="152"/>
      <c r="G77" s="152"/>
      <c r="H77" s="110">
        <f>F57+F49</f>
        <v>926955.87267584191</v>
      </c>
      <c r="I77" s="100"/>
      <c r="J77" s="100"/>
      <c r="K77" s="100"/>
      <c r="L77" s="100"/>
      <c r="M77" s="100"/>
      <c r="N77" s="100"/>
      <c r="O77" s="100"/>
      <c r="P77" s="100"/>
      <c r="Q77" s="100"/>
    </row>
    <row r="78" spans="2:17" x14ac:dyDescent="0.25">
      <c r="B78" s="100" t="s">
        <v>312</v>
      </c>
      <c r="C78" s="100"/>
      <c r="D78" s="153"/>
      <c r="E78" s="153"/>
      <c r="F78" s="153"/>
      <c r="G78" s="153"/>
      <c r="H78" s="154">
        <f>(M78+M79)-M80</f>
        <v>35235</v>
      </c>
      <c r="I78" s="96" t="s">
        <v>313</v>
      </c>
      <c r="J78" s="152"/>
      <c r="K78" s="100"/>
      <c r="L78" s="100" t="s">
        <v>314</v>
      </c>
      <c r="M78" s="204">
        <f>BS!F29</f>
        <v>1635</v>
      </c>
      <c r="N78" s="100"/>
      <c r="O78" s="100"/>
      <c r="P78" s="100"/>
      <c r="Q78" s="100"/>
    </row>
    <row r="79" spans="2:17" x14ac:dyDescent="0.25">
      <c r="B79" s="104" t="s">
        <v>315</v>
      </c>
      <c r="C79" s="104"/>
      <c r="D79" s="100"/>
      <c r="E79" s="100"/>
      <c r="F79" s="100"/>
      <c r="G79" s="100"/>
      <c r="H79" s="113">
        <f>H77-H78</f>
        <v>891720.87267584191</v>
      </c>
      <c r="I79" s="96"/>
      <c r="J79" s="153"/>
      <c r="K79" s="100"/>
      <c r="L79" s="100" t="s">
        <v>316</v>
      </c>
      <c r="M79" s="204">
        <f>BS!F35</f>
        <v>40868</v>
      </c>
      <c r="N79" s="100"/>
      <c r="O79" s="100"/>
      <c r="P79" s="100"/>
      <c r="Q79" s="100"/>
    </row>
    <row r="80" spans="2:17" x14ac:dyDescent="0.25">
      <c r="B80" s="100" t="s">
        <v>258</v>
      </c>
      <c r="C80" s="100"/>
      <c r="D80" s="100"/>
      <c r="E80" s="100"/>
      <c r="F80" s="100"/>
      <c r="G80" s="100"/>
      <c r="H80" s="155">
        <f>H6</f>
        <v>893.7</v>
      </c>
      <c r="I80" s="148" t="s">
        <v>317</v>
      </c>
      <c r="J80" s="140"/>
      <c r="K80" s="100"/>
      <c r="L80" s="100" t="s">
        <v>12</v>
      </c>
      <c r="M80" s="204">
        <f>BS!F14</f>
        <v>7268</v>
      </c>
      <c r="N80" s="100"/>
      <c r="O80" s="100"/>
      <c r="P80" s="100"/>
      <c r="Q80" s="100"/>
    </row>
    <row r="81" spans="2:17" x14ac:dyDescent="0.25">
      <c r="B81" s="156" t="s">
        <v>318</v>
      </c>
      <c r="C81" s="107"/>
      <c r="D81" s="107"/>
      <c r="E81" s="107"/>
      <c r="F81" s="107"/>
      <c r="G81" s="107"/>
      <c r="H81" s="157">
        <f>H79/H80</f>
        <v>997.78546791523092</v>
      </c>
      <c r="I81" s="158"/>
      <c r="J81" s="159"/>
      <c r="K81" s="100"/>
      <c r="L81" s="100"/>
      <c r="M81" s="100"/>
      <c r="N81" s="100"/>
      <c r="O81" s="100"/>
      <c r="P81" s="100"/>
      <c r="Q81" s="100"/>
    </row>
    <row r="82" spans="2:17" x14ac:dyDescent="0.25">
      <c r="B82" s="100"/>
      <c r="C82" s="100"/>
      <c r="D82" s="100"/>
      <c r="E82" s="100"/>
      <c r="F82" s="100"/>
      <c r="G82" s="100" t="s">
        <v>319</v>
      </c>
      <c r="H82" s="160">
        <f>H81/H5-1</f>
        <v>-0.17879091050745588</v>
      </c>
      <c r="I82" s="148"/>
      <c r="J82" s="161"/>
      <c r="K82" s="162" t="s">
        <v>320</v>
      </c>
      <c r="L82" s="133"/>
      <c r="M82" s="133"/>
      <c r="N82" s="133"/>
      <c r="O82" s="133"/>
      <c r="P82" s="133"/>
      <c r="Q82" s="100"/>
    </row>
    <row r="83" spans="2:17" x14ac:dyDescent="0.25">
      <c r="B83" s="100"/>
      <c r="C83" s="100"/>
      <c r="D83" s="143"/>
      <c r="E83" s="143"/>
      <c r="F83" s="143"/>
      <c r="G83" s="143"/>
      <c r="H83" s="143"/>
      <c r="I83" s="143"/>
      <c r="N83" s="163" t="s">
        <v>321</v>
      </c>
      <c r="Q83" s="143"/>
    </row>
    <row r="84" spans="2:17" x14ac:dyDescent="0.25">
      <c r="B84" s="100"/>
      <c r="C84" s="100"/>
      <c r="D84" s="164"/>
      <c r="E84" s="164"/>
      <c r="K84" s="165">
        <f>+H90</f>
        <v>0</v>
      </c>
      <c r="L84" s="166">
        <f>M84-0.005</f>
        <v>2.9381787991493945E-2</v>
      </c>
      <c r="M84" s="166">
        <f>+N84-0.005</f>
        <v>3.4381787991493946E-2</v>
      </c>
      <c r="N84" s="167">
        <v>3.9381787991493944E-2</v>
      </c>
      <c r="O84" s="166">
        <f>N84+0.005</f>
        <v>4.4381787991493941E-2</v>
      </c>
      <c r="P84" s="166">
        <f>O84+0.005</f>
        <v>4.9381787991493939E-2</v>
      </c>
    </row>
    <row r="85" spans="2:17" x14ac:dyDescent="0.25">
      <c r="B85" s="100"/>
      <c r="C85" s="100"/>
      <c r="D85" s="164"/>
      <c r="E85" s="164"/>
      <c r="G85" s="164"/>
      <c r="J85" s="168" t="s">
        <v>291</v>
      </c>
      <c r="K85" s="169">
        <f>K86-0.005</f>
        <v>6.9572637372920895E-2</v>
      </c>
      <c r="L85" s="170">
        <v>56.643249001930386</v>
      </c>
      <c r="M85" s="170">
        <v>54.949116865059182</v>
      </c>
      <c r="N85" s="170">
        <v>53.176855024220643</v>
      </c>
      <c r="O85" s="170">
        <v>51.324676923240347</v>
      </c>
      <c r="P85" s="170">
        <v>49.390772518693161</v>
      </c>
    </row>
    <row r="86" spans="2:17" ht="16.5" thickBot="1" x14ac:dyDescent="0.3">
      <c r="B86" s="171"/>
      <c r="C86" s="171"/>
      <c r="D86" s="164"/>
      <c r="E86" s="164"/>
      <c r="J86" s="168"/>
      <c r="K86" s="169">
        <f>K87-0.005</f>
        <v>7.45726373729209E-2</v>
      </c>
      <c r="L86" s="170">
        <v>52.242182968071361</v>
      </c>
      <c r="M86" s="170">
        <v>50.665433022385216</v>
      </c>
      <c r="N86" s="170">
        <v>49.017222516967315</v>
      </c>
      <c r="O86" s="170">
        <v>47.295925553029477</v>
      </c>
      <c r="P86" s="170">
        <v>45.49989490840796</v>
      </c>
    </row>
    <row r="87" spans="2:17" ht="16.5" thickBot="1" x14ac:dyDescent="0.3">
      <c r="B87" s="171"/>
      <c r="C87" s="171"/>
      <c r="D87" s="100"/>
      <c r="E87" s="100"/>
      <c r="J87" s="168"/>
      <c r="K87" s="172">
        <v>7.9572637372920904E-2</v>
      </c>
      <c r="L87" s="170">
        <v>48.497933549323271</v>
      </c>
      <c r="M87" s="170">
        <v>47.021047636063528</v>
      </c>
      <c r="N87" s="173">
        <v>45.478375001918224</v>
      </c>
      <c r="O87" s="170">
        <v>43.86842642892163</v>
      </c>
      <c r="P87" s="170">
        <v>42.189693216670065</v>
      </c>
    </row>
    <row r="88" spans="2:17" x14ac:dyDescent="0.25">
      <c r="B88" s="171"/>
      <c r="C88" s="171"/>
      <c r="J88" s="168"/>
      <c r="K88" s="169">
        <f>K87+0.005</f>
        <v>8.4572637372920909E-2</v>
      </c>
      <c r="L88" s="170">
        <v>45.27766178883676</v>
      </c>
      <c r="M88" s="170">
        <v>43.886664738081947</v>
      </c>
      <c r="N88" s="170">
        <v>42.434760797074262</v>
      </c>
      <c r="O88" s="170">
        <v>40.92057830128617</v>
      </c>
      <c r="P88" s="170">
        <v>39.342727687065377</v>
      </c>
    </row>
    <row r="89" spans="2:17" x14ac:dyDescent="0.25">
      <c r="B89" s="171"/>
      <c r="C89" s="174"/>
      <c r="J89" s="168"/>
      <c r="K89" s="169">
        <f>K88+0.005</f>
        <v>8.9572637372920913E-2</v>
      </c>
      <c r="L89" s="170">
        <v>42.481941469872744</v>
      </c>
      <c r="M89" s="170">
        <v>41.165509939029654</v>
      </c>
      <c r="N89" s="170">
        <v>39.79240800561783</v>
      </c>
      <c r="O89" s="170">
        <v>38.361366060638048</v>
      </c>
      <c r="P89" s="170">
        <v>36.871097970539985</v>
      </c>
    </row>
    <row r="90" spans="2:17" x14ac:dyDescent="0.25">
      <c r="B90" s="171"/>
      <c r="C90" s="171"/>
      <c r="Q90" s="74" t="s">
        <v>322</v>
      </c>
    </row>
    <row r="91" spans="2:17" x14ac:dyDescent="0.25">
      <c r="B91" s="171"/>
      <c r="C91" s="174"/>
    </row>
    <row r="92" spans="2:17" x14ac:dyDescent="0.25">
      <c r="B92" s="171"/>
      <c r="C92" s="175"/>
    </row>
    <row r="93" spans="2:17" x14ac:dyDescent="0.25">
      <c r="B93" s="171"/>
      <c r="C93" s="174"/>
    </row>
    <row r="102" spans="2:9" x14ac:dyDescent="0.25">
      <c r="C102" s="171"/>
      <c r="D102" s="171"/>
      <c r="E102" s="171"/>
      <c r="F102" s="171"/>
      <c r="G102" s="171"/>
      <c r="H102" s="171"/>
      <c r="I102" s="171"/>
    </row>
    <row r="103" spans="2:9" x14ac:dyDescent="0.25">
      <c r="B103" s="171"/>
      <c r="C103" s="171"/>
      <c r="D103" s="171"/>
      <c r="E103" s="171"/>
      <c r="F103" s="171"/>
      <c r="G103" s="171"/>
      <c r="H103" s="171"/>
      <c r="I103" s="171"/>
    </row>
    <row r="104" spans="2:9" x14ac:dyDescent="0.25">
      <c r="D104" s="176"/>
      <c r="E104" s="176"/>
      <c r="F104" s="176"/>
      <c r="G104" s="176"/>
      <c r="H104" s="176"/>
      <c r="I104" s="176"/>
    </row>
    <row r="106" spans="2:9" x14ac:dyDescent="0.25">
      <c r="D106" s="171"/>
    </row>
    <row r="107" spans="2:9" x14ac:dyDescent="0.25">
      <c r="D107" s="176"/>
    </row>
    <row r="115" spans="2:14" x14ac:dyDescent="0.25"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</row>
    <row r="116" spans="2:14" x14ac:dyDescent="0.25">
      <c r="B116" s="171"/>
      <c r="C116" s="177"/>
      <c r="D116" s="178"/>
      <c r="E116" s="178"/>
      <c r="F116" s="178"/>
      <c r="G116" s="178"/>
      <c r="H116" s="178"/>
      <c r="I116" s="178"/>
      <c r="J116" s="179"/>
      <c r="K116" s="179"/>
      <c r="L116" s="179"/>
      <c r="M116" s="179"/>
      <c r="N116" s="179"/>
    </row>
  </sheetData>
  <mergeCells count="6">
    <mergeCell ref="J9:N9"/>
    <mergeCell ref="J18:N18"/>
    <mergeCell ref="J32:N32"/>
    <mergeCell ref="H53:L53"/>
    <mergeCell ref="K82:P82"/>
    <mergeCell ref="J85:J89"/>
  </mergeCells>
  <conditionalFormatting sqref="L85:P8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6"/>
  <sheetViews>
    <sheetView zoomScale="130" zoomScaleNormal="130" workbookViewId="0">
      <selection activeCell="D11" sqref="D11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7</v>
      </c>
    </row>
    <row r="3" spans="2:3" ht="15.75" customHeight="1" x14ac:dyDescent="0.25">
      <c r="B3" s="30" t="s">
        <v>192</v>
      </c>
      <c r="C3" s="1" t="s">
        <v>193</v>
      </c>
    </row>
    <row r="4" spans="2:3" ht="15.75" customHeight="1" x14ac:dyDescent="0.25">
      <c r="B4" s="30" t="s">
        <v>2</v>
      </c>
      <c r="C4" s="1" t="s">
        <v>194</v>
      </c>
    </row>
    <row r="5" spans="2:3" ht="15.75" customHeight="1" x14ac:dyDescent="0.25">
      <c r="B5" s="30" t="s">
        <v>195</v>
      </c>
      <c r="C5" s="1" t="s">
        <v>196</v>
      </c>
    </row>
    <row r="6" spans="2:3" ht="15.75" customHeight="1" x14ac:dyDescent="0.25">
      <c r="B6" s="3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C6"/>
  <sheetViews>
    <sheetView zoomScale="130" zoomScaleNormal="130" workbookViewId="0">
      <selection activeCell="C5" sqref="C5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9</v>
      </c>
    </row>
    <row r="3" spans="2:3" ht="15.75" customHeight="1" x14ac:dyDescent="0.25">
      <c r="B3" s="30" t="s">
        <v>192</v>
      </c>
      <c r="C3" s="1" t="s">
        <v>197</v>
      </c>
    </row>
    <row r="4" spans="2:3" ht="15.75" customHeight="1" x14ac:dyDescent="0.25">
      <c r="B4" s="30" t="s">
        <v>2</v>
      </c>
      <c r="C4" s="1" t="s">
        <v>198</v>
      </c>
    </row>
    <row r="5" spans="2:3" ht="15.75" customHeight="1" x14ac:dyDescent="0.25">
      <c r="B5" s="30" t="s">
        <v>195</v>
      </c>
      <c r="C5" s="1" t="s">
        <v>196</v>
      </c>
    </row>
    <row r="6" spans="2:3" ht="15.75" customHeight="1" x14ac:dyDescent="0.25">
      <c r="B6" s="3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C6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11</v>
      </c>
    </row>
    <row r="3" spans="2:3" ht="15.75" customHeight="1" x14ac:dyDescent="0.25">
      <c r="B3" s="30" t="s">
        <v>192</v>
      </c>
      <c r="C3" s="1" t="s">
        <v>199</v>
      </c>
    </row>
    <row r="4" spans="2:3" ht="15.75" customHeight="1" x14ac:dyDescent="0.25">
      <c r="B4" s="30" t="s">
        <v>2</v>
      </c>
      <c r="C4" s="1" t="s">
        <v>200</v>
      </c>
    </row>
    <row r="5" spans="2:3" ht="15.75" customHeight="1" x14ac:dyDescent="0.25">
      <c r="B5" s="30" t="s">
        <v>195</v>
      </c>
      <c r="C5" s="1" t="s">
        <v>201</v>
      </c>
    </row>
    <row r="6" spans="2:3" ht="15.75" customHeight="1" x14ac:dyDescent="0.25">
      <c r="B6" s="3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1E5F5"/>
  </sheetPr>
  <dimension ref="B2:C5"/>
  <sheetViews>
    <sheetView zoomScale="130" zoomScaleNormal="130" workbookViewId="0">
      <selection activeCell="C12" sqref="C12"/>
    </sheetView>
  </sheetViews>
  <sheetFormatPr defaultColWidth="11" defaultRowHeight="15.75" x14ac:dyDescent="0.25"/>
  <cols>
    <col min="2" max="2" width="11.5" style="1" customWidth="1"/>
    <col min="3" max="3" width="39.5" style="1" customWidth="1"/>
  </cols>
  <sheetData>
    <row r="2" spans="2:3" ht="15.75" customHeight="1" x14ac:dyDescent="0.25">
      <c r="B2" s="30" t="s">
        <v>191</v>
      </c>
      <c r="C2" s="1" t="s">
        <v>202</v>
      </c>
    </row>
    <row r="3" spans="2:3" ht="15.75" customHeight="1" x14ac:dyDescent="0.25">
      <c r="B3" s="30" t="s">
        <v>192</v>
      </c>
      <c r="C3" s="1" t="s">
        <v>13</v>
      </c>
    </row>
    <row r="4" spans="2:3" ht="15.75" customHeight="1" x14ac:dyDescent="0.25">
      <c r="B4" s="30" t="s">
        <v>2</v>
      </c>
      <c r="C4" s="1" t="s">
        <v>203</v>
      </c>
    </row>
    <row r="5" spans="2:3" ht="15.75" customHeight="1" x14ac:dyDescent="0.25">
      <c r="B5" s="30" t="s">
        <v>195</v>
      </c>
      <c r="C5" s="1" t="s">
        <v>204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6" style="1" customWidth="1"/>
  </cols>
  <sheetData>
    <row r="2" spans="2:3" ht="15.75" customHeight="1" x14ac:dyDescent="0.25">
      <c r="B2" s="30" t="s">
        <v>191</v>
      </c>
      <c r="C2" s="1" t="s">
        <v>16</v>
      </c>
    </row>
    <row r="3" spans="2:3" ht="15.75" customHeight="1" x14ac:dyDescent="0.25">
      <c r="B3" s="30" t="s">
        <v>192</v>
      </c>
      <c r="C3" s="1" t="s">
        <v>205</v>
      </c>
    </row>
    <row r="4" spans="2:3" ht="15.75" customHeight="1" x14ac:dyDescent="0.25">
      <c r="B4" s="30" t="s">
        <v>2</v>
      </c>
      <c r="C4" s="1" t="s">
        <v>206</v>
      </c>
    </row>
    <row r="5" spans="2:3" ht="15.75" customHeight="1" x14ac:dyDescent="0.25">
      <c r="B5" s="30" t="s">
        <v>195</v>
      </c>
      <c r="C5" s="1" t="s">
        <v>207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18</v>
      </c>
    </row>
    <row r="3" spans="2:3" ht="15.75" customHeight="1" x14ac:dyDescent="0.25">
      <c r="B3" s="30" t="s">
        <v>192</v>
      </c>
      <c r="C3" s="1" t="s">
        <v>208</v>
      </c>
    </row>
    <row r="4" spans="2:3" ht="15.75" customHeight="1" x14ac:dyDescent="0.25">
      <c r="B4" s="30" t="s">
        <v>2</v>
      </c>
      <c r="C4" s="1" t="s">
        <v>209</v>
      </c>
    </row>
    <row r="5" spans="2:3" ht="15.75" customHeight="1" x14ac:dyDescent="0.25">
      <c r="B5" s="30" t="s">
        <v>195</v>
      </c>
      <c r="C5" s="1" t="s">
        <v>210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19</v>
      </c>
    </row>
    <row r="3" spans="2:3" ht="15.75" customHeight="1" x14ac:dyDescent="0.25">
      <c r="B3" s="30" t="s">
        <v>192</v>
      </c>
      <c r="C3" s="1" t="s">
        <v>211</v>
      </c>
    </row>
    <row r="4" spans="2:3" ht="15.75" customHeight="1" x14ac:dyDescent="0.25">
      <c r="B4" s="30" t="s">
        <v>2</v>
      </c>
      <c r="C4" s="1" t="s">
        <v>209</v>
      </c>
    </row>
    <row r="5" spans="2:3" ht="15.75" customHeight="1" x14ac:dyDescent="0.25">
      <c r="B5" s="30" t="s">
        <v>195</v>
      </c>
      <c r="C5" s="1" t="s">
        <v>212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20</v>
      </c>
    </row>
    <row r="3" spans="2:3" ht="15.75" customHeight="1" x14ac:dyDescent="0.25">
      <c r="B3" s="30" t="s">
        <v>192</v>
      </c>
      <c r="C3" s="1" t="s">
        <v>213</v>
      </c>
    </row>
    <row r="4" spans="2:3" ht="15.75" customHeight="1" x14ac:dyDescent="0.25">
      <c r="B4" s="30" t="s">
        <v>2</v>
      </c>
      <c r="C4" s="1" t="s">
        <v>209</v>
      </c>
    </row>
    <row r="5" spans="2:3" ht="15.75" customHeight="1" x14ac:dyDescent="0.25">
      <c r="B5" s="30" t="s">
        <v>195</v>
      </c>
      <c r="C5" s="1" t="s">
        <v>214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C6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21</v>
      </c>
    </row>
    <row r="3" spans="2:3" ht="15.75" customHeight="1" x14ac:dyDescent="0.25">
      <c r="B3" s="30" t="s">
        <v>192</v>
      </c>
      <c r="C3" s="1" t="s">
        <v>215</v>
      </c>
    </row>
    <row r="4" spans="2:3" ht="15.75" customHeight="1" x14ac:dyDescent="0.25">
      <c r="B4" s="30" t="s">
        <v>2</v>
      </c>
      <c r="C4" s="1" t="s">
        <v>216</v>
      </c>
    </row>
    <row r="5" spans="2:3" ht="15.75" customHeight="1" x14ac:dyDescent="0.25">
      <c r="B5" s="30" t="s">
        <v>195</v>
      </c>
      <c r="C5" s="1" t="s">
        <v>217</v>
      </c>
    </row>
    <row r="6" spans="2:3" ht="15.75" customHeight="1" x14ac:dyDescent="0.25">
      <c r="B6" s="3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C6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23</v>
      </c>
    </row>
    <row r="3" spans="2:3" ht="15.75" customHeight="1" x14ac:dyDescent="0.25">
      <c r="B3" s="30" t="s">
        <v>192</v>
      </c>
      <c r="C3" s="1" t="s">
        <v>218</v>
      </c>
    </row>
    <row r="4" spans="2:3" ht="15.75" customHeight="1" x14ac:dyDescent="0.25">
      <c r="B4" s="30" t="s">
        <v>2</v>
      </c>
      <c r="C4" s="1" t="s">
        <v>219</v>
      </c>
    </row>
    <row r="5" spans="2:3" ht="15.75" customHeight="1" x14ac:dyDescent="0.25">
      <c r="B5" s="30" t="s">
        <v>195</v>
      </c>
      <c r="C5" s="1" t="s">
        <v>220</v>
      </c>
    </row>
    <row r="6" spans="2:3" ht="15.75" customHeight="1" x14ac:dyDescent="0.25">
      <c r="B6" s="3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24</v>
      </c>
    </row>
    <row r="3" spans="2:3" ht="15.75" customHeight="1" x14ac:dyDescent="0.25">
      <c r="B3" s="30" t="s">
        <v>192</v>
      </c>
      <c r="C3" s="1" t="s">
        <v>221</v>
      </c>
    </row>
    <row r="4" spans="2:3" ht="15.75" customHeight="1" x14ac:dyDescent="0.25">
      <c r="B4" s="30" t="s">
        <v>2</v>
      </c>
      <c r="C4" s="1" t="s">
        <v>222</v>
      </c>
    </row>
    <row r="5" spans="2:3" ht="15.75" customHeight="1" x14ac:dyDescent="0.25">
      <c r="B5" s="30" t="s">
        <v>195</v>
      </c>
      <c r="C5" s="1" t="s">
        <v>223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25</v>
      </c>
    </row>
    <row r="3" spans="2:3" ht="15.75" customHeight="1" x14ac:dyDescent="0.25">
      <c r="B3" s="30" t="s">
        <v>192</v>
      </c>
      <c r="C3" s="1" t="s">
        <v>224</v>
      </c>
    </row>
    <row r="4" spans="2:3" ht="15.75" customHeight="1" x14ac:dyDescent="0.25">
      <c r="B4" s="30" t="s">
        <v>2</v>
      </c>
      <c r="C4" s="1" t="s">
        <v>225</v>
      </c>
    </row>
    <row r="5" spans="2:3" ht="15.75" customHeight="1" x14ac:dyDescent="0.25">
      <c r="B5" s="30" t="s">
        <v>195</v>
      </c>
      <c r="C5" s="1" t="s">
        <v>226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27</v>
      </c>
    </row>
    <row r="3" spans="2:3" ht="15.75" customHeight="1" x14ac:dyDescent="0.25">
      <c r="B3" s="30" t="s">
        <v>192</v>
      </c>
      <c r="C3" s="1" t="s">
        <v>227</v>
      </c>
    </row>
    <row r="4" spans="2:3" ht="15.75" customHeight="1" x14ac:dyDescent="0.25">
      <c r="B4" s="30" t="s">
        <v>2</v>
      </c>
      <c r="C4" s="1" t="s">
        <v>228</v>
      </c>
    </row>
    <row r="5" spans="2:3" ht="15.75" customHeight="1" x14ac:dyDescent="0.25">
      <c r="B5" s="30" t="s">
        <v>195</v>
      </c>
      <c r="C5" s="1" t="s">
        <v>229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28</v>
      </c>
    </row>
    <row r="3" spans="2:3" ht="15.75" customHeight="1" x14ac:dyDescent="0.25">
      <c r="B3" s="30" t="s">
        <v>192</v>
      </c>
      <c r="C3" s="1" t="s">
        <v>230</v>
      </c>
    </row>
    <row r="4" spans="2:3" ht="15.75" customHeight="1" x14ac:dyDescent="0.25">
      <c r="B4" s="30" t="s">
        <v>2</v>
      </c>
      <c r="C4" s="1" t="s">
        <v>231</v>
      </c>
    </row>
    <row r="5" spans="2:3" ht="15.75" customHeight="1" x14ac:dyDescent="0.25">
      <c r="B5" s="30" t="s">
        <v>195</v>
      </c>
      <c r="C5" s="1" t="s">
        <v>232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C5"/>
  <sheetViews>
    <sheetView zoomScale="130" zoomScaleNormal="130" workbookViewId="0">
      <selection activeCell="C14" sqref="C14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30</v>
      </c>
    </row>
    <row r="3" spans="2:3" ht="15.75" customHeight="1" x14ac:dyDescent="0.25">
      <c r="B3" s="30" t="s">
        <v>192</v>
      </c>
      <c r="C3" s="1" t="s">
        <v>233</v>
      </c>
    </row>
    <row r="4" spans="2:3" ht="15.75" customHeight="1" x14ac:dyDescent="0.25">
      <c r="B4" s="30" t="s">
        <v>2</v>
      </c>
      <c r="C4" s="1" t="s">
        <v>234</v>
      </c>
    </row>
    <row r="5" spans="2:3" ht="15.75" customHeight="1" x14ac:dyDescent="0.25">
      <c r="B5" s="30" t="s">
        <v>195</v>
      </c>
      <c r="C5" s="1" t="s">
        <v>235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C5"/>
  <sheetViews>
    <sheetView zoomScale="130" zoomScaleNormal="130" workbookViewId="0">
      <selection activeCell="C3" sqref="C3"/>
    </sheetView>
  </sheetViews>
  <sheetFormatPr defaultColWidth="11" defaultRowHeight="15.75" x14ac:dyDescent="0.25"/>
  <cols>
    <col min="2" max="2" width="11.5" style="1" customWidth="1"/>
    <col min="3" max="3" width="32" style="1" customWidth="1"/>
  </cols>
  <sheetData>
    <row r="2" spans="2:3" ht="15.75" customHeight="1" x14ac:dyDescent="0.25">
      <c r="B2" s="30" t="s">
        <v>191</v>
      </c>
      <c r="C2" s="1" t="s">
        <v>31</v>
      </c>
    </row>
    <row r="3" spans="2:3" ht="15.75" customHeight="1" x14ac:dyDescent="0.25">
      <c r="B3" s="30" t="s">
        <v>192</v>
      </c>
      <c r="C3" s="1" t="s">
        <v>236</v>
      </c>
    </row>
    <row r="4" spans="2:3" ht="15.75" customHeight="1" x14ac:dyDescent="0.25">
      <c r="B4" s="30" t="s">
        <v>2</v>
      </c>
      <c r="C4" s="1" t="s">
        <v>219</v>
      </c>
    </row>
    <row r="5" spans="2:3" ht="15.75" customHeight="1" x14ac:dyDescent="0.25">
      <c r="B5" s="30" t="s">
        <v>195</v>
      </c>
      <c r="C5" s="1" t="s">
        <v>237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C5"/>
  <sheetViews>
    <sheetView zoomScaleNormal="100" workbookViewId="0">
      <selection activeCell="C10" sqref="C10"/>
    </sheetView>
  </sheetViews>
  <sheetFormatPr defaultColWidth="11" defaultRowHeight="15.75" x14ac:dyDescent="0.25"/>
  <cols>
    <col min="3" max="3" width="27.125" style="1" customWidth="1"/>
  </cols>
  <sheetData>
    <row r="2" spans="2:3" ht="15.75" customHeight="1" x14ac:dyDescent="0.25">
      <c r="B2" s="30" t="s">
        <v>191</v>
      </c>
      <c r="C2" s="1" t="s">
        <v>32</v>
      </c>
    </row>
    <row r="3" spans="2:3" ht="15.75" customHeight="1" x14ac:dyDescent="0.25">
      <c r="B3" s="30" t="s">
        <v>192</v>
      </c>
      <c r="C3" s="1" t="s">
        <v>238</v>
      </c>
    </row>
    <row r="4" spans="2:3" ht="15.75" customHeight="1" x14ac:dyDescent="0.25">
      <c r="B4" s="30" t="s">
        <v>2</v>
      </c>
      <c r="C4" s="1" t="s">
        <v>239</v>
      </c>
    </row>
    <row r="5" spans="2:3" ht="15.75" customHeight="1" x14ac:dyDescent="0.25">
      <c r="B5" s="30" t="s">
        <v>195</v>
      </c>
      <c r="C5" s="1" t="s">
        <v>240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2:C5"/>
  <sheetViews>
    <sheetView zoomScaleNormal="100" workbookViewId="0">
      <selection activeCell="C10" sqref="C10"/>
    </sheetView>
  </sheetViews>
  <sheetFormatPr defaultColWidth="11" defaultRowHeight="15.75" x14ac:dyDescent="0.25"/>
  <cols>
    <col min="3" max="3" width="46.625" style="1" customWidth="1"/>
  </cols>
  <sheetData>
    <row r="2" spans="2:3" ht="15.75" customHeight="1" x14ac:dyDescent="0.25">
      <c r="B2" s="30" t="s">
        <v>191</v>
      </c>
      <c r="C2" s="1" t="s">
        <v>33</v>
      </c>
    </row>
    <row r="3" spans="2:3" ht="15.75" customHeight="1" x14ac:dyDescent="0.25">
      <c r="B3" s="30" t="s">
        <v>192</v>
      </c>
      <c r="C3" s="1" t="s">
        <v>241</v>
      </c>
    </row>
    <row r="4" spans="2:3" ht="15.75" customHeight="1" x14ac:dyDescent="0.25">
      <c r="B4" s="30" t="s">
        <v>2</v>
      </c>
      <c r="C4" s="1" t="s">
        <v>242</v>
      </c>
    </row>
    <row r="5" spans="2:3" ht="15.75" customHeight="1" x14ac:dyDescent="0.25">
      <c r="B5" s="30" t="s">
        <v>195</v>
      </c>
      <c r="C5" s="1" t="s">
        <v>243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2:C5"/>
  <sheetViews>
    <sheetView zoomScaleNormal="100" workbookViewId="0">
      <selection activeCell="C10" sqref="C10"/>
    </sheetView>
  </sheetViews>
  <sheetFormatPr defaultColWidth="11" defaultRowHeight="15.75" x14ac:dyDescent="0.25"/>
  <cols>
    <col min="3" max="3" width="30.625" style="1" customWidth="1"/>
  </cols>
  <sheetData>
    <row r="2" spans="2:3" ht="15.75" customHeight="1" x14ac:dyDescent="0.25">
      <c r="B2" s="30" t="s">
        <v>191</v>
      </c>
      <c r="C2" s="1" t="s">
        <v>34</v>
      </c>
    </row>
    <row r="3" spans="2:3" ht="15.75" customHeight="1" x14ac:dyDescent="0.25">
      <c r="B3" s="30" t="s">
        <v>192</v>
      </c>
      <c r="C3" s="1" t="s">
        <v>244</v>
      </c>
    </row>
    <row r="4" spans="2:3" ht="15.75" customHeight="1" x14ac:dyDescent="0.25">
      <c r="B4" s="30" t="s">
        <v>2</v>
      </c>
      <c r="C4" s="1" t="s">
        <v>245</v>
      </c>
    </row>
    <row r="5" spans="2:3" ht="15.75" customHeight="1" x14ac:dyDescent="0.25">
      <c r="B5" s="30" t="s">
        <v>195</v>
      </c>
      <c r="C5" s="1" t="s">
        <v>246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2:C5"/>
  <sheetViews>
    <sheetView zoomScaleNormal="100" workbookViewId="0">
      <selection activeCell="C10" sqref="C10"/>
    </sheetView>
  </sheetViews>
  <sheetFormatPr defaultColWidth="11" defaultRowHeight="15.75" x14ac:dyDescent="0.25"/>
  <cols>
    <col min="3" max="3" width="27.125" style="1" customWidth="1"/>
  </cols>
  <sheetData>
    <row r="2" spans="2:3" ht="15.75" customHeight="1" x14ac:dyDescent="0.25">
      <c r="B2" s="30" t="s">
        <v>191</v>
      </c>
      <c r="C2" s="1" t="s">
        <v>35</v>
      </c>
    </row>
    <row r="3" spans="2:3" ht="15.75" customHeight="1" x14ac:dyDescent="0.25">
      <c r="B3" s="30" t="s">
        <v>192</v>
      </c>
      <c r="C3" s="1" t="s">
        <v>247</v>
      </c>
    </row>
    <row r="4" spans="2:3" ht="15.75" customHeight="1" x14ac:dyDescent="0.25">
      <c r="B4" s="30" t="s">
        <v>2</v>
      </c>
      <c r="C4" s="1" t="s">
        <v>248</v>
      </c>
    </row>
    <row r="5" spans="2:3" ht="15.75" customHeight="1" x14ac:dyDescent="0.25">
      <c r="B5" s="30" t="s">
        <v>195</v>
      </c>
      <c r="C5" s="1" t="s">
        <v>249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2:C5"/>
  <sheetViews>
    <sheetView zoomScaleNormal="100" workbookViewId="0">
      <selection activeCell="C10" sqref="C10"/>
    </sheetView>
  </sheetViews>
  <sheetFormatPr defaultColWidth="11" defaultRowHeight="15.75" x14ac:dyDescent="0.25"/>
  <cols>
    <col min="3" max="3" width="46.625" style="1" customWidth="1"/>
  </cols>
  <sheetData>
    <row r="2" spans="2:3" ht="15.75" customHeight="1" x14ac:dyDescent="0.25">
      <c r="B2" s="30" t="s">
        <v>191</v>
      </c>
      <c r="C2" s="1" t="s">
        <v>36</v>
      </c>
    </row>
    <row r="3" spans="2:3" ht="15.75" customHeight="1" x14ac:dyDescent="0.25">
      <c r="B3" s="30" t="s">
        <v>192</v>
      </c>
      <c r="C3" s="1" t="s">
        <v>250</v>
      </c>
    </row>
    <row r="4" spans="2:3" ht="15.75" customHeight="1" x14ac:dyDescent="0.25">
      <c r="B4" s="30" t="s">
        <v>2</v>
      </c>
      <c r="C4" s="1" t="s">
        <v>251</v>
      </c>
    </row>
    <row r="5" spans="2:3" ht="15.75" customHeight="1" x14ac:dyDescent="0.25">
      <c r="B5" s="30" t="s">
        <v>195</v>
      </c>
      <c r="C5" s="1" t="s">
        <v>252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2:C5"/>
  <sheetViews>
    <sheetView zoomScaleNormal="100" workbookViewId="0">
      <selection activeCell="C10" sqref="C10"/>
    </sheetView>
  </sheetViews>
  <sheetFormatPr defaultColWidth="11" defaultRowHeight="15.75" x14ac:dyDescent="0.25"/>
  <cols>
    <col min="3" max="3" width="27.125" style="1" customWidth="1"/>
  </cols>
  <sheetData>
    <row r="2" spans="2:3" ht="15.75" customHeight="1" x14ac:dyDescent="0.25">
      <c r="B2" s="30" t="s">
        <v>191</v>
      </c>
      <c r="C2" s="1" t="s">
        <v>37</v>
      </c>
    </row>
    <row r="3" spans="2:3" ht="15.75" customHeight="1" x14ac:dyDescent="0.25">
      <c r="B3" s="30" t="s">
        <v>192</v>
      </c>
      <c r="C3" s="1" t="s">
        <v>253</v>
      </c>
    </row>
    <row r="4" spans="2:3" ht="15.75" customHeight="1" x14ac:dyDescent="0.25">
      <c r="B4" s="30" t="s">
        <v>2</v>
      </c>
      <c r="C4" s="1" t="s">
        <v>254</v>
      </c>
    </row>
    <row r="5" spans="2:3" ht="15.75" customHeight="1" x14ac:dyDescent="0.25">
      <c r="B5" s="30" t="s">
        <v>195</v>
      </c>
      <c r="C5" s="1" t="s">
        <v>255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Main</vt:lpstr>
      <vt:lpstr>10QIS</vt:lpstr>
      <vt:lpstr>IS</vt:lpstr>
      <vt:lpstr>BS</vt:lpstr>
      <vt:lpstr>CFS</vt:lpstr>
      <vt:lpstr>DCF</vt:lpstr>
      <vt:lpstr>Mounjaro</vt:lpstr>
      <vt:lpstr>Zepbound</vt:lpstr>
      <vt:lpstr>Trulicity</vt:lpstr>
      <vt:lpstr>Retatrutide</vt:lpstr>
      <vt:lpstr>Foundayo</vt:lpstr>
      <vt:lpstr>Basaglar</vt:lpstr>
      <vt:lpstr>Humalog</vt:lpstr>
      <vt:lpstr>Humulin</vt:lpstr>
      <vt:lpstr>Jardiance</vt:lpstr>
      <vt:lpstr>Verzenio</vt:lpstr>
      <vt:lpstr>Cyramza</vt:lpstr>
      <vt:lpstr>Erbitux</vt:lpstr>
      <vt:lpstr>Retevmo</vt:lpstr>
      <vt:lpstr>Tyvyt</vt:lpstr>
      <vt:lpstr>Jaypirca</vt:lpstr>
      <vt:lpstr>Inluriyo</vt:lpstr>
      <vt:lpstr>Ebglyss</vt:lpstr>
      <vt:lpstr>Olumiant</vt:lpstr>
      <vt:lpstr>Omvoh</vt:lpstr>
      <vt:lpstr>Taltz</vt:lpstr>
      <vt:lpstr>Emgality</vt:lpstr>
      <vt:lpstr>Kisunla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 Heier</dc:creator>
  <dc:description/>
  <cp:lastModifiedBy>Sam Heier</cp:lastModifiedBy>
  <cp:revision>0</cp:revision>
  <dcterms:created xsi:type="dcterms:W3CDTF">2026-05-18T21:29:55Z</dcterms:created>
  <dcterms:modified xsi:type="dcterms:W3CDTF">2026-08-11T20:37:42Z</dcterms:modified>
  <dc:language>en-US</dc:language>
</cp:coreProperties>
</file>
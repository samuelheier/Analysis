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031d5e88fe9b877/Documents/"/>
    </mc:Choice>
  </mc:AlternateContent>
  <xr:revisionPtr revIDLastSave="0" documentId="8_{B2336F75-1B91-264E-B151-F51DDC46F079}" xr6:coauthVersionLast="47" xr6:coauthVersionMax="47" xr10:uidLastSave="{00000000-0000-0000-0000-000000000000}"/>
  <bookViews>
    <workbookView xWindow="20" yWindow="500" windowWidth="37500" windowHeight="19560" activeTab="1" xr2:uid="{9EA498D1-7DC0-ED4B-AD68-4170B24C29C4}"/>
  </bookViews>
  <sheets>
    <sheet name="Main" sheetId="1" r:id="rId1"/>
    <sheet name="Model" sheetId="3" r:id="rId2"/>
    <sheet name="Mounjaro" sheetId="5" r:id="rId3"/>
    <sheet name="Zepbound" sheetId="6" r:id="rId4"/>
    <sheet name="Trulicity" sheetId="9" r:id="rId5"/>
    <sheet name="Retatrutide" sheetId="10" r:id="rId6"/>
    <sheet name="Foundayo" sheetId="18" r:id="rId7"/>
    <sheet name="Basaglar" sheetId="19" r:id="rId8"/>
    <sheet name="Humalog" sheetId="17" r:id="rId9"/>
    <sheet name="Humulin" sheetId="20" r:id="rId10"/>
    <sheet name="Jardiance" sheetId="7" r:id="rId11"/>
    <sheet name="Verzenio" sheetId="8" r:id="rId12"/>
    <sheet name="Cyramza" sheetId="21" r:id="rId13"/>
    <sheet name="Erbitux" sheetId="24" r:id="rId14"/>
    <sheet name="Retevmo" sheetId="25" r:id="rId15"/>
    <sheet name="Tyvyt" sheetId="26" r:id="rId16"/>
    <sheet name="Jaypirca" sheetId="14" r:id="rId17"/>
    <sheet name="Inluriyo" sheetId="15" r:id="rId18"/>
    <sheet name="Ebglyss" sheetId="11" r:id="rId19"/>
    <sheet name="Olumiant" sheetId="22" r:id="rId20"/>
    <sheet name="Omvoh" sheetId="13" r:id="rId21"/>
    <sheet name="Taltz" sheetId="16" r:id="rId22"/>
    <sheet name="Emgality" sheetId="23" r:id="rId23"/>
    <sheet name="Kisunla" sheetId="12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4" i="3" l="1"/>
  <c r="H104" i="3"/>
  <c r="I104" i="3"/>
  <c r="J104" i="3"/>
  <c r="K104" i="3"/>
  <c r="G112" i="3"/>
  <c r="G109" i="3" s="1"/>
  <c r="H112" i="3"/>
  <c r="H109" i="3" s="1"/>
  <c r="I112" i="3"/>
  <c r="I109" i="3" s="1"/>
  <c r="J112" i="3"/>
  <c r="J109" i="3" s="1"/>
  <c r="K112" i="3"/>
  <c r="K109" i="3" s="1"/>
  <c r="F112" i="3"/>
  <c r="F109" i="3" s="1"/>
  <c r="G96" i="3"/>
  <c r="H96" i="3"/>
  <c r="I96" i="3"/>
  <c r="J96" i="3"/>
  <c r="K96" i="3"/>
  <c r="H90" i="3"/>
  <c r="I90" i="3" s="1"/>
  <c r="J90" i="3" s="1"/>
  <c r="K90" i="3" s="1"/>
  <c r="F91" i="3"/>
  <c r="G91" i="3" s="1"/>
  <c r="H91" i="3" s="1"/>
  <c r="I91" i="3" s="1"/>
  <c r="J91" i="3" s="1"/>
  <c r="K91" i="3" s="1"/>
  <c r="F104" i="3"/>
  <c r="F96" i="3"/>
  <c r="D110" i="3"/>
  <c r="D111" i="3"/>
  <c r="C110" i="3"/>
  <c r="C111" i="3"/>
  <c r="D105" i="3"/>
  <c r="D106" i="3"/>
  <c r="D107" i="3"/>
  <c r="D108" i="3"/>
  <c r="C105" i="3"/>
  <c r="C106" i="3"/>
  <c r="C107" i="3"/>
  <c r="C108" i="3"/>
  <c r="E97" i="3"/>
  <c r="D97" i="3"/>
  <c r="D98" i="3"/>
  <c r="D99" i="3"/>
  <c r="D100" i="3"/>
  <c r="D101" i="3"/>
  <c r="D102" i="3"/>
  <c r="D103" i="3"/>
  <c r="C97" i="3"/>
  <c r="C98" i="3"/>
  <c r="C100" i="3"/>
  <c r="C101" i="3"/>
  <c r="C102" i="3"/>
  <c r="C103" i="3"/>
  <c r="D87" i="3"/>
  <c r="E87" i="3"/>
  <c r="F87" i="3" s="1"/>
  <c r="D88" i="3"/>
  <c r="E88" i="3"/>
  <c r="F88" i="3" s="1"/>
  <c r="G88" i="3" s="1"/>
  <c r="H88" i="3" s="1"/>
  <c r="I88" i="3" s="1"/>
  <c r="J88" i="3" s="1"/>
  <c r="K88" i="3" s="1"/>
  <c r="D89" i="3"/>
  <c r="D90" i="3"/>
  <c r="E90" i="3"/>
  <c r="D91" i="3"/>
  <c r="E91" i="3"/>
  <c r="D92" i="3"/>
  <c r="D93" i="3"/>
  <c r="D94" i="3"/>
  <c r="D95" i="3"/>
  <c r="C87" i="3"/>
  <c r="C88" i="3"/>
  <c r="C89" i="3"/>
  <c r="C90" i="3"/>
  <c r="C91" i="3"/>
  <c r="C93" i="3"/>
  <c r="C95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G87" i="3" l="1"/>
  <c r="H87" i="3" l="1"/>
  <c r="I87" i="3" l="1"/>
  <c r="K81" i="3"/>
  <c r="I81" i="3"/>
  <c r="H81" i="3"/>
  <c r="G81" i="3"/>
  <c r="F81" i="3"/>
  <c r="E81" i="3"/>
  <c r="D81" i="3"/>
  <c r="C81" i="3"/>
  <c r="I80" i="3"/>
  <c r="H80" i="3"/>
  <c r="G80" i="3"/>
  <c r="F80" i="3"/>
  <c r="E80" i="3"/>
  <c r="D80" i="3"/>
  <c r="C80" i="3"/>
  <c r="K78" i="3"/>
  <c r="I78" i="3"/>
  <c r="H78" i="3"/>
  <c r="G78" i="3"/>
  <c r="F78" i="3"/>
  <c r="E78" i="3"/>
  <c r="D78" i="3"/>
  <c r="C78" i="3"/>
  <c r="K77" i="3"/>
  <c r="I77" i="3"/>
  <c r="H77" i="3"/>
  <c r="G77" i="3"/>
  <c r="F77" i="3"/>
  <c r="E77" i="3"/>
  <c r="D77" i="3"/>
  <c r="C77" i="3"/>
  <c r="I76" i="3"/>
  <c r="H76" i="3"/>
  <c r="G76" i="3"/>
  <c r="F76" i="3"/>
  <c r="E76" i="3"/>
  <c r="D76" i="3"/>
  <c r="C76" i="3"/>
  <c r="K75" i="3"/>
  <c r="I75" i="3"/>
  <c r="H75" i="3"/>
  <c r="G75" i="3"/>
  <c r="F75" i="3"/>
  <c r="E75" i="3"/>
  <c r="D75" i="3"/>
  <c r="C75" i="3"/>
  <c r="K73" i="3"/>
  <c r="G73" i="3"/>
  <c r="F73" i="3"/>
  <c r="E73" i="3"/>
  <c r="D73" i="3"/>
  <c r="C73" i="3"/>
  <c r="K72" i="3"/>
  <c r="I72" i="3"/>
  <c r="H72" i="3"/>
  <c r="G72" i="3"/>
  <c r="F72" i="3"/>
  <c r="E72" i="3"/>
  <c r="D72" i="3"/>
  <c r="C72" i="3"/>
  <c r="I71" i="3"/>
  <c r="H71" i="3"/>
  <c r="G71" i="3"/>
  <c r="F71" i="3"/>
  <c r="E71" i="3"/>
  <c r="D71" i="3"/>
  <c r="C71" i="3"/>
  <c r="I70" i="3"/>
  <c r="H70" i="3"/>
  <c r="G70" i="3"/>
  <c r="F70" i="3"/>
  <c r="E70" i="3"/>
  <c r="D70" i="3"/>
  <c r="C70" i="3"/>
  <c r="I69" i="3"/>
  <c r="H69" i="3"/>
  <c r="G69" i="3"/>
  <c r="E69" i="3"/>
  <c r="D69" i="3"/>
  <c r="C69" i="3"/>
  <c r="I68" i="3"/>
  <c r="H68" i="3"/>
  <c r="G68" i="3"/>
  <c r="F68" i="3"/>
  <c r="E68" i="3"/>
  <c r="D68" i="3"/>
  <c r="C68" i="3"/>
  <c r="K67" i="3"/>
  <c r="J67" i="3"/>
  <c r="I67" i="3"/>
  <c r="H67" i="3"/>
  <c r="G67" i="3"/>
  <c r="F67" i="3"/>
  <c r="E67" i="3"/>
  <c r="D67" i="3"/>
  <c r="C67" i="3"/>
  <c r="K65" i="3"/>
  <c r="I65" i="3"/>
  <c r="H65" i="3"/>
  <c r="G65" i="3"/>
  <c r="F65" i="3"/>
  <c r="E65" i="3"/>
  <c r="D65" i="3"/>
  <c r="C65" i="3"/>
  <c r="I64" i="3"/>
  <c r="H64" i="3"/>
  <c r="G64" i="3"/>
  <c r="E64" i="3"/>
  <c r="D64" i="3"/>
  <c r="C64" i="3"/>
  <c r="I63" i="3"/>
  <c r="H63" i="3"/>
  <c r="G63" i="3"/>
  <c r="F63" i="3"/>
  <c r="E63" i="3"/>
  <c r="D63" i="3"/>
  <c r="C63" i="3"/>
  <c r="I62" i="3"/>
  <c r="H62" i="3"/>
  <c r="G62" i="3"/>
  <c r="E62" i="3"/>
  <c r="D62" i="3"/>
  <c r="C62" i="3"/>
  <c r="K59" i="3"/>
  <c r="I59" i="3"/>
  <c r="H59" i="3"/>
  <c r="G59" i="3"/>
  <c r="F59" i="3"/>
  <c r="E59" i="3"/>
  <c r="D59" i="3"/>
  <c r="C59" i="3"/>
  <c r="K58" i="3"/>
  <c r="J58" i="3"/>
  <c r="I58" i="3"/>
  <c r="H58" i="3"/>
  <c r="G58" i="3"/>
  <c r="F58" i="3"/>
  <c r="E58" i="3"/>
  <c r="D58" i="3"/>
  <c r="C58" i="3"/>
  <c r="K57" i="3"/>
  <c r="J57" i="3"/>
  <c r="I57" i="3"/>
  <c r="H57" i="3"/>
  <c r="G57" i="3"/>
  <c r="F57" i="3"/>
  <c r="E57" i="3"/>
  <c r="D57" i="3"/>
  <c r="C57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59" i="3"/>
  <c r="B58" i="3"/>
  <c r="B57" i="3"/>
  <c r="K55" i="3"/>
  <c r="J55" i="3"/>
  <c r="I55" i="3"/>
  <c r="H55" i="3"/>
  <c r="G55" i="3"/>
  <c r="F55" i="3"/>
  <c r="E55" i="3"/>
  <c r="D55" i="3"/>
  <c r="C55" i="3"/>
  <c r="B56" i="3"/>
  <c r="J87" i="3" l="1"/>
  <c r="B5" i="1"/>
  <c r="O25" i="3"/>
  <c r="O11" i="3"/>
  <c r="O13" i="3"/>
  <c r="O20" i="3"/>
  <c r="O17" i="3"/>
  <c r="O18" i="3"/>
  <c r="H23" i="1"/>
  <c r="H20" i="1"/>
  <c r="H15" i="1"/>
  <c r="H14" i="1"/>
  <c r="H13" i="1"/>
  <c r="H10" i="1"/>
  <c r="H8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N17" i="3"/>
  <c r="E98" i="3" s="1"/>
  <c r="K87" i="3" l="1"/>
  <c r="P23" i="3"/>
  <c r="K76" i="3"/>
  <c r="K62" i="3"/>
  <c r="K68" i="3"/>
  <c r="J68" i="3"/>
  <c r="K69" i="3"/>
  <c r="K71" i="3"/>
  <c r="K64" i="3"/>
  <c r="D28" i="3"/>
  <c r="E28" i="3"/>
  <c r="F28" i="3"/>
  <c r="G28" i="3"/>
  <c r="H28" i="3"/>
  <c r="I28" i="3"/>
  <c r="J28" i="3"/>
  <c r="K28" i="3"/>
  <c r="L28" i="3"/>
  <c r="M28" i="3"/>
  <c r="C28" i="3"/>
  <c r="D23" i="3"/>
  <c r="E23" i="3"/>
  <c r="F23" i="3"/>
  <c r="G23" i="3"/>
  <c r="H23" i="3"/>
  <c r="I23" i="3"/>
  <c r="J23" i="3"/>
  <c r="K23" i="3"/>
  <c r="L23" i="3"/>
  <c r="M23" i="3"/>
  <c r="C23" i="3"/>
  <c r="M5" i="3"/>
  <c r="L5" i="3"/>
  <c r="K5" i="3"/>
  <c r="J5" i="3"/>
  <c r="I5" i="3"/>
  <c r="H5" i="3"/>
  <c r="G5" i="3"/>
  <c r="E5" i="3"/>
  <c r="D5" i="3"/>
  <c r="C5" i="3"/>
  <c r="N12" i="3"/>
  <c r="E93" i="3" s="1"/>
  <c r="D15" i="3"/>
  <c r="E15" i="3"/>
  <c r="G15" i="3"/>
  <c r="H15" i="3"/>
  <c r="I15" i="3"/>
  <c r="J15" i="3"/>
  <c r="K15" i="3"/>
  <c r="C15" i="3"/>
  <c r="O29" i="3"/>
  <c r="N29" i="3"/>
  <c r="E110" i="3" s="1"/>
  <c r="O23" i="3"/>
  <c r="N25" i="3"/>
  <c r="E106" i="3" s="1"/>
  <c r="N20" i="3"/>
  <c r="E101" i="3" s="1"/>
  <c r="N19" i="3"/>
  <c r="E100" i="3" s="1"/>
  <c r="N18" i="3"/>
  <c r="E99" i="3" s="1"/>
  <c r="F18" i="3"/>
  <c r="C99" i="3" s="1"/>
  <c r="N13" i="3"/>
  <c r="E94" i="3" s="1"/>
  <c r="F13" i="3"/>
  <c r="C94" i="3" s="1"/>
  <c r="N11" i="3"/>
  <c r="E92" i="3" s="1"/>
  <c r="F11" i="3"/>
  <c r="C92" i="3" s="1"/>
  <c r="N22" i="3"/>
  <c r="N21" i="3"/>
  <c r="E102" i="3" s="1"/>
  <c r="N26" i="3"/>
  <c r="E107" i="3" s="1"/>
  <c r="N30" i="3"/>
  <c r="E111" i="3" s="1"/>
  <c r="N24" i="3"/>
  <c r="E105" i="3" s="1"/>
  <c r="J72" i="3" l="1"/>
  <c r="I56" i="3"/>
  <c r="J71" i="3"/>
  <c r="E66" i="3"/>
  <c r="J76" i="3"/>
  <c r="J62" i="3"/>
  <c r="C66" i="3"/>
  <c r="F64" i="3"/>
  <c r="J80" i="3"/>
  <c r="E56" i="3"/>
  <c r="G74" i="3"/>
  <c r="K80" i="3"/>
  <c r="F74" i="3"/>
  <c r="I79" i="3"/>
  <c r="F79" i="3"/>
  <c r="M22" i="3"/>
  <c r="J73" i="3"/>
  <c r="E79" i="3"/>
  <c r="F62" i="3"/>
  <c r="D66" i="3"/>
  <c r="C56" i="3"/>
  <c r="I74" i="3"/>
  <c r="D79" i="3"/>
  <c r="K74" i="3"/>
  <c r="D56" i="3"/>
  <c r="H74" i="3"/>
  <c r="C79" i="3"/>
  <c r="J75" i="3"/>
  <c r="J64" i="3"/>
  <c r="J81" i="3"/>
  <c r="F15" i="3"/>
  <c r="C96" i="3" s="1"/>
  <c r="F69" i="3"/>
  <c r="O12" i="3"/>
  <c r="J63" i="3"/>
  <c r="G56" i="3"/>
  <c r="E74" i="3"/>
  <c r="H79" i="3"/>
  <c r="O19" i="3"/>
  <c r="J70" i="3"/>
  <c r="C74" i="3"/>
  <c r="J77" i="3"/>
  <c r="J69" i="3"/>
  <c r="G66" i="3"/>
  <c r="H56" i="3"/>
  <c r="D74" i="3"/>
  <c r="G79" i="3"/>
  <c r="C104" i="3"/>
  <c r="D86" i="3"/>
  <c r="C109" i="3"/>
  <c r="D104" i="3"/>
  <c r="D109" i="3"/>
  <c r="D96" i="3"/>
  <c r="N28" i="3"/>
  <c r="O28" i="3"/>
  <c r="C31" i="3"/>
  <c r="D31" i="3"/>
  <c r="E31" i="3"/>
  <c r="G31" i="3"/>
  <c r="H31" i="3"/>
  <c r="I31" i="3"/>
  <c r="J31" i="3"/>
  <c r="K31" i="3"/>
  <c r="F5" i="3"/>
  <c r="N15" i="3"/>
  <c r="O5" i="3" l="1"/>
  <c r="O15" i="3"/>
  <c r="K66" i="3" s="1"/>
  <c r="J66" i="3"/>
  <c r="L22" i="3"/>
  <c r="E103" i="3" s="1"/>
  <c r="I73" i="3"/>
  <c r="F31" i="3"/>
  <c r="F82" i="3" s="1"/>
  <c r="K79" i="3"/>
  <c r="E109" i="3"/>
  <c r="J79" i="3"/>
  <c r="K56" i="3"/>
  <c r="K63" i="3"/>
  <c r="K70" i="3"/>
  <c r="F66" i="3"/>
  <c r="M15" i="3"/>
  <c r="F56" i="3"/>
  <c r="E82" i="3"/>
  <c r="C82" i="3"/>
  <c r="G82" i="3"/>
  <c r="D82" i="3"/>
  <c r="D112" i="3"/>
  <c r="D113" i="3" s="1"/>
  <c r="O31" i="3"/>
  <c r="C86" i="3"/>
  <c r="P28" i="3"/>
  <c r="N27" i="3"/>
  <c r="E108" i="3" s="1"/>
  <c r="N14" i="3"/>
  <c r="E95" i="3" s="1"/>
  <c r="N8" i="3"/>
  <c r="E89" i="3" s="1"/>
  <c r="F89" i="3" s="1"/>
  <c r="F125" i="3"/>
  <c r="E114" i="3"/>
  <c r="F119" i="3"/>
  <c r="F120" i="3"/>
  <c r="E125" i="3"/>
  <c r="D125" i="3"/>
  <c r="C125" i="3"/>
  <c r="C114" i="3"/>
  <c r="D114" i="3"/>
  <c r="C116" i="3"/>
  <c r="D116" i="3"/>
  <c r="E116" i="3"/>
  <c r="C117" i="3"/>
  <c r="D117" i="3"/>
  <c r="E117" i="3"/>
  <c r="C118" i="3"/>
  <c r="D118" i="3"/>
  <c r="E118" i="3"/>
  <c r="C119" i="3"/>
  <c r="D119" i="3"/>
  <c r="E119" i="3"/>
  <c r="C120" i="3"/>
  <c r="D120" i="3"/>
  <c r="E120" i="3"/>
  <c r="C122" i="3"/>
  <c r="D122" i="3"/>
  <c r="E122" i="3"/>
  <c r="H47" i="3"/>
  <c r="I47" i="3"/>
  <c r="J47" i="3"/>
  <c r="K47" i="3"/>
  <c r="L47" i="3"/>
  <c r="M47" i="3"/>
  <c r="N47" i="3"/>
  <c r="O47" i="3"/>
  <c r="G47" i="3"/>
  <c r="C35" i="3"/>
  <c r="C41" i="3" s="1"/>
  <c r="C43" i="3" s="1"/>
  <c r="C44" i="3" s="1"/>
  <c r="D35" i="3"/>
  <c r="D41" i="3" s="1"/>
  <c r="D43" i="3" s="1"/>
  <c r="D44" i="3" s="1"/>
  <c r="E35" i="3"/>
  <c r="E41" i="3" s="1"/>
  <c r="E43" i="3" s="1"/>
  <c r="E44" i="3" s="1"/>
  <c r="F35" i="3"/>
  <c r="F41" i="3" s="1"/>
  <c r="F43" i="3" s="1"/>
  <c r="F44" i="3" s="1"/>
  <c r="G35" i="3"/>
  <c r="G41" i="3" s="1"/>
  <c r="G43" i="3" s="1"/>
  <c r="I35" i="3"/>
  <c r="I41" i="3" s="1"/>
  <c r="I43" i="3" s="1"/>
  <c r="I44" i="3" s="1"/>
  <c r="J35" i="3"/>
  <c r="J41" i="3" s="1"/>
  <c r="J43" i="3" s="1"/>
  <c r="J44" i="3" s="1"/>
  <c r="K35" i="3"/>
  <c r="K41" i="3" s="1"/>
  <c r="K43" i="3" s="1"/>
  <c r="K44" i="3" s="1"/>
  <c r="L35" i="3"/>
  <c r="L41" i="3" s="1"/>
  <c r="L52" i="3" s="1"/>
  <c r="M35" i="3"/>
  <c r="M41" i="3" s="1"/>
  <c r="M52" i="3" s="1"/>
  <c r="N35" i="3"/>
  <c r="N41" i="3" s="1"/>
  <c r="N52" i="3" s="1"/>
  <c r="O35" i="3"/>
  <c r="O41" i="3" s="1"/>
  <c r="O52" i="3" s="1"/>
  <c r="H35" i="3"/>
  <c r="H41" i="3" s="1"/>
  <c r="H43" i="3" s="1"/>
  <c r="H44" i="3" s="1"/>
  <c r="B7" i="1"/>
  <c r="B8" i="1"/>
  <c r="N124" i="3"/>
  <c r="G119" i="3" l="1"/>
  <c r="H119" i="3" s="1"/>
  <c r="I119" i="3" s="1"/>
  <c r="G89" i="3"/>
  <c r="F86" i="3"/>
  <c r="G120" i="3"/>
  <c r="C112" i="3"/>
  <c r="C113" i="3" s="1"/>
  <c r="L15" i="3"/>
  <c r="H73" i="3"/>
  <c r="N23" i="3"/>
  <c r="J78" i="3"/>
  <c r="M31" i="3"/>
  <c r="I66" i="3"/>
  <c r="N5" i="3"/>
  <c r="E86" i="3" s="1"/>
  <c r="J59" i="3"/>
  <c r="P5" i="3"/>
  <c r="J65" i="3"/>
  <c r="P15" i="3"/>
  <c r="K82" i="3"/>
  <c r="N50" i="3"/>
  <c r="O50" i="3"/>
  <c r="P50" i="3" s="1"/>
  <c r="O49" i="3"/>
  <c r="P49" i="3" s="1"/>
  <c r="N49" i="3"/>
  <c r="H52" i="3"/>
  <c r="E49" i="3"/>
  <c r="E50" i="3"/>
  <c r="C52" i="3"/>
  <c r="D49" i="3"/>
  <c r="L49" i="3"/>
  <c r="L50" i="3"/>
  <c r="G52" i="3"/>
  <c r="D50" i="3"/>
  <c r="L51" i="3"/>
  <c r="M50" i="3"/>
  <c r="G49" i="3"/>
  <c r="G50" i="3"/>
  <c r="F52" i="3"/>
  <c r="D51" i="3"/>
  <c r="M49" i="3"/>
  <c r="F49" i="3"/>
  <c r="F50" i="3"/>
  <c r="E52" i="3"/>
  <c r="J51" i="3"/>
  <c r="H49" i="3"/>
  <c r="C50" i="3"/>
  <c r="H50" i="3"/>
  <c r="M51" i="3"/>
  <c r="E51" i="3"/>
  <c r="I52" i="3"/>
  <c r="I51" i="3"/>
  <c r="K49" i="3"/>
  <c r="K50" i="3"/>
  <c r="C51" i="3"/>
  <c r="H51" i="3"/>
  <c r="D52" i="3"/>
  <c r="K51" i="3"/>
  <c r="J49" i="3"/>
  <c r="J50" i="3"/>
  <c r="O51" i="3"/>
  <c r="P51" i="3" s="1"/>
  <c r="G51" i="3"/>
  <c r="K52" i="3"/>
  <c r="I49" i="3"/>
  <c r="C49" i="3"/>
  <c r="I50" i="3"/>
  <c r="N51" i="3"/>
  <c r="F51" i="3"/>
  <c r="J52" i="3"/>
  <c r="D123" i="3"/>
  <c r="D124" i="3" s="1"/>
  <c r="P47" i="3"/>
  <c r="O48" i="3"/>
  <c r="G48" i="3"/>
  <c r="N48" i="3"/>
  <c r="F48" i="3"/>
  <c r="M48" i="3"/>
  <c r="E48" i="3"/>
  <c r="G44" i="3"/>
  <c r="L48" i="3"/>
  <c r="D48" i="3"/>
  <c r="K48" i="3"/>
  <c r="E121" i="3"/>
  <c r="J48" i="3"/>
  <c r="D121" i="3"/>
  <c r="D115" i="3"/>
  <c r="I48" i="3"/>
  <c r="C48" i="3"/>
  <c r="H48" i="3"/>
  <c r="C115" i="3"/>
  <c r="E115" i="3"/>
  <c r="C121" i="3"/>
  <c r="C123" i="3"/>
  <c r="C124" i="3" s="1"/>
  <c r="L43" i="3"/>
  <c r="L44" i="3" s="1"/>
  <c r="O43" i="3"/>
  <c r="M43" i="3"/>
  <c r="M44" i="3" s="1"/>
  <c r="N43" i="3"/>
  <c r="N44" i="3" s="1"/>
  <c r="H120" i="3" l="1"/>
  <c r="I120" i="3" s="1"/>
  <c r="H89" i="3"/>
  <c r="G86" i="3"/>
  <c r="J119" i="3"/>
  <c r="K119" i="3" s="1"/>
  <c r="N31" i="3"/>
  <c r="J82" i="3" s="1"/>
  <c r="I82" i="3"/>
  <c r="E104" i="3"/>
  <c r="J74" i="3"/>
  <c r="J56" i="3"/>
  <c r="H66" i="3"/>
  <c r="L31" i="3"/>
  <c r="E96" i="3"/>
  <c r="E123" i="3"/>
  <c r="E124" i="3" s="1"/>
  <c r="O44" i="3"/>
  <c r="P52" i="3"/>
  <c r="P48" i="3"/>
  <c r="E112" i="3" l="1"/>
  <c r="J120" i="3"/>
  <c r="K120" i="3" s="1"/>
  <c r="I89" i="3"/>
  <c r="H86" i="3"/>
  <c r="E113" i="3"/>
  <c r="H82" i="3"/>
  <c r="J89" i="3" l="1"/>
  <c r="I86" i="3"/>
  <c r="K89" i="3" l="1"/>
  <c r="K86" i="3" s="1"/>
  <c r="J86" i="3"/>
  <c r="F113" i="3"/>
  <c r="F115" i="3" l="1"/>
  <c r="F114" i="3"/>
  <c r="F117" i="3" l="1"/>
  <c r="F116" i="3"/>
  <c r="F118" i="3"/>
  <c r="F121" i="3" l="1"/>
  <c r="F122" i="3" s="1"/>
  <c r="F123" i="3" s="1"/>
  <c r="G113" i="3"/>
  <c r="G115" i="3" l="1"/>
  <c r="G114" i="3"/>
  <c r="F124" i="3"/>
  <c r="G116" i="3" l="1"/>
  <c r="G117" i="3"/>
  <c r="G118" i="3"/>
  <c r="H113" i="3"/>
  <c r="H115" i="3" l="1"/>
  <c r="H114" i="3"/>
  <c r="G121" i="3"/>
  <c r="I113" i="3"/>
  <c r="I114" i="3" l="1"/>
  <c r="I115" i="3"/>
  <c r="G122" i="3"/>
  <c r="G123" i="3" s="1"/>
  <c r="G124" i="3" s="1"/>
  <c r="H116" i="3"/>
  <c r="H117" i="3"/>
  <c r="H118" i="3"/>
  <c r="J113" i="3"/>
  <c r="J114" i="3" l="1"/>
  <c r="J115" i="3"/>
  <c r="H121" i="3"/>
  <c r="I117" i="3"/>
  <c r="I116" i="3"/>
  <c r="I118" i="3"/>
  <c r="I121" i="3" l="1"/>
  <c r="I122" i="3" s="1"/>
  <c r="I123" i="3" s="1"/>
  <c r="I124" i="3" s="1"/>
  <c r="H122" i="3"/>
  <c r="H123" i="3" s="1"/>
  <c r="H124" i="3" s="1"/>
  <c r="J116" i="3"/>
  <c r="J118" i="3"/>
  <c r="J117" i="3"/>
  <c r="J121" i="3" l="1"/>
  <c r="J122" i="3" s="1"/>
  <c r="J123" i="3" s="1"/>
  <c r="J124" i="3" s="1"/>
  <c r="K113" i="3"/>
  <c r="K115" i="3" l="1"/>
  <c r="K114" i="3"/>
  <c r="K116" i="3" l="1"/>
  <c r="K118" i="3"/>
  <c r="K117" i="3"/>
  <c r="K121" i="3" l="1"/>
  <c r="K122" i="3" s="1"/>
  <c r="K123" i="3" s="1"/>
  <c r="K124" i="3" l="1"/>
  <c r="N123" i="3"/>
  <c r="N12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 Heier</author>
  </authors>
  <commentList>
    <comment ref="G7" authorId="0" shapeId="0" xr:uid="{1BD8471E-D2CC-9E4E-B853-3D34C36CECAE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B3BA0B96-F539-C84B-9467-9C758B03A366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E05B08C2-7568-1C47-BA1D-63132D49271E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3F5E33E3-AEEC-AF42-B75D-177404E63E81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A53E5600-1BD2-3B4E-A367-AEBE5AD4DFBB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2AF035C7-A5EB-5E41-9A3F-C7656E2F5970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holds rights outside Europe and books those sales; Almirall licenses lebrikizumab in Europe.</t>
        </r>
      </text>
    </comment>
    <comment ref="G20" authorId="0" shapeId="0" xr:uid="{25FDAAFD-7C4D-D94B-A804-09374BBAAB10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<sst xmlns="http://schemas.openxmlformats.org/spreadsheetml/2006/main" count="357" uniqueCount="181">
  <si>
    <t xml:space="preserve">Price </t>
  </si>
  <si>
    <t>Market Cap</t>
  </si>
  <si>
    <t>Cash</t>
  </si>
  <si>
    <t>Debt</t>
  </si>
  <si>
    <t>EV</t>
  </si>
  <si>
    <t>Shares</t>
  </si>
  <si>
    <t>Eli Lilly and Company (LLY)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</si>
  <si>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</si>
  <si>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</si>
  <si>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</si>
  <si>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</si>
  <si>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</si>
  <si>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</si>
  <si>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</si>
  <si>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</si>
  <si>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</si>
  <si>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</si>
  <si>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</si>
  <si>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</si>
  <si>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</si>
  <si>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Net Income</t>
  </si>
  <si>
    <t>Q2'26</t>
  </si>
  <si>
    <t>Q1'27</t>
  </si>
  <si>
    <t>Q3'26</t>
  </si>
  <si>
    <t>Q4'26</t>
  </si>
  <si>
    <t>Q2'27</t>
  </si>
  <si>
    <t>Q3'27</t>
  </si>
  <si>
    <t>Q4'27</t>
  </si>
  <si>
    <t>Q1'28</t>
  </si>
  <si>
    <t>Q2'28</t>
  </si>
  <si>
    <t>Q3'28</t>
  </si>
  <si>
    <t>Q4'28</t>
  </si>
  <si>
    <t>COGS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</si>
  <si>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</si>
  <si>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</si>
  <si>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</si>
  <si>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</si>
  <si>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</si>
  <si>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</si>
  <si>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</si>
  <si>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EPS</t>
  </si>
  <si>
    <t>Q1'29</t>
  </si>
  <si>
    <t>Q2'29</t>
  </si>
  <si>
    <t>Q3'29</t>
  </si>
  <si>
    <t>Q4'29</t>
  </si>
  <si>
    <t>Q1'30</t>
  </si>
  <si>
    <t>Q2'30</t>
  </si>
  <si>
    <t>Q3'30</t>
  </si>
  <si>
    <t>Q4'30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</si>
  <si>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</si>
  <si>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</si>
  <si>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</si>
  <si>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</si>
  <si>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</si>
  <si>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</si>
  <si>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</si>
  <si>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</si>
  <si>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</si>
  <si>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Gross Margin</t>
  </si>
  <si>
    <t>Revenue Growth Rate</t>
  </si>
  <si>
    <t>Annual Income Statement</t>
  </si>
  <si>
    <t xml:space="preserve">Quarterly Income Statement </t>
  </si>
  <si>
    <t>Gross Margin %</t>
  </si>
  <si>
    <t>Jardiance</t>
  </si>
  <si>
    <t>Trulicity</t>
  </si>
  <si>
    <t>Inluriyo</t>
  </si>
  <si>
    <t>Jaypirca</t>
  </si>
  <si>
    <t>Verzenio</t>
  </si>
  <si>
    <t>Ebglyss</t>
  </si>
  <si>
    <t>Omvoh</t>
  </si>
  <si>
    <t>Taltz</t>
  </si>
  <si>
    <t>Kisunla</t>
  </si>
  <si>
    <t>R&amp;D %</t>
  </si>
  <si>
    <t>SG&amp;A %</t>
  </si>
  <si>
    <t>IPR&amp;D &amp;</t>
  </si>
  <si>
    <t>Tax rate</t>
  </si>
  <si>
    <t>Q1'31</t>
  </si>
  <si>
    <t>Q2'31</t>
  </si>
  <si>
    <t>Q3'31</t>
  </si>
  <si>
    <t>Q4'31</t>
  </si>
  <si>
    <t>Mounjaro</t>
  </si>
  <si>
    <t>Zepbound</t>
  </si>
  <si>
    <t>Foundayo</t>
  </si>
  <si>
    <t>Humalog</t>
  </si>
  <si>
    <t>Other / Misc</t>
  </si>
  <si>
    <t>Total Revenue</t>
  </si>
  <si>
    <t>Disocunt Rate</t>
  </si>
  <si>
    <t>Maturity Rate</t>
  </si>
  <si>
    <t>NPV</t>
  </si>
  <si>
    <t>Price</t>
  </si>
  <si>
    <t>Name</t>
  </si>
  <si>
    <t>Indication</t>
  </si>
  <si>
    <t>Mechanism</t>
  </si>
  <si>
    <t>Economics</t>
  </si>
  <si>
    <t>Approved</t>
  </si>
  <si>
    <t xml:space="preserve">Brand </t>
  </si>
  <si>
    <t>Generic</t>
  </si>
  <si>
    <t>TIRZEPATIDE</t>
  </si>
  <si>
    <t>Type 2 Diabetes</t>
  </si>
  <si>
    <t>MOA</t>
  </si>
  <si>
    <t>Retatrutide</t>
  </si>
  <si>
    <t>CDK4/6 inhibitors</t>
  </si>
  <si>
    <t>Breast Cancer</t>
  </si>
  <si>
    <t>abemaciclib</t>
  </si>
  <si>
    <t>Type-2 Diabetes</t>
  </si>
  <si>
    <t>dulaglutide</t>
  </si>
  <si>
    <t>GLP-1 Agonist</t>
  </si>
  <si>
    <t>empagliflozin</t>
  </si>
  <si>
    <t>Type 2 Diabetes &amp; Heart Failure</t>
  </si>
  <si>
    <t>SGLT2 Inhibitors</t>
  </si>
  <si>
    <t>Lebrikizumab</t>
  </si>
  <si>
    <t>Eczema</t>
  </si>
  <si>
    <t>interleukin-13 antagonist</t>
  </si>
  <si>
    <t>donanemab-azbt</t>
  </si>
  <si>
    <t>amyloid beta-directed antibody</t>
  </si>
  <si>
    <t>Mirikizumab-Mrkz</t>
  </si>
  <si>
    <t>interleukin-23 antagonist</t>
  </si>
  <si>
    <t>Pirtobrutinib</t>
  </si>
  <si>
    <t>Non-Hodgkin Lymphoma</t>
  </si>
  <si>
    <t>Bruton’s tyrosine kinase (BTK) inhibitor</t>
  </si>
  <si>
    <t>Imlunestrant</t>
  </si>
  <si>
    <t>Estrogen Antagonist</t>
  </si>
  <si>
    <t>Ixekizumab</t>
  </si>
  <si>
    <t>Plaque Psoriasis &amp; Psoriatic Arthritis</t>
  </si>
  <si>
    <t>interleukin antagonist</t>
  </si>
  <si>
    <t>Insulin Lispro</t>
  </si>
  <si>
    <t>Orforglipron</t>
  </si>
  <si>
    <t>Alzheimer's Disease</t>
  </si>
  <si>
    <t>Crohn's Disease &amp; Ulcerative Colitis</t>
  </si>
  <si>
    <t>Basaglar</t>
  </si>
  <si>
    <t xml:space="preserve">Humulin </t>
  </si>
  <si>
    <t xml:space="preserve">Oncology </t>
  </si>
  <si>
    <t>Diabetes</t>
  </si>
  <si>
    <t>Cyramza</t>
  </si>
  <si>
    <t>Erbitux</t>
  </si>
  <si>
    <t>Retevmo</t>
  </si>
  <si>
    <t>Tyvyt</t>
  </si>
  <si>
    <t>Immunology</t>
  </si>
  <si>
    <t xml:space="preserve">Neuroscience </t>
  </si>
  <si>
    <t>Emgality</t>
  </si>
  <si>
    <t>Olumiant</t>
  </si>
  <si>
    <t>Humulin</t>
  </si>
  <si>
    <t>Insulin Glargine</t>
  </si>
  <si>
    <t>Type 1 and Type 2 Diabetes</t>
  </si>
  <si>
    <t>Long-Acting Insulin</t>
  </si>
  <si>
    <t>Human Insulin</t>
  </si>
  <si>
    <t>Insulin (short- and intermediate-acting)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</si>
  <si>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</si>
  <si>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</si>
  <si>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</si>
  <si>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</si>
  <si>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</si>
  <si>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</si>
  <si>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</si>
  <si>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</si>
  <si>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</si>
  <si>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Baricitinib</t>
  </si>
  <si>
    <t>Rheumatoid Arthritis, Alopecia Areata, COVID-19</t>
  </si>
  <si>
    <t>JAK (Janus Kinase) Inhibitor</t>
  </si>
  <si>
    <t>Galcanezumab</t>
  </si>
  <si>
    <t>Migraine Prevention and Cluster Headache</t>
  </si>
  <si>
    <t>CGRP Antagonist (Monoclonal Antibody)</t>
  </si>
  <si>
    <t>Sintilimab</t>
  </si>
  <si>
    <t>Hodgkin Lymphoma, NSCLC &amp; other cancers (approved in China; not FDA-approved)</t>
  </si>
  <si>
    <t>PD-1 Inhibitor (Monoclonal Antibody)</t>
  </si>
  <si>
    <t>GIP / GLP-1 / Glucagon Triple Receptor Agonist</t>
  </si>
  <si>
    <t xml:space="preserve">Obesity &amp; Type 2 Diabetes </t>
  </si>
  <si>
    <t>Tirzepatide</t>
  </si>
  <si>
    <t>Obesity &amp; Obstructive Sleep Apnea</t>
  </si>
  <si>
    <t>Dual GIP/GLP-1 Receptor Agonist</t>
  </si>
  <si>
    <t>Obesity / Chronic Weight Management</t>
  </si>
  <si>
    <t>GLP-1 Receptor Agonist (oral, nonpeptide)</t>
  </si>
  <si>
    <t>Rapid-Acting Insulin</t>
  </si>
  <si>
    <t>Royalty only</t>
  </si>
  <si>
    <t>Royalty / share</t>
  </si>
  <si>
    <t>Not FDA approved</t>
  </si>
  <si>
    <t>TBD</t>
  </si>
  <si>
    <t>None</t>
  </si>
  <si>
    <t>LLY</t>
  </si>
  <si>
    <t>Other</t>
  </si>
  <si>
    <t>YoY Revenue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</si>
</sst>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;\(0.0%\);&quot;-&quot;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2"/>
      <color theme="1"/>
      <name val="Aptos Narrow"/>
      <family val="2"/>
      <scheme val="minor"/>
    </font>
    <font>
      <b/>
      <sz val="10"/>
      <name val="Arial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44" fontId="0" fillId="0" borderId="0" xfId="2" applyFont="1"/>
    <xf numFmtId="43" fontId="0" fillId="0" borderId="0" xfId="1" applyFont="1"/>
    <xf numFmtId="44" fontId="0" fillId="0" borderId="0" xfId="0" applyNumberFormat="1"/>
    <xf numFmtId="0" fontId="2" fillId="0" borderId="0" xfId="0" applyFont="1"/>
    <xf numFmtId="0" fontId="5" fillId="0" borderId="0" xfId="0" applyFont="1"/>
    <xf numFmtId="164" fontId="5" fillId="0" borderId="2" xfId="2" applyNumberFormat="1" applyFont="1" applyBorder="1"/>
    <xf numFmtId="164" fontId="0" fillId="0" borderId="2" xfId="2" applyNumberFormat="1" applyFont="1" applyBorder="1"/>
    <xf numFmtId="164" fontId="0" fillId="0" borderId="0" xfId="2" applyNumberFormat="1" applyFont="1" applyBorder="1"/>
    <xf numFmtId="164" fontId="5" fillId="0" borderId="0" xfId="2" applyNumberFormat="1" applyFont="1" applyBorder="1"/>
    <xf numFmtId="164" fontId="0" fillId="0" borderId="0" xfId="2" applyNumberFormat="1" applyFont="1" applyFill="1" applyBorder="1"/>
    <xf numFmtId="164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43" fontId="0" fillId="0" borderId="0" xfId="0" applyNumberFormat="1"/>
    <xf numFmtId="43" fontId="0" fillId="0" borderId="0" xfId="1" applyFont="1" applyBorder="1"/>
    <xf numFmtId="43" fontId="6" fillId="0" borderId="0" xfId="1" applyFont="1" applyBorder="1"/>
    <xf numFmtId="9" fontId="6" fillId="0" borderId="0" xfId="3" applyFont="1" applyBorder="1"/>
    <xf numFmtId="44" fontId="0" fillId="0" borderId="2" xfId="0" applyNumberFormat="1" applyBorder="1"/>
    <xf numFmtId="43" fontId="0" fillId="0" borderId="2" xfId="1" applyFont="1" applyBorder="1"/>
    <xf numFmtId="9" fontId="6" fillId="0" borderId="2" xfId="3" applyFont="1" applyBorder="1"/>
    <xf numFmtId="164" fontId="5" fillId="0" borderId="0" xfId="0" applyNumberFormat="1" applyFont="1"/>
    <xf numFmtId="164" fontId="0" fillId="0" borderId="2" xfId="0" applyNumberFormat="1" applyBorder="1"/>
    <xf numFmtId="43" fontId="0" fillId="0" borderId="2" xfId="0" applyNumberFormat="1" applyBorder="1"/>
    <xf numFmtId="0" fontId="3" fillId="0" borderId="0" xfId="0" applyFont="1"/>
    <xf numFmtId="0" fontId="6" fillId="0" borderId="0" xfId="0" applyFont="1"/>
    <xf numFmtId="9" fontId="6" fillId="0" borderId="0" xfId="0" applyNumberFormat="1" applyFont="1"/>
    <xf numFmtId="0" fontId="0" fillId="0" borderId="0" xfId="0" applyAlignment="1">
      <alignment horizontal="center"/>
    </xf>
    <xf numFmtId="164" fontId="0" fillId="2" borderId="0" xfId="2" applyNumberFormat="1" applyFont="1" applyFill="1" applyBorder="1"/>
    <xf numFmtId="0" fontId="0" fillId="3" borderId="0" xfId="0" applyFill="1"/>
    <xf numFmtId="0" fontId="5" fillId="0" borderId="7" xfId="0" applyFont="1" applyBorder="1"/>
    <xf numFmtId="164" fontId="5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14" fontId="1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164" fontId="0" fillId="2" borderId="2" xfId="2" applyNumberFormat="1" applyFont="1" applyFill="1" applyBorder="1"/>
    <xf numFmtId="0" fontId="5" fillId="0" borderId="4" xfId="0" applyFont="1" applyBorder="1"/>
    <xf numFmtId="0" fontId="0" fillId="0" borderId="6" xfId="0" applyBorder="1"/>
    <xf numFmtId="0" fontId="0" fillId="0" borderId="11" xfId="0" applyBorder="1"/>
    <xf numFmtId="9" fontId="0" fillId="0" borderId="12" xfId="3" applyFont="1" applyBorder="1"/>
    <xf numFmtId="0" fontId="0" fillId="0" borderId="8" xfId="0" applyBorder="1"/>
    <xf numFmtId="9" fontId="0" fillId="0" borderId="2" xfId="3" applyFont="1" applyBorder="1"/>
    <xf numFmtId="44" fontId="0" fillId="0" borderId="2" xfId="2" applyFont="1" applyBorder="1"/>
    <xf numFmtId="0" fontId="0" fillId="0" borderId="9" xfId="0" applyBorder="1"/>
    <xf numFmtId="0" fontId="0" fillId="0" borderId="2" xfId="0" applyBorder="1"/>
    <xf numFmtId="0" fontId="12" fillId="0" borderId="0" xfId="0" applyFont="1"/>
    <xf numFmtId="0" fontId="13" fillId="0" borderId="0" xfId="0" applyFont="1"/>
    <xf numFmtId="165" fontId="12" fillId="0" borderId="0" xfId="0" applyNumberFormat="1" applyFont="1"/>
    <xf numFmtId="165" fontId="0" fillId="0" borderId="0" xfId="0" applyNumberFormat="1"/>
    <xf numFmtId="164" fontId="13" fillId="0" borderId="0" xfId="0" applyNumberFormat="1" applyFont="1"/>
    <xf numFmtId="164" fontId="13" fillId="0" borderId="2" xfId="0" applyNumberFormat="1" applyFont="1" applyBorder="1"/>
    <xf numFmtId="44" fontId="0" fillId="4" borderId="10" xfId="2" applyFont="1" applyFill="1" applyBorder="1"/>
    <xf numFmtId="0" fontId="0" fillId="0" borderId="1" xfId="0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3B7574-CDB1-5E4F-8A94-7EA0BDC2F33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f1289d-5991-4141-b431-857d0400479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DA03D-D60F-7048-8E8C-0EDC58CFE77F}">
  <dimension ref="A2:H29"/>
  <sheetViews>
    <sheetView workbookViewId="0">
      <selection activeCell="B16" sqref="B16"/>
    </sheetView>
  </sheetViews>
  <sheetFormatPr baseColWidth="10" defaultColWidth="11" defaultRowHeight="16" x14ac:dyDescent="0.2"/>
  <cols>
    <col min="2" max="2" width="22.1640625" customWidth="1"/>
    <col min="3" max="3" width="2.83203125" customWidth="1"/>
    <col min="4" max="4" width="20.5" customWidth="1"/>
    <col min="5" max="5" width="69.6640625" bestFit="1" customWidth="1"/>
    <col min="6" max="6" width="38.83203125" bestFit="1" customWidth="1"/>
    <col min="7" max="7" width="13.5" bestFit="1" customWidth="1"/>
    <col min="8" max="8" width="16.1640625" bestFit="1" customWidth="1"/>
    <col min="9" max="9" width="14" bestFit="1" customWidth="1"/>
  </cols>
  <sheetData>
    <row r="2" spans="1:8" x14ac:dyDescent="0.2">
      <c r="A2" s="48" t="s">
        <v>178</v>
      </c>
      <c r="B2" s="49"/>
      <c r="D2" s="44" t="s">
        <v>90</v>
      </c>
      <c r="E2" s="32" t="s">
        <v>91</v>
      </c>
      <c r="F2" s="32" t="s">
        <v>92</v>
      </c>
      <c r="G2" s="32" t="s">
        <v>93</v>
      </c>
      <c r="H2" s="45" t="s">
        <v>94</v>
      </c>
    </row>
    <row r="3" spans="1:8" x14ac:dyDescent="0.2">
      <c r="A3" t="s">
        <v>0</v>
      </c>
      <c r="B3" s="1">
        <v>1213.4000000000001</v>
      </c>
      <c r="D3" s="34" t="s">
        <v>80</v>
      </c>
      <c r="E3" s="27" t="str">
        <f>Mounjaro!C4</f>
        <v>Type 2 Diabetes</v>
      </c>
      <c r="F3" s="27" t="str">
        <f>Mounjaro!C5</f>
        <v>Dual GIP/GLP-1 Receptor Agonist</v>
      </c>
      <c r="G3" s="35">
        <v>1</v>
      </c>
      <c r="H3" s="36">
        <v>44694</v>
      </c>
    </row>
    <row r="4" spans="1:8" x14ac:dyDescent="0.2">
      <c r="A4" t="s">
        <v>5</v>
      </c>
      <c r="B4" s="2">
        <v>895.9</v>
      </c>
      <c r="D4" s="34" t="s">
        <v>81</v>
      </c>
      <c r="E4" s="27" t="str">
        <f>Zepbound!C4</f>
        <v>Obesity &amp; Obstructive Sleep Apnea</v>
      </c>
      <c r="F4" s="27" t="str">
        <f>Zepbound!C5</f>
        <v>Dual GIP/GLP-1 Receptor Agonist</v>
      </c>
      <c r="G4" s="35">
        <v>1</v>
      </c>
      <c r="H4" s="36">
        <v>45238</v>
      </c>
    </row>
    <row r="5" spans="1:8" x14ac:dyDescent="0.2">
      <c r="A5" t="s">
        <v>1</v>
      </c>
      <c r="B5" s="1">
        <f>B3*B4</f>
        <v>1087085.06</v>
      </c>
      <c r="D5" s="34" t="s">
        <v>64</v>
      </c>
      <c r="E5" s="27" t="str">
        <f>Trulicity!C4</f>
        <v>Type-2 Diabetes</v>
      </c>
      <c r="F5" s="27" t="str">
        <f>Trulicity!C5</f>
        <v>GLP-1 Agonist</v>
      </c>
      <c r="G5" s="35">
        <v>1</v>
      </c>
      <c r="H5" s="36">
        <v>41900</v>
      </c>
    </row>
    <row r="6" spans="1:8" x14ac:dyDescent="0.2">
      <c r="A6" t="s">
        <v>2</v>
      </c>
      <c r="B6" s="1">
        <v>7268</v>
      </c>
      <c r="D6" s="34" t="s">
        <v>100</v>
      </c>
      <c r="E6" s="27" t="str">
        <f>Retatrutide!C4</f>
        <v xml:space="preserve">Obesity &amp; Type 2 Diabetes </v>
      </c>
      <c r="F6" s="27" t="str">
        <f>Retatrutide!C5</f>
        <v>GIP / GLP-1 / Glucagon Triple Receptor Agonist</v>
      </c>
      <c r="G6" s="35">
        <v>1</v>
      </c>
      <c r="H6" s="37" t="s">
        <v>176</v>
      </c>
    </row>
    <row r="7" spans="1:8" x14ac:dyDescent="0.2">
      <c r="A7" t="s">
        <v>3</v>
      </c>
      <c r="B7" s="1">
        <f>1635+40868</f>
        <v>42503</v>
      </c>
      <c r="D7" s="34" t="s">
        <v>82</v>
      </c>
      <c r="E7" s="27" t="str">
        <f>Foundayo!C4</f>
        <v>Obesity / Chronic Weight Management</v>
      </c>
      <c r="F7" s="27" t="str">
        <f>Foundayo!C5</f>
        <v>GLP-1 Receptor Agonist (oral, nonpeptide)</v>
      </c>
      <c r="G7" s="35">
        <v>1</v>
      </c>
      <c r="H7" s="36">
        <v>46113</v>
      </c>
    </row>
    <row r="8" spans="1:8" x14ac:dyDescent="0.2">
      <c r="A8" t="s">
        <v>4</v>
      </c>
      <c r="B8" s="3">
        <f>B5+B7-B6</f>
        <v>1122320.06</v>
      </c>
      <c r="D8" s="34" t="s">
        <v>129</v>
      </c>
      <c r="E8" s="27" t="str">
        <f>Basaglar!C4</f>
        <v>Type 1 and Type 2 Diabetes</v>
      </c>
      <c r="F8" s="27" t="str">
        <f>Basaglar!C5</f>
        <v>Long-Acting Insulin</v>
      </c>
      <c r="G8" s="35">
        <v>1</v>
      </c>
      <c r="H8" s="36">
        <f>DATE(2015,12,16)</f>
        <v>42354</v>
      </c>
    </row>
    <row r="9" spans="1:8" x14ac:dyDescent="0.2">
      <c r="D9" s="34" t="s">
        <v>83</v>
      </c>
      <c r="E9" s="27" t="str">
        <f>Humalog!C4</f>
        <v>Type 1 and Type 2 Diabetes</v>
      </c>
      <c r="F9" s="27" t="str">
        <f>Humalog!C5</f>
        <v>Rapid-Acting Insulin</v>
      </c>
      <c r="G9" s="35">
        <v>1</v>
      </c>
      <c r="H9" s="36">
        <v>35230</v>
      </c>
    </row>
    <row r="10" spans="1:8" x14ac:dyDescent="0.2">
      <c r="D10" s="34" t="s">
        <v>141</v>
      </c>
      <c r="E10" s="27" t="str">
        <f>Humulin!C4</f>
        <v>Type 1 and Type 2 Diabetes</v>
      </c>
      <c r="F10" s="27" t="str">
        <f>Humulin!C5</f>
        <v>Insulin (short- and intermediate-acting)</v>
      </c>
      <c r="G10" s="35">
        <v>1</v>
      </c>
      <c r="H10" s="36">
        <f>DATE(1982,10,28)</f>
        <v>30252</v>
      </c>
    </row>
    <row r="11" spans="1:8" x14ac:dyDescent="0.2">
      <c r="D11" s="34" t="s">
        <v>63</v>
      </c>
      <c r="E11" s="27" t="str">
        <f>Jardiance!C4</f>
        <v>Type 2 Diabetes &amp; Heart Failure</v>
      </c>
      <c r="F11" s="27" t="str">
        <f>Jardiance!C5</f>
        <v>SGLT2 Inhibitors</v>
      </c>
      <c r="G11" s="38" t="s">
        <v>173</v>
      </c>
      <c r="H11" s="36">
        <v>41852</v>
      </c>
    </row>
    <row r="12" spans="1:8" x14ac:dyDescent="0.2">
      <c r="D12" s="34" t="s">
        <v>67</v>
      </c>
      <c r="E12" s="27" t="str">
        <f>Verzenio!C4</f>
        <v>Breast Cancer</v>
      </c>
      <c r="F12" s="27" t="str">
        <f>Verzenio!C5</f>
        <v>CDK4/6 inhibitors</v>
      </c>
      <c r="G12" s="35">
        <v>1</v>
      </c>
      <c r="H12" s="36">
        <v>43006</v>
      </c>
    </row>
    <row r="13" spans="1:8" x14ac:dyDescent="0.2">
      <c r="D13" s="34" t="s">
        <v>133</v>
      </c>
      <c r="E13" s="27" t="str">
        <f>Cyramza!C4</f>
        <v>Gastric, NSCLC, and Colorectal Cancer</v>
      </c>
      <c r="F13" s="27" t="str">
        <f>Cyramza!C5</f>
        <v>VEGFR2 Antagonist (Monoclonal Antibody)</v>
      </c>
      <c r="G13" s="35">
        <v>1</v>
      </c>
      <c r="H13" s="36">
        <f>DATE(2014,4,21)</f>
        <v>41750</v>
      </c>
    </row>
    <row r="14" spans="1:8" x14ac:dyDescent="0.2">
      <c r="D14" s="34" t="s">
        <v>134</v>
      </c>
      <c r="E14" s="27" t="str">
        <f>Erbitux!C4</f>
        <v>Colorectal and Head &amp; Neck Cancer</v>
      </c>
      <c r="F14" s="27" t="str">
        <f>Erbitux!C5</f>
        <v>EGFR Inhibitor (Monoclonal Antibody)</v>
      </c>
      <c r="G14" s="38" t="s">
        <v>174</v>
      </c>
      <c r="H14" s="36">
        <f>DATE(2004,2,12)</f>
        <v>38029</v>
      </c>
    </row>
    <row r="15" spans="1:8" x14ac:dyDescent="0.2">
      <c r="D15" s="34" t="s">
        <v>135</v>
      </c>
      <c r="E15" s="27" t="str">
        <f>Retevmo!C4</f>
        <v>RET-Altered NSCLC and Thyroid Cancer</v>
      </c>
      <c r="F15" s="27" t="str">
        <f>Retevmo!C5</f>
        <v>RET Kinase Inhibitor</v>
      </c>
      <c r="G15" s="35">
        <v>1</v>
      </c>
      <c r="H15" s="36">
        <f>DATE(2020,5,8)</f>
        <v>43959</v>
      </c>
    </row>
    <row r="16" spans="1:8" x14ac:dyDescent="0.2">
      <c r="D16" s="34" t="s">
        <v>136</v>
      </c>
      <c r="E16" s="27" t="str">
        <f>Tyvyt!C4</f>
        <v>Hodgkin Lymphoma, NSCLC &amp; other cancers (approved in China; not FDA-approved)</v>
      </c>
      <c r="F16" s="27" t="str">
        <f>Tyvyt!C5</f>
        <v>PD-1 Inhibitor (Monoclonal Antibody)</v>
      </c>
      <c r="G16" s="38" t="s">
        <v>174</v>
      </c>
      <c r="H16" s="39" t="s">
        <v>175</v>
      </c>
    </row>
    <row r="17" spans="3:8" x14ac:dyDescent="0.2">
      <c r="D17" s="34" t="s">
        <v>66</v>
      </c>
      <c r="E17" s="27" t="str">
        <f>Jaypirca!C4</f>
        <v>Non-Hodgkin Lymphoma</v>
      </c>
      <c r="F17" s="27" t="str">
        <f>Jaypirca!C5</f>
        <v>Bruton’s tyrosine kinase (BTK) inhibitor</v>
      </c>
      <c r="G17" s="35">
        <v>1</v>
      </c>
      <c r="H17" s="36">
        <v>44953</v>
      </c>
    </row>
    <row r="18" spans="3:8" x14ac:dyDescent="0.2">
      <c r="D18" s="34" t="s">
        <v>65</v>
      </c>
      <c r="E18" s="27" t="str">
        <f>Inluriyo!C4</f>
        <v>Breast Cancer</v>
      </c>
      <c r="F18" s="27" t="str">
        <f>Inluriyo!C5</f>
        <v>Estrogen Antagonist</v>
      </c>
      <c r="G18" s="35">
        <v>1</v>
      </c>
      <c r="H18" s="36">
        <v>45925</v>
      </c>
    </row>
    <row r="19" spans="3:8" x14ac:dyDescent="0.2">
      <c r="D19" s="34" t="s">
        <v>68</v>
      </c>
      <c r="E19" s="27" t="str">
        <f>Ebglyss!C4</f>
        <v>Eczema</v>
      </c>
      <c r="F19" s="27" t="str">
        <f>Ebglyss!C5</f>
        <v>interleukin-13 antagonist</v>
      </c>
      <c r="G19" s="35">
        <v>1</v>
      </c>
      <c r="H19" s="36">
        <v>45548</v>
      </c>
    </row>
    <row r="20" spans="3:8" x14ac:dyDescent="0.2">
      <c r="D20" s="34" t="s">
        <v>140</v>
      </c>
      <c r="E20" s="27" t="str">
        <f>Olumiant!C4</f>
        <v>Rheumatoid Arthritis, Alopecia Areata, COVID-19</v>
      </c>
      <c r="F20" s="27" t="str">
        <f>Olumiant!C5</f>
        <v>JAK (Janus Kinase) Inhibitor</v>
      </c>
      <c r="G20" s="35">
        <v>1</v>
      </c>
      <c r="H20" s="36">
        <f>DATE(2018,5,31)</f>
        <v>43251</v>
      </c>
    </row>
    <row r="21" spans="3:8" x14ac:dyDescent="0.2">
      <c r="D21" s="34" t="s">
        <v>69</v>
      </c>
      <c r="E21" s="27" t="str">
        <f>Omvoh!C4</f>
        <v>Crohn's Disease &amp; Ulcerative Colitis</v>
      </c>
      <c r="F21" s="27" t="str">
        <f>Omvoh!C5</f>
        <v>interleukin-23 antagonist</v>
      </c>
      <c r="G21" s="35">
        <v>1</v>
      </c>
      <c r="H21" s="36">
        <v>45225</v>
      </c>
    </row>
    <row r="22" spans="3:8" x14ac:dyDescent="0.2">
      <c r="D22" s="34" t="s">
        <v>70</v>
      </c>
      <c r="E22" s="27" t="str">
        <f>Taltz!C4</f>
        <v>Plaque Psoriasis &amp; Psoriatic Arthritis</v>
      </c>
      <c r="F22" s="27" t="str">
        <f>Taltz!C5</f>
        <v>interleukin antagonist</v>
      </c>
      <c r="G22" s="35">
        <v>1</v>
      </c>
      <c r="H22" s="36">
        <v>42451</v>
      </c>
    </row>
    <row r="23" spans="3:8" x14ac:dyDescent="0.2">
      <c r="D23" s="34" t="s">
        <v>139</v>
      </c>
      <c r="E23" s="27" t="str">
        <f>Emgality!C4</f>
        <v>Migraine Prevention and Cluster Headache</v>
      </c>
      <c r="F23" s="27" t="str">
        <f>Emgality!C5</f>
        <v>CGRP Antagonist (Monoclonal Antibody)</v>
      </c>
      <c r="G23" s="35">
        <v>1</v>
      </c>
      <c r="H23" s="36">
        <f>DATE(2018,9,27)</f>
        <v>43370</v>
      </c>
    </row>
    <row r="24" spans="3:8" x14ac:dyDescent="0.2">
      <c r="D24" s="40" t="s">
        <v>71</v>
      </c>
      <c r="E24" s="33" t="str">
        <f>Kisunla!C4</f>
        <v>Alzheimer's Disease</v>
      </c>
      <c r="F24" s="33" t="str">
        <f>Kisunla!C5</f>
        <v>amyloid beta-directed antibody</v>
      </c>
      <c r="G24" s="41">
        <v>1</v>
      </c>
      <c r="H24" s="42">
        <v>45475</v>
      </c>
    </row>
    <row r="26" spans="3:8" x14ac:dyDescent="0.2">
      <c r="D26" s="43"/>
      <c r="E26" s="27"/>
      <c r="F26" s="27"/>
    </row>
    <row r="28" spans="3:8" x14ac:dyDescent="0.2">
      <c r="C28" s="27"/>
    </row>
    <row r="29" spans="3:8" x14ac:dyDescent="0.2">
      <c r="C29" s="27"/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186-ABD5-9247-B57C-084161281BED}">
  <dimension ref="B1:CM156"/>
  <sheetViews>
    <sheetView tabSelected="1" topLeftCell="A86" zoomScale="90" zoomScaleNormal="90" workbookViewId="0">
      <pane xSplit="2" topLeftCell="C1" activePane="topRight" state="frozen"/>
      <selection pane="topRight" activeCell="J113" sqref="J113"/>
    </sheetView>
  </sheetViews>
  <sheetFormatPr baseColWidth="10" defaultColWidth="11" defaultRowHeight="16" x14ac:dyDescent="0.2"/>
  <cols>
    <col min="1" max="1" width="2.33203125" customWidth="1"/>
    <col min="2" max="2" width="32.6640625" customWidth="1"/>
    <col min="3" max="12" width="13.33203125" customWidth="1"/>
    <col min="13" max="13" width="14" bestFit="1" customWidth="1"/>
    <col min="14" max="14" width="15.1640625" bestFit="1" customWidth="1"/>
    <col min="15" max="31" width="13.33203125" customWidth="1"/>
    <col min="32" max="38" width="13.1640625" customWidth="1"/>
    <col min="39" max="91" width="12.5" bestFit="1" customWidth="1"/>
  </cols>
  <sheetData>
    <row r="1" spans="2:38" ht="10" customHeight="1" x14ac:dyDescent="0.2"/>
    <row r="2" spans="2:38" ht="19" x14ac:dyDescent="0.25">
      <c r="B2" s="4" t="s">
        <v>6</v>
      </c>
    </row>
    <row r="4" spans="2:38" ht="17" thickBot="1" x14ac:dyDescent="0.25">
      <c r="B4" s="64" t="s">
        <v>61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  <c r="O4" s="13" t="s">
        <v>19</v>
      </c>
      <c r="P4" s="12" t="s">
        <v>21</v>
      </c>
      <c r="Q4" s="12" t="s">
        <v>23</v>
      </c>
      <c r="R4" s="12" t="s">
        <v>24</v>
      </c>
      <c r="S4" s="12" t="s">
        <v>22</v>
      </c>
      <c r="T4" s="12" t="s">
        <v>25</v>
      </c>
      <c r="U4" s="12" t="s">
        <v>26</v>
      </c>
      <c r="V4" s="12" t="s">
        <v>27</v>
      </c>
      <c r="W4" s="12" t="s">
        <v>28</v>
      </c>
      <c r="X4" s="12" t="s">
        <v>29</v>
      </c>
      <c r="Y4" s="12" t="s">
        <v>30</v>
      </c>
      <c r="Z4" s="12" t="s">
        <v>31</v>
      </c>
      <c r="AA4" s="12" t="s">
        <v>41</v>
      </c>
      <c r="AB4" s="12" t="s">
        <v>42</v>
      </c>
      <c r="AC4" s="12" t="s">
        <v>43</v>
      </c>
      <c r="AD4" s="12" t="s">
        <v>44</v>
      </c>
      <c r="AE4" s="12" t="s">
        <v>45</v>
      </c>
      <c r="AF4" s="12" t="s">
        <v>46</v>
      </c>
      <c r="AG4" s="12" t="s">
        <v>47</v>
      </c>
      <c r="AH4" s="12" t="s">
        <v>48</v>
      </c>
      <c r="AI4" s="12" t="s">
        <v>76</v>
      </c>
      <c r="AJ4" s="12" t="s">
        <v>77</v>
      </c>
      <c r="AK4" s="12" t="s">
        <v>78</v>
      </c>
      <c r="AL4" s="12" t="s">
        <v>79</v>
      </c>
    </row>
    <row r="5" spans="2:38" x14ac:dyDescent="0.2">
      <c r="B5" s="30" t="s">
        <v>132</v>
      </c>
      <c r="C5" s="31">
        <f>SUM(C6:C14)</f>
        <v>4045.3</v>
      </c>
      <c r="D5" s="31">
        <f t="shared" ref="D5:AL5" si="0">SUM(D6:D14)</f>
        <v>4260.3999999999996</v>
      </c>
      <c r="E5" s="31">
        <f t="shared" si="0"/>
        <v>4565.3999999999996</v>
      </c>
      <c r="F5" s="31">
        <f t="shared" si="0"/>
        <v>5588.7000000000007</v>
      </c>
      <c r="G5" s="31">
        <f t="shared" si="0"/>
        <v>5369.2</v>
      </c>
      <c r="H5" s="31">
        <f t="shared" si="0"/>
        <v>7858.8000000000011</v>
      </c>
      <c r="I5" s="31">
        <f t="shared" si="0"/>
        <v>7261.6</v>
      </c>
      <c r="J5" s="31">
        <f t="shared" si="0"/>
        <v>8962.6999999999989</v>
      </c>
      <c r="K5" s="31">
        <f t="shared" si="0"/>
        <v>9147</v>
      </c>
      <c r="L5" s="31">
        <f t="shared" si="0"/>
        <v>11185.800000000001</v>
      </c>
      <c r="M5" s="31">
        <f t="shared" si="0"/>
        <v>13051.800000000001</v>
      </c>
      <c r="N5" s="31">
        <f t="shared" si="0"/>
        <v>14526.3</v>
      </c>
      <c r="O5" s="46">
        <f t="shared" si="0"/>
        <v>15790.900000000001</v>
      </c>
      <c r="P5" s="31">
        <f t="shared" si="0"/>
        <v>0</v>
      </c>
      <c r="Q5" s="31">
        <f t="shared" si="0"/>
        <v>0</v>
      </c>
      <c r="R5" s="31">
        <f t="shared" si="0"/>
        <v>0</v>
      </c>
      <c r="S5" s="31">
        <f t="shared" si="0"/>
        <v>0</v>
      </c>
      <c r="T5" s="31">
        <f t="shared" si="0"/>
        <v>0</v>
      </c>
      <c r="U5" s="31">
        <f t="shared" si="0"/>
        <v>0</v>
      </c>
      <c r="V5" s="31">
        <f t="shared" si="0"/>
        <v>0</v>
      </c>
      <c r="W5" s="31">
        <f t="shared" si="0"/>
        <v>0</v>
      </c>
      <c r="X5" s="31">
        <f t="shared" si="0"/>
        <v>0</v>
      </c>
      <c r="Y5" s="31">
        <f t="shared" si="0"/>
        <v>0</v>
      </c>
      <c r="Z5" s="31">
        <f t="shared" si="0"/>
        <v>0</v>
      </c>
      <c r="AA5" s="31">
        <f t="shared" si="0"/>
        <v>0</v>
      </c>
      <c r="AB5" s="31">
        <f t="shared" si="0"/>
        <v>0</v>
      </c>
      <c r="AC5" s="31">
        <f t="shared" si="0"/>
        <v>0</v>
      </c>
      <c r="AD5" s="31">
        <f t="shared" si="0"/>
        <v>0</v>
      </c>
      <c r="AE5" s="31">
        <f t="shared" si="0"/>
        <v>0</v>
      </c>
      <c r="AF5" s="31">
        <f t="shared" si="0"/>
        <v>0</v>
      </c>
      <c r="AG5" s="31">
        <f t="shared" si="0"/>
        <v>0</v>
      </c>
      <c r="AH5" s="31">
        <f t="shared" si="0"/>
        <v>0</v>
      </c>
      <c r="AI5" s="31">
        <f t="shared" si="0"/>
        <v>0</v>
      </c>
      <c r="AJ5" s="31">
        <f t="shared" si="0"/>
        <v>0</v>
      </c>
      <c r="AK5" s="31">
        <f t="shared" si="0"/>
        <v>0</v>
      </c>
      <c r="AL5" s="31">
        <f t="shared" si="0"/>
        <v>0</v>
      </c>
    </row>
    <row r="6" spans="2:38" x14ac:dyDescent="0.2">
      <c r="B6" t="s">
        <v>80</v>
      </c>
      <c r="C6" s="8">
        <v>568.5</v>
      </c>
      <c r="D6" s="8">
        <v>979.7</v>
      </c>
      <c r="E6" s="8">
        <v>1409.3</v>
      </c>
      <c r="F6" s="8">
        <v>2205.6</v>
      </c>
      <c r="G6" s="8">
        <v>1806.5</v>
      </c>
      <c r="H6" s="8">
        <v>3090.8</v>
      </c>
      <c r="I6" s="8">
        <v>3112.7</v>
      </c>
      <c r="J6" s="8">
        <v>3530</v>
      </c>
      <c r="K6" s="8">
        <v>3842</v>
      </c>
      <c r="L6" s="8">
        <v>5198.8999999999996</v>
      </c>
      <c r="M6" s="8">
        <v>6515.1</v>
      </c>
      <c r="N6" s="8">
        <v>7409</v>
      </c>
      <c r="O6" s="7">
        <v>8662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2:38" x14ac:dyDescent="0.2">
      <c r="B7" t="s">
        <v>81</v>
      </c>
      <c r="C7" s="28"/>
      <c r="D7" s="28"/>
      <c r="E7" s="28"/>
      <c r="F7" s="8">
        <v>175.8</v>
      </c>
      <c r="G7" s="8">
        <v>517.4</v>
      </c>
      <c r="H7" s="8">
        <v>1243.2</v>
      </c>
      <c r="I7" s="8">
        <v>1257.8</v>
      </c>
      <c r="J7" s="8">
        <v>1907</v>
      </c>
      <c r="K7" s="8">
        <v>2312</v>
      </c>
      <c r="L7" s="8">
        <v>3381.4</v>
      </c>
      <c r="M7" s="8">
        <v>3588</v>
      </c>
      <c r="N7" s="8">
        <v>4261</v>
      </c>
      <c r="O7" s="7">
        <v>4160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2:38" x14ac:dyDescent="0.2">
      <c r="B8" t="s">
        <v>64</v>
      </c>
      <c r="C8" s="8">
        <v>1977.1</v>
      </c>
      <c r="D8" s="8">
        <v>1812.5</v>
      </c>
      <c r="E8" s="8">
        <v>1673.6</v>
      </c>
      <c r="F8" s="8">
        <v>1669.3</v>
      </c>
      <c r="G8" s="8">
        <v>1456.3</v>
      </c>
      <c r="H8" s="8">
        <v>1245.5999999999999</v>
      </c>
      <c r="I8" s="8">
        <v>1301.4000000000001</v>
      </c>
      <c r="J8" s="8">
        <v>1250.2</v>
      </c>
      <c r="K8" s="8">
        <v>1095</v>
      </c>
      <c r="L8" s="8">
        <v>1092.2</v>
      </c>
      <c r="M8" s="8">
        <v>1051.8</v>
      </c>
      <c r="N8" s="8">
        <f>4276-M8-L8-K8</f>
        <v>1037</v>
      </c>
      <c r="O8" s="7">
        <v>919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2:38" x14ac:dyDescent="0.2">
      <c r="B9" s="29" t="s">
        <v>100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47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2:38" x14ac:dyDescent="0.2">
      <c r="B10" s="29" t="s">
        <v>82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47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2:38" x14ac:dyDescent="0.2">
      <c r="B11" t="s">
        <v>129</v>
      </c>
      <c r="C11" s="8">
        <v>209.3</v>
      </c>
      <c r="D11" s="8">
        <v>154.19999999999999</v>
      </c>
      <c r="E11" s="8">
        <v>179.6</v>
      </c>
      <c r="F11" s="8">
        <f>728.3-E11-D11-C11</f>
        <v>185.19999999999993</v>
      </c>
      <c r="G11" s="8">
        <v>157.6</v>
      </c>
      <c r="H11" s="8">
        <v>180.8</v>
      </c>
      <c r="I11" s="8">
        <v>161.6</v>
      </c>
      <c r="J11" s="8">
        <v>176.9</v>
      </c>
      <c r="K11" s="8">
        <v>173.6</v>
      </c>
      <c r="L11" s="8">
        <v>145</v>
      </c>
      <c r="M11" s="8">
        <v>162.19999999999999</v>
      </c>
      <c r="N11" s="8">
        <f t="shared" ref="N11" si="1">+J11</f>
        <v>176.9</v>
      </c>
      <c r="O11" s="7">
        <f>+K11-10</f>
        <v>163.6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2:38" x14ac:dyDescent="0.2">
      <c r="B12" t="s">
        <v>83</v>
      </c>
      <c r="C12" s="8">
        <v>460.9</v>
      </c>
      <c r="D12" s="8">
        <v>440.4</v>
      </c>
      <c r="E12" s="8">
        <v>395.4</v>
      </c>
      <c r="F12" s="8">
        <v>366.6</v>
      </c>
      <c r="G12" s="8">
        <v>538.70000000000005</v>
      </c>
      <c r="H12" s="8">
        <v>631.6</v>
      </c>
      <c r="I12" s="8">
        <v>534.6</v>
      </c>
      <c r="J12" s="8">
        <v>619.9</v>
      </c>
      <c r="K12" s="8">
        <v>537.20000000000005</v>
      </c>
      <c r="L12" s="8">
        <v>503.1</v>
      </c>
      <c r="M12" s="8">
        <v>599.1</v>
      </c>
      <c r="N12" s="8">
        <f>+M12-5</f>
        <v>594.1</v>
      </c>
      <c r="O12" s="7">
        <f>+N12--15</f>
        <v>609.1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2:38" x14ac:dyDescent="0.2">
      <c r="B13" t="s">
        <v>130</v>
      </c>
      <c r="C13" s="8">
        <v>252</v>
      </c>
      <c r="D13" s="8">
        <v>205.3</v>
      </c>
      <c r="E13" s="8">
        <v>206.7</v>
      </c>
      <c r="F13" s="8">
        <f>852.1-E13-D13-C13</f>
        <v>188.10000000000008</v>
      </c>
      <c r="G13" s="8">
        <v>206.2</v>
      </c>
      <c r="H13" s="8">
        <v>223.6</v>
      </c>
      <c r="I13" s="8">
        <v>207.1</v>
      </c>
      <c r="J13" s="8">
        <v>280.3</v>
      </c>
      <c r="K13" s="8">
        <v>173.2</v>
      </c>
      <c r="L13" s="8">
        <v>175.2</v>
      </c>
      <c r="M13" s="8">
        <v>176.6</v>
      </c>
      <c r="N13" s="8">
        <f>+J13</f>
        <v>280.3</v>
      </c>
      <c r="O13" s="7">
        <f>+K13-10</f>
        <v>163.19999999999999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2:38" x14ac:dyDescent="0.2">
      <c r="B14" t="s">
        <v>63</v>
      </c>
      <c r="C14" s="8">
        <v>577.5</v>
      </c>
      <c r="D14" s="8">
        <v>668.3</v>
      </c>
      <c r="E14" s="8">
        <v>700.8</v>
      </c>
      <c r="F14" s="8">
        <v>798.1</v>
      </c>
      <c r="G14" s="8">
        <v>686.5</v>
      </c>
      <c r="H14" s="8">
        <v>1243.2</v>
      </c>
      <c r="I14" s="8">
        <v>686.4</v>
      </c>
      <c r="J14" s="8">
        <v>1198.4000000000001</v>
      </c>
      <c r="K14" s="8">
        <v>1014</v>
      </c>
      <c r="L14" s="8">
        <v>690</v>
      </c>
      <c r="M14" s="8">
        <v>959</v>
      </c>
      <c r="N14" s="8">
        <f>3431-K14-L14-M14</f>
        <v>768</v>
      </c>
      <c r="O14" s="7">
        <v>1114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2:38" x14ac:dyDescent="0.2">
      <c r="B15" s="30" t="s">
        <v>131</v>
      </c>
      <c r="C15" s="9">
        <f>SUM(C16:C22)</f>
        <v>1230.0000000000002</v>
      </c>
      <c r="D15" s="9">
        <f t="shared" ref="D15:AL15" si="2">SUM(D16:D22)</f>
        <v>1518.6</v>
      </c>
      <c r="E15" s="9">
        <f t="shared" si="2"/>
        <v>1596.7</v>
      </c>
      <c r="F15" s="9">
        <f t="shared" si="2"/>
        <v>1736.2</v>
      </c>
      <c r="G15" s="9">
        <f t="shared" si="2"/>
        <v>1660.7</v>
      </c>
      <c r="H15" s="9">
        <f t="shared" si="2"/>
        <v>2043.2000000000003</v>
      </c>
      <c r="I15" s="9">
        <f t="shared" si="2"/>
        <v>2102.6</v>
      </c>
      <c r="J15" s="9">
        <f t="shared" si="2"/>
        <v>2328.1999999999998</v>
      </c>
      <c r="K15" s="9">
        <f t="shared" si="2"/>
        <v>1853.3000000000002</v>
      </c>
      <c r="L15" s="9">
        <f t="shared" si="2"/>
        <v>2317.6000000000004</v>
      </c>
      <c r="M15" s="9">
        <f t="shared" si="2"/>
        <v>2326</v>
      </c>
      <c r="N15" s="9">
        <f t="shared" si="2"/>
        <v>2468.5</v>
      </c>
      <c r="O15" s="6">
        <f t="shared" si="2"/>
        <v>2268.4</v>
      </c>
      <c r="P15" s="9">
        <f t="shared" si="2"/>
        <v>0</v>
      </c>
      <c r="Q15" s="9">
        <f t="shared" si="2"/>
        <v>0</v>
      </c>
      <c r="R15" s="9">
        <f t="shared" si="2"/>
        <v>0</v>
      </c>
      <c r="S15" s="9">
        <f t="shared" si="2"/>
        <v>0</v>
      </c>
      <c r="T15" s="9">
        <f t="shared" si="2"/>
        <v>0</v>
      </c>
      <c r="U15" s="9">
        <f t="shared" si="2"/>
        <v>0</v>
      </c>
      <c r="V15" s="9">
        <f t="shared" si="2"/>
        <v>0</v>
      </c>
      <c r="W15" s="9">
        <f t="shared" si="2"/>
        <v>0</v>
      </c>
      <c r="X15" s="9">
        <f t="shared" si="2"/>
        <v>0</v>
      </c>
      <c r="Y15" s="9">
        <f t="shared" si="2"/>
        <v>0</v>
      </c>
      <c r="Z15" s="9">
        <f t="shared" si="2"/>
        <v>0</v>
      </c>
      <c r="AA15" s="9">
        <f t="shared" si="2"/>
        <v>0</v>
      </c>
      <c r="AB15" s="9">
        <f t="shared" si="2"/>
        <v>0</v>
      </c>
      <c r="AC15" s="9">
        <f t="shared" si="2"/>
        <v>0</v>
      </c>
      <c r="AD15" s="9">
        <f t="shared" si="2"/>
        <v>0</v>
      </c>
      <c r="AE15" s="9">
        <f t="shared" si="2"/>
        <v>0</v>
      </c>
      <c r="AF15" s="9">
        <f t="shared" si="2"/>
        <v>0</v>
      </c>
      <c r="AG15" s="9">
        <f t="shared" si="2"/>
        <v>0</v>
      </c>
      <c r="AH15" s="9">
        <f t="shared" si="2"/>
        <v>0</v>
      </c>
      <c r="AI15" s="9">
        <f t="shared" si="2"/>
        <v>0</v>
      </c>
      <c r="AJ15" s="9">
        <f t="shared" si="2"/>
        <v>0</v>
      </c>
      <c r="AK15" s="9">
        <f t="shared" si="2"/>
        <v>0</v>
      </c>
      <c r="AL15" s="9">
        <f t="shared" si="2"/>
        <v>0</v>
      </c>
    </row>
    <row r="16" spans="2:38" x14ac:dyDescent="0.2">
      <c r="B16" t="s">
        <v>67</v>
      </c>
      <c r="C16" s="8">
        <v>750.9</v>
      </c>
      <c r="D16" s="8">
        <v>926.8</v>
      </c>
      <c r="E16" s="8">
        <v>1040.2</v>
      </c>
      <c r="F16" s="8">
        <v>1145.4000000000001</v>
      </c>
      <c r="G16" s="8">
        <v>1050.3</v>
      </c>
      <c r="H16" s="8">
        <v>1331.9</v>
      </c>
      <c r="I16" s="8">
        <v>1369.3</v>
      </c>
      <c r="J16" s="8">
        <v>1555</v>
      </c>
      <c r="K16" s="8">
        <v>1158.9000000000001</v>
      </c>
      <c r="L16" s="8">
        <v>1489.3</v>
      </c>
      <c r="M16" s="8">
        <v>1470.2</v>
      </c>
      <c r="N16" s="8">
        <v>1604</v>
      </c>
      <c r="O16" s="7">
        <v>1302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 x14ac:dyDescent="0.2">
      <c r="B17" t="s">
        <v>133</v>
      </c>
      <c r="C17" s="8">
        <v>236.8</v>
      </c>
      <c r="D17" s="8">
        <v>260.3</v>
      </c>
      <c r="E17" s="8">
        <v>224.1</v>
      </c>
      <c r="F17" s="8">
        <v>253.6</v>
      </c>
      <c r="G17" s="8">
        <v>229.9</v>
      </c>
      <c r="H17" s="8">
        <v>248.9</v>
      </c>
      <c r="I17" s="8">
        <v>236</v>
      </c>
      <c r="J17" s="8">
        <v>258.60000000000002</v>
      </c>
      <c r="K17" s="8">
        <v>224.9</v>
      </c>
      <c r="L17" s="8">
        <v>253.7</v>
      </c>
      <c r="M17" s="8">
        <v>245.5</v>
      </c>
      <c r="N17" s="8">
        <f>+J17</f>
        <v>258.60000000000002</v>
      </c>
      <c r="O17" s="7">
        <f>+K17+34</f>
        <v>258.89999999999998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 x14ac:dyDescent="0.2">
      <c r="B18" t="s">
        <v>134</v>
      </c>
      <c r="C18" s="8">
        <v>129.9</v>
      </c>
      <c r="D18" s="8">
        <v>162.5</v>
      </c>
      <c r="E18" s="8">
        <v>153.9</v>
      </c>
      <c r="F18" s="8">
        <f>596.5-E18-D18-C18</f>
        <v>150.20000000000002</v>
      </c>
      <c r="G18" s="8">
        <v>144.6</v>
      </c>
      <c r="H18" s="8">
        <v>155.80000000000001</v>
      </c>
      <c r="I18" s="8">
        <v>152</v>
      </c>
      <c r="J18" s="8">
        <v>175</v>
      </c>
      <c r="K18" s="8">
        <v>149</v>
      </c>
      <c r="L18" s="8">
        <v>183.7</v>
      </c>
      <c r="M18" s="8">
        <v>198.6</v>
      </c>
      <c r="N18" s="8">
        <f t="shared" ref="N18" si="3">+J18</f>
        <v>175</v>
      </c>
      <c r="O18" s="7">
        <f>+K18+34</f>
        <v>183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 x14ac:dyDescent="0.2">
      <c r="B19" t="s">
        <v>135</v>
      </c>
      <c r="C19" s="8">
        <v>51.4</v>
      </c>
      <c r="D19" s="8">
        <v>65.400000000000006</v>
      </c>
      <c r="E19" s="8">
        <v>63.4</v>
      </c>
      <c r="F19" s="8">
        <v>73.400000000000006</v>
      </c>
      <c r="G19" s="8">
        <v>69.2</v>
      </c>
      <c r="H19" s="8">
        <v>91.2</v>
      </c>
      <c r="I19" s="8">
        <v>114</v>
      </c>
      <c r="J19" s="8">
        <v>90</v>
      </c>
      <c r="K19" s="8">
        <v>91</v>
      </c>
      <c r="L19" s="8">
        <v>125.3</v>
      </c>
      <c r="M19" s="8">
        <v>112</v>
      </c>
      <c r="N19" s="8">
        <f>+M19+5</f>
        <v>117</v>
      </c>
      <c r="O19" s="7">
        <f>+N19+34</f>
        <v>151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 x14ac:dyDescent="0.2">
      <c r="B20" t="s">
        <v>136</v>
      </c>
      <c r="C20" s="8">
        <v>61</v>
      </c>
      <c r="D20" s="8">
        <v>103.6</v>
      </c>
      <c r="E20" s="8">
        <v>115.1</v>
      </c>
      <c r="F20" s="8">
        <v>113.6</v>
      </c>
      <c r="G20" s="8">
        <v>116.7</v>
      </c>
      <c r="H20" s="8">
        <v>123</v>
      </c>
      <c r="I20" s="8">
        <v>150.19999999999999</v>
      </c>
      <c r="J20" s="8">
        <v>136</v>
      </c>
      <c r="K20" s="8">
        <v>137.5</v>
      </c>
      <c r="L20" s="8">
        <v>137.30000000000001</v>
      </c>
      <c r="M20" s="8">
        <v>141.80000000000001</v>
      </c>
      <c r="N20" s="8">
        <f t="shared" ref="N20" si="4">+J20</f>
        <v>136</v>
      </c>
      <c r="O20" s="7">
        <f>+K20+34+2</f>
        <v>173.5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 x14ac:dyDescent="0.2">
      <c r="B21" t="s">
        <v>66</v>
      </c>
      <c r="C21" s="28"/>
      <c r="D21" s="28"/>
      <c r="E21" s="28"/>
      <c r="F21" s="28"/>
      <c r="G21" s="8">
        <v>50</v>
      </c>
      <c r="H21" s="8">
        <v>92.4</v>
      </c>
      <c r="I21" s="8">
        <v>81.099999999999994</v>
      </c>
      <c r="J21" s="8">
        <v>113.6</v>
      </c>
      <c r="K21" s="8">
        <v>92</v>
      </c>
      <c r="L21" s="8">
        <v>123.3</v>
      </c>
      <c r="M21" s="8">
        <v>142.9</v>
      </c>
      <c r="N21" s="8">
        <f>+M21+10</f>
        <v>152.9</v>
      </c>
      <c r="O21" s="7">
        <v>165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 x14ac:dyDescent="0.2">
      <c r="B22" t="s">
        <v>65</v>
      </c>
      <c r="C22" s="28"/>
      <c r="D22" s="28"/>
      <c r="E22" s="28"/>
      <c r="F22" s="28"/>
      <c r="G22" s="28"/>
      <c r="H22" s="28"/>
      <c r="I22" s="28"/>
      <c r="J22" s="28"/>
      <c r="K22" s="28"/>
      <c r="L22" s="8">
        <f t="shared" ref="L22:M22" si="5">M22-10</f>
        <v>5</v>
      </c>
      <c r="M22" s="8">
        <f t="shared" si="5"/>
        <v>15</v>
      </c>
      <c r="N22" s="8">
        <f>O22-10</f>
        <v>25</v>
      </c>
      <c r="O22" s="7">
        <v>35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 x14ac:dyDescent="0.2">
      <c r="B23" s="30" t="s">
        <v>137</v>
      </c>
      <c r="C23" s="9">
        <f>SUM(C24:C27)</f>
        <v>755.9</v>
      </c>
      <c r="D23" s="9">
        <f t="shared" ref="D23:AL23" si="6">SUM(D24:D27)</f>
        <v>922.8</v>
      </c>
      <c r="E23" s="9">
        <f t="shared" si="6"/>
        <v>975.6</v>
      </c>
      <c r="F23" s="9">
        <f t="shared" si="6"/>
        <v>1028.0999999999999</v>
      </c>
      <c r="G23" s="9">
        <f t="shared" si="6"/>
        <v>834</v>
      </c>
      <c r="H23" s="9">
        <f t="shared" si="6"/>
        <v>1082.3000000000002</v>
      </c>
      <c r="I23" s="9">
        <f t="shared" si="6"/>
        <v>1185.8</v>
      </c>
      <c r="J23" s="9">
        <f t="shared" si="6"/>
        <v>1290.9000000000001</v>
      </c>
      <c r="K23" s="9">
        <f t="shared" si="6"/>
        <v>1088.0999999999999</v>
      </c>
      <c r="L23" s="9">
        <f t="shared" si="6"/>
        <v>1255.5999999999999</v>
      </c>
      <c r="M23" s="9">
        <f t="shared" si="6"/>
        <v>1362.4</v>
      </c>
      <c r="N23" s="9">
        <f t="shared" si="6"/>
        <v>1535.5</v>
      </c>
      <c r="O23" s="6">
        <f t="shared" si="6"/>
        <v>1202.7</v>
      </c>
      <c r="P23" s="9">
        <f t="shared" si="6"/>
        <v>0</v>
      </c>
      <c r="Q23" s="9">
        <f t="shared" si="6"/>
        <v>0</v>
      </c>
      <c r="R23" s="9">
        <f t="shared" si="6"/>
        <v>0</v>
      </c>
      <c r="S23" s="9">
        <f t="shared" si="6"/>
        <v>0</v>
      </c>
      <c r="T23" s="9">
        <f t="shared" si="6"/>
        <v>0</v>
      </c>
      <c r="U23" s="9">
        <f t="shared" si="6"/>
        <v>0</v>
      </c>
      <c r="V23" s="9">
        <f t="shared" si="6"/>
        <v>0</v>
      </c>
      <c r="W23" s="9">
        <f t="shared" si="6"/>
        <v>0</v>
      </c>
      <c r="X23" s="9">
        <f t="shared" si="6"/>
        <v>0</v>
      </c>
      <c r="Y23" s="9">
        <f t="shared" si="6"/>
        <v>0</v>
      </c>
      <c r="Z23" s="9">
        <f t="shared" si="6"/>
        <v>0</v>
      </c>
      <c r="AA23" s="9">
        <f t="shared" si="6"/>
        <v>0</v>
      </c>
      <c r="AB23" s="9">
        <f t="shared" si="6"/>
        <v>0</v>
      </c>
      <c r="AC23" s="9">
        <f t="shared" si="6"/>
        <v>0</v>
      </c>
      <c r="AD23" s="9">
        <f t="shared" si="6"/>
        <v>0</v>
      </c>
      <c r="AE23" s="9">
        <f t="shared" si="6"/>
        <v>0</v>
      </c>
      <c r="AF23" s="9">
        <f t="shared" si="6"/>
        <v>0</v>
      </c>
      <c r="AG23" s="9">
        <f t="shared" si="6"/>
        <v>0</v>
      </c>
      <c r="AH23" s="9">
        <f t="shared" si="6"/>
        <v>0</v>
      </c>
      <c r="AI23" s="9">
        <f t="shared" si="6"/>
        <v>0</v>
      </c>
      <c r="AJ23" s="9">
        <f t="shared" si="6"/>
        <v>0</v>
      </c>
      <c r="AK23" s="9">
        <f t="shared" si="6"/>
        <v>0</v>
      </c>
      <c r="AL23" s="9">
        <f t="shared" si="6"/>
        <v>0</v>
      </c>
    </row>
    <row r="24" spans="2:38" x14ac:dyDescent="0.2">
      <c r="B24" t="s">
        <v>68</v>
      </c>
      <c r="C24" s="28"/>
      <c r="D24" s="28"/>
      <c r="E24" s="28"/>
      <c r="F24" s="28"/>
      <c r="G24" s="8">
        <v>3.1</v>
      </c>
      <c r="H24" s="8">
        <v>4.3</v>
      </c>
      <c r="I24" s="8">
        <v>14.9</v>
      </c>
      <c r="J24" s="8">
        <v>20.399999999999999</v>
      </c>
      <c r="K24" s="8">
        <v>60.2</v>
      </c>
      <c r="L24" s="8">
        <v>86.8</v>
      </c>
      <c r="M24" s="8">
        <v>127.1</v>
      </c>
      <c r="N24" s="8">
        <f>+M24+5</f>
        <v>132.1</v>
      </c>
      <c r="O24" s="7">
        <v>145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 x14ac:dyDescent="0.2">
      <c r="B25" t="s">
        <v>140</v>
      </c>
      <c r="C25" s="8">
        <v>228.9</v>
      </c>
      <c r="D25" s="8">
        <v>218.9</v>
      </c>
      <c r="E25" s="8">
        <v>231.4</v>
      </c>
      <c r="F25" s="8">
        <v>243.5</v>
      </c>
      <c r="G25" s="8">
        <v>217.4</v>
      </c>
      <c r="H25" s="8">
        <v>227.7</v>
      </c>
      <c r="I25" s="8">
        <v>250.8</v>
      </c>
      <c r="J25" s="8">
        <v>261.60000000000002</v>
      </c>
      <c r="K25" s="8">
        <v>228.7</v>
      </c>
      <c r="L25" s="8">
        <v>246.4</v>
      </c>
      <c r="M25" s="8">
        <v>268.89999999999998</v>
      </c>
      <c r="N25" s="8">
        <f t="shared" ref="N25" si="7">+J25</f>
        <v>261.60000000000002</v>
      </c>
      <c r="O25" s="7">
        <f>+K25+16</f>
        <v>244.7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 x14ac:dyDescent="0.2">
      <c r="B26" t="s">
        <v>69</v>
      </c>
      <c r="C26" s="28"/>
      <c r="D26" s="28"/>
      <c r="E26" s="28"/>
      <c r="F26" s="28"/>
      <c r="G26" s="8">
        <v>9.4</v>
      </c>
      <c r="H26" s="8">
        <v>25.6</v>
      </c>
      <c r="I26" s="8">
        <v>40.5</v>
      </c>
      <c r="J26" s="8">
        <v>56.9</v>
      </c>
      <c r="K26" s="8">
        <v>37.200000000000003</v>
      </c>
      <c r="L26" s="8">
        <v>74.8</v>
      </c>
      <c r="M26" s="8">
        <v>64.900000000000006</v>
      </c>
      <c r="N26" s="8">
        <f>+M26+25</f>
        <v>89.9</v>
      </c>
      <c r="O26" s="7">
        <v>80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 x14ac:dyDescent="0.2">
      <c r="B27" t="s">
        <v>70</v>
      </c>
      <c r="C27" s="8">
        <v>527</v>
      </c>
      <c r="D27" s="8">
        <v>703.9</v>
      </c>
      <c r="E27" s="8">
        <v>744.2</v>
      </c>
      <c r="F27" s="8">
        <v>784.6</v>
      </c>
      <c r="G27" s="8">
        <v>604.1</v>
      </c>
      <c r="H27" s="8">
        <v>824.7</v>
      </c>
      <c r="I27" s="8">
        <v>879.6</v>
      </c>
      <c r="J27" s="8">
        <v>952</v>
      </c>
      <c r="K27" s="8">
        <v>762</v>
      </c>
      <c r="L27" s="8">
        <v>847.6</v>
      </c>
      <c r="M27" s="8">
        <v>901.5</v>
      </c>
      <c r="N27" s="8">
        <f>3563-K27-L27-M27</f>
        <v>1051.9000000000001</v>
      </c>
      <c r="O27" s="7">
        <v>733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 x14ac:dyDescent="0.2">
      <c r="B28" s="30" t="s">
        <v>138</v>
      </c>
      <c r="C28" s="9">
        <f>SUM(C29:C30)</f>
        <v>154.30000000000001</v>
      </c>
      <c r="D28" s="9">
        <f t="shared" ref="D28:AL28" si="8">SUM(D29:D30)</f>
        <v>169.3</v>
      </c>
      <c r="E28" s="9">
        <f t="shared" si="8"/>
        <v>168.5</v>
      </c>
      <c r="F28" s="9">
        <f t="shared" si="8"/>
        <v>186.1</v>
      </c>
      <c r="G28" s="9">
        <f t="shared" si="8"/>
        <v>225.7</v>
      </c>
      <c r="H28" s="9">
        <f t="shared" si="8"/>
        <v>192</v>
      </c>
      <c r="I28" s="9">
        <f t="shared" si="8"/>
        <v>204.3</v>
      </c>
      <c r="J28" s="9">
        <f t="shared" si="8"/>
        <v>257.7</v>
      </c>
      <c r="K28" s="9">
        <f t="shared" si="8"/>
        <v>146.1</v>
      </c>
      <c r="L28" s="9">
        <f t="shared" si="8"/>
        <v>249.7</v>
      </c>
      <c r="M28" s="9">
        <f t="shared" si="8"/>
        <v>246.1</v>
      </c>
      <c r="N28" s="9">
        <f t="shared" si="8"/>
        <v>370.18000000000006</v>
      </c>
      <c r="O28" s="6">
        <f>SUM(O29:O30)</f>
        <v>261.06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si="8"/>
        <v>0</v>
      </c>
      <c r="Y28" s="9">
        <f t="shared" si="8"/>
        <v>0</v>
      </c>
      <c r="Z28" s="9">
        <f t="shared" si="8"/>
        <v>0</v>
      </c>
      <c r="AA28" s="9">
        <f t="shared" si="8"/>
        <v>0</v>
      </c>
      <c r="AB28" s="9">
        <f t="shared" si="8"/>
        <v>0</v>
      </c>
      <c r="AC28" s="9">
        <f t="shared" si="8"/>
        <v>0</v>
      </c>
      <c r="AD28" s="9">
        <f t="shared" si="8"/>
        <v>0</v>
      </c>
      <c r="AE28" s="9">
        <f t="shared" si="8"/>
        <v>0</v>
      </c>
      <c r="AF28" s="9">
        <f t="shared" si="8"/>
        <v>0</v>
      </c>
      <c r="AG28" s="9">
        <f t="shared" si="8"/>
        <v>0</v>
      </c>
      <c r="AH28" s="9">
        <f t="shared" si="8"/>
        <v>0</v>
      </c>
      <c r="AI28" s="9">
        <f t="shared" si="8"/>
        <v>0</v>
      </c>
      <c r="AJ28" s="9">
        <f t="shared" si="8"/>
        <v>0</v>
      </c>
      <c r="AK28" s="9">
        <f t="shared" si="8"/>
        <v>0</v>
      </c>
      <c r="AL28" s="9">
        <f t="shared" si="8"/>
        <v>0</v>
      </c>
    </row>
    <row r="29" spans="2:38" x14ac:dyDescent="0.2">
      <c r="B29" t="s">
        <v>139</v>
      </c>
      <c r="C29" s="8">
        <v>154.30000000000001</v>
      </c>
      <c r="D29" s="8">
        <v>169.3</v>
      </c>
      <c r="E29" s="8">
        <v>168.5</v>
      </c>
      <c r="F29" s="8">
        <v>186.1</v>
      </c>
      <c r="G29" s="8">
        <v>225.7</v>
      </c>
      <c r="H29" s="8">
        <v>192</v>
      </c>
      <c r="I29" s="8">
        <v>202.9</v>
      </c>
      <c r="J29" s="8">
        <v>249.8</v>
      </c>
      <c r="K29" s="8">
        <v>124.6</v>
      </c>
      <c r="L29" s="8">
        <v>201.1</v>
      </c>
      <c r="M29" s="8">
        <v>175.7</v>
      </c>
      <c r="N29" s="8">
        <f t="shared" ref="N29:O29" si="9">+J29*1.1</f>
        <v>274.78000000000003</v>
      </c>
      <c r="O29" s="7">
        <f t="shared" si="9"/>
        <v>137.06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 x14ac:dyDescent="0.2">
      <c r="B30" t="s">
        <v>71</v>
      </c>
      <c r="C30" s="28"/>
      <c r="D30" s="28"/>
      <c r="E30" s="28"/>
      <c r="F30" s="28"/>
      <c r="G30" s="28"/>
      <c r="H30" s="28"/>
      <c r="I30" s="8">
        <v>1.4</v>
      </c>
      <c r="J30" s="8">
        <v>7.9</v>
      </c>
      <c r="K30" s="8">
        <v>21.5</v>
      </c>
      <c r="L30" s="8">
        <v>48.6</v>
      </c>
      <c r="M30" s="8">
        <v>70.400000000000006</v>
      </c>
      <c r="N30" s="8">
        <f t="shared" ref="N30" si="10">+M30+25</f>
        <v>95.4</v>
      </c>
      <c r="O30" s="7">
        <v>124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 x14ac:dyDescent="0.2">
      <c r="B31" t="s">
        <v>84</v>
      </c>
      <c r="C31" s="11">
        <f t="shared" ref="C31:O31" si="11">C33-(C5+C15+C23+C28)</f>
        <v>774.5</v>
      </c>
      <c r="D31" s="11">
        <f t="shared" si="11"/>
        <v>1441</v>
      </c>
      <c r="E31" s="11">
        <f t="shared" si="11"/>
        <v>2192.4000000000005</v>
      </c>
      <c r="F31" s="11">
        <f t="shared" si="11"/>
        <v>814.29999999999927</v>
      </c>
      <c r="G31" s="11">
        <f t="shared" si="11"/>
        <v>678.40000000000055</v>
      </c>
      <c r="H31" s="11">
        <f t="shared" si="11"/>
        <v>126.49999999999636</v>
      </c>
      <c r="I31" s="11">
        <f t="shared" si="11"/>
        <v>684.80000000000109</v>
      </c>
      <c r="J31" s="11">
        <f t="shared" si="11"/>
        <v>693.30000000000109</v>
      </c>
      <c r="K31" s="11">
        <f t="shared" si="11"/>
        <v>494.5</v>
      </c>
      <c r="L31" s="11">
        <f t="shared" si="11"/>
        <v>548.99999999999818</v>
      </c>
      <c r="M31" s="11">
        <f t="shared" si="11"/>
        <v>614.5</v>
      </c>
      <c r="N31" s="11">
        <f t="shared" si="11"/>
        <v>391.52000000000044</v>
      </c>
      <c r="O31" s="22">
        <f t="shared" si="11"/>
        <v>275.93999999999505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2:38" x14ac:dyDescent="0.2">
      <c r="B32" s="24"/>
      <c r="O32" s="56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2:38" x14ac:dyDescent="0.2">
      <c r="B33" s="5" t="s">
        <v>85</v>
      </c>
      <c r="C33" s="9">
        <v>6960</v>
      </c>
      <c r="D33" s="9">
        <v>8312.1</v>
      </c>
      <c r="E33" s="9">
        <v>9498.6</v>
      </c>
      <c r="F33" s="9">
        <v>9353.4</v>
      </c>
      <c r="G33" s="9">
        <v>8768</v>
      </c>
      <c r="H33" s="9">
        <v>11302.8</v>
      </c>
      <c r="I33" s="9">
        <v>11439.1</v>
      </c>
      <c r="J33" s="9">
        <v>13532.8</v>
      </c>
      <c r="K33" s="9">
        <v>12729</v>
      </c>
      <c r="L33" s="9">
        <v>15557.7</v>
      </c>
      <c r="M33" s="9">
        <v>17600.8</v>
      </c>
      <c r="N33" s="9">
        <v>19292</v>
      </c>
      <c r="O33" s="6">
        <v>19799</v>
      </c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</row>
    <row r="34" spans="2:38" x14ac:dyDescent="0.2">
      <c r="B34" t="s">
        <v>32</v>
      </c>
      <c r="C34" s="8">
        <v>1626.7</v>
      </c>
      <c r="D34" s="8">
        <v>1807.4</v>
      </c>
      <c r="E34" s="8">
        <v>1860.1</v>
      </c>
      <c r="F34" s="8">
        <v>1788</v>
      </c>
      <c r="G34" s="8">
        <v>1673.5</v>
      </c>
      <c r="H34" s="8">
        <v>2170.1999999999998</v>
      </c>
      <c r="I34" s="8">
        <v>2170.8000000000002</v>
      </c>
      <c r="J34" s="8">
        <v>2403.8000000000002</v>
      </c>
      <c r="K34" s="8">
        <v>2225</v>
      </c>
      <c r="L34" s="8">
        <v>2447.8000000000002</v>
      </c>
      <c r="M34" s="8">
        <v>3008.3</v>
      </c>
      <c r="N34" s="8">
        <v>3371.7</v>
      </c>
      <c r="O34" s="7">
        <v>3577</v>
      </c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</row>
    <row r="35" spans="2:38" x14ac:dyDescent="0.2">
      <c r="B35" s="5" t="s">
        <v>58</v>
      </c>
      <c r="C35" s="9">
        <f t="shared" ref="C35:G35" si="12">C33-C34</f>
        <v>5333.3</v>
      </c>
      <c r="D35" s="9">
        <f t="shared" si="12"/>
        <v>6504.7000000000007</v>
      </c>
      <c r="E35" s="9">
        <f t="shared" si="12"/>
        <v>7638.5</v>
      </c>
      <c r="F35" s="9">
        <f t="shared" si="12"/>
        <v>7565.4</v>
      </c>
      <c r="G35" s="9">
        <f t="shared" si="12"/>
        <v>7094.5</v>
      </c>
      <c r="H35" s="9">
        <f>H33-H34</f>
        <v>9132.5999999999985</v>
      </c>
      <c r="I35" s="9">
        <f t="shared" ref="I35:O35" si="13">I33-I34</f>
        <v>9268.2999999999993</v>
      </c>
      <c r="J35" s="9">
        <f t="shared" si="13"/>
        <v>11129</v>
      </c>
      <c r="K35" s="9">
        <f t="shared" si="13"/>
        <v>10504</v>
      </c>
      <c r="L35" s="9">
        <f t="shared" si="13"/>
        <v>13109.900000000001</v>
      </c>
      <c r="M35" s="9">
        <f t="shared" si="13"/>
        <v>14592.5</v>
      </c>
      <c r="N35" s="9">
        <f t="shared" si="13"/>
        <v>15920.3</v>
      </c>
      <c r="O35" s="6">
        <f t="shared" si="13"/>
        <v>16222</v>
      </c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</row>
    <row r="36" spans="2:38" x14ac:dyDescent="0.2">
      <c r="B36" t="s">
        <v>33</v>
      </c>
      <c r="C36" s="8">
        <v>1985.1</v>
      </c>
      <c r="D36" s="8">
        <v>2356.5</v>
      </c>
      <c r="E36" s="8">
        <v>2409.1</v>
      </c>
      <c r="F36" s="8">
        <v>2562.6999999999998</v>
      </c>
      <c r="G36" s="8">
        <v>2522.8000000000002</v>
      </c>
      <c r="H36" s="8">
        <v>2711.2</v>
      </c>
      <c r="I36" s="8">
        <v>2734.1</v>
      </c>
      <c r="J36" s="8">
        <v>3022.5</v>
      </c>
      <c r="K36" s="8">
        <v>2734</v>
      </c>
      <c r="L36" s="8">
        <v>3336.1</v>
      </c>
      <c r="M36" s="8">
        <v>3465.7</v>
      </c>
      <c r="N36" s="8">
        <v>3801.5</v>
      </c>
      <c r="O36" s="7">
        <v>3510</v>
      </c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</row>
    <row r="37" spans="2:38" ht="16" customHeight="1" x14ac:dyDescent="0.2">
      <c r="B37" t="s">
        <v>34</v>
      </c>
      <c r="C37" s="8">
        <v>1749.2</v>
      </c>
      <c r="D37" s="8">
        <v>1925.4</v>
      </c>
      <c r="E37" s="8">
        <v>1803.9</v>
      </c>
      <c r="F37" s="8">
        <v>1924.6</v>
      </c>
      <c r="G37" s="8">
        <v>1952.2</v>
      </c>
      <c r="H37" s="8">
        <v>2117.3000000000002</v>
      </c>
      <c r="I37" s="8">
        <v>2099.8000000000002</v>
      </c>
      <c r="J37" s="8">
        <v>2424.5</v>
      </c>
      <c r="K37" s="8">
        <v>2468</v>
      </c>
      <c r="L37" s="8">
        <v>2753</v>
      </c>
      <c r="M37" s="8">
        <v>2740.7</v>
      </c>
      <c r="N37" s="8">
        <v>3131.4</v>
      </c>
      <c r="O37" s="7">
        <v>2934</v>
      </c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</row>
    <row r="38" spans="2:38" x14ac:dyDescent="0.2">
      <c r="B38" t="s">
        <v>35</v>
      </c>
      <c r="C38" s="8">
        <v>105</v>
      </c>
      <c r="D38" s="8">
        <v>97.1</v>
      </c>
      <c r="E38" s="8">
        <v>2975.1</v>
      </c>
      <c r="F38" s="8">
        <v>622.6</v>
      </c>
      <c r="G38" s="8">
        <v>110.5</v>
      </c>
      <c r="H38" s="8">
        <v>154.30000000000001</v>
      </c>
      <c r="I38" s="8">
        <v>2826.4</v>
      </c>
      <c r="J38" s="8">
        <v>189.2</v>
      </c>
      <c r="K38" s="8">
        <v>1572</v>
      </c>
      <c r="L38" s="8">
        <v>153</v>
      </c>
      <c r="M38" s="8">
        <v>655.7</v>
      </c>
      <c r="N38" s="8">
        <v>528.79999999999995</v>
      </c>
      <c r="O38" s="7">
        <v>584</v>
      </c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</row>
    <row r="39" spans="2:38" x14ac:dyDescent="0.2">
      <c r="B39" t="s">
        <v>36</v>
      </c>
      <c r="C39" s="10">
        <v>0</v>
      </c>
      <c r="D39" s="8">
        <v>0</v>
      </c>
      <c r="E39" s="8">
        <v>0</v>
      </c>
      <c r="F39" s="8">
        <v>67.7</v>
      </c>
      <c r="G39" s="8">
        <v>0</v>
      </c>
      <c r="H39" s="8">
        <v>435</v>
      </c>
      <c r="I39" s="8">
        <v>81.599999999999994</v>
      </c>
      <c r="J39" s="8">
        <v>344</v>
      </c>
      <c r="K39" s="8">
        <v>35</v>
      </c>
      <c r="L39" s="8">
        <v>0</v>
      </c>
      <c r="M39" s="8">
        <v>364.9</v>
      </c>
      <c r="N39" s="8">
        <v>84.1</v>
      </c>
      <c r="O39" s="7">
        <v>279</v>
      </c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</row>
    <row r="40" spans="2:38" x14ac:dyDescent="0.2">
      <c r="B40" t="s">
        <v>37</v>
      </c>
      <c r="C40" s="8">
        <v>-35.700000000000003</v>
      </c>
      <c r="D40" s="8">
        <v>36.799999999999997</v>
      </c>
      <c r="E40" s="8">
        <v>23.2</v>
      </c>
      <c r="F40" s="8">
        <v>121</v>
      </c>
      <c r="G40" s="8">
        <v>-27.1</v>
      </c>
      <c r="H40" s="8">
        <v>197.6</v>
      </c>
      <c r="I40" s="8">
        <v>-62</v>
      </c>
      <c r="J40" s="8">
        <v>110.2</v>
      </c>
      <c r="K40" s="8">
        <v>239</v>
      </c>
      <c r="L40" s="8">
        <v>90.6</v>
      </c>
      <c r="M40" s="8">
        <v>133.1</v>
      </c>
      <c r="N40" s="8">
        <v>108.3</v>
      </c>
      <c r="O40" s="7">
        <v>65</v>
      </c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</row>
    <row r="41" spans="2:38" x14ac:dyDescent="0.2">
      <c r="B41" t="s">
        <v>38</v>
      </c>
      <c r="C41" s="8">
        <f>C35-(SUM(C36:C40))</f>
        <v>1529.6999999999998</v>
      </c>
      <c r="D41" s="8">
        <f t="shared" ref="D41:F41" si="14">D35-(SUM(D36:D40))</f>
        <v>2088.9000000000005</v>
      </c>
      <c r="E41" s="8">
        <f t="shared" si="14"/>
        <v>427.19999999999982</v>
      </c>
      <c r="F41" s="8">
        <f t="shared" si="14"/>
        <v>2266.8000000000002</v>
      </c>
      <c r="G41" s="8">
        <f>G35-(SUM(G36:G40))</f>
        <v>2536.1000000000004</v>
      </c>
      <c r="H41" s="8">
        <f>H35-(SUM(H36:H40))</f>
        <v>3517.199999999998</v>
      </c>
      <c r="I41" s="8">
        <f t="shared" ref="I41:O41" si="15">I35-(SUM(I36:I40))</f>
        <v>1588.3999999999996</v>
      </c>
      <c r="J41" s="8">
        <f t="shared" si="15"/>
        <v>5038.6000000000004</v>
      </c>
      <c r="K41" s="8">
        <f t="shared" si="15"/>
        <v>3456</v>
      </c>
      <c r="L41" s="8">
        <f t="shared" si="15"/>
        <v>6777.2000000000007</v>
      </c>
      <c r="M41" s="8">
        <f t="shared" si="15"/>
        <v>7232.4000000000005</v>
      </c>
      <c r="N41" s="8">
        <f t="shared" si="15"/>
        <v>8266.1999999999989</v>
      </c>
      <c r="O41" s="7">
        <f t="shared" si="15"/>
        <v>8850</v>
      </c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</row>
    <row r="42" spans="2:38" x14ac:dyDescent="0.2">
      <c r="B42" t="s">
        <v>39</v>
      </c>
      <c r="C42" s="10">
        <v>184.8</v>
      </c>
      <c r="D42" s="10">
        <v>325.7</v>
      </c>
      <c r="E42" s="10">
        <v>484.6</v>
      </c>
      <c r="F42" s="10">
        <v>319.10000000000002</v>
      </c>
      <c r="G42" s="10">
        <v>293.2</v>
      </c>
      <c r="H42" s="10">
        <v>550.20000000000005</v>
      </c>
      <c r="I42" s="10">
        <v>618.1</v>
      </c>
      <c r="J42" s="8">
        <v>628.9</v>
      </c>
      <c r="K42" s="10">
        <v>697</v>
      </c>
      <c r="L42" s="10">
        <v>1115.9000000000001</v>
      </c>
      <c r="M42" s="10">
        <v>1649.9</v>
      </c>
      <c r="N42" s="8">
        <v>1628.5</v>
      </c>
      <c r="O42" s="7">
        <v>1454</v>
      </c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</row>
    <row r="43" spans="2:38" x14ac:dyDescent="0.2">
      <c r="B43" s="5" t="s">
        <v>20</v>
      </c>
      <c r="C43" s="9">
        <f t="shared" ref="C43:G43" si="16">C41-C42</f>
        <v>1344.8999999999999</v>
      </c>
      <c r="D43" s="9">
        <f t="shared" si="16"/>
        <v>1763.2000000000005</v>
      </c>
      <c r="E43" s="9">
        <f t="shared" si="16"/>
        <v>-57.400000000000205</v>
      </c>
      <c r="F43" s="9">
        <f t="shared" si="16"/>
        <v>1947.7000000000003</v>
      </c>
      <c r="G43" s="9">
        <f t="shared" si="16"/>
        <v>2242.9000000000005</v>
      </c>
      <c r="H43" s="9">
        <f t="shared" ref="H43:O43" si="17">H41-H42</f>
        <v>2966.9999999999982</v>
      </c>
      <c r="I43" s="9">
        <f t="shared" si="17"/>
        <v>970.29999999999961</v>
      </c>
      <c r="J43" s="9">
        <f t="shared" si="17"/>
        <v>4409.7000000000007</v>
      </c>
      <c r="K43" s="9">
        <f t="shared" si="17"/>
        <v>2759</v>
      </c>
      <c r="L43" s="9">
        <f t="shared" si="17"/>
        <v>5661.3000000000011</v>
      </c>
      <c r="M43" s="9">
        <f t="shared" si="17"/>
        <v>5582.5</v>
      </c>
      <c r="N43" s="9">
        <f t="shared" si="17"/>
        <v>6637.6999999999989</v>
      </c>
      <c r="O43" s="6">
        <f t="shared" si="17"/>
        <v>7396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</row>
    <row r="44" spans="2:38" x14ac:dyDescent="0.2">
      <c r="B44" t="s">
        <v>40</v>
      </c>
      <c r="C44" s="3">
        <f>C43/C45</f>
        <v>1.4888741281966122</v>
      </c>
      <c r="D44" s="3">
        <f t="shared" ref="D44:O44" si="18">D43/D45</f>
        <v>1.9526024363233672</v>
      </c>
      <c r="E44" s="3">
        <f t="shared" si="18"/>
        <v>-6.3791953767504114E-2</v>
      </c>
      <c r="F44" s="3">
        <f t="shared" si="18"/>
        <v>2.1617092119866816</v>
      </c>
      <c r="G44" s="3">
        <f t="shared" si="18"/>
        <v>2.4816331046691755</v>
      </c>
      <c r="H44" s="3">
        <f t="shared" si="18"/>
        <v>3.2813536828135348</v>
      </c>
      <c r="I44" s="3">
        <f t="shared" si="18"/>
        <v>1.0721546961325963</v>
      </c>
      <c r="J44" s="3">
        <f t="shared" si="18"/>
        <v>4.8779867256637175</v>
      </c>
      <c r="K44" s="3">
        <f t="shared" si="18"/>
        <v>3.0635132134132799</v>
      </c>
      <c r="L44" s="3">
        <f t="shared" si="18"/>
        <v>6.2917314958879764</v>
      </c>
      <c r="M44" s="3">
        <f t="shared" si="18"/>
        <v>6.2110591900311531</v>
      </c>
      <c r="N44" s="3">
        <f t="shared" si="18"/>
        <v>7.3916481069042304</v>
      </c>
      <c r="O44" s="18">
        <f t="shared" si="18"/>
        <v>8.2553856457193877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2:38" x14ac:dyDescent="0.2">
      <c r="B45" t="s">
        <v>5</v>
      </c>
      <c r="C45" s="15">
        <v>903.3</v>
      </c>
      <c r="D45" s="15">
        <v>903</v>
      </c>
      <c r="E45" s="15">
        <v>899.8</v>
      </c>
      <c r="F45" s="15">
        <v>901</v>
      </c>
      <c r="G45" s="15">
        <v>903.8</v>
      </c>
      <c r="H45" s="15">
        <v>904.2</v>
      </c>
      <c r="I45" s="15">
        <v>905</v>
      </c>
      <c r="J45" s="15">
        <v>904</v>
      </c>
      <c r="K45" s="15">
        <v>900.6</v>
      </c>
      <c r="L45" s="15">
        <v>899.8</v>
      </c>
      <c r="M45" s="15">
        <v>898.8</v>
      </c>
      <c r="N45" s="15">
        <v>898</v>
      </c>
      <c r="O45" s="19">
        <v>895.9</v>
      </c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spans="2:3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18"/>
    </row>
    <row r="47" spans="2:38" x14ac:dyDescent="0.2">
      <c r="B47" s="25" t="s">
        <v>59</v>
      </c>
      <c r="C47" s="16">
        <v>0</v>
      </c>
      <c r="D47" s="16">
        <v>0</v>
      </c>
      <c r="E47" s="16">
        <v>0</v>
      </c>
      <c r="F47" s="16">
        <v>0</v>
      </c>
      <c r="G47" s="17">
        <f>(G33-C33)/C33</f>
        <v>0.25977011494252872</v>
      </c>
      <c r="H47" s="17">
        <f t="shared" ref="H47:O47" si="19">(H33-D33)/D33</f>
        <v>0.35980077236799352</v>
      </c>
      <c r="I47" s="17">
        <f t="shared" si="19"/>
        <v>0.20429326427052408</v>
      </c>
      <c r="J47" s="17">
        <f t="shared" si="19"/>
        <v>0.44683216798169645</v>
      </c>
      <c r="K47" s="17">
        <f t="shared" si="19"/>
        <v>0.45175638686131386</v>
      </c>
      <c r="L47" s="17">
        <f t="shared" si="19"/>
        <v>0.37644654421913171</v>
      </c>
      <c r="M47" s="17">
        <f t="shared" si="19"/>
        <v>0.53865251636929468</v>
      </c>
      <c r="N47" s="17">
        <f t="shared" si="19"/>
        <v>0.42557342161267447</v>
      </c>
      <c r="O47" s="20">
        <f t="shared" si="19"/>
        <v>0.55542462094430045</v>
      </c>
      <c r="P47" s="26">
        <f>AVERAGE(G47:O47)</f>
        <v>0.402061089952162</v>
      </c>
      <c r="Q47" s="26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2:38" x14ac:dyDescent="0.2">
      <c r="B48" s="25" t="s">
        <v>62</v>
      </c>
      <c r="C48" s="17">
        <f t="shared" ref="C48:O48" si="20">C35/C33</f>
        <v>0.76627873563218396</v>
      </c>
      <c r="D48" s="17">
        <f t="shared" si="20"/>
        <v>0.78255795767615888</v>
      </c>
      <c r="E48" s="17">
        <f t="shared" si="20"/>
        <v>0.80417114101025411</v>
      </c>
      <c r="F48" s="17">
        <f t="shared" si="20"/>
        <v>0.80883956636089549</v>
      </c>
      <c r="G48" s="17">
        <f t="shared" si="20"/>
        <v>0.80913549270072993</v>
      </c>
      <c r="H48" s="17">
        <f t="shared" si="20"/>
        <v>0.80799447924408108</v>
      </c>
      <c r="I48" s="17">
        <f t="shared" si="20"/>
        <v>0.81022982577300651</v>
      </c>
      <c r="J48" s="17">
        <f t="shared" si="20"/>
        <v>0.82237231023882718</v>
      </c>
      <c r="K48" s="17">
        <f t="shared" si="20"/>
        <v>0.82520229397438916</v>
      </c>
      <c r="L48" s="17">
        <f t="shared" si="20"/>
        <v>0.8426631185843666</v>
      </c>
      <c r="M48" s="17">
        <f t="shared" si="20"/>
        <v>0.82908163265306123</v>
      </c>
      <c r="N48" s="17">
        <f t="shared" si="20"/>
        <v>0.82522807381297947</v>
      </c>
      <c r="O48" s="20">
        <f t="shared" si="20"/>
        <v>0.81933430981362698</v>
      </c>
      <c r="P48" s="26">
        <f>AVERAGE(C48:O48)</f>
        <v>0.81177607211342762</v>
      </c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</row>
    <row r="49" spans="2:38" x14ac:dyDescent="0.2">
      <c r="B49" s="25" t="s">
        <v>72</v>
      </c>
      <c r="C49" s="17">
        <f>C36/C35</f>
        <v>0.37220857630360188</v>
      </c>
      <c r="D49" s="17">
        <f t="shared" ref="D49:O49" si="21">D36/D35</f>
        <v>0.36227650775593029</v>
      </c>
      <c r="E49" s="17">
        <f t="shared" si="21"/>
        <v>0.31538914708385152</v>
      </c>
      <c r="F49" s="17">
        <f t="shared" si="21"/>
        <v>0.33873952467813995</v>
      </c>
      <c r="G49" s="17">
        <f t="shared" si="21"/>
        <v>0.3555994079921066</v>
      </c>
      <c r="H49" s="17">
        <f t="shared" si="21"/>
        <v>0.29687055165013254</v>
      </c>
      <c r="I49" s="17">
        <f t="shared" si="21"/>
        <v>0.29499476710939437</v>
      </c>
      <c r="J49" s="17">
        <f t="shared" si="21"/>
        <v>0.27158774373259054</v>
      </c>
      <c r="K49" s="17">
        <f t="shared" si="21"/>
        <v>0.26028179741051027</v>
      </c>
      <c r="L49" s="17">
        <f t="shared" si="21"/>
        <v>0.25447181137918667</v>
      </c>
      <c r="M49" s="17">
        <f t="shared" si="21"/>
        <v>0.23749871509336987</v>
      </c>
      <c r="N49" s="17">
        <f t="shared" si="21"/>
        <v>0.23878318875900581</v>
      </c>
      <c r="O49" s="20">
        <f t="shared" si="21"/>
        <v>0.21637282702502775</v>
      </c>
      <c r="P49" s="26">
        <f>O49</f>
        <v>0.21637282702502775</v>
      </c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</row>
    <row r="50" spans="2:38" x14ac:dyDescent="0.2">
      <c r="B50" s="25" t="s">
        <v>73</v>
      </c>
      <c r="C50" s="17">
        <f>C37/C35</f>
        <v>0.32797704985656162</v>
      </c>
      <c r="D50" s="17">
        <f t="shared" ref="D50:O50" si="22">D37/D35</f>
        <v>0.29600135286792623</v>
      </c>
      <c r="E50" s="17">
        <f t="shared" si="22"/>
        <v>0.23615893172743341</v>
      </c>
      <c r="F50" s="17">
        <f t="shared" si="22"/>
        <v>0.25439500885610805</v>
      </c>
      <c r="G50" s="17">
        <f t="shared" si="22"/>
        <v>0.27517090704066532</v>
      </c>
      <c r="H50" s="17">
        <f t="shared" si="22"/>
        <v>0.23183978275627976</v>
      </c>
      <c r="I50" s="17">
        <f t="shared" si="22"/>
        <v>0.22655718956011353</v>
      </c>
      <c r="J50" s="17">
        <f t="shared" si="22"/>
        <v>0.21785425465001348</v>
      </c>
      <c r="K50" s="17">
        <f t="shared" si="22"/>
        <v>0.23495811119573495</v>
      </c>
      <c r="L50" s="17">
        <f t="shared" si="22"/>
        <v>0.20999397401963399</v>
      </c>
      <c r="M50" s="17">
        <f t="shared" si="22"/>
        <v>0.18781565872879902</v>
      </c>
      <c r="N50" s="17">
        <f t="shared" si="22"/>
        <v>0.19669227338680806</v>
      </c>
      <c r="O50" s="20">
        <f t="shared" si="22"/>
        <v>0.18086549130810012</v>
      </c>
      <c r="P50" s="26">
        <f>O50</f>
        <v>0.18086549130810012</v>
      </c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</row>
    <row r="51" spans="2:38" x14ac:dyDescent="0.2">
      <c r="B51" s="25" t="s">
        <v>74</v>
      </c>
      <c r="C51" s="17">
        <f>C38/C35</f>
        <v>1.9687623047644046E-2</v>
      </c>
      <c r="D51" s="17">
        <f t="shared" ref="D51:O51" si="23">D38/D35</f>
        <v>1.4927667686442108E-2</v>
      </c>
      <c r="E51" s="17">
        <f t="shared" si="23"/>
        <v>0.38948746481639063</v>
      </c>
      <c r="F51" s="17">
        <f t="shared" si="23"/>
        <v>8.2295714701139402E-2</v>
      </c>
      <c r="G51" s="17">
        <f t="shared" si="23"/>
        <v>1.5575445767848334E-2</v>
      </c>
      <c r="H51" s="17">
        <f t="shared" si="23"/>
        <v>1.6895517158311984E-2</v>
      </c>
      <c r="I51" s="17">
        <f t="shared" si="23"/>
        <v>0.30495344345780784</v>
      </c>
      <c r="J51" s="17">
        <f t="shared" si="23"/>
        <v>1.7000628987330398E-2</v>
      </c>
      <c r="K51" s="17">
        <f t="shared" si="23"/>
        <v>0.14965727341964966</v>
      </c>
      <c r="L51" s="17">
        <f t="shared" si="23"/>
        <v>1.1670569569561933E-2</v>
      </c>
      <c r="M51" s="17">
        <f t="shared" si="23"/>
        <v>4.4934041459653934E-2</v>
      </c>
      <c r="N51" s="17">
        <f t="shared" si="23"/>
        <v>3.3215454482641654E-2</v>
      </c>
      <c r="O51" s="20">
        <f t="shared" si="23"/>
        <v>3.6000493157440513E-2</v>
      </c>
      <c r="P51" s="26">
        <f>O51</f>
        <v>3.6000493157440513E-2</v>
      </c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</row>
    <row r="52" spans="2:38" x14ac:dyDescent="0.2">
      <c r="B52" s="25" t="s">
        <v>75</v>
      </c>
      <c r="C52" s="17">
        <f>C42/C41</f>
        <v>0.12080800156893511</v>
      </c>
      <c r="D52" s="17">
        <f t="shared" ref="D52:O52" si="24">D42/D41</f>
        <v>0.15591938340753503</v>
      </c>
      <c r="E52" s="17">
        <f t="shared" si="24"/>
        <v>1.1343632958801504</v>
      </c>
      <c r="F52" s="17">
        <f t="shared" si="24"/>
        <v>0.14077113110993472</v>
      </c>
      <c r="G52" s="17">
        <f t="shared" si="24"/>
        <v>0.11561058317889671</v>
      </c>
      <c r="H52" s="17">
        <f t="shared" si="24"/>
        <v>0.15643125213237813</v>
      </c>
      <c r="I52" s="17">
        <f t="shared" si="24"/>
        <v>0.38913371946612957</v>
      </c>
      <c r="J52" s="17">
        <f t="shared" si="24"/>
        <v>0.12481641725876234</v>
      </c>
      <c r="K52" s="17">
        <f t="shared" si="24"/>
        <v>0.20167824074074073</v>
      </c>
      <c r="L52" s="17">
        <f t="shared" si="24"/>
        <v>0.16465501977217731</v>
      </c>
      <c r="M52" s="17">
        <f t="shared" si="24"/>
        <v>0.22812620983352691</v>
      </c>
      <c r="N52" s="17">
        <f t="shared" si="24"/>
        <v>0.19700708910986914</v>
      </c>
      <c r="O52" s="20">
        <f t="shared" si="24"/>
        <v>0.16429378531073446</v>
      </c>
      <c r="P52" s="26">
        <f>AVERAGE(C52:O52)</f>
        <v>0.25335493298229006</v>
      </c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</row>
    <row r="55" spans="2:38" ht="17" thickBot="1" x14ac:dyDescent="0.25">
      <c r="B55" s="64" t="s">
        <v>180</v>
      </c>
      <c r="C55" s="12" t="str">
        <f t="shared" ref="C55:K55" si="25">G4</f>
        <v>Q1'24</v>
      </c>
      <c r="D55" s="12" t="str">
        <f t="shared" si="25"/>
        <v>Q2'24</v>
      </c>
      <c r="E55" s="12" t="str">
        <f t="shared" si="25"/>
        <v>Q3'24</v>
      </c>
      <c r="F55" s="12" t="str">
        <f t="shared" si="25"/>
        <v>Q4'24</v>
      </c>
      <c r="G55" s="12" t="str">
        <f t="shared" si="25"/>
        <v>Q1'25</v>
      </c>
      <c r="H55" s="12" t="str">
        <f t="shared" si="25"/>
        <v>Q2'25</v>
      </c>
      <c r="I55" s="12" t="str">
        <f t="shared" si="25"/>
        <v>Q3'25</v>
      </c>
      <c r="J55" s="12" t="str">
        <f t="shared" si="25"/>
        <v>Q4'25</v>
      </c>
      <c r="K55" s="12" t="str">
        <f t="shared" si="25"/>
        <v>Q1'26</v>
      </c>
    </row>
    <row r="56" spans="2:38" x14ac:dyDescent="0.2">
      <c r="B56" s="58" t="str">
        <f>B5</f>
        <v>Diabetes</v>
      </c>
      <c r="C56" s="59">
        <f t="shared" ref="C56:K59" si="26">IFERROR((G5-C5)/C5,"")</f>
        <v>0.3272686821743751</v>
      </c>
      <c r="D56" s="59">
        <f t="shared" si="26"/>
        <v>0.84461552905830484</v>
      </c>
      <c r="E56" s="59">
        <f t="shared" si="26"/>
        <v>0.59057256757348775</v>
      </c>
      <c r="F56" s="59">
        <f t="shared" si="26"/>
        <v>0.6037182171166815</v>
      </c>
      <c r="G56" s="59">
        <f t="shared" si="26"/>
        <v>0.70360575132235725</v>
      </c>
      <c r="H56" s="59">
        <f t="shared" si="26"/>
        <v>0.4233470758894487</v>
      </c>
      <c r="I56" s="59">
        <f t="shared" si="26"/>
        <v>0.79737247989423821</v>
      </c>
      <c r="J56" s="59">
        <f t="shared" si="26"/>
        <v>0.62075044350474762</v>
      </c>
      <c r="K56" s="59">
        <f t="shared" si="26"/>
        <v>0.72634743631791865</v>
      </c>
    </row>
    <row r="57" spans="2:38" x14ac:dyDescent="0.2">
      <c r="B57" s="57" t="str">
        <f>B6</f>
        <v>Mounjaro</v>
      </c>
      <c r="C57" s="59">
        <f t="shared" si="26"/>
        <v>2.177660510114336</v>
      </c>
      <c r="D57" s="59">
        <f t="shared" si="26"/>
        <v>2.1548433193834851</v>
      </c>
      <c r="E57" s="59">
        <f t="shared" si="26"/>
        <v>1.2086851628468034</v>
      </c>
      <c r="F57" s="59">
        <f t="shared" si="26"/>
        <v>0.60047152702212558</v>
      </c>
      <c r="G57" s="59">
        <f t="shared" si="26"/>
        <v>1.1267644616662054</v>
      </c>
      <c r="H57" s="59">
        <f t="shared" si="26"/>
        <v>0.68205642552090051</v>
      </c>
      <c r="I57" s="59">
        <f t="shared" si="26"/>
        <v>1.0930703247984068</v>
      </c>
      <c r="J57" s="59">
        <f t="shared" si="26"/>
        <v>1.0988668555240793</v>
      </c>
      <c r="K57" s="59">
        <f t="shared" si="26"/>
        <v>1.2545549193128578</v>
      </c>
    </row>
    <row r="58" spans="2:38" x14ac:dyDescent="0.2">
      <c r="B58" s="57" t="str">
        <f>B7</f>
        <v>Zepbound</v>
      </c>
      <c r="C58" s="59" t="str">
        <f t="shared" si="26"/>
        <v/>
      </c>
      <c r="D58" s="59" t="str">
        <f t="shared" si="26"/>
        <v/>
      </c>
      <c r="E58" s="59" t="str">
        <f t="shared" si="26"/>
        <v/>
      </c>
      <c r="F58" s="59">
        <f t="shared" si="26"/>
        <v>9.8475540386803182</v>
      </c>
      <c r="G58" s="59">
        <f t="shared" si="26"/>
        <v>3.4684963277928103</v>
      </c>
      <c r="H58" s="59">
        <f t="shared" si="26"/>
        <v>1.7199163449163446</v>
      </c>
      <c r="I58" s="59">
        <f t="shared" si="26"/>
        <v>1.8525997773890921</v>
      </c>
      <c r="J58" s="59">
        <f t="shared" si="26"/>
        <v>1.2343995804929209</v>
      </c>
      <c r="K58" s="59">
        <f t="shared" si="26"/>
        <v>0.79930795847750868</v>
      </c>
      <c r="L58" s="59"/>
    </row>
    <row r="59" spans="2:38" x14ac:dyDescent="0.2">
      <c r="B59" s="57" t="str">
        <f>B8</f>
        <v>Trulicity</v>
      </c>
      <c r="C59" s="59">
        <f t="shared" si="26"/>
        <v>-0.26341611451115271</v>
      </c>
      <c r="D59" s="59">
        <f t="shared" si="26"/>
        <v>-0.3127724137931035</v>
      </c>
      <c r="E59" s="59">
        <f t="shared" si="26"/>
        <v>-0.22239483747609934</v>
      </c>
      <c r="F59" s="59">
        <f t="shared" si="26"/>
        <v>-0.2510633199544719</v>
      </c>
      <c r="G59" s="59">
        <f t="shared" si="26"/>
        <v>-0.24809448602623083</v>
      </c>
      <c r="H59" s="59">
        <f t="shared" si="26"/>
        <v>-0.12315350032113027</v>
      </c>
      <c r="I59" s="59">
        <f t="shared" si="26"/>
        <v>-0.19179345320424168</v>
      </c>
      <c r="J59" s="59">
        <f t="shared" si="26"/>
        <v>-0.17053271476563753</v>
      </c>
      <c r="K59" s="59">
        <f t="shared" si="26"/>
        <v>-0.16073059360730593</v>
      </c>
      <c r="L59" s="59"/>
    </row>
    <row r="60" spans="2:38" x14ac:dyDescent="0.2">
      <c r="B60" s="29" t="s">
        <v>100</v>
      </c>
      <c r="C60" s="59"/>
      <c r="D60" s="59"/>
      <c r="E60" s="59"/>
      <c r="F60" s="59"/>
      <c r="G60" s="59"/>
      <c r="H60" s="59"/>
      <c r="I60" s="59"/>
      <c r="J60" s="59"/>
      <c r="K60" s="59"/>
      <c r="L60" s="59"/>
    </row>
    <row r="61" spans="2:38" x14ac:dyDescent="0.2">
      <c r="B61" s="29" t="s">
        <v>82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2:38" x14ac:dyDescent="0.2">
      <c r="B62" s="57" t="str">
        <f t="shared" ref="B62:B82" si="27">B11</f>
        <v>Basaglar</v>
      </c>
      <c r="C62" s="59">
        <f t="shared" ref="C62:C82" si="28">IFERROR((G11-C11)/C11,"")</f>
        <v>-0.24701385570950796</v>
      </c>
      <c r="D62" s="59">
        <f t="shared" ref="D62:D82" si="29">IFERROR((H11-D11)/D11,"")</f>
        <v>0.17250324254215321</v>
      </c>
      <c r="E62" s="59">
        <f t="shared" ref="E62:E82" si="30">IFERROR((I11-E11)/E11,"")</f>
        <v>-0.1002227171492205</v>
      </c>
      <c r="F62" s="59">
        <f t="shared" ref="F62:F82" si="31">IFERROR((J11-F11)/F11,"")</f>
        <v>-4.4816414686824672E-2</v>
      </c>
      <c r="G62" s="59">
        <f t="shared" ref="G62:G82" si="32">IFERROR((K11-G11)/G11,"")</f>
        <v>0.10152284263959391</v>
      </c>
      <c r="H62" s="59">
        <f t="shared" ref="H62:H82" si="33">IFERROR((L11-H11)/H11,"")</f>
        <v>-0.19800884955752218</v>
      </c>
      <c r="I62" s="59">
        <f t="shared" ref="I62:I82" si="34">IFERROR((M11-I11)/I11,"")</f>
        <v>3.712871287128678E-3</v>
      </c>
      <c r="J62" s="59">
        <f t="shared" ref="J62:J82" si="35">IFERROR((N11-J11)/J11,"")</f>
        <v>0</v>
      </c>
      <c r="K62" s="59">
        <f t="shared" ref="K62:K82" si="36">IFERROR((O11-K11)/K11,"")</f>
        <v>-5.7603686635944701E-2</v>
      </c>
      <c r="L62" s="59"/>
    </row>
    <row r="63" spans="2:38" x14ac:dyDescent="0.2">
      <c r="B63" s="57" t="str">
        <f t="shared" si="27"/>
        <v>Humalog</v>
      </c>
      <c r="C63" s="59">
        <f t="shared" si="28"/>
        <v>0.16880017357344343</v>
      </c>
      <c r="D63" s="59">
        <f t="shared" si="29"/>
        <v>0.43415077202543156</v>
      </c>
      <c r="E63" s="59">
        <f t="shared" si="30"/>
        <v>0.3520485584218514</v>
      </c>
      <c r="F63" s="59">
        <f t="shared" si="31"/>
        <v>0.69094380796508437</v>
      </c>
      <c r="G63" s="59">
        <f t="shared" si="32"/>
        <v>-2.7844811583441617E-3</v>
      </c>
      <c r="H63" s="59">
        <f t="shared" si="33"/>
        <v>-0.20345155161494616</v>
      </c>
      <c r="I63" s="59">
        <f t="shared" si="34"/>
        <v>0.12065095398428731</v>
      </c>
      <c r="J63" s="59">
        <f t="shared" si="35"/>
        <v>-4.1619616067107526E-2</v>
      </c>
      <c r="K63" s="59">
        <f t="shared" si="36"/>
        <v>0.13384214445271775</v>
      </c>
      <c r="L63" s="59"/>
    </row>
    <row r="64" spans="2:38" x14ac:dyDescent="0.2">
      <c r="B64" s="57" t="str">
        <f t="shared" si="27"/>
        <v xml:space="preserve">Humulin </v>
      </c>
      <c r="C64" s="59">
        <f t="shared" si="28"/>
        <v>-0.18174603174603179</v>
      </c>
      <c r="D64" s="59">
        <f t="shared" si="29"/>
        <v>8.9137847053092953E-2</v>
      </c>
      <c r="E64" s="59">
        <f t="shared" si="30"/>
        <v>1.9351717464925289E-3</v>
      </c>
      <c r="F64" s="59">
        <f t="shared" si="31"/>
        <v>0.49016480595427908</v>
      </c>
      <c r="G64" s="59">
        <f t="shared" si="32"/>
        <v>-0.16003879728419013</v>
      </c>
      <c r="H64" s="59">
        <f t="shared" si="33"/>
        <v>-0.21645796064400719</v>
      </c>
      <c r="I64" s="59">
        <f t="shared" si="34"/>
        <v>-0.147271849348141</v>
      </c>
      <c r="J64" s="59">
        <f t="shared" si="35"/>
        <v>0</v>
      </c>
      <c r="K64" s="59">
        <f t="shared" si="36"/>
        <v>-5.7736720554272522E-2</v>
      </c>
      <c r="L64" s="59"/>
    </row>
    <row r="65" spans="2:12" x14ac:dyDescent="0.2">
      <c r="B65" s="57" t="str">
        <f t="shared" si="27"/>
        <v>Jardiance</v>
      </c>
      <c r="C65" s="59">
        <f t="shared" si="28"/>
        <v>0.18874458874458874</v>
      </c>
      <c r="D65" s="59">
        <f t="shared" si="29"/>
        <v>0.86024240610504288</v>
      </c>
      <c r="E65" s="59">
        <f t="shared" si="30"/>
        <v>-2.054794520547942E-2</v>
      </c>
      <c r="F65" s="59">
        <f t="shared" si="31"/>
        <v>0.50156621977195848</v>
      </c>
      <c r="G65" s="59">
        <f t="shared" si="32"/>
        <v>0.4770575382374363</v>
      </c>
      <c r="H65" s="59">
        <f t="shared" si="33"/>
        <v>-0.44498069498069498</v>
      </c>
      <c r="I65" s="59">
        <f t="shared" si="34"/>
        <v>0.39714452214452217</v>
      </c>
      <c r="J65" s="59">
        <f t="shared" si="35"/>
        <v>-0.35914552736982647</v>
      </c>
      <c r="K65" s="59">
        <f t="shared" si="36"/>
        <v>9.8619329388560162E-2</v>
      </c>
      <c r="L65" s="59"/>
    </row>
    <row r="66" spans="2:12" x14ac:dyDescent="0.2">
      <c r="B66" s="58" t="str">
        <f t="shared" si="27"/>
        <v xml:space="preserve">Oncology </v>
      </c>
      <c r="C66" s="59">
        <f t="shared" si="28"/>
        <v>0.35016260162601603</v>
      </c>
      <c r="D66" s="59">
        <f t="shared" si="29"/>
        <v>0.34544975635453734</v>
      </c>
      <c r="E66" s="59">
        <f t="shared" si="30"/>
        <v>0.31684098453059428</v>
      </c>
      <c r="F66" s="59">
        <f t="shared" si="31"/>
        <v>0.34097454210344419</v>
      </c>
      <c r="G66" s="59">
        <f t="shared" si="32"/>
        <v>0.11597519118444037</v>
      </c>
      <c r="H66" s="59">
        <f t="shared" si="33"/>
        <v>0.13429913860610809</v>
      </c>
      <c r="I66" s="59">
        <f t="shared" si="34"/>
        <v>0.10624940549795496</v>
      </c>
      <c r="J66" s="59">
        <f t="shared" si="35"/>
        <v>6.0261145949660762E-2</v>
      </c>
      <c r="K66" s="59">
        <f t="shared" si="36"/>
        <v>0.22397884854044131</v>
      </c>
      <c r="L66" s="59"/>
    </row>
    <row r="67" spans="2:12" x14ac:dyDescent="0.2">
      <c r="B67" s="57" t="str">
        <f t="shared" si="27"/>
        <v>Verzenio</v>
      </c>
      <c r="C67" s="59">
        <f t="shared" si="28"/>
        <v>0.39872153415900918</v>
      </c>
      <c r="D67" s="59">
        <f t="shared" si="29"/>
        <v>0.43709538195943048</v>
      </c>
      <c r="E67" s="59">
        <f t="shared" si="30"/>
        <v>0.31638146510286475</v>
      </c>
      <c r="F67" s="59">
        <f t="shared" si="31"/>
        <v>0.35760433036493788</v>
      </c>
      <c r="G67" s="59">
        <f t="shared" si="32"/>
        <v>0.10339902884890045</v>
      </c>
      <c r="H67" s="59">
        <f t="shared" si="33"/>
        <v>0.11817704031834211</v>
      </c>
      <c r="I67" s="59">
        <f t="shared" si="34"/>
        <v>7.3687285474330025E-2</v>
      </c>
      <c r="J67" s="59">
        <f t="shared" si="35"/>
        <v>3.1511254019292605E-2</v>
      </c>
      <c r="K67" s="59">
        <f t="shared" si="36"/>
        <v>0.12347916127362145</v>
      </c>
      <c r="L67" s="59"/>
    </row>
    <row r="68" spans="2:12" x14ac:dyDescent="0.2">
      <c r="B68" s="57" t="str">
        <f t="shared" si="27"/>
        <v>Cyramza</v>
      </c>
      <c r="C68" s="59">
        <f t="shared" si="28"/>
        <v>-2.9138513513513535E-2</v>
      </c>
      <c r="D68" s="59">
        <f t="shared" si="29"/>
        <v>-4.3795620437956227E-2</v>
      </c>
      <c r="E68" s="59">
        <f t="shared" si="30"/>
        <v>5.3101294065149511E-2</v>
      </c>
      <c r="F68" s="59">
        <f t="shared" si="31"/>
        <v>1.9716088328075823E-2</v>
      </c>
      <c r="G68" s="59">
        <f t="shared" si="32"/>
        <v>-2.1748586341887775E-2</v>
      </c>
      <c r="H68" s="59">
        <f t="shared" si="33"/>
        <v>1.9284853354760878E-2</v>
      </c>
      <c r="I68" s="59">
        <f t="shared" si="34"/>
        <v>4.025423728813559E-2</v>
      </c>
      <c r="J68" s="59">
        <f t="shared" si="35"/>
        <v>0</v>
      </c>
      <c r="K68" s="59">
        <f t="shared" si="36"/>
        <v>0.15117830146731867</v>
      </c>
      <c r="L68" s="59"/>
    </row>
    <row r="69" spans="2:12" x14ac:dyDescent="0.2">
      <c r="B69" s="57" t="str">
        <f t="shared" si="27"/>
        <v>Erbitux</v>
      </c>
      <c r="C69" s="59">
        <f t="shared" si="28"/>
        <v>0.11316397228637404</v>
      </c>
      <c r="D69" s="59">
        <f t="shared" si="29"/>
        <v>-4.1230769230769161E-2</v>
      </c>
      <c r="E69" s="59">
        <f t="shared" si="30"/>
        <v>-1.2345679012345715E-2</v>
      </c>
      <c r="F69" s="59">
        <f t="shared" si="31"/>
        <v>0.16511318242343528</v>
      </c>
      <c r="G69" s="59">
        <f t="shared" si="32"/>
        <v>3.0428769017980677E-2</v>
      </c>
      <c r="H69" s="59">
        <f t="shared" si="33"/>
        <v>0.17907573812580216</v>
      </c>
      <c r="I69" s="59">
        <f t="shared" si="34"/>
        <v>0.30657894736842101</v>
      </c>
      <c r="J69" s="59">
        <f t="shared" si="35"/>
        <v>0</v>
      </c>
      <c r="K69" s="59">
        <f t="shared" si="36"/>
        <v>0.22818791946308725</v>
      </c>
      <c r="L69" s="59"/>
    </row>
    <row r="70" spans="2:12" x14ac:dyDescent="0.2">
      <c r="B70" s="57" t="str">
        <f t="shared" si="27"/>
        <v>Retevmo</v>
      </c>
      <c r="C70" s="59">
        <f t="shared" si="28"/>
        <v>0.34630350194552539</v>
      </c>
      <c r="D70" s="59">
        <f t="shared" si="29"/>
        <v>0.39449541284403661</v>
      </c>
      <c r="E70" s="59">
        <f t="shared" si="30"/>
        <v>0.79810725552050477</v>
      </c>
      <c r="F70" s="59">
        <f t="shared" si="31"/>
        <v>0.22615803814713886</v>
      </c>
      <c r="G70" s="59">
        <f t="shared" si="32"/>
        <v>0.31502890173410397</v>
      </c>
      <c r="H70" s="59">
        <f t="shared" si="33"/>
        <v>0.37390350877192974</v>
      </c>
      <c r="I70" s="59">
        <f t="shared" si="34"/>
        <v>-1.7543859649122806E-2</v>
      </c>
      <c r="J70" s="59">
        <f t="shared" si="35"/>
        <v>0.3</v>
      </c>
      <c r="K70" s="59">
        <f t="shared" si="36"/>
        <v>0.65934065934065933</v>
      </c>
      <c r="L70" s="59"/>
    </row>
    <row r="71" spans="2:12" x14ac:dyDescent="0.2">
      <c r="B71" s="57" t="str">
        <f t="shared" si="27"/>
        <v>Tyvyt</v>
      </c>
      <c r="C71" s="59">
        <f t="shared" si="28"/>
        <v>0.91311475409836074</v>
      </c>
      <c r="D71" s="59">
        <f t="shared" si="29"/>
        <v>0.18725868725868733</v>
      </c>
      <c r="E71" s="59">
        <f t="shared" si="30"/>
        <v>0.30495221546481316</v>
      </c>
      <c r="F71" s="59">
        <f t="shared" si="31"/>
        <v>0.19718309859154937</v>
      </c>
      <c r="G71" s="59">
        <f t="shared" si="32"/>
        <v>0.17823479005998283</v>
      </c>
      <c r="H71" s="59">
        <f t="shared" si="33"/>
        <v>0.11626016260162611</v>
      </c>
      <c r="I71" s="59">
        <f t="shared" si="34"/>
        <v>-5.592543275632475E-2</v>
      </c>
      <c r="J71" s="59">
        <f t="shared" si="35"/>
        <v>0</v>
      </c>
      <c r="K71" s="59">
        <f t="shared" si="36"/>
        <v>0.26181818181818184</v>
      </c>
      <c r="L71" s="59"/>
    </row>
    <row r="72" spans="2:12" x14ac:dyDescent="0.2">
      <c r="B72" s="57" t="str">
        <f t="shared" si="27"/>
        <v>Jaypirca</v>
      </c>
      <c r="C72" s="59" t="str">
        <f t="shared" si="28"/>
        <v/>
      </c>
      <c r="D72" s="59" t="str">
        <f t="shared" si="29"/>
        <v/>
      </c>
      <c r="E72" s="59" t="str">
        <f t="shared" si="30"/>
        <v/>
      </c>
      <c r="F72" s="59" t="str">
        <f t="shared" si="31"/>
        <v/>
      </c>
      <c r="G72" s="59">
        <f t="shared" si="32"/>
        <v>0.84</v>
      </c>
      <c r="H72" s="59">
        <f t="shared" si="33"/>
        <v>0.33441558441558428</v>
      </c>
      <c r="I72" s="59">
        <f t="shared" si="34"/>
        <v>0.76202219482120859</v>
      </c>
      <c r="J72" s="59">
        <f t="shared" si="35"/>
        <v>0.34595070422535223</v>
      </c>
      <c r="K72" s="59">
        <f t="shared" si="36"/>
        <v>0.79347826086956519</v>
      </c>
      <c r="L72" s="59"/>
    </row>
    <row r="73" spans="2:12" x14ac:dyDescent="0.2">
      <c r="B73" s="57" t="str">
        <f t="shared" si="27"/>
        <v>Inluriyo</v>
      </c>
      <c r="C73" s="59" t="str">
        <f t="shared" si="28"/>
        <v/>
      </c>
      <c r="D73" s="59" t="str">
        <f t="shared" si="29"/>
        <v/>
      </c>
      <c r="E73" s="59" t="str">
        <f t="shared" si="30"/>
        <v/>
      </c>
      <c r="F73" s="59" t="str">
        <f t="shared" si="31"/>
        <v/>
      </c>
      <c r="G73" s="59" t="str">
        <f t="shared" si="32"/>
        <v/>
      </c>
      <c r="H73" s="59" t="str">
        <f t="shared" si="33"/>
        <v/>
      </c>
      <c r="I73" s="59" t="str">
        <f t="shared" si="34"/>
        <v/>
      </c>
      <c r="J73" s="59" t="str">
        <f t="shared" si="35"/>
        <v/>
      </c>
      <c r="K73" s="59" t="str">
        <f t="shared" si="36"/>
        <v/>
      </c>
      <c r="L73" s="59"/>
    </row>
    <row r="74" spans="2:12" x14ac:dyDescent="0.2">
      <c r="B74" s="58" t="str">
        <f t="shared" si="27"/>
        <v>Immunology</v>
      </c>
      <c r="C74" s="59">
        <f t="shared" si="28"/>
        <v>0.10332054504564099</v>
      </c>
      <c r="D74" s="59">
        <f t="shared" si="29"/>
        <v>0.17284351972258369</v>
      </c>
      <c r="E74" s="59">
        <f t="shared" si="30"/>
        <v>0.21545715457154563</v>
      </c>
      <c r="F74" s="59">
        <f t="shared" si="31"/>
        <v>0.25561715786402123</v>
      </c>
      <c r="G74" s="59">
        <f t="shared" si="32"/>
        <v>0.30467625899280565</v>
      </c>
      <c r="H74" s="59">
        <f t="shared" si="33"/>
        <v>0.16012196248729529</v>
      </c>
      <c r="I74" s="59">
        <f t="shared" si="34"/>
        <v>0.14892899308483737</v>
      </c>
      <c r="J74" s="59">
        <f t="shared" si="35"/>
        <v>0.18948020760709575</v>
      </c>
      <c r="K74" s="59">
        <f t="shared" si="36"/>
        <v>0.10532120209539578</v>
      </c>
      <c r="L74" s="59"/>
    </row>
    <row r="75" spans="2:12" x14ac:dyDescent="0.2">
      <c r="B75" s="57" t="str">
        <f t="shared" si="27"/>
        <v>Ebglyss</v>
      </c>
      <c r="C75" s="59" t="str">
        <f t="shared" si="28"/>
        <v/>
      </c>
      <c r="D75" s="59" t="str">
        <f t="shared" si="29"/>
        <v/>
      </c>
      <c r="E75" s="59" t="str">
        <f t="shared" si="30"/>
        <v/>
      </c>
      <c r="F75" s="59" t="str">
        <f t="shared" si="31"/>
        <v/>
      </c>
      <c r="G75" s="59">
        <f t="shared" si="32"/>
        <v>18.419354838709676</v>
      </c>
      <c r="H75" s="59">
        <f t="shared" si="33"/>
        <v>19.186046511627907</v>
      </c>
      <c r="I75" s="59">
        <f t="shared" si="34"/>
        <v>7.5302013422818783</v>
      </c>
      <c r="J75" s="59">
        <f t="shared" si="35"/>
        <v>5.4754901960784315</v>
      </c>
      <c r="K75" s="59">
        <f t="shared" si="36"/>
        <v>1.4086378737541527</v>
      </c>
      <c r="L75" s="59"/>
    </row>
    <row r="76" spans="2:12" x14ac:dyDescent="0.2">
      <c r="B76" s="57" t="str">
        <f t="shared" si="27"/>
        <v>Olumiant</v>
      </c>
      <c r="C76" s="59">
        <f t="shared" si="28"/>
        <v>-5.024027959807776E-2</v>
      </c>
      <c r="D76" s="59">
        <f t="shared" si="29"/>
        <v>4.0201005025125552E-2</v>
      </c>
      <c r="E76" s="59">
        <f t="shared" si="30"/>
        <v>8.3837510803802959E-2</v>
      </c>
      <c r="F76" s="59">
        <f t="shared" si="31"/>
        <v>7.4332648870636647E-2</v>
      </c>
      <c r="G76" s="59">
        <f t="shared" si="32"/>
        <v>5.1977920883164594E-2</v>
      </c>
      <c r="H76" s="59">
        <f t="shared" si="33"/>
        <v>8.2125603864734373E-2</v>
      </c>
      <c r="I76" s="59">
        <f t="shared" si="34"/>
        <v>7.2169059011164133E-2</v>
      </c>
      <c r="J76" s="59">
        <f t="shared" si="35"/>
        <v>0</v>
      </c>
      <c r="K76" s="59">
        <f t="shared" si="36"/>
        <v>6.9960647135986015E-2</v>
      </c>
      <c r="L76" s="59"/>
    </row>
    <row r="77" spans="2:12" x14ac:dyDescent="0.2">
      <c r="B77" s="57" t="str">
        <f t="shared" si="27"/>
        <v>Omvoh</v>
      </c>
      <c r="C77" s="59" t="str">
        <f t="shared" si="28"/>
        <v/>
      </c>
      <c r="D77" s="59" t="str">
        <f t="shared" si="29"/>
        <v/>
      </c>
      <c r="E77" s="59" t="str">
        <f t="shared" si="30"/>
        <v/>
      </c>
      <c r="F77" s="59" t="str">
        <f t="shared" si="31"/>
        <v/>
      </c>
      <c r="G77" s="59">
        <f t="shared" si="32"/>
        <v>2.9574468085106385</v>
      </c>
      <c r="H77" s="59">
        <f t="shared" si="33"/>
        <v>1.9218749999999998</v>
      </c>
      <c r="I77" s="59">
        <f t="shared" si="34"/>
        <v>0.6024691358024693</v>
      </c>
      <c r="J77" s="59">
        <f t="shared" si="35"/>
        <v>0.57996485061511438</v>
      </c>
      <c r="K77" s="59">
        <f t="shared" si="36"/>
        <v>1.150537634408602</v>
      </c>
      <c r="L77" s="59"/>
    </row>
    <row r="78" spans="2:12" x14ac:dyDescent="0.2">
      <c r="B78" s="57" t="str">
        <f t="shared" si="27"/>
        <v>Taltz</v>
      </c>
      <c r="C78" s="59">
        <f t="shared" si="28"/>
        <v>0.14629981024667937</v>
      </c>
      <c r="D78" s="59">
        <f t="shared" si="29"/>
        <v>0.17161528626225325</v>
      </c>
      <c r="E78" s="59">
        <f t="shared" si="30"/>
        <v>0.18194033861865086</v>
      </c>
      <c r="F78" s="59">
        <f t="shared" si="31"/>
        <v>0.21335712464950291</v>
      </c>
      <c r="G78" s="59">
        <f t="shared" si="32"/>
        <v>0.26138056613143512</v>
      </c>
      <c r="H78" s="59">
        <f t="shared" si="33"/>
        <v>2.7767673093246001E-2</v>
      </c>
      <c r="I78" s="59">
        <f t="shared" si="34"/>
        <v>2.4897680763983604E-2</v>
      </c>
      <c r="J78" s="59">
        <f t="shared" si="35"/>
        <v>0.10493697478991607</v>
      </c>
      <c r="K78" s="59">
        <f t="shared" si="36"/>
        <v>-3.805774278215223E-2</v>
      </c>
      <c r="L78" s="59"/>
    </row>
    <row r="79" spans="2:12" x14ac:dyDescent="0.2">
      <c r="B79" s="58" t="str">
        <f t="shared" si="27"/>
        <v xml:space="preserve">Neuroscience </v>
      </c>
      <c r="C79" s="59">
        <f t="shared" si="28"/>
        <v>0.46273493195074511</v>
      </c>
      <c r="D79" s="59">
        <f t="shared" si="29"/>
        <v>0.13408151210868274</v>
      </c>
      <c r="E79" s="59">
        <f t="shared" si="30"/>
        <v>0.21246290801186951</v>
      </c>
      <c r="F79" s="59">
        <f t="shared" si="31"/>
        <v>0.38473938742611496</v>
      </c>
      <c r="G79" s="59">
        <f t="shared" si="32"/>
        <v>-0.35268054940186089</v>
      </c>
      <c r="H79" s="59">
        <f t="shared" si="33"/>
        <v>0.30052083333333329</v>
      </c>
      <c r="I79" s="59">
        <f t="shared" si="34"/>
        <v>0.20460107684777279</v>
      </c>
      <c r="J79" s="59">
        <f t="shared" si="35"/>
        <v>0.43647652308886331</v>
      </c>
      <c r="K79" s="59">
        <f t="shared" si="36"/>
        <v>0.78685831622176605</v>
      </c>
      <c r="L79" s="59"/>
    </row>
    <row r="80" spans="2:12" x14ac:dyDescent="0.2">
      <c r="B80" s="57" t="str">
        <f t="shared" si="27"/>
        <v>Emgality</v>
      </c>
      <c r="C80" s="59">
        <f t="shared" si="28"/>
        <v>0.46273493195074511</v>
      </c>
      <c r="D80" s="59">
        <f t="shared" si="29"/>
        <v>0.13408151210868274</v>
      </c>
      <c r="E80" s="59">
        <f t="shared" si="30"/>
        <v>0.20415430267062318</v>
      </c>
      <c r="F80" s="59">
        <f t="shared" si="31"/>
        <v>0.34228909188608286</v>
      </c>
      <c r="G80" s="59">
        <f t="shared" si="32"/>
        <v>-0.44793974302171025</v>
      </c>
      <c r="H80" s="59">
        <f t="shared" si="33"/>
        <v>4.7395833333333304E-2</v>
      </c>
      <c r="I80" s="59">
        <f t="shared" si="34"/>
        <v>-0.13405618531296212</v>
      </c>
      <c r="J80" s="59">
        <f t="shared" si="35"/>
        <v>0.10000000000000007</v>
      </c>
      <c r="K80" s="59">
        <f t="shared" si="36"/>
        <v>0.10000000000000007</v>
      </c>
      <c r="L80" s="59"/>
    </row>
    <row r="81" spans="2:12" x14ac:dyDescent="0.2">
      <c r="B81" s="57" t="str">
        <f t="shared" si="27"/>
        <v>Kisunla</v>
      </c>
      <c r="C81" s="59" t="str">
        <f t="shared" si="28"/>
        <v/>
      </c>
      <c r="D81" s="59" t="str">
        <f t="shared" si="29"/>
        <v/>
      </c>
      <c r="E81" s="59" t="str">
        <f t="shared" si="30"/>
        <v/>
      </c>
      <c r="F81" s="59" t="str">
        <f t="shared" si="31"/>
        <v/>
      </c>
      <c r="G81" s="59" t="str">
        <f t="shared" si="32"/>
        <v/>
      </c>
      <c r="H81" s="59" t="str">
        <f t="shared" si="33"/>
        <v/>
      </c>
      <c r="I81" s="59">
        <f t="shared" si="34"/>
        <v>49.285714285714292</v>
      </c>
      <c r="J81" s="59">
        <f t="shared" si="35"/>
        <v>11.075949367088606</v>
      </c>
      <c r="K81" s="59">
        <f t="shared" si="36"/>
        <v>4.7674418604651159</v>
      </c>
      <c r="L81" s="59"/>
    </row>
    <row r="82" spans="2:12" x14ac:dyDescent="0.2">
      <c r="B82" s="58" t="str">
        <f t="shared" si="27"/>
        <v>Other / Misc</v>
      </c>
      <c r="C82" s="59">
        <f t="shared" si="28"/>
        <v>-0.12408005164622267</v>
      </c>
      <c r="D82" s="59">
        <f t="shared" si="29"/>
        <v>-0.91221374045801784</v>
      </c>
      <c r="E82" s="59">
        <f t="shared" si="30"/>
        <v>-0.68764823937237685</v>
      </c>
      <c r="F82" s="59">
        <f t="shared" si="31"/>
        <v>-0.14859388431781689</v>
      </c>
      <c r="G82" s="59">
        <f t="shared" si="32"/>
        <v>-0.27107900943396285</v>
      </c>
      <c r="H82" s="59">
        <f t="shared" si="33"/>
        <v>3.3399209486167112</v>
      </c>
      <c r="I82" s="59">
        <f t="shared" si="34"/>
        <v>-0.10265771028037526</v>
      </c>
      <c r="J82" s="59">
        <f t="shared" si="35"/>
        <v>-0.43528054233376628</v>
      </c>
      <c r="K82" s="59">
        <f t="shared" si="36"/>
        <v>-0.44198179979778551</v>
      </c>
      <c r="L82" s="59"/>
    </row>
    <row r="85" spans="2:12" ht="17" thickBot="1" x14ac:dyDescent="0.25">
      <c r="B85" s="64" t="s">
        <v>60</v>
      </c>
      <c r="C85" s="12" t="s">
        <v>49</v>
      </c>
      <c r="D85" s="12" t="s">
        <v>50</v>
      </c>
      <c r="E85" s="13" t="s">
        <v>51</v>
      </c>
      <c r="F85" s="12" t="s">
        <v>52</v>
      </c>
      <c r="G85" s="12" t="s">
        <v>53</v>
      </c>
      <c r="H85" s="12" t="s">
        <v>54</v>
      </c>
      <c r="I85" s="12" t="s">
        <v>55</v>
      </c>
      <c r="J85" s="12" t="s">
        <v>56</v>
      </c>
      <c r="K85" s="12" t="s">
        <v>57</v>
      </c>
    </row>
    <row r="86" spans="2:12" ht="15" customHeight="1" x14ac:dyDescent="0.2">
      <c r="B86" s="30" t="s">
        <v>132</v>
      </c>
      <c r="C86" s="61">
        <f t="shared" ref="C86:C112" si="37">SUM(C5:F5)</f>
        <v>18459.800000000003</v>
      </c>
      <c r="D86" s="61">
        <f t="shared" ref="D86:D112" si="38">SUM(G5:J5)</f>
        <v>29452.299999999996</v>
      </c>
      <c r="E86" s="62">
        <f t="shared" ref="E86:E112" si="39">SUM(K5:N5)</f>
        <v>47910.900000000009</v>
      </c>
      <c r="F86" s="61">
        <f>SUM(F87:F95)</f>
        <v>58897.07</v>
      </c>
      <c r="G86" s="61">
        <f t="shared" ref="G86:K86" si="40">SUM(G87:G95)</f>
        <v>70427.021999999997</v>
      </c>
      <c r="H86" s="61">
        <f t="shared" si="40"/>
        <v>86513.45925</v>
      </c>
      <c r="I86" s="61">
        <f t="shared" si="40"/>
        <v>102659.76384249999</v>
      </c>
      <c r="J86" s="61">
        <f t="shared" si="40"/>
        <v>113100.10331387501</v>
      </c>
      <c r="K86" s="61">
        <f t="shared" si="40"/>
        <v>128224.42323573124</v>
      </c>
    </row>
    <row r="87" spans="2:12" ht="15" customHeight="1" x14ac:dyDescent="0.2">
      <c r="B87" t="s">
        <v>80</v>
      </c>
      <c r="C87" s="11">
        <f t="shared" si="37"/>
        <v>5163.1000000000004</v>
      </c>
      <c r="D87" s="11">
        <f t="shared" si="38"/>
        <v>11540</v>
      </c>
      <c r="E87" s="22">
        <f t="shared" si="39"/>
        <v>22965</v>
      </c>
      <c r="F87" s="11">
        <f>E87+5000</f>
        <v>27965</v>
      </c>
      <c r="G87" s="11">
        <f t="shared" ref="G87:K87" si="41">F87+5000</f>
        <v>32965</v>
      </c>
      <c r="H87" s="11">
        <f t="shared" si="41"/>
        <v>37965</v>
      </c>
      <c r="I87" s="11">
        <f t="shared" si="41"/>
        <v>42965</v>
      </c>
      <c r="J87" s="11">
        <f t="shared" si="41"/>
        <v>47965</v>
      </c>
      <c r="K87" s="11">
        <f t="shared" si="41"/>
        <v>52965</v>
      </c>
    </row>
    <row r="88" spans="2:12" ht="15" customHeight="1" x14ac:dyDescent="0.2">
      <c r="B88" t="s">
        <v>81</v>
      </c>
      <c r="C88" s="11">
        <f t="shared" si="37"/>
        <v>175.8</v>
      </c>
      <c r="D88" s="11">
        <f t="shared" si="38"/>
        <v>4925.3999999999996</v>
      </c>
      <c r="E88" s="22">
        <f t="shared" si="39"/>
        <v>13542.4</v>
      </c>
      <c r="F88" s="11">
        <f>E88+5000</f>
        <v>18542.400000000001</v>
      </c>
      <c r="G88" s="11">
        <f t="shared" ref="G88:K88" si="42">F88+5000</f>
        <v>23542.400000000001</v>
      </c>
      <c r="H88" s="11">
        <f t="shared" si="42"/>
        <v>28542.400000000001</v>
      </c>
      <c r="I88" s="11">
        <f t="shared" si="42"/>
        <v>33542.400000000001</v>
      </c>
      <c r="J88" s="11">
        <f t="shared" si="42"/>
        <v>38542.400000000001</v>
      </c>
      <c r="K88" s="11">
        <f t="shared" si="42"/>
        <v>43542.400000000001</v>
      </c>
    </row>
    <row r="89" spans="2:12" ht="15" customHeight="1" x14ac:dyDescent="0.2">
      <c r="B89" t="s">
        <v>64</v>
      </c>
      <c r="C89" s="11">
        <f t="shared" si="37"/>
        <v>7132.5</v>
      </c>
      <c r="D89" s="11">
        <f t="shared" si="38"/>
        <v>5253.5</v>
      </c>
      <c r="E89" s="22">
        <f t="shared" si="39"/>
        <v>4276</v>
      </c>
      <c r="F89" s="11">
        <f>E89-200</f>
        <v>4076</v>
      </c>
      <c r="G89" s="11">
        <f t="shared" ref="G89:K89" si="43">F89-200</f>
        <v>3876</v>
      </c>
      <c r="H89" s="11">
        <f t="shared" si="43"/>
        <v>3676</v>
      </c>
      <c r="I89" s="11">
        <f t="shared" si="43"/>
        <v>3476</v>
      </c>
      <c r="J89" s="11">
        <f t="shared" si="43"/>
        <v>3276</v>
      </c>
      <c r="K89" s="11">
        <f t="shared" si="43"/>
        <v>3076</v>
      </c>
    </row>
    <row r="90" spans="2:12" ht="15" customHeight="1" x14ac:dyDescent="0.2">
      <c r="B90" s="29" t="s">
        <v>100</v>
      </c>
      <c r="C90" s="11">
        <f t="shared" si="37"/>
        <v>0</v>
      </c>
      <c r="D90" s="11">
        <f t="shared" si="38"/>
        <v>0</v>
      </c>
      <c r="E90" s="22">
        <f t="shared" si="39"/>
        <v>0</v>
      </c>
      <c r="F90" s="11">
        <v>0</v>
      </c>
      <c r="G90" s="11">
        <v>500</v>
      </c>
      <c r="H90" s="11">
        <f>G90+5000</f>
        <v>5500</v>
      </c>
      <c r="I90" s="11">
        <f t="shared" ref="I90:K90" si="44">H90+5000</f>
        <v>10500</v>
      </c>
      <c r="J90" s="11">
        <f t="shared" si="44"/>
        <v>15500</v>
      </c>
      <c r="K90" s="11">
        <f t="shared" si="44"/>
        <v>20500</v>
      </c>
    </row>
    <row r="91" spans="2:12" ht="15" customHeight="1" x14ac:dyDescent="0.2">
      <c r="B91" s="29" t="s">
        <v>82</v>
      </c>
      <c r="C91" s="11">
        <f t="shared" si="37"/>
        <v>0</v>
      </c>
      <c r="D91" s="11">
        <f t="shared" si="38"/>
        <v>0</v>
      </c>
      <c r="E91" s="22">
        <f t="shared" si="39"/>
        <v>0</v>
      </c>
      <c r="F91" s="11">
        <f>500</f>
        <v>500</v>
      </c>
      <c r="G91" s="11">
        <f>F91+1000</f>
        <v>1500</v>
      </c>
      <c r="H91" s="11">
        <f t="shared" ref="H91:K91" si="45">G91+1000</f>
        <v>2500</v>
      </c>
      <c r="I91" s="11">
        <f t="shared" si="45"/>
        <v>3500</v>
      </c>
      <c r="J91" s="11">
        <f t="shared" si="45"/>
        <v>4500</v>
      </c>
      <c r="K91" s="11">
        <f t="shared" si="45"/>
        <v>5500</v>
      </c>
    </row>
    <row r="92" spans="2:12" ht="15" customHeight="1" x14ac:dyDescent="0.2">
      <c r="B92" t="s">
        <v>129</v>
      </c>
      <c r="C92" s="11">
        <f t="shared" si="37"/>
        <v>728.3</v>
      </c>
      <c r="D92" s="11">
        <f t="shared" si="38"/>
        <v>676.9</v>
      </c>
      <c r="E92" s="22">
        <f t="shared" si="39"/>
        <v>657.7</v>
      </c>
      <c r="F92" s="11">
        <v>591.93000000000006</v>
      </c>
      <c r="G92" s="11">
        <v>532.73700000000008</v>
      </c>
      <c r="H92" s="11">
        <v>479.46330000000006</v>
      </c>
      <c r="I92" s="11">
        <v>431.51697000000007</v>
      </c>
      <c r="J92" s="11">
        <v>388.36527300000006</v>
      </c>
      <c r="K92" s="11">
        <v>349.52874570000006</v>
      </c>
    </row>
    <row r="93" spans="2:12" ht="15" customHeight="1" x14ac:dyDescent="0.2">
      <c r="B93" t="s">
        <v>83</v>
      </c>
      <c r="C93" s="11">
        <f t="shared" si="37"/>
        <v>1663.2999999999997</v>
      </c>
      <c r="D93" s="11">
        <f t="shared" si="38"/>
        <v>2324.8000000000002</v>
      </c>
      <c r="E93" s="22">
        <f t="shared" si="39"/>
        <v>2233.5</v>
      </c>
      <c r="F93" s="11">
        <v>2121.8249999999998</v>
      </c>
      <c r="G93" s="11">
        <v>2015.7337499999996</v>
      </c>
      <c r="H93" s="11">
        <v>1914.9470624999997</v>
      </c>
      <c r="I93" s="11">
        <v>1819.1997093749997</v>
      </c>
      <c r="J93" s="11">
        <v>1728.2397239062495</v>
      </c>
      <c r="K93" s="11">
        <v>1641.8277377109371</v>
      </c>
    </row>
    <row r="94" spans="2:12" ht="15" customHeight="1" x14ac:dyDescent="0.2">
      <c r="B94" t="s">
        <v>130</v>
      </c>
      <c r="C94" s="11">
        <f t="shared" si="37"/>
        <v>852.10000000000014</v>
      </c>
      <c r="D94" s="11">
        <f t="shared" si="38"/>
        <v>917.2</v>
      </c>
      <c r="E94" s="22">
        <f t="shared" si="39"/>
        <v>805.3</v>
      </c>
      <c r="F94" s="11">
        <v>765.03499999999997</v>
      </c>
      <c r="G94" s="11">
        <v>726.78324999999995</v>
      </c>
      <c r="H94" s="11">
        <v>690.44408749999991</v>
      </c>
      <c r="I94" s="11">
        <v>655.92188312499991</v>
      </c>
      <c r="J94" s="11">
        <v>623.12578896874993</v>
      </c>
      <c r="K94" s="11">
        <v>591.96949952031241</v>
      </c>
    </row>
    <row r="95" spans="2:12" ht="15" customHeight="1" x14ac:dyDescent="0.2">
      <c r="B95" t="s">
        <v>63</v>
      </c>
      <c r="C95" s="11">
        <f t="shared" si="37"/>
        <v>2744.7</v>
      </c>
      <c r="D95" s="11">
        <f t="shared" si="38"/>
        <v>3814.5</v>
      </c>
      <c r="E95" s="22">
        <f t="shared" si="39"/>
        <v>3431</v>
      </c>
      <c r="F95" s="11">
        <v>4334.88</v>
      </c>
      <c r="G95" s="11">
        <v>4768.3680000000004</v>
      </c>
      <c r="H95" s="11">
        <v>5245.2048000000004</v>
      </c>
      <c r="I95" s="11">
        <v>5769.7252800000006</v>
      </c>
      <c r="J95" s="11">
        <v>576.97252800000012</v>
      </c>
      <c r="K95" s="11">
        <v>57.697252800000015</v>
      </c>
    </row>
    <row r="96" spans="2:12" x14ac:dyDescent="0.2">
      <c r="B96" s="30" t="s">
        <v>131</v>
      </c>
      <c r="C96" s="61">
        <f t="shared" si="37"/>
        <v>6081.5</v>
      </c>
      <c r="D96" s="61">
        <f t="shared" si="38"/>
        <v>8134.7</v>
      </c>
      <c r="E96" s="62">
        <f t="shared" si="39"/>
        <v>8965.4000000000015</v>
      </c>
      <c r="F96" s="61">
        <f>SUM(F97:F103)</f>
        <v>9295.0861999999979</v>
      </c>
      <c r="G96" s="61">
        <f t="shared" ref="G96:K96" si="46">SUM(G97:G103)</f>
        <v>9523.8690619999998</v>
      </c>
      <c r="H96" s="61">
        <f t="shared" si="46"/>
        <v>9824.6268776200013</v>
      </c>
      <c r="I96" s="61">
        <f t="shared" si="46"/>
        <v>10212.308068646198</v>
      </c>
      <c r="J96" s="61">
        <f t="shared" si="46"/>
        <v>3660.6567469583701</v>
      </c>
      <c r="K96" s="61">
        <f t="shared" si="46"/>
        <v>3070.2269726848999</v>
      </c>
    </row>
    <row r="97" spans="2:11" x14ac:dyDescent="0.2">
      <c r="B97" t="s">
        <v>67</v>
      </c>
      <c r="C97" s="11">
        <f t="shared" si="37"/>
        <v>3863.2999999999997</v>
      </c>
      <c r="D97" s="11">
        <f t="shared" si="38"/>
        <v>5306.5</v>
      </c>
      <c r="E97" s="22">
        <f t="shared" si="39"/>
        <v>5722.4</v>
      </c>
      <c r="F97" s="11">
        <v>5887.4111999999996</v>
      </c>
      <c r="G97" s="11">
        <v>5946.285312</v>
      </c>
      <c r="H97" s="11">
        <v>6005.7481651199996</v>
      </c>
      <c r="I97" s="11">
        <v>6065.8056467711995</v>
      </c>
      <c r="J97" s="11">
        <v>606.58056467711992</v>
      </c>
      <c r="K97" s="11">
        <v>60.658056467711994</v>
      </c>
    </row>
    <row r="98" spans="2:11" x14ac:dyDescent="0.2">
      <c r="B98" t="s">
        <v>133</v>
      </c>
      <c r="C98" s="11">
        <f t="shared" si="37"/>
        <v>974.80000000000007</v>
      </c>
      <c r="D98" s="11">
        <f t="shared" si="38"/>
        <v>973.4</v>
      </c>
      <c r="E98" s="22">
        <f t="shared" si="39"/>
        <v>982.7</v>
      </c>
      <c r="F98" s="11">
        <v>933.56500000000005</v>
      </c>
      <c r="G98" s="11">
        <v>886.88675000000001</v>
      </c>
      <c r="H98" s="11">
        <v>842.54241249999995</v>
      </c>
      <c r="I98" s="11">
        <v>800.41529187499987</v>
      </c>
      <c r="J98" s="11">
        <v>760.39452728124979</v>
      </c>
      <c r="K98" s="11">
        <v>722.37480091718726</v>
      </c>
    </row>
    <row r="99" spans="2:11" x14ac:dyDescent="0.2">
      <c r="B99" t="s">
        <v>134</v>
      </c>
      <c r="C99" s="11">
        <f t="shared" si="37"/>
        <v>596.5</v>
      </c>
      <c r="D99" s="11">
        <f t="shared" si="38"/>
        <v>627.4</v>
      </c>
      <c r="E99" s="22">
        <f t="shared" si="39"/>
        <v>706.3</v>
      </c>
      <c r="F99" s="11">
        <v>635.66999999999996</v>
      </c>
      <c r="G99" s="11">
        <v>572.10299999999995</v>
      </c>
      <c r="H99" s="11">
        <v>514.89269999999999</v>
      </c>
      <c r="I99" s="11">
        <v>463.40343000000001</v>
      </c>
      <c r="J99" s="11">
        <v>417.063087</v>
      </c>
      <c r="K99" s="11">
        <v>375.35677830000003</v>
      </c>
    </row>
    <row r="100" spans="2:11" x14ac:dyDescent="0.2">
      <c r="B100" t="s">
        <v>135</v>
      </c>
      <c r="C100" s="11">
        <f t="shared" si="37"/>
        <v>253.60000000000002</v>
      </c>
      <c r="D100" s="11">
        <f t="shared" si="38"/>
        <v>364.4</v>
      </c>
      <c r="E100" s="22">
        <f t="shared" si="39"/>
        <v>445.3</v>
      </c>
      <c r="F100" s="11">
        <v>578.89</v>
      </c>
      <c r="G100" s="11">
        <v>752.55700000000002</v>
      </c>
      <c r="H100" s="11">
        <v>978.32410000000004</v>
      </c>
      <c r="I100" s="11">
        <v>1271.82133</v>
      </c>
      <c r="J100" s="11">
        <v>127.18213300000001</v>
      </c>
      <c r="K100" s="11">
        <v>12.718213300000002</v>
      </c>
    </row>
    <row r="101" spans="2:11" x14ac:dyDescent="0.2">
      <c r="B101" t="s">
        <v>136</v>
      </c>
      <c r="C101" s="11">
        <f t="shared" si="37"/>
        <v>393.29999999999995</v>
      </c>
      <c r="D101" s="11">
        <f t="shared" si="38"/>
        <v>525.9</v>
      </c>
      <c r="E101" s="22">
        <f t="shared" si="39"/>
        <v>552.6</v>
      </c>
      <c r="F101" s="11">
        <v>497.34000000000003</v>
      </c>
      <c r="G101" s="11">
        <v>447.60600000000005</v>
      </c>
      <c r="H101" s="11">
        <v>402.84540000000004</v>
      </c>
      <c r="I101" s="11">
        <v>362.56086000000005</v>
      </c>
      <c r="J101" s="11">
        <v>326.30477400000007</v>
      </c>
      <c r="K101" s="11">
        <v>293.67429660000005</v>
      </c>
    </row>
    <row r="102" spans="2:11" x14ac:dyDescent="0.2">
      <c r="B102" t="s">
        <v>66</v>
      </c>
      <c r="C102" s="11">
        <f t="shared" si="37"/>
        <v>0</v>
      </c>
      <c r="D102" s="11">
        <f t="shared" si="38"/>
        <v>337.1</v>
      </c>
      <c r="E102" s="22">
        <f t="shared" si="39"/>
        <v>511.1</v>
      </c>
      <c r="F102" s="11">
        <v>562.21</v>
      </c>
      <c r="G102" s="11">
        <v>618.43100000000004</v>
      </c>
      <c r="H102" s="11">
        <v>680.27410000000009</v>
      </c>
      <c r="I102" s="11">
        <v>748.30151000000012</v>
      </c>
      <c r="J102" s="11">
        <v>823.13166100000024</v>
      </c>
      <c r="K102" s="11">
        <v>905.44482710000034</v>
      </c>
    </row>
    <row r="103" spans="2:11" x14ac:dyDescent="0.2">
      <c r="B103" t="s">
        <v>65</v>
      </c>
      <c r="C103" s="11">
        <f t="shared" si="37"/>
        <v>0</v>
      </c>
      <c r="D103" s="11">
        <f t="shared" si="38"/>
        <v>0</v>
      </c>
      <c r="E103" s="22">
        <f t="shared" si="39"/>
        <v>45</v>
      </c>
      <c r="F103" s="11">
        <v>200</v>
      </c>
      <c r="G103" s="11">
        <v>300</v>
      </c>
      <c r="H103" s="11">
        <v>400</v>
      </c>
      <c r="I103" s="11">
        <v>500</v>
      </c>
      <c r="J103" s="11">
        <v>600</v>
      </c>
      <c r="K103" s="11">
        <v>700</v>
      </c>
    </row>
    <row r="104" spans="2:11" x14ac:dyDescent="0.2">
      <c r="B104" s="30" t="s">
        <v>137</v>
      </c>
      <c r="C104" s="61">
        <f t="shared" si="37"/>
        <v>3682.3999999999996</v>
      </c>
      <c r="D104" s="61">
        <f t="shared" si="38"/>
        <v>4393</v>
      </c>
      <c r="E104" s="62">
        <f t="shared" si="39"/>
        <v>5241.6000000000004</v>
      </c>
      <c r="F104" s="61">
        <f>SUM(F105:F108)</f>
        <v>6353.4759999999987</v>
      </c>
      <c r="G104" s="61">
        <f t="shared" ref="G104:K104" si="47">SUM(G105:G108)</f>
        <v>7100.1825599999993</v>
      </c>
      <c r="H104" s="61">
        <f t="shared" si="47"/>
        <v>7717.8776856000004</v>
      </c>
      <c r="I104" s="61">
        <f t="shared" si="47"/>
        <v>8396.4190924560007</v>
      </c>
      <c r="J104" s="61">
        <f t="shared" si="47"/>
        <v>7897.8690852456002</v>
      </c>
      <c r="K104" s="61">
        <f t="shared" si="47"/>
        <v>8276.6643043245604</v>
      </c>
    </row>
    <row r="105" spans="2:11" x14ac:dyDescent="0.2">
      <c r="B105" t="s">
        <v>68</v>
      </c>
      <c r="C105" s="11">
        <f t="shared" si="37"/>
        <v>0</v>
      </c>
      <c r="D105" s="11">
        <f t="shared" si="38"/>
        <v>42.7</v>
      </c>
      <c r="E105" s="22">
        <f t="shared" si="39"/>
        <v>406.20000000000005</v>
      </c>
      <c r="F105" s="11">
        <v>446.82000000000011</v>
      </c>
      <c r="G105" s="11">
        <v>491.50200000000018</v>
      </c>
      <c r="H105" s="11">
        <v>540.65220000000022</v>
      </c>
      <c r="I105" s="11">
        <v>594.71742000000029</v>
      </c>
      <c r="J105" s="11">
        <v>654.18916200000035</v>
      </c>
      <c r="K105" s="11">
        <v>719.60807820000048</v>
      </c>
    </row>
    <row r="106" spans="2:11" x14ac:dyDescent="0.2">
      <c r="B106" t="s">
        <v>140</v>
      </c>
      <c r="C106" s="11">
        <f t="shared" si="37"/>
        <v>922.7</v>
      </c>
      <c r="D106" s="11">
        <f t="shared" si="38"/>
        <v>957.50000000000011</v>
      </c>
      <c r="E106" s="22">
        <f t="shared" si="39"/>
        <v>1005.6</v>
      </c>
      <c r="F106" s="11">
        <v>1015.6560000000001</v>
      </c>
      <c r="G106" s="11">
        <v>1025.8125600000001</v>
      </c>
      <c r="H106" s="11">
        <v>1036.0706856000002</v>
      </c>
      <c r="I106" s="11">
        <v>1046.4313924560001</v>
      </c>
      <c r="J106" s="11">
        <v>104.64313924560003</v>
      </c>
      <c r="K106" s="11">
        <v>10.464313924560003</v>
      </c>
    </row>
    <row r="107" spans="2:11" x14ac:dyDescent="0.2">
      <c r="B107" t="s">
        <v>69</v>
      </c>
      <c r="C107" s="11">
        <f t="shared" si="37"/>
        <v>0</v>
      </c>
      <c r="D107" s="11">
        <f t="shared" si="38"/>
        <v>132.4</v>
      </c>
      <c r="E107" s="22">
        <f t="shared" si="39"/>
        <v>266.8</v>
      </c>
      <c r="F107" s="11">
        <v>506.92</v>
      </c>
      <c r="G107" s="11">
        <v>760.38</v>
      </c>
      <c r="H107" s="11">
        <v>836.41800000000001</v>
      </c>
      <c r="I107" s="11">
        <v>920.05980000000011</v>
      </c>
      <c r="J107" s="11">
        <v>1012.0657800000002</v>
      </c>
      <c r="K107" s="11">
        <v>1113.2723580000004</v>
      </c>
    </row>
    <row r="108" spans="2:11" x14ac:dyDescent="0.2">
      <c r="B108" t="s">
        <v>70</v>
      </c>
      <c r="C108" s="11">
        <f t="shared" si="37"/>
        <v>2759.7000000000003</v>
      </c>
      <c r="D108" s="11">
        <f t="shared" si="38"/>
        <v>3260.4</v>
      </c>
      <c r="E108" s="22">
        <f t="shared" si="39"/>
        <v>3563</v>
      </c>
      <c r="F108" s="11">
        <v>4384.079999999999</v>
      </c>
      <c r="G108" s="11">
        <v>4822.4879999999994</v>
      </c>
      <c r="H108" s="11">
        <v>5304.7367999999997</v>
      </c>
      <c r="I108" s="11">
        <v>5835.2104799999997</v>
      </c>
      <c r="J108" s="11">
        <v>6126.971004</v>
      </c>
      <c r="K108" s="11">
        <v>6433.3195542000003</v>
      </c>
    </row>
    <row r="109" spans="2:11" x14ac:dyDescent="0.2">
      <c r="B109" s="30" t="s">
        <v>138</v>
      </c>
      <c r="C109" s="61">
        <f t="shared" si="37"/>
        <v>678.2</v>
      </c>
      <c r="D109" s="61">
        <f t="shared" si="38"/>
        <v>879.7</v>
      </c>
      <c r="E109" s="62">
        <f t="shared" si="39"/>
        <v>1012.08</v>
      </c>
      <c r="F109" s="61">
        <f>SUM(F110:F112)</f>
        <v>3043.4318000000003</v>
      </c>
      <c r="G109" s="61">
        <f t="shared" ref="G109:K109" si="48">SUM(G110:G112)</f>
        <v>3077.2202180000004</v>
      </c>
      <c r="H109" s="61">
        <f t="shared" si="48"/>
        <v>3113.6819301800001</v>
      </c>
      <c r="I109" s="61">
        <f t="shared" si="48"/>
        <v>3153.0772104818002</v>
      </c>
      <c r="J109" s="61">
        <f t="shared" si="48"/>
        <v>3195.6922896866181</v>
      </c>
      <c r="K109" s="61">
        <f t="shared" si="48"/>
        <v>3241.8419503934847</v>
      </c>
    </row>
    <row r="110" spans="2:11" x14ac:dyDescent="0.2">
      <c r="B110" t="s">
        <v>139</v>
      </c>
      <c r="C110" s="11">
        <f t="shared" si="37"/>
        <v>678.2</v>
      </c>
      <c r="D110" s="11">
        <f t="shared" si="38"/>
        <v>870.40000000000009</v>
      </c>
      <c r="E110" s="22">
        <f t="shared" si="39"/>
        <v>776.18000000000006</v>
      </c>
      <c r="F110" s="11">
        <v>783.94180000000006</v>
      </c>
      <c r="G110" s="11">
        <v>791.78121800000008</v>
      </c>
      <c r="H110" s="11">
        <v>799.69903018000014</v>
      </c>
      <c r="I110" s="11">
        <v>807.69602048180013</v>
      </c>
      <c r="J110" s="11">
        <v>815.7729806866181</v>
      </c>
      <c r="K110" s="11">
        <v>823.9307104934843</v>
      </c>
    </row>
    <row r="111" spans="2:11" x14ac:dyDescent="0.2">
      <c r="B111" t="s">
        <v>71</v>
      </c>
      <c r="C111" s="11">
        <f t="shared" si="37"/>
        <v>0</v>
      </c>
      <c r="D111" s="11">
        <f t="shared" si="38"/>
        <v>9.3000000000000007</v>
      </c>
      <c r="E111" s="22">
        <f t="shared" si="39"/>
        <v>235.9</v>
      </c>
      <c r="F111" s="11">
        <v>259.49</v>
      </c>
      <c r="G111" s="11">
        <v>285.43900000000002</v>
      </c>
      <c r="H111" s="11">
        <v>313.98290000000003</v>
      </c>
      <c r="I111" s="11">
        <v>345.38119000000006</v>
      </c>
      <c r="J111" s="11">
        <v>379.91930900000011</v>
      </c>
      <c r="K111" s="11">
        <v>417.91123990000017</v>
      </c>
    </row>
    <row r="112" spans="2:11" x14ac:dyDescent="0.2">
      <c r="B112" s="57" t="s">
        <v>179</v>
      </c>
      <c r="C112" s="11">
        <f t="shared" si="37"/>
        <v>5222.2</v>
      </c>
      <c r="D112" s="11">
        <f t="shared" si="38"/>
        <v>2182.9999999999991</v>
      </c>
      <c r="E112" s="22">
        <f t="shared" si="39"/>
        <v>2049.5199999999986</v>
      </c>
      <c r="F112" s="11">
        <f>2000</f>
        <v>2000</v>
      </c>
      <c r="G112" s="11">
        <f>2000</f>
        <v>2000</v>
      </c>
      <c r="H112" s="11">
        <f>2000</f>
        <v>2000</v>
      </c>
      <c r="I112" s="11">
        <f>2000</f>
        <v>2000</v>
      </c>
      <c r="J112" s="11">
        <f>2000</f>
        <v>2000</v>
      </c>
      <c r="K112" s="11">
        <f>2000</f>
        <v>2000</v>
      </c>
    </row>
    <row r="113" spans="2:91" x14ac:dyDescent="0.2">
      <c r="B113" s="5" t="s">
        <v>85</v>
      </c>
      <c r="C113" s="61">
        <f t="shared" ref="C113:K113" si="49">SUM(C86:C112)</f>
        <v>63025.999999999993</v>
      </c>
      <c r="D113" s="61">
        <f t="shared" si="49"/>
        <v>87902.399999999965</v>
      </c>
      <c r="E113" s="62">
        <f t="shared" si="49"/>
        <v>128309.48000000003</v>
      </c>
      <c r="F113" s="61">
        <f t="shared" si="49"/>
        <v>155178.128</v>
      </c>
      <c r="G113" s="61">
        <f t="shared" si="49"/>
        <v>180256.58768000003</v>
      </c>
      <c r="H113" s="61">
        <f t="shared" si="49"/>
        <v>214339.29148680001</v>
      </c>
      <c r="I113" s="61">
        <f t="shared" si="49"/>
        <v>248843.13642816799</v>
      </c>
      <c r="J113" s="61">
        <f t="shared" si="49"/>
        <v>255708.64287153116</v>
      </c>
      <c r="K113" s="61">
        <f t="shared" si="49"/>
        <v>285626.31292626826</v>
      </c>
    </row>
    <row r="114" spans="2:91" x14ac:dyDescent="0.2">
      <c r="B114" t="s">
        <v>32</v>
      </c>
      <c r="C114" s="11">
        <f t="shared" ref="C114:C123" si="50">SUM(C34:F34)</f>
        <v>7082.2000000000007</v>
      </c>
      <c r="D114" s="11">
        <f t="shared" ref="D114:D123" si="51">SUM(G34:J34)</f>
        <v>8418.2999999999993</v>
      </c>
      <c r="E114" s="22">
        <f t="shared" ref="E114:E123" si="52">SUM(K34:N34)</f>
        <v>11052.8</v>
      </c>
      <c r="F114" s="11">
        <f t="shared" ref="F114:K114" si="53">F113*(1-P48)</f>
        <v>29208.236774245299</v>
      </c>
      <c r="G114" s="11">
        <f t="shared" si="53"/>
        <v>180256.58768000003</v>
      </c>
      <c r="H114" s="11">
        <f t="shared" si="53"/>
        <v>214339.29148680001</v>
      </c>
      <c r="I114" s="11">
        <f t="shared" si="53"/>
        <v>248843.13642816799</v>
      </c>
      <c r="J114" s="11">
        <f t="shared" si="53"/>
        <v>255708.64287153116</v>
      </c>
      <c r="K114" s="11">
        <f t="shared" si="53"/>
        <v>285626.31292626826</v>
      </c>
    </row>
    <row r="115" spans="2:91" x14ac:dyDescent="0.2">
      <c r="B115" s="5" t="s">
        <v>58</v>
      </c>
      <c r="C115" s="61">
        <f t="shared" si="50"/>
        <v>27041.9</v>
      </c>
      <c r="D115" s="61">
        <f t="shared" si="51"/>
        <v>36624.399999999994</v>
      </c>
      <c r="E115" s="62">
        <f t="shared" si="52"/>
        <v>54126.7</v>
      </c>
      <c r="F115" s="61">
        <f>F113*($P$48)</f>
        <v>125969.89122575471</v>
      </c>
      <c r="G115" s="61">
        <f t="shared" ref="G115:K115" si="54">G113*($P$48)</f>
        <v>146327.98471944008</v>
      </c>
      <c r="H115" s="61">
        <f t="shared" si="54"/>
        <v>173995.50814272955</v>
      </c>
      <c r="I115" s="61">
        <f t="shared" si="54"/>
        <v>202004.90386204401</v>
      </c>
      <c r="J115" s="61">
        <f t="shared" si="54"/>
        <v>207578.15771570679</v>
      </c>
      <c r="K115" s="61">
        <f t="shared" si="54"/>
        <v>231864.60639952679</v>
      </c>
    </row>
    <row r="116" spans="2:91" x14ac:dyDescent="0.2">
      <c r="B116" t="s">
        <v>33</v>
      </c>
      <c r="C116" s="11">
        <f t="shared" si="50"/>
        <v>9313.4000000000015</v>
      </c>
      <c r="D116" s="11">
        <f t="shared" si="51"/>
        <v>10990.6</v>
      </c>
      <c r="E116" s="22">
        <f t="shared" si="52"/>
        <v>13337.3</v>
      </c>
      <c r="F116" s="11">
        <f>F115*$P$49</f>
        <v>27256.461484551783</v>
      </c>
      <c r="G116" s="11">
        <f t="shared" ref="G116:K116" si="55">G115*$P$49</f>
        <v>31661.399726620311</v>
      </c>
      <c r="H116" s="11">
        <f t="shared" si="55"/>
        <v>37647.899986498625</v>
      </c>
      <c r="I116" s="11">
        <f t="shared" si="55"/>
        <v>43708.372121549408</v>
      </c>
      <c r="J116" s="11">
        <f t="shared" si="55"/>
        <v>44914.272813594558</v>
      </c>
      <c r="K116" s="11">
        <f t="shared" si="55"/>
        <v>50169.200373710955</v>
      </c>
    </row>
    <row r="117" spans="2:91" x14ac:dyDescent="0.2">
      <c r="B117" t="s">
        <v>34</v>
      </c>
      <c r="C117" s="11">
        <f t="shared" si="50"/>
        <v>7403.1</v>
      </c>
      <c r="D117" s="11">
        <f t="shared" si="51"/>
        <v>8593.7999999999993</v>
      </c>
      <c r="E117" s="22">
        <f t="shared" si="52"/>
        <v>11093.1</v>
      </c>
      <c r="F117" s="11">
        <f>F115*$P$50</f>
        <v>22783.606266574054</v>
      </c>
      <c r="G117" s="11">
        <f t="shared" ref="G117:K117" si="56">G115*$P$50</f>
        <v>26465.682848405697</v>
      </c>
      <c r="H117" s="11">
        <f t="shared" si="56"/>
        <v>31469.783065637315</v>
      </c>
      <c r="I117" s="11">
        <f t="shared" si="56"/>
        <v>36535.71618365412</v>
      </c>
      <c r="J117" s="11">
        <f t="shared" si="56"/>
        <v>37543.725480081601</v>
      </c>
      <c r="K117" s="11">
        <f t="shared" si="56"/>
        <v>41936.305953409668</v>
      </c>
    </row>
    <row r="118" spans="2:91" x14ac:dyDescent="0.2">
      <c r="B118" t="s">
        <v>35</v>
      </c>
      <c r="C118" s="11">
        <f t="shared" si="50"/>
        <v>3799.7999999999997</v>
      </c>
      <c r="D118" s="11">
        <f t="shared" si="51"/>
        <v>3280.4</v>
      </c>
      <c r="E118" s="22">
        <f t="shared" si="52"/>
        <v>2909.5</v>
      </c>
      <c r="F118" s="11">
        <f>F115*$P$51</f>
        <v>4534.9782071163081</v>
      </c>
      <c r="G118" s="11">
        <f t="shared" ref="G118:K118" si="57">G115*$P$51</f>
        <v>5267.8796126342622</v>
      </c>
      <c r="H118" s="11">
        <f t="shared" si="57"/>
        <v>6263.9241003177203</v>
      </c>
      <c r="I118" s="11">
        <f t="shared" si="57"/>
        <v>7272.2761592549441</v>
      </c>
      <c r="J118" s="11">
        <f t="shared" si="57"/>
        <v>7472.91604647841</v>
      </c>
      <c r="K118" s="11">
        <f t="shared" si="57"/>
        <v>8347.2401761388028</v>
      </c>
    </row>
    <row r="119" spans="2:91" x14ac:dyDescent="0.2">
      <c r="B119" t="s">
        <v>36</v>
      </c>
      <c r="C119" s="11">
        <f t="shared" si="50"/>
        <v>67.7</v>
      </c>
      <c r="D119" s="11">
        <f t="shared" si="51"/>
        <v>860.6</v>
      </c>
      <c r="E119" s="22">
        <f t="shared" si="52"/>
        <v>484</v>
      </c>
      <c r="F119" s="11">
        <f>SUM(O39:R39)</f>
        <v>279</v>
      </c>
      <c r="G119" s="11">
        <f>AVERAGE(C119:F119)</f>
        <v>422.82500000000005</v>
      </c>
      <c r="H119" s="11">
        <f t="shared" ref="H119:K119" si="58">AVERAGE(D119:G119)</f>
        <v>511.60624999999999</v>
      </c>
      <c r="I119" s="11">
        <f t="shared" si="58"/>
        <v>424.35781250000002</v>
      </c>
      <c r="J119" s="11">
        <f t="shared" si="58"/>
        <v>409.447265625</v>
      </c>
      <c r="K119" s="11">
        <f t="shared" si="58"/>
        <v>442.05908203125</v>
      </c>
    </row>
    <row r="120" spans="2:91" x14ac:dyDescent="0.2">
      <c r="B120" t="s">
        <v>37</v>
      </c>
      <c r="C120" s="11">
        <f t="shared" si="50"/>
        <v>145.29999999999998</v>
      </c>
      <c r="D120" s="11">
        <f t="shared" si="51"/>
        <v>218.7</v>
      </c>
      <c r="E120" s="22">
        <f t="shared" si="52"/>
        <v>571</v>
      </c>
      <c r="F120" s="11">
        <f>SUM(O40:R40)</f>
        <v>65</v>
      </c>
      <c r="G120" s="11">
        <f>AVERAGE(C120:F120)</f>
        <v>250</v>
      </c>
      <c r="H120" s="11">
        <f t="shared" ref="H120" si="59">AVERAGE(D120:G120)</f>
        <v>276.17500000000001</v>
      </c>
      <c r="I120" s="11">
        <f t="shared" ref="I120" si="60">AVERAGE(E120:H120)</f>
        <v>290.54374999999999</v>
      </c>
      <c r="J120" s="11">
        <f t="shared" ref="J120" si="61">AVERAGE(F120:I120)</f>
        <v>220.4296875</v>
      </c>
      <c r="K120" s="11">
        <f t="shared" ref="K120" si="62">AVERAGE(G120:J120)</f>
        <v>259.287109375</v>
      </c>
    </row>
    <row r="121" spans="2:91" x14ac:dyDescent="0.2">
      <c r="B121" t="s">
        <v>38</v>
      </c>
      <c r="C121" s="11">
        <f t="shared" si="50"/>
        <v>6312.6</v>
      </c>
      <c r="D121" s="11">
        <f t="shared" si="51"/>
        <v>12680.3</v>
      </c>
      <c r="E121" s="22">
        <f t="shared" si="52"/>
        <v>25731.800000000003</v>
      </c>
      <c r="F121" s="11">
        <f>F115-SUM(F116:F120)</f>
        <v>71050.845267512559</v>
      </c>
      <c r="G121" s="11">
        <f t="shared" ref="G121:K121" si="63">G115-SUM(G116:G120)</f>
        <v>82260.197531779806</v>
      </c>
      <c r="H121" s="11">
        <f t="shared" si="63"/>
        <v>97826.119740275899</v>
      </c>
      <c r="I121" s="11">
        <f t="shared" si="63"/>
        <v>113773.63783508552</v>
      </c>
      <c r="J121" s="11">
        <f t="shared" si="63"/>
        <v>117017.36642242724</v>
      </c>
      <c r="K121" s="11">
        <f t="shared" si="63"/>
        <v>130710.51370486112</v>
      </c>
      <c r="M121" s="50" t="s">
        <v>87</v>
      </c>
      <c r="N121" s="51">
        <v>0.01</v>
      </c>
    </row>
    <row r="122" spans="2:91" x14ac:dyDescent="0.2">
      <c r="B122" t="s">
        <v>39</v>
      </c>
      <c r="C122" s="11">
        <f t="shared" si="50"/>
        <v>1314.2</v>
      </c>
      <c r="D122" s="11">
        <f t="shared" si="51"/>
        <v>2090.4</v>
      </c>
      <c r="E122" s="22">
        <f t="shared" si="52"/>
        <v>5091.3</v>
      </c>
      <c r="F122" s="11">
        <f>F121*0.25</f>
        <v>17762.71131687814</v>
      </c>
      <c r="G122" s="11">
        <f t="shared" ref="G122:K122" si="64">G121*0.25</f>
        <v>20565.049382944952</v>
      </c>
      <c r="H122" s="11">
        <f t="shared" si="64"/>
        <v>24456.529935068975</v>
      </c>
      <c r="I122" s="11">
        <f t="shared" si="64"/>
        <v>28443.409458771381</v>
      </c>
      <c r="J122" s="11">
        <f t="shared" si="64"/>
        <v>29254.341605606809</v>
      </c>
      <c r="K122" s="11">
        <f t="shared" si="64"/>
        <v>32677.62842621528</v>
      </c>
      <c r="M122" s="52" t="s">
        <v>86</v>
      </c>
      <c r="N122" s="53">
        <v>0.08</v>
      </c>
    </row>
    <row r="123" spans="2:91" x14ac:dyDescent="0.2">
      <c r="B123" s="5" t="s">
        <v>20</v>
      </c>
      <c r="C123" s="61">
        <f t="shared" si="50"/>
        <v>4998.4000000000005</v>
      </c>
      <c r="D123" s="61">
        <f t="shared" si="51"/>
        <v>10589.899999999998</v>
      </c>
      <c r="E123" s="62">
        <f t="shared" si="52"/>
        <v>20640.5</v>
      </c>
      <c r="F123" s="61">
        <f>F121-F122</f>
        <v>53288.133950634423</v>
      </c>
      <c r="G123" s="61">
        <f t="shared" ref="G123:K123" si="65">G121-G122</f>
        <v>61695.148148834851</v>
      </c>
      <c r="H123" s="61">
        <f t="shared" si="65"/>
        <v>73369.589805206924</v>
      </c>
      <c r="I123" s="61">
        <f t="shared" si="65"/>
        <v>85330.228376314146</v>
      </c>
      <c r="J123" s="61">
        <f t="shared" si="65"/>
        <v>87763.024816820427</v>
      </c>
      <c r="K123" s="61">
        <f t="shared" si="65"/>
        <v>98032.885278645845</v>
      </c>
      <c r="L123" s="3"/>
      <c r="M123" s="52" t="s">
        <v>88</v>
      </c>
      <c r="N123" s="54">
        <f>K123*(1+N121)/(N122-N121)</f>
        <v>1414474.4875918899</v>
      </c>
    </row>
    <row r="124" spans="2:91" x14ac:dyDescent="0.2">
      <c r="B124" t="s">
        <v>40</v>
      </c>
      <c r="C124" s="3">
        <f>C123/C125</f>
        <v>5.5428460536164792</v>
      </c>
      <c r="D124" s="3">
        <f t="shared" ref="D124:K124" si="66">D123/D125</f>
        <v>11.711252419131874</v>
      </c>
      <c r="E124" s="18">
        <f t="shared" si="66"/>
        <v>22.951740242410764</v>
      </c>
      <c r="F124" s="3">
        <f t="shared" si="66"/>
        <v>59.480002177290352</v>
      </c>
      <c r="G124" s="3">
        <f t="shared" si="66"/>
        <v>68.706663120257076</v>
      </c>
      <c r="H124" s="3">
        <f t="shared" si="66"/>
        <v>81.707878840923129</v>
      </c>
      <c r="I124" s="3">
        <f t="shared" si="66"/>
        <v>95.027817112661225</v>
      </c>
      <c r="J124" s="3">
        <f t="shared" si="66"/>
        <v>97.737095402662092</v>
      </c>
      <c r="K124" s="3">
        <f t="shared" si="66"/>
        <v>109.17410243181229</v>
      </c>
      <c r="M124" s="52" t="s">
        <v>5</v>
      </c>
      <c r="N124" s="19">
        <f>Main!B4</f>
        <v>895.9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</row>
    <row r="125" spans="2:91" x14ac:dyDescent="0.2">
      <c r="B125" t="s">
        <v>5</v>
      </c>
      <c r="C125" s="14">
        <f>AVERAGE(C45:F45)</f>
        <v>901.77499999999998</v>
      </c>
      <c r="D125" s="14">
        <f>AVERAGE(G45:J45)</f>
        <v>904.25</v>
      </c>
      <c r="E125" s="23">
        <f>AVERAGE(K45:N45)</f>
        <v>899.3</v>
      </c>
      <c r="F125" s="14">
        <f>AVERAGE(O45:R45)</f>
        <v>895.9</v>
      </c>
      <c r="G125" s="14">
        <v>897.95</v>
      </c>
      <c r="H125" s="14">
        <v>897.95</v>
      </c>
      <c r="I125" s="14">
        <v>897.95</v>
      </c>
      <c r="J125" s="14">
        <v>897.95</v>
      </c>
      <c r="K125" s="14">
        <v>897.95</v>
      </c>
      <c r="M125" s="55" t="s">
        <v>89</v>
      </c>
      <c r="N125" s="63">
        <f>N123/N124</f>
        <v>1578.830770835908</v>
      </c>
    </row>
    <row r="133" spans="17:18" x14ac:dyDescent="0.2">
      <c r="Q133" s="60"/>
      <c r="R133" s="60"/>
    </row>
    <row r="134" spans="17:18" x14ac:dyDescent="0.2">
      <c r="Q134" s="60"/>
      <c r="R134" s="60"/>
    </row>
    <row r="135" spans="17:18" x14ac:dyDescent="0.2">
      <c r="Q135" s="60"/>
      <c r="R135" s="60"/>
    </row>
    <row r="136" spans="17:18" x14ac:dyDescent="0.2">
      <c r="Q136" s="60"/>
      <c r="R136" s="60"/>
    </row>
    <row r="137" spans="17:18" x14ac:dyDescent="0.2">
      <c r="Q137" s="60"/>
      <c r="R137" s="60"/>
    </row>
    <row r="138" spans="17:18" x14ac:dyDescent="0.2">
      <c r="Q138" s="60"/>
      <c r="R138" s="60"/>
    </row>
    <row r="139" spans="17:18" x14ac:dyDescent="0.2">
      <c r="Q139" s="60"/>
      <c r="R139" s="60"/>
    </row>
    <row r="140" spans="17:18" x14ac:dyDescent="0.2">
      <c r="Q140" s="60"/>
      <c r="R140" s="60"/>
    </row>
    <row r="141" spans="17:18" x14ac:dyDescent="0.2">
      <c r="Q141" s="60"/>
      <c r="R141" s="60"/>
    </row>
    <row r="142" spans="17:18" x14ac:dyDescent="0.2">
      <c r="Q142" s="60"/>
      <c r="R142" s="60"/>
    </row>
    <row r="143" spans="17:18" x14ac:dyDescent="0.2">
      <c r="Q143" s="60"/>
      <c r="R143" s="60"/>
    </row>
    <row r="144" spans="17:18" x14ac:dyDescent="0.2">
      <c r="Q144" s="60"/>
      <c r="R144" s="60"/>
    </row>
    <row r="145" spans="17:18" x14ac:dyDescent="0.2">
      <c r="Q145" s="60"/>
      <c r="R145" s="60"/>
    </row>
    <row r="146" spans="17:18" x14ac:dyDescent="0.2">
      <c r="Q146" s="60"/>
      <c r="R146" s="60"/>
    </row>
    <row r="147" spans="17:18" x14ac:dyDescent="0.2">
      <c r="Q147" s="60"/>
      <c r="R147" s="60"/>
    </row>
    <row r="148" spans="17:18" x14ac:dyDescent="0.2">
      <c r="Q148" s="60"/>
      <c r="R148" s="60"/>
    </row>
    <row r="149" spans="17:18" x14ac:dyDescent="0.2">
      <c r="Q149" s="60"/>
      <c r="R149" s="60"/>
    </row>
    <row r="150" spans="17:18" x14ac:dyDescent="0.2">
      <c r="Q150" s="60"/>
      <c r="R150" s="60"/>
    </row>
    <row r="151" spans="17:18" x14ac:dyDescent="0.2">
      <c r="Q151" s="60"/>
      <c r="R151" s="60"/>
    </row>
    <row r="152" spans="17:18" x14ac:dyDescent="0.2">
      <c r="Q152" s="60"/>
      <c r="R152" s="60"/>
    </row>
    <row r="153" spans="17:18" x14ac:dyDescent="0.2">
      <c r="Q153" s="60"/>
      <c r="R153" s="60"/>
    </row>
    <row r="154" spans="17:18" x14ac:dyDescent="0.2">
      <c r="Q154" s="60"/>
      <c r="R154" s="60"/>
    </row>
    <row r="155" spans="17:18" x14ac:dyDescent="0.2">
      <c r="Q155" s="60"/>
      <c r="R155" s="60"/>
    </row>
    <row r="156" spans="17:18" x14ac:dyDescent="0.2">
      <c r="Q156" s="60"/>
      <c r="R156" s="60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C2C3-61A4-604B-9B27-349A7F74AD9C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80</v>
      </c>
    </row>
    <row r="3" spans="2:3" x14ac:dyDescent="0.2">
      <c r="B3" s="5" t="s">
        <v>96</v>
      </c>
      <c r="C3" t="s">
        <v>97</v>
      </c>
    </row>
    <row r="4" spans="2:3" x14ac:dyDescent="0.2">
      <c r="B4" s="5" t="s">
        <v>91</v>
      </c>
      <c r="C4" t="s">
        <v>98</v>
      </c>
    </row>
    <row r="5" spans="2:3" x14ac:dyDescent="0.2">
      <c r="B5" s="5" t="s">
        <v>99</v>
      </c>
      <c r="C5" t="s">
        <v>169</v>
      </c>
    </row>
    <row r="6" spans="2:3" x14ac:dyDescent="0.2">
      <c r="B6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C398-D8CE-024E-9926-8443BA028628}">
  <dimension ref="B2:C6"/>
  <sheetViews>
    <sheetView zoomScale="130" zoomScaleNormal="130" workbookViewId="0">
      <selection activeCell="C5" sqref="C5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81</v>
      </c>
    </row>
    <row r="3" spans="2:3" x14ac:dyDescent="0.2">
      <c r="B3" s="5" t="s">
        <v>96</v>
      </c>
      <c r="C3" t="s">
        <v>167</v>
      </c>
    </row>
    <row r="4" spans="2:3" x14ac:dyDescent="0.2">
      <c r="B4" s="5" t="s">
        <v>91</v>
      </c>
      <c r="C4" t="s">
        <v>168</v>
      </c>
    </row>
    <row r="5" spans="2:3" x14ac:dyDescent="0.2">
      <c r="B5" s="5" t="s">
        <v>99</v>
      </c>
      <c r="C5" t="s">
        <v>169</v>
      </c>
    </row>
    <row r="6" spans="2:3" x14ac:dyDescent="0.2">
      <c r="B6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0D6B5-CB98-2D45-AD55-3F68546ACC09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64</v>
      </c>
    </row>
    <row r="3" spans="2:3" x14ac:dyDescent="0.2">
      <c r="B3" s="5" t="s">
        <v>96</v>
      </c>
      <c r="C3" t="s">
        <v>105</v>
      </c>
    </row>
    <row r="4" spans="2:3" x14ac:dyDescent="0.2">
      <c r="B4" s="5" t="s">
        <v>91</v>
      </c>
      <c r="C4" t="s">
        <v>104</v>
      </c>
    </row>
    <row r="5" spans="2:3" x14ac:dyDescent="0.2">
      <c r="B5" s="5" t="s">
        <v>99</v>
      </c>
      <c r="C5" t="s">
        <v>106</v>
      </c>
    </row>
    <row r="6" spans="2:3" x14ac:dyDescent="0.2">
      <c r="B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19EB6-3318-0648-826D-DF67A437D65F}">
  <sheetPr>
    <tabColor theme="4" tint="0.79998168889431442"/>
  </sheetPr>
  <dimension ref="B2:C5"/>
  <sheetViews>
    <sheetView zoomScale="130" zoomScaleNormal="130" workbookViewId="0">
      <selection activeCell="C12" sqref="C12"/>
    </sheetView>
  </sheetViews>
  <sheetFormatPr baseColWidth="10" defaultColWidth="11" defaultRowHeight="16" x14ac:dyDescent="0.2"/>
  <cols>
    <col min="2" max="2" width="11.5" customWidth="1"/>
    <col min="3" max="3" width="39.5" customWidth="1"/>
  </cols>
  <sheetData>
    <row r="2" spans="2:3" x14ac:dyDescent="0.2">
      <c r="B2" s="5" t="s">
        <v>95</v>
      </c>
      <c r="C2" t="s">
        <v>177</v>
      </c>
    </row>
    <row r="3" spans="2:3" x14ac:dyDescent="0.2">
      <c r="B3" s="5" t="s">
        <v>96</v>
      </c>
      <c r="C3" t="s">
        <v>100</v>
      </c>
    </row>
    <row r="4" spans="2:3" x14ac:dyDescent="0.2">
      <c r="B4" s="5" t="s">
        <v>91</v>
      </c>
      <c r="C4" t="s">
        <v>166</v>
      </c>
    </row>
    <row r="5" spans="2:3" x14ac:dyDescent="0.2">
      <c r="B5" s="5" t="s">
        <v>99</v>
      </c>
      <c r="C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4E7DD-E7DB-4B4E-B4EE-1F7B76515044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6" bestFit="1" customWidth="1"/>
  </cols>
  <sheetData>
    <row r="2" spans="2:3" x14ac:dyDescent="0.2">
      <c r="B2" s="5" t="s">
        <v>95</v>
      </c>
      <c r="C2" t="s">
        <v>82</v>
      </c>
    </row>
    <row r="3" spans="2:3" x14ac:dyDescent="0.2">
      <c r="B3" s="5" t="s">
        <v>96</v>
      </c>
      <c r="C3" t="s">
        <v>126</v>
      </c>
    </row>
    <row r="4" spans="2:3" x14ac:dyDescent="0.2">
      <c r="B4" s="5" t="s">
        <v>91</v>
      </c>
      <c r="C4" t="s">
        <v>170</v>
      </c>
    </row>
    <row r="5" spans="2:3" x14ac:dyDescent="0.2">
      <c r="B5" s="5" t="s">
        <v>99</v>
      </c>
      <c r="C5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DD7D-6B57-AF48-A826-43749FB9823A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129</v>
      </c>
    </row>
    <row r="3" spans="2:3" x14ac:dyDescent="0.2">
      <c r="B3" s="5" t="s">
        <v>96</v>
      </c>
      <c r="C3" t="s">
        <v>142</v>
      </c>
    </row>
    <row r="4" spans="2:3" x14ac:dyDescent="0.2">
      <c r="B4" s="5" t="s">
        <v>91</v>
      </c>
      <c r="C4" t="s">
        <v>143</v>
      </c>
    </row>
    <row r="5" spans="2:3" x14ac:dyDescent="0.2">
      <c r="B5" s="5" t="s">
        <v>99</v>
      </c>
      <c r="C5" t="s"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4755-AC93-B145-9E0E-902DA5ECD2ED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83</v>
      </c>
    </row>
    <row r="3" spans="2:3" x14ac:dyDescent="0.2">
      <c r="B3" s="5" t="s">
        <v>96</v>
      </c>
      <c r="C3" t="s">
        <v>125</v>
      </c>
    </row>
    <row r="4" spans="2:3" x14ac:dyDescent="0.2">
      <c r="B4" s="5" t="s">
        <v>91</v>
      </c>
      <c r="C4" t="s">
        <v>143</v>
      </c>
    </row>
    <row r="5" spans="2:3" x14ac:dyDescent="0.2">
      <c r="B5" s="5" t="s">
        <v>99</v>
      </c>
      <c r="C5" t="s">
        <v>172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AA71F-283D-A84C-A745-ACFF3EB09014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141</v>
      </c>
    </row>
    <row r="3" spans="2:3" x14ac:dyDescent="0.2">
      <c r="B3" s="5" t="s">
        <v>96</v>
      </c>
      <c r="C3" t="s">
        <v>145</v>
      </c>
    </row>
    <row r="4" spans="2:3" x14ac:dyDescent="0.2">
      <c r="B4" s="5" t="s">
        <v>91</v>
      </c>
      <c r="C4" t="s">
        <v>143</v>
      </c>
    </row>
    <row r="5" spans="2:3" x14ac:dyDescent="0.2">
      <c r="B5" s="5" t="s">
        <v>99</v>
      </c>
      <c r="C5" t="s">
        <v>146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D8715-4322-124E-AD47-057ED0FEA06D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63</v>
      </c>
    </row>
    <row r="3" spans="2:3" x14ac:dyDescent="0.2">
      <c r="B3" s="5" t="s">
        <v>96</v>
      </c>
      <c r="C3" t="s">
        <v>107</v>
      </c>
    </row>
    <row r="4" spans="2:3" x14ac:dyDescent="0.2">
      <c r="B4" s="5" t="s">
        <v>91</v>
      </c>
      <c r="C4" t="s">
        <v>108</v>
      </c>
    </row>
    <row r="5" spans="2:3" x14ac:dyDescent="0.2">
      <c r="B5" s="5" t="s">
        <v>99</v>
      </c>
      <c r="C5" t="s">
        <v>109</v>
      </c>
    </row>
    <row r="6" spans="2:3" x14ac:dyDescent="0.2">
      <c r="B6" s="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ED2D-2973-D343-B078-3FE5FF5654B7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67</v>
      </c>
    </row>
    <row r="3" spans="2:3" x14ac:dyDescent="0.2">
      <c r="B3" s="5" t="s">
        <v>96</v>
      </c>
      <c r="C3" t="s">
        <v>103</v>
      </c>
    </row>
    <row r="4" spans="2:3" x14ac:dyDescent="0.2">
      <c r="B4" s="5" t="s">
        <v>91</v>
      </c>
      <c r="C4" t="s">
        <v>102</v>
      </c>
    </row>
    <row r="5" spans="2:3" x14ac:dyDescent="0.2">
      <c r="B5" s="5" t="s">
        <v>99</v>
      </c>
      <c r="C5" t="s">
        <v>101</v>
      </c>
    </row>
    <row r="6" spans="2:3" x14ac:dyDescent="0.2">
      <c r="B6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6A10E-2CE9-C44A-BA05-CEC3F6A7B9B4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133</v>
      </c>
    </row>
    <row r="3" spans="2:3" x14ac:dyDescent="0.2">
      <c r="B3" s="5" t="s">
        <v>96</v>
      </c>
      <c r="C3" t="s">
        <v>147</v>
      </c>
    </row>
    <row r="4" spans="2:3" x14ac:dyDescent="0.2">
      <c r="B4" s="5" t="s">
        <v>91</v>
      </c>
      <c r="C4" t="s">
        <v>148</v>
      </c>
    </row>
    <row r="5" spans="2:3" x14ac:dyDescent="0.2">
      <c r="B5" s="5" t="s">
        <v>99</v>
      </c>
      <c r="C5" t="s">
        <v>149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921E-ABAD-664F-9F04-2F94181335E8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134</v>
      </c>
    </row>
    <row r="3" spans="2:3" x14ac:dyDescent="0.2">
      <c r="B3" s="5" t="s">
        <v>96</v>
      </c>
      <c r="C3" t="s">
        <v>150</v>
      </c>
    </row>
    <row r="4" spans="2:3" x14ac:dyDescent="0.2">
      <c r="B4" s="5" t="s">
        <v>91</v>
      </c>
      <c r="C4" t="s">
        <v>151</v>
      </c>
    </row>
    <row r="5" spans="2:3" x14ac:dyDescent="0.2">
      <c r="B5" s="5" t="s">
        <v>99</v>
      </c>
      <c r="C5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54DB0-2A38-CC43-AFB6-A4D15B1D16A6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135</v>
      </c>
    </row>
    <row r="3" spans="2:3" x14ac:dyDescent="0.2">
      <c r="B3" s="5" t="s">
        <v>96</v>
      </c>
      <c r="C3" t="s">
        <v>153</v>
      </c>
    </row>
    <row r="4" spans="2:3" x14ac:dyDescent="0.2">
      <c r="B4" s="5" t="s">
        <v>91</v>
      </c>
      <c r="C4" t="s">
        <v>154</v>
      </c>
    </row>
    <row r="5" spans="2:3" x14ac:dyDescent="0.2">
      <c r="B5" s="5" t="s">
        <v>99</v>
      </c>
      <c r="C5" t="s">
        <v>155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13BAB-A367-E247-9734-F5A507896F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136</v>
      </c>
    </row>
    <row r="3" spans="2:3" x14ac:dyDescent="0.2">
      <c r="B3" s="5" t="s">
        <v>96</v>
      </c>
      <c r="C3" t="s">
        <v>162</v>
      </c>
    </row>
    <row r="4" spans="2:3" x14ac:dyDescent="0.2">
      <c r="B4" s="5" t="s">
        <v>91</v>
      </c>
      <c r="C4" t="s">
        <v>163</v>
      </c>
    </row>
    <row r="5" spans="2:3" x14ac:dyDescent="0.2">
      <c r="B5" s="5" t="s">
        <v>99</v>
      </c>
      <c r="C5" t="s">
        <v>164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E589F-D302-9A4C-AA5D-AB6E3600497C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66</v>
      </c>
    </row>
    <row r="3" spans="2:3" x14ac:dyDescent="0.2">
      <c r="B3" s="5" t="s">
        <v>96</v>
      </c>
      <c r="C3" t="s">
        <v>117</v>
      </c>
    </row>
    <row r="4" spans="2:3" x14ac:dyDescent="0.2">
      <c r="B4" s="5" t="s">
        <v>91</v>
      </c>
      <c r="C4" t="s">
        <v>118</v>
      </c>
    </row>
    <row r="5" spans="2:3" x14ac:dyDescent="0.2">
      <c r="B5" s="5" t="s">
        <v>99</v>
      </c>
      <c r="C5" t="s">
        <v>119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7D7D5-0456-3948-91A3-88A754874038}">
  <dimension ref="B2:C5"/>
  <sheetViews>
    <sheetView zoomScale="130" zoomScaleNormal="130" workbookViewId="0">
      <selection activeCell="C3" sqref="C3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65</v>
      </c>
    </row>
    <row r="3" spans="2:3" x14ac:dyDescent="0.2">
      <c r="B3" s="5" t="s">
        <v>96</v>
      </c>
      <c r="C3" t="s">
        <v>120</v>
      </c>
    </row>
    <row r="4" spans="2:3" x14ac:dyDescent="0.2">
      <c r="B4" s="5" t="s">
        <v>91</v>
      </c>
      <c r="C4" t="s">
        <v>102</v>
      </c>
    </row>
    <row r="5" spans="2:3" x14ac:dyDescent="0.2">
      <c r="B5" s="5" t="s">
        <v>99</v>
      </c>
      <c r="C5" t="s">
        <v>121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FC247-8CC8-FC41-B2F1-DFF196B2E853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5" t="s">
        <v>95</v>
      </c>
      <c r="C2" t="s">
        <v>68</v>
      </c>
    </row>
    <row r="3" spans="2:3" x14ac:dyDescent="0.2">
      <c r="B3" s="5" t="s">
        <v>96</v>
      </c>
      <c r="C3" t="s">
        <v>110</v>
      </c>
    </row>
    <row r="4" spans="2:3" x14ac:dyDescent="0.2">
      <c r="B4" s="5" t="s">
        <v>91</v>
      </c>
      <c r="C4" t="s">
        <v>111</v>
      </c>
    </row>
    <row r="5" spans="2:3" x14ac:dyDescent="0.2">
      <c r="B5" s="5" t="s">
        <v>99</v>
      </c>
      <c r="C5" t="s">
        <v>112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26D4-837A-7D4E-800F-AD80A82B8628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46.6640625" customWidth="1"/>
  </cols>
  <sheetData>
    <row r="2" spans="2:3" x14ac:dyDescent="0.2">
      <c r="B2" s="5" t="s">
        <v>95</v>
      </c>
      <c r="C2" t="s">
        <v>140</v>
      </c>
    </row>
    <row r="3" spans="2:3" x14ac:dyDescent="0.2">
      <c r="B3" s="5" t="s">
        <v>96</v>
      </c>
      <c r="C3" t="s">
        <v>156</v>
      </c>
    </row>
    <row r="4" spans="2:3" x14ac:dyDescent="0.2">
      <c r="B4" s="5" t="s">
        <v>91</v>
      </c>
      <c r="C4" t="s">
        <v>157</v>
      </c>
    </row>
    <row r="5" spans="2:3" x14ac:dyDescent="0.2">
      <c r="B5" s="5" t="s">
        <v>99</v>
      </c>
      <c r="C5" t="s">
        <v>158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648-63EE-E146-A556-824FD11B725A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30.6640625" customWidth="1"/>
  </cols>
  <sheetData>
    <row r="2" spans="2:3" x14ac:dyDescent="0.2">
      <c r="B2" s="5" t="s">
        <v>95</v>
      </c>
      <c r="C2" t="s">
        <v>69</v>
      </c>
    </row>
    <row r="3" spans="2:3" x14ac:dyDescent="0.2">
      <c r="B3" s="5" t="s">
        <v>96</v>
      </c>
      <c r="C3" t="s">
        <v>115</v>
      </c>
    </row>
    <row r="4" spans="2:3" x14ac:dyDescent="0.2">
      <c r="B4" s="5" t="s">
        <v>91</v>
      </c>
      <c r="C4" t="s">
        <v>128</v>
      </c>
    </row>
    <row r="5" spans="2:3" x14ac:dyDescent="0.2">
      <c r="B5" s="5" t="s">
        <v>99</v>
      </c>
      <c r="C5" t="s">
        <v>116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B9B4-8F4E-5D4B-B1A5-8E4FDB848678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5" t="s">
        <v>95</v>
      </c>
      <c r="C2" t="s">
        <v>70</v>
      </c>
    </row>
    <row r="3" spans="2:3" x14ac:dyDescent="0.2">
      <c r="B3" s="5" t="s">
        <v>96</v>
      </c>
      <c r="C3" t="s">
        <v>122</v>
      </c>
    </row>
    <row r="4" spans="2:3" x14ac:dyDescent="0.2">
      <c r="B4" s="5" t="s">
        <v>91</v>
      </c>
      <c r="C4" t="s">
        <v>123</v>
      </c>
    </row>
    <row r="5" spans="2:3" x14ac:dyDescent="0.2">
      <c r="B5" s="5" t="s">
        <v>99</v>
      </c>
      <c r="C5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C926-7D51-7843-BABD-6B4598F8197F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46.6640625" customWidth="1"/>
  </cols>
  <sheetData>
    <row r="2" spans="2:3" x14ac:dyDescent="0.2">
      <c r="B2" s="5" t="s">
        <v>95</v>
      </c>
      <c r="C2" t="s">
        <v>139</v>
      </c>
    </row>
    <row r="3" spans="2:3" x14ac:dyDescent="0.2">
      <c r="B3" s="5" t="s">
        <v>96</v>
      </c>
      <c r="C3" t="s">
        <v>159</v>
      </c>
    </row>
    <row r="4" spans="2:3" x14ac:dyDescent="0.2">
      <c r="B4" s="5" t="s">
        <v>91</v>
      </c>
      <c r="C4" t="s">
        <v>160</v>
      </c>
    </row>
    <row r="5" spans="2:3" x14ac:dyDescent="0.2">
      <c r="B5" s="5" t="s">
        <v>99</v>
      </c>
      <c r="C5" t="s">
        <v>161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5818-12E3-D249-AF08-D73D6ACD578B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5" t="s">
        <v>95</v>
      </c>
      <c r="C2" t="s">
        <v>71</v>
      </c>
    </row>
    <row r="3" spans="2:3" x14ac:dyDescent="0.2">
      <c r="B3" s="5" t="s">
        <v>96</v>
      </c>
      <c r="C3" t="s">
        <v>113</v>
      </c>
    </row>
    <row r="4" spans="2:3" x14ac:dyDescent="0.2">
      <c r="B4" s="5" t="s">
        <v>91</v>
      </c>
      <c r="C4" t="s">
        <v>127</v>
      </c>
    </row>
    <row r="5" spans="2:3" x14ac:dyDescent="0.2">
      <c r="B5" s="5" t="s">
        <v>99</v>
      </c>
      <c r="C5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Heier</dc:creator>
  <cp:lastModifiedBy>Sam Heier</cp:lastModifiedBy>
  <dcterms:created xsi:type="dcterms:W3CDTF">2026-05-18T21:29:55Z</dcterms:created>
  <dcterms:modified xsi:type="dcterms:W3CDTF">2026-07-14T02:28:31Z</dcterms:modified>
</cp:coreProperties>
</file>
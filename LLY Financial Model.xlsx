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omments1.xml" ContentType="application/vnd.openxmlformats-officedocument.spreadsheetml.comments+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10"/>
  <workbookPr defaultThemeVersion="202300"/>
  <mc:AlternateContent xmlns:mc="http://schemas.openxmlformats.org/markup-compatibility/2006">
    <mc:Choice Requires="x15">
      <x15ac:absPath xmlns:x15ac="http://schemas.microsoft.com/office/spreadsheetml/2010/11/ac" url="https://d.docs.live.net/1031d5e88fe9b877/Stock Analysis/"/>
    </mc:Choice>
  </mc:AlternateContent>
  <xr:revisionPtr revIDLastSave="4471" documentId="8_{BA4F067A-B4AC-0C4C-9520-83A481740934}" xr6:coauthVersionLast="47" xr6:coauthVersionMax="47" xr10:uidLastSave="{48AC5742-DB8E-0E4F-AF90-1857601503BD}"/>
  <bookViews>
    <workbookView xWindow="20" yWindow="520" windowWidth="15760" windowHeight="16120" activeTab="1" xr2:uid="{9EA498D1-7DC0-ED4B-AD68-4170B24C29C4}"/>
  </bookViews>
  <sheets>
    <sheet name="Main" sheetId="1" r:id="rId1"/>
    <sheet name="Model" sheetId="3" r:id="rId2"/>
    <sheet name="Mounjaro" sheetId="5" r:id="rId3"/>
    <sheet name="Zepbound" sheetId="6" r:id="rId4"/>
    <sheet name="Trulicity" sheetId="9" r:id="rId5"/>
    <sheet name="Retatrutide" sheetId="10" r:id="rId6"/>
    <sheet name="Foundayo" sheetId="18" r:id="rId7"/>
    <sheet name="Basaglar" sheetId="19" r:id="rId8"/>
    <sheet name="Humalog" sheetId="17" r:id="rId9"/>
    <sheet name="Humulin" sheetId="20" r:id="rId10"/>
    <sheet name="Jardiance" sheetId="7" r:id="rId11"/>
    <sheet name="Verzenio" sheetId="8" r:id="rId12"/>
    <sheet name="Cyramza" sheetId="21" r:id="rId13"/>
    <sheet name="Erbitux" sheetId="24" r:id="rId14"/>
    <sheet name="Retevmo" sheetId="25" r:id="rId15"/>
    <sheet name="Tyvyt" sheetId="26" r:id="rId16"/>
    <sheet name="Jaypirca" sheetId="14" r:id="rId17"/>
    <sheet name="Inluriyo" sheetId="15" r:id="rId18"/>
    <sheet name="Ebglyss" sheetId="11" r:id="rId19"/>
    <sheet name="Olumiant" sheetId="22" r:id="rId20"/>
    <sheet name="Omvoh" sheetId="13" r:id="rId21"/>
    <sheet name="Taltz" sheetId="16" r:id="rId22"/>
    <sheet name="Emgality" sheetId="23" r:id="rId23"/>
    <sheet name="Kisunla" sheetId="12" r:id="rId24"/>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Q14" i="3" l="1"/>
  <c r="P14" i="3"/>
  <c r="H23" i="1"/>
  <c r="H20" i="1"/>
  <c r="H15" i="1"/>
  <c r="H14" i="1"/>
  <c r="H13" i="1"/>
  <c r="H10" i="1"/>
  <c r="H8" i="1"/>
  <c r="F24" i="1"/>
  <c r="E24" i="1"/>
  <c r="F23" i="1"/>
  <c r="E23" i="1"/>
  <c r="F22" i="1"/>
  <c r="E22" i="1"/>
  <c r="F21" i="1"/>
  <c r="E21" i="1"/>
  <c r="F20" i="1"/>
  <c r="E20" i="1"/>
  <c r="F19" i="1"/>
  <c r="E19" i="1"/>
  <c r="F18" i="1"/>
  <c r="E18" i="1"/>
  <c r="F17" i="1"/>
  <c r="E17" i="1"/>
  <c r="F16" i="1"/>
  <c r="E16" i="1"/>
  <c r="F15" i="1"/>
  <c r="E15" i="1"/>
  <c r="F14" i="1"/>
  <c r="E14" i="1"/>
  <c r="F13" i="1"/>
  <c r="E13" i="1"/>
  <c r="F12" i="1"/>
  <c r="E12" i="1"/>
  <c r="F11" i="1"/>
  <c r="E11" i="1"/>
  <c r="F10" i="1"/>
  <c r="E10" i="1"/>
  <c r="F9" i="1"/>
  <c r="E9" i="1"/>
  <c r="F8" i="1"/>
  <c r="E8" i="1"/>
  <c r="F7" i="1"/>
  <c r="E7" i="1"/>
  <c r="F6" i="1"/>
  <c r="E6" i="1"/>
  <c r="F5" i="1"/>
  <c r="E5" i="1"/>
  <c r="F4" i="1"/>
  <c r="E4" i="1"/>
  <c r="F3" i="1"/>
  <c r="E3" i="1"/>
  <c r="P31" i="3"/>
  <c r="C31" i="3"/>
  <c r="D31" i="3"/>
  <c r="E31" i="3"/>
  <c r="F31" i="3"/>
  <c r="G31" i="3"/>
  <c r="H31" i="3"/>
  <c r="I31" i="3"/>
  <c r="J31" i="3"/>
  <c r="K31" i="3"/>
  <c r="L31" i="3"/>
  <c r="M31" i="3"/>
  <c r="N31" i="3"/>
  <c r="O31" i="3"/>
  <c r="P5" i="3"/>
  <c r="Q5" i="3"/>
  <c r="R5" i="3"/>
  <c r="S5" i="3"/>
  <c r="T5" i="3"/>
  <c r="U5" i="3"/>
  <c r="V5" i="3"/>
  <c r="W5" i="3"/>
  <c r="X5" i="3"/>
  <c r="Y5" i="3"/>
  <c r="Z5" i="3"/>
  <c r="AA5" i="3"/>
  <c r="AB5" i="3"/>
  <c r="AC5" i="3"/>
  <c r="AD5" i="3"/>
  <c r="AE5" i="3"/>
  <c r="AF5" i="3"/>
  <c r="AG5" i="3"/>
  <c r="AH5" i="3"/>
  <c r="AI5" i="3"/>
  <c r="AJ5" i="3"/>
  <c r="AK5" i="3"/>
  <c r="AL5" i="3"/>
  <c r="P15" i="3"/>
  <c r="Q15" i="3"/>
  <c r="R15" i="3"/>
  <c r="S15" i="3"/>
  <c r="T15" i="3"/>
  <c r="U15" i="3"/>
  <c r="V15" i="3"/>
  <c r="W15" i="3"/>
  <c r="X15" i="3"/>
  <c r="Y15" i="3"/>
  <c r="Z15" i="3"/>
  <c r="AA15" i="3"/>
  <c r="AB15" i="3"/>
  <c r="AC15" i="3"/>
  <c r="AD15" i="3"/>
  <c r="AE15" i="3"/>
  <c r="AF15" i="3"/>
  <c r="AG15" i="3"/>
  <c r="AH15" i="3"/>
  <c r="AI15" i="3"/>
  <c r="AJ15" i="3"/>
  <c r="AK15" i="3"/>
  <c r="AL15" i="3"/>
  <c r="Q28" i="3"/>
  <c r="R28" i="3"/>
  <c r="S28" i="3"/>
  <c r="T28" i="3"/>
  <c r="U28" i="3"/>
  <c r="V28" i="3"/>
  <c r="W28" i="3"/>
  <c r="X28" i="3"/>
  <c r="Y28" i="3"/>
  <c r="Z28" i="3"/>
  <c r="AA28" i="3"/>
  <c r="AB28" i="3"/>
  <c r="AC28" i="3"/>
  <c r="AD28" i="3"/>
  <c r="AE28" i="3"/>
  <c r="AF28" i="3"/>
  <c r="AG28" i="3"/>
  <c r="AH28" i="3"/>
  <c r="AI28" i="3"/>
  <c r="AJ28" i="3"/>
  <c r="AK28" i="3"/>
  <c r="AL28" i="3"/>
  <c r="P23" i="3"/>
  <c r="Q23" i="3"/>
  <c r="R23" i="3"/>
  <c r="S23" i="3"/>
  <c r="T23" i="3"/>
  <c r="U23" i="3"/>
  <c r="V23" i="3"/>
  <c r="W23" i="3"/>
  <c r="X23" i="3"/>
  <c r="Y23" i="3"/>
  <c r="Z23" i="3"/>
  <c r="AA23" i="3"/>
  <c r="AB23" i="3"/>
  <c r="AC23" i="3"/>
  <c r="AD23" i="3"/>
  <c r="AE23" i="3"/>
  <c r="AF23" i="3"/>
  <c r="AG23" i="3"/>
  <c r="AH23" i="3"/>
  <c r="AI23" i="3"/>
  <c r="AJ23" i="3"/>
  <c r="AK23" i="3"/>
  <c r="AL23" i="3"/>
  <c r="O28" i="3"/>
  <c r="P28" i="3"/>
  <c r="P30" i="3"/>
  <c r="P29" i="3"/>
  <c r="P27" i="3"/>
  <c r="P26" i="3"/>
  <c r="P24" i="3"/>
  <c r="P25" i="3"/>
  <c r="O25" i="3"/>
  <c r="P22" i="3"/>
  <c r="P21" i="3"/>
  <c r="P20" i="3"/>
  <c r="P19" i="3"/>
  <c r="P18" i="3"/>
  <c r="P17" i="3"/>
  <c r="N17" i="3"/>
  <c r="O17" i="3"/>
  <c r="P16" i="3"/>
  <c r="P13" i="3"/>
  <c r="P12" i="3"/>
  <c r="P11" i="3"/>
  <c r="P8" i="3"/>
  <c r="P7" i="3"/>
  <c r="P6" i="3"/>
  <c r="D28" i="3" l="1"/>
  <c r="E28" i="3"/>
  <c r="F28" i="3"/>
  <c r="G28" i="3"/>
  <c r="H28" i="3"/>
  <c r="I28" i="3"/>
  <c r="J28" i="3"/>
  <c r="K28" i="3"/>
  <c r="L28" i="3"/>
  <c r="M28" i="3"/>
  <c r="C28" i="3"/>
  <c r="D23" i="3"/>
  <c r="E23" i="3"/>
  <c r="F23" i="3"/>
  <c r="G23" i="3"/>
  <c r="H23" i="3"/>
  <c r="I23" i="3"/>
  <c r="J23" i="3"/>
  <c r="K23" i="3"/>
  <c r="L23" i="3"/>
  <c r="M23" i="3"/>
  <c r="C23" i="3"/>
  <c r="M5" i="3"/>
  <c r="L5" i="3"/>
  <c r="K5" i="3"/>
  <c r="J5" i="3"/>
  <c r="I5" i="3"/>
  <c r="H5" i="3"/>
  <c r="G5" i="3"/>
  <c r="E5" i="3"/>
  <c r="D5" i="3"/>
  <c r="C5" i="3"/>
  <c r="N12" i="3"/>
  <c r="O12" i="3" s="1"/>
  <c r="D15" i="3"/>
  <c r="E15" i="3"/>
  <c r="G15" i="3"/>
  <c r="H15" i="3"/>
  <c r="I15" i="3"/>
  <c r="J15" i="3"/>
  <c r="K15" i="3"/>
  <c r="C15" i="3"/>
  <c r="O29" i="3"/>
  <c r="N29" i="3"/>
  <c r="N28" i="3" s="1"/>
  <c r="O23" i="3"/>
  <c r="N25" i="3"/>
  <c r="O20" i="3"/>
  <c r="N20" i="3"/>
  <c r="N19" i="3"/>
  <c r="O19" i="3" s="1"/>
  <c r="O18" i="3"/>
  <c r="N18" i="3"/>
  <c r="F18" i="3"/>
  <c r="F15" i="3" s="1"/>
  <c r="O13" i="3"/>
  <c r="N13" i="3"/>
  <c r="F13" i="3"/>
  <c r="O11" i="3"/>
  <c r="O5" i="3" s="1"/>
  <c r="N11" i="3"/>
  <c r="F11" i="3"/>
  <c r="N22" i="3"/>
  <c r="M22" i="3" s="1"/>
  <c r="L22" i="3" s="1"/>
  <c r="L15" i="3" s="1"/>
  <c r="N21" i="3"/>
  <c r="N26" i="3"/>
  <c r="N30" i="3"/>
  <c r="N24" i="3"/>
  <c r="F5" i="3" l="1"/>
  <c r="O15" i="3"/>
  <c r="N15" i="3"/>
  <c r="M15" i="3"/>
  <c r="N27" i="3" l="1"/>
  <c r="N23" i="3" s="1"/>
  <c r="N14" i="3"/>
  <c r="N8" i="3"/>
  <c r="N5" i="3" s="1"/>
  <c r="G62" i="3"/>
  <c r="H62" i="3"/>
  <c r="I62" i="3"/>
  <c r="J62" i="3"/>
  <c r="K62" i="3"/>
  <c r="G63" i="3"/>
  <c r="H63" i="3"/>
  <c r="I63" i="3"/>
  <c r="J63" i="3"/>
  <c r="K63" i="3"/>
  <c r="G67" i="3"/>
  <c r="H67" i="3"/>
  <c r="I67" i="3"/>
  <c r="J67" i="3"/>
  <c r="K67" i="3"/>
  <c r="G64" i="3"/>
  <c r="H64" i="3"/>
  <c r="I64" i="3"/>
  <c r="J64" i="3"/>
  <c r="K64" i="3"/>
  <c r="G68" i="3"/>
  <c r="H68" i="3"/>
  <c r="I68" i="3"/>
  <c r="J68" i="3"/>
  <c r="K68" i="3"/>
  <c r="G69" i="3"/>
  <c r="H69" i="3"/>
  <c r="I69" i="3"/>
  <c r="J69" i="3"/>
  <c r="K69" i="3"/>
  <c r="G70" i="3"/>
  <c r="H70" i="3"/>
  <c r="I70" i="3"/>
  <c r="J70" i="3"/>
  <c r="K70" i="3"/>
  <c r="G71" i="3"/>
  <c r="H71" i="3"/>
  <c r="I71" i="3"/>
  <c r="J71" i="3"/>
  <c r="K71" i="3"/>
  <c r="G72" i="3"/>
  <c r="H72" i="3"/>
  <c r="I72" i="3"/>
  <c r="J72" i="3"/>
  <c r="K72" i="3"/>
  <c r="G73" i="3"/>
  <c r="H73" i="3"/>
  <c r="I73" i="3"/>
  <c r="J73" i="3"/>
  <c r="K73" i="3"/>
  <c r="G74" i="3"/>
  <c r="H74" i="3"/>
  <c r="I74" i="3"/>
  <c r="J74" i="3"/>
  <c r="K74" i="3"/>
  <c r="G75" i="3"/>
  <c r="H75" i="3"/>
  <c r="I75" i="3"/>
  <c r="J75" i="3"/>
  <c r="K75" i="3"/>
  <c r="G76" i="3"/>
  <c r="H76" i="3"/>
  <c r="I76" i="3"/>
  <c r="J76" i="3"/>
  <c r="K76" i="3"/>
  <c r="D83" i="3"/>
  <c r="E83" i="3"/>
  <c r="K95" i="3"/>
  <c r="J95" i="3"/>
  <c r="I95" i="3"/>
  <c r="H95" i="3"/>
  <c r="G95" i="3"/>
  <c r="F95" i="3"/>
  <c r="G89" i="3"/>
  <c r="H89" i="3"/>
  <c r="I89" i="3"/>
  <c r="J89" i="3"/>
  <c r="K89" i="3"/>
  <c r="G90" i="3"/>
  <c r="H90" i="3"/>
  <c r="I90" i="3"/>
  <c r="J90" i="3"/>
  <c r="K90" i="3"/>
  <c r="E84" i="3"/>
  <c r="P41" i="3"/>
  <c r="F89" i="3" s="1"/>
  <c r="P42" i="3"/>
  <c r="F90" i="3" s="1"/>
  <c r="Q35" i="3"/>
  <c r="U35" i="3" s="1"/>
  <c r="Y35" i="3" s="1"/>
  <c r="R35" i="3"/>
  <c r="R37" i="3" s="1"/>
  <c r="R36" i="3" s="1"/>
  <c r="S35" i="3"/>
  <c r="S37" i="3" s="1"/>
  <c r="S36" i="3" s="1"/>
  <c r="E95" i="3"/>
  <c r="D95" i="3"/>
  <c r="C95" i="3"/>
  <c r="C84" i="3"/>
  <c r="D84" i="3"/>
  <c r="C86" i="3"/>
  <c r="D86" i="3"/>
  <c r="E86" i="3"/>
  <c r="C87" i="3"/>
  <c r="D87" i="3"/>
  <c r="E87" i="3"/>
  <c r="C88" i="3"/>
  <c r="D88" i="3"/>
  <c r="E88" i="3"/>
  <c r="C89" i="3"/>
  <c r="D89" i="3"/>
  <c r="E89" i="3"/>
  <c r="C90" i="3"/>
  <c r="D90" i="3"/>
  <c r="E90" i="3"/>
  <c r="C92" i="3"/>
  <c r="D92" i="3"/>
  <c r="E92" i="3"/>
  <c r="C83" i="3"/>
  <c r="H49" i="3"/>
  <c r="I49" i="3"/>
  <c r="J49" i="3"/>
  <c r="K49" i="3"/>
  <c r="L49" i="3"/>
  <c r="M49" i="3"/>
  <c r="N49" i="3"/>
  <c r="O49" i="3"/>
  <c r="G49" i="3"/>
  <c r="C37" i="3"/>
  <c r="C43" i="3" s="1"/>
  <c r="C45" i="3" s="1"/>
  <c r="C46" i="3" s="1"/>
  <c r="D37" i="3"/>
  <c r="D43" i="3" s="1"/>
  <c r="D45" i="3" s="1"/>
  <c r="D46" i="3" s="1"/>
  <c r="E37" i="3"/>
  <c r="E43" i="3" s="1"/>
  <c r="E45" i="3" s="1"/>
  <c r="E46" i="3" s="1"/>
  <c r="F37" i="3"/>
  <c r="F43" i="3" s="1"/>
  <c r="F45" i="3" s="1"/>
  <c r="F46" i="3" s="1"/>
  <c r="G37" i="3"/>
  <c r="G43" i="3" s="1"/>
  <c r="G45" i="3" s="1"/>
  <c r="I37" i="3"/>
  <c r="I43" i="3" s="1"/>
  <c r="I45" i="3" s="1"/>
  <c r="I46" i="3" s="1"/>
  <c r="J37" i="3"/>
  <c r="J43" i="3" s="1"/>
  <c r="J45" i="3" s="1"/>
  <c r="J46" i="3" s="1"/>
  <c r="K37" i="3"/>
  <c r="K43" i="3" s="1"/>
  <c r="K45" i="3" s="1"/>
  <c r="K46" i="3" s="1"/>
  <c r="L37" i="3"/>
  <c r="L43" i="3" s="1"/>
  <c r="L54" i="3" s="1"/>
  <c r="M37" i="3"/>
  <c r="M43" i="3" s="1"/>
  <c r="M54" i="3" s="1"/>
  <c r="N37" i="3"/>
  <c r="N43" i="3" s="1"/>
  <c r="N54" i="3" s="1"/>
  <c r="O37" i="3"/>
  <c r="O43" i="3" s="1"/>
  <c r="O54" i="3" s="1"/>
  <c r="H37" i="3"/>
  <c r="H43" i="3" s="1"/>
  <c r="H45" i="3" s="1"/>
  <c r="H46" i="3" s="1"/>
  <c r="B6" i="1"/>
  <c r="B4" i="1" a="1"/>
  <c r="B4" i="1" s="1"/>
  <c r="B7" i="1" s="1"/>
  <c r="B3" i="1" a="1"/>
  <c r="B3" i="1" s="1"/>
  <c r="N94" i="3" s="1"/>
  <c r="B2" i="1" a="1"/>
  <c r="B2" i="1" s="1"/>
  <c r="N52" i="3" l="1"/>
  <c r="S39" i="3"/>
  <c r="O52" i="3"/>
  <c r="P52" i="3" s="1"/>
  <c r="O51" i="3"/>
  <c r="P51" i="3" s="1"/>
  <c r="Q51" i="3" s="1"/>
  <c r="R51" i="3" s="1"/>
  <c r="S51" i="3" s="1"/>
  <c r="N51" i="3"/>
  <c r="H54" i="3"/>
  <c r="E51" i="3"/>
  <c r="E52" i="3"/>
  <c r="C54" i="3"/>
  <c r="D51" i="3"/>
  <c r="L51" i="3"/>
  <c r="L52" i="3"/>
  <c r="G54" i="3"/>
  <c r="D52" i="3"/>
  <c r="L53" i="3"/>
  <c r="M52" i="3"/>
  <c r="G51" i="3"/>
  <c r="G52" i="3"/>
  <c r="F54" i="3"/>
  <c r="D53" i="3"/>
  <c r="M51" i="3"/>
  <c r="F51" i="3"/>
  <c r="F52" i="3"/>
  <c r="S40" i="3"/>
  <c r="E54" i="3"/>
  <c r="J53" i="3"/>
  <c r="H51" i="3"/>
  <c r="C52" i="3"/>
  <c r="H52" i="3"/>
  <c r="M53" i="3"/>
  <c r="E53" i="3"/>
  <c r="I54" i="3"/>
  <c r="I53" i="3"/>
  <c r="Q37" i="3"/>
  <c r="K51" i="3"/>
  <c r="K52" i="3"/>
  <c r="C53" i="3"/>
  <c r="H53" i="3"/>
  <c r="R39" i="3"/>
  <c r="R40" i="3"/>
  <c r="D54" i="3"/>
  <c r="K53" i="3"/>
  <c r="J51" i="3"/>
  <c r="J52" i="3"/>
  <c r="O53" i="3"/>
  <c r="P53" i="3" s="1"/>
  <c r="G53" i="3"/>
  <c r="K54" i="3"/>
  <c r="I51" i="3"/>
  <c r="C51" i="3"/>
  <c r="I52" i="3"/>
  <c r="N53" i="3"/>
  <c r="F53" i="3"/>
  <c r="J54" i="3"/>
  <c r="V35" i="3"/>
  <c r="Z35" i="3" s="1"/>
  <c r="Z37" i="3" s="1"/>
  <c r="W35" i="3"/>
  <c r="D93" i="3"/>
  <c r="D94" i="3" s="1"/>
  <c r="P49" i="3"/>
  <c r="P35" i="3" s="1"/>
  <c r="F83" i="3" s="1"/>
  <c r="O50" i="3"/>
  <c r="G50" i="3"/>
  <c r="N50" i="3"/>
  <c r="F50" i="3"/>
  <c r="M50" i="3"/>
  <c r="E50" i="3"/>
  <c r="G46" i="3"/>
  <c r="L50" i="3"/>
  <c r="D50" i="3"/>
  <c r="K50" i="3"/>
  <c r="E91" i="3"/>
  <c r="J50" i="3"/>
  <c r="D91" i="3"/>
  <c r="D85" i="3"/>
  <c r="I50" i="3"/>
  <c r="C50" i="3"/>
  <c r="H50" i="3"/>
  <c r="Y37" i="3"/>
  <c r="AC35" i="3"/>
  <c r="U37" i="3"/>
  <c r="C85" i="3"/>
  <c r="E85" i="3"/>
  <c r="C91" i="3"/>
  <c r="C93" i="3"/>
  <c r="C94" i="3" s="1"/>
  <c r="L45" i="3"/>
  <c r="L46" i="3" s="1"/>
  <c r="O45" i="3"/>
  <c r="M45" i="3"/>
  <c r="M46" i="3" s="1"/>
  <c r="N45" i="3"/>
  <c r="N46" i="3" s="1"/>
  <c r="E93" i="3" l="1"/>
  <c r="E94" i="3" s="1"/>
  <c r="T35" i="3"/>
  <c r="G83" i="3" s="1"/>
  <c r="AA35" i="3"/>
  <c r="O46" i="3"/>
  <c r="R38" i="3"/>
  <c r="R43" i="3" s="1"/>
  <c r="R44" i="3" s="1"/>
  <c r="V37" i="3"/>
  <c r="V36" i="3" s="1"/>
  <c r="AD35" i="3"/>
  <c r="AD37" i="3" s="1"/>
  <c r="P54" i="3"/>
  <c r="W37" i="3"/>
  <c r="Z36" i="3"/>
  <c r="Z40" i="3"/>
  <c r="Z39" i="3"/>
  <c r="Y36" i="3"/>
  <c r="Y40" i="3"/>
  <c r="Y39" i="3"/>
  <c r="T51" i="3"/>
  <c r="U51" i="3" s="1"/>
  <c r="V51" i="3" s="1"/>
  <c r="W51" i="3" s="1"/>
  <c r="X51" i="3" s="1"/>
  <c r="Y51" i="3" s="1"/>
  <c r="Z51" i="3" s="1"/>
  <c r="AA51" i="3" s="1"/>
  <c r="AB51" i="3" s="1"/>
  <c r="AC51" i="3" s="1"/>
  <c r="AD51" i="3" s="1"/>
  <c r="AE51" i="3" s="1"/>
  <c r="AF51" i="3" s="1"/>
  <c r="AG51" i="3" s="1"/>
  <c r="AH51" i="3" s="1"/>
  <c r="AI51" i="3" s="1"/>
  <c r="AJ51" i="3" s="1"/>
  <c r="AK51" i="3" s="1"/>
  <c r="AL51" i="3" s="1"/>
  <c r="S38" i="3"/>
  <c r="U36" i="3"/>
  <c r="U40" i="3"/>
  <c r="U39" i="3"/>
  <c r="Q36" i="3"/>
  <c r="Q40" i="3"/>
  <c r="Q38" i="3"/>
  <c r="Q39" i="3"/>
  <c r="P50" i="3"/>
  <c r="P37" i="3" s="1"/>
  <c r="F85" i="3" s="1"/>
  <c r="AG35" i="3"/>
  <c r="AK35" i="3" s="1"/>
  <c r="AK37" i="3" s="1"/>
  <c r="AC37" i="3"/>
  <c r="AA37" i="3" l="1"/>
  <c r="AA38" i="3" s="1"/>
  <c r="T37" i="3"/>
  <c r="G85" i="3" s="1"/>
  <c r="X35" i="3"/>
  <c r="AH35" i="3"/>
  <c r="V40" i="3"/>
  <c r="S43" i="3"/>
  <c r="S44" i="3" s="1"/>
  <c r="AE35" i="3"/>
  <c r="V39" i="3"/>
  <c r="AK36" i="3"/>
  <c r="AK39" i="3"/>
  <c r="AK40" i="3"/>
  <c r="AK38" i="3"/>
  <c r="W36" i="3"/>
  <c r="R45" i="3"/>
  <c r="R46" i="3" s="1"/>
  <c r="Q43" i="3"/>
  <c r="Q44" i="3" s="1"/>
  <c r="Q45" i="3" s="1"/>
  <c r="Q46" i="3" s="1"/>
  <c r="W39" i="3"/>
  <c r="W40" i="3"/>
  <c r="P36" i="3"/>
  <c r="F84" i="3" s="1"/>
  <c r="P38" i="3"/>
  <c r="F86" i="3" s="1"/>
  <c r="P40" i="3"/>
  <c r="F88" i="3" s="1"/>
  <c r="P39" i="3"/>
  <c r="F87" i="3" s="1"/>
  <c r="AD36" i="3"/>
  <c r="AD38" i="3"/>
  <c r="AD40" i="3"/>
  <c r="AD39" i="3"/>
  <c r="T36" i="3"/>
  <c r="G84" i="3" s="1"/>
  <c r="T39" i="3"/>
  <c r="V38" i="3"/>
  <c r="Z38" i="3"/>
  <c r="Z43" i="3" s="1"/>
  <c r="AC36" i="3"/>
  <c r="AC38" i="3"/>
  <c r="AC39" i="3"/>
  <c r="AC40" i="3"/>
  <c r="U38" i="3"/>
  <c r="U43" i="3" s="1"/>
  <c r="Y38" i="3"/>
  <c r="Y43" i="3" s="1"/>
  <c r="W38" i="3"/>
  <c r="AG37" i="3"/>
  <c r="AA39" i="3" l="1"/>
  <c r="T38" i="3"/>
  <c r="T40" i="3"/>
  <c r="AA36" i="3"/>
  <c r="AA40" i="3"/>
  <c r="AA43" i="3" s="1"/>
  <c r="AA44" i="3" s="1"/>
  <c r="AB35" i="3"/>
  <c r="AB37" i="3" s="1"/>
  <c r="H83" i="3"/>
  <c r="X37" i="3"/>
  <c r="X38" i="3" s="1"/>
  <c r="I86" i="3" s="1"/>
  <c r="V43" i="3"/>
  <c r="V44" i="3" s="1"/>
  <c r="V45" i="3" s="1"/>
  <c r="V46" i="3" s="1"/>
  <c r="AK43" i="3"/>
  <c r="AK44" i="3" s="1"/>
  <c r="AK45" i="3" s="1"/>
  <c r="AK46" i="3" s="1"/>
  <c r="G87" i="3"/>
  <c r="G86" i="3"/>
  <c r="G88" i="3"/>
  <c r="AI35" i="3"/>
  <c r="AE37" i="3"/>
  <c r="S45" i="3"/>
  <c r="W43" i="3"/>
  <c r="AH37" i="3"/>
  <c r="AL35" i="3"/>
  <c r="AL37" i="3" s="1"/>
  <c r="AD43" i="3"/>
  <c r="AD44" i="3" s="1"/>
  <c r="AD45" i="3" s="1"/>
  <c r="AD46" i="3" s="1"/>
  <c r="P43" i="3"/>
  <c r="F91" i="3" s="1"/>
  <c r="T43" i="3"/>
  <c r="T44" i="3" s="1"/>
  <c r="AC43" i="3"/>
  <c r="AC44" i="3" s="1"/>
  <c r="Y44" i="3"/>
  <c r="Y45" i="3" s="1"/>
  <c r="Y46" i="3" s="1"/>
  <c r="AG36" i="3"/>
  <c r="AG40" i="3"/>
  <c r="AG39" i="3"/>
  <c r="AG38" i="3"/>
  <c r="U44" i="3"/>
  <c r="U45" i="3" s="1"/>
  <c r="U46" i="3" s="1"/>
  <c r="Z44" i="3"/>
  <c r="Z45" i="3" s="1"/>
  <c r="Z46" i="3" s="1"/>
  <c r="X36" i="3" l="1"/>
  <c r="I84" i="3" s="1"/>
  <c r="AB36" i="3"/>
  <c r="AB39" i="3"/>
  <c r="AB38" i="3"/>
  <c r="H85" i="3"/>
  <c r="H86" i="3"/>
  <c r="AF35" i="3"/>
  <c r="I83" i="3"/>
  <c r="I85" i="3"/>
  <c r="AB40" i="3"/>
  <c r="X39" i="3"/>
  <c r="H87" i="3" s="1"/>
  <c r="X40" i="3"/>
  <c r="I88" i="3" s="1"/>
  <c r="G91" i="3"/>
  <c r="G92" i="3"/>
  <c r="S46" i="3"/>
  <c r="W44" i="3"/>
  <c r="AH40" i="3"/>
  <c r="AH39" i="3"/>
  <c r="AH38" i="3"/>
  <c r="AH36" i="3"/>
  <c r="AE36" i="3"/>
  <c r="AE40" i="3"/>
  <c r="AE38" i="3"/>
  <c r="AE39" i="3"/>
  <c r="P44" i="3"/>
  <c r="AL36" i="3"/>
  <c r="AL38" i="3"/>
  <c r="AL40" i="3"/>
  <c r="AL39" i="3"/>
  <c r="AI37" i="3"/>
  <c r="AA45" i="3"/>
  <c r="AA46" i="3" s="1"/>
  <c r="T45" i="3"/>
  <c r="T46" i="3" s="1"/>
  <c r="AC45" i="3"/>
  <c r="AC46" i="3" s="1"/>
  <c r="AG43" i="3"/>
  <c r="AG44" i="3" s="1"/>
  <c r="AG45" i="3" s="1"/>
  <c r="AG46" i="3" s="1"/>
  <c r="H84" i="3" l="1"/>
  <c r="AB43" i="3"/>
  <c r="AB44" i="3" s="1"/>
  <c r="AB45" i="3" s="1"/>
  <c r="AB46" i="3" s="1"/>
  <c r="I87" i="3"/>
  <c r="AF37" i="3"/>
  <c r="J83" i="3"/>
  <c r="AJ35" i="3"/>
  <c r="H88" i="3"/>
  <c r="X43" i="3"/>
  <c r="H91" i="3" s="1"/>
  <c r="AL43" i="3"/>
  <c r="AL44" i="3" s="1"/>
  <c r="AL45" i="3" s="1"/>
  <c r="AL46" i="3" s="1"/>
  <c r="G93" i="3"/>
  <c r="G94" i="3" s="1"/>
  <c r="AE43" i="3"/>
  <c r="W45" i="3"/>
  <c r="P45" i="3"/>
  <c r="F92" i="3"/>
  <c r="AI40" i="3"/>
  <c r="AI38" i="3"/>
  <c r="AI36" i="3"/>
  <c r="AI39" i="3"/>
  <c r="AH43" i="3"/>
  <c r="AH44" i="3" s="1"/>
  <c r="AH45" i="3" s="1"/>
  <c r="AH46" i="3" s="1"/>
  <c r="I91" i="3" l="1"/>
  <c r="AJ37" i="3"/>
  <c r="K83" i="3"/>
  <c r="AF40" i="3"/>
  <c r="J88" i="3" s="1"/>
  <c r="AF38" i="3"/>
  <c r="J86" i="3" s="1"/>
  <c r="AF36" i="3"/>
  <c r="J84" i="3" s="1"/>
  <c r="AF39" i="3"/>
  <c r="J87" i="3" s="1"/>
  <c r="J85" i="3"/>
  <c r="X44" i="3"/>
  <c r="P46" i="3"/>
  <c r="F93" i="3"/>
  <c r="F94" i="3" s="1"/>
  <c r="W46" i="3"/>
  <c r="AI43" i="3"/>
  <c r="AE44" i="3"/>
  <c r="AJ36" i="3" l="1"/>
  <c r="K84" i="3" s="1"/>
  <c r="AJ39" i="3"/>
  <c r="K87" i="3" s="1"/>
  <c r="AJ38" i="3"/>
  <c r="K86" i="3" s="1"/>
  <c r="AJ40" i="3"/>
  <c r="K88" i="3" s="1"/>
  <c r="K85" i="3"/>
  <c r="AJ43" i="3"/>
  <c r="AJ44" i="3" s="1"/>
  <c r="AJ45" i="3" s="1"/>
  <c r="AJ46" i="3" s="1"/>
  <c r="AF43" i="3"/>
  <c r="X45" i="3"/>
  <c r="H92" i="3"/>
  <c r="I92" i="3"/>
  <c r="AI44" i="3"/>
  <c r="AE45" i="3"/>
  <c r="AF44" i="3" l="1"/>
  <c r="J91" i="3"/>
  <c r="K91" i="3"/>
  <c r="X46" i="3"/>
  <c r="H93" i="3"/>
  <c r="H94" i="3" s="1"/>
  <c r="I93" i="3"/>
  <c r="I94" i="3" s="1"/>
  <c r="AE46" i="3"/>
  <c r="AI45" i="3"/>
  <c r="K92" i="3"/>
  <c r="AF45" i="3" l="1"/>
  <c r="J92" i="3"/>
  <c r="AI46" i="3"/>
  <c r="K93" i="3"/>
  <c r="N93" i="3" s="1"/>
  <c r="K94" i="3" l="1"/>
  <c r="N95" i="3"/>
  <c r="AF46" i="3"/>
  <c r="J93" i="3"/>
  <c r="J94" i="3"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Sam Heier</author>
  </authors>
  <commentList>
    <comment ref="G7" authorId="0" shapeId="0" xr:uid="{1BD8471E-D2CC-9E4E-B853-3D34C36CECAE}">
      <text>
        <r>
          <rPr>
            <b/>
            <sz val="10"/>
            <color rgb="FF000000"/>
            <rFont val="Tahoma"/>
            <family val="2"/>
          </rPr>
          <t>Sam Heier:</t>
        </r>
        <r>
          <rPr>
            <sz val="10"/>
            <color rgb="FF000000"/>
            <rFont val="Tahoma"/>
            <family val="2"/>
          </rPr>
          <t xml:space="preserve">
</t>
        </r>
        <r>
          <rPr>
            <sz val="10"/>
            <color rgb="FF000000"/>
            <rFont val="Tahoma"/>
            <family val="2"/>
          </rPr>
          <t>Lilly books 100% of sales but pays Chugai a tiered royalty (mid-single-digits to low-teens). Source: Chugai/Lilly Form 10-K, https://www.chugai-pharm.co.jp/english/news/detail/20240222083000_1049.html</t>
        </r>
      </text>
    </comment>
    <comment ref="G8" authorId="0" shapeId="0" xr:uid="{B3BA0B96-F539-C84B-9467-9C758B03A366}">
      <text>
        <r>
          <rPr>
            <b/>
            <sz val="10"/>
            <color rgb="FF000000"/>
            <rFont val="Tahoma"/>
            <family val="2"/>
          </rPr>
          <t>Sam Heier:</t>
        </r>
        <r>
          <rPr>
            <sz val="10"/>
            <color rgb="FF000000"/>
            <rFont val="Tahoma"/>
            <family val="2"/>
          </rPr>
          <t xml:space="preserve">
</t>
        </r>
        <r>
          <rPr>
            <sz val="10"/>
            <color rgb="FF000000"/>
            <rFont val="Tahoma"/>
            <family val="2"/>
          </rPr>
          <t>Lilly is strategic lead and books Basaglar revenue within the Boehringer Ingelheim diabetes alliance. Source: BI/Lilly, https://investor.lilly.com/news-releases/news-release-details/boehringer-ingelheim-and-lilly-modernise-alliance-focus-full</t>
        </r>
      </text>
    </comment>
    <comment ref="G11" authorId="0" shapeId="0" xr:uid="{E05B08C2-7568-1C47-BA1D-63132D49271E}">
      <text>
        <r>
          <rPr>
            <b/>
            <sz val="10"/>
            <color rgb="FF000000"/>
            <rFont val="Tahoma"/>
            <family val="2"/>
          </rPr>
          <t>Sam Heier:</t>
        </r>
        <r>
          <rPr>
            <sz val="10"/>
            <color rgb="FF000000"/>
            <rFont val="Tahoma"/>
            <family val="2"/>
          </rPr>
          <t xml:space="preserve">
</t>
        </r>
        <r>
          <rPr>
            <sz val="10"/>
            <color rgb="FF000000"/>
            <rFont val="Tahoma"/>
            <family val="2"/>
          </rPr>
          <t>Jardiance is part of Lilly's alliance with Boehringer Ingelheim. Lilly does NOT book product sales; it reports only royalties received on BI's net sales of Jardiance. Source: Lilly SEC filing (Q3 2022 sales &amp; earnings), https://www.sec.gov/Archives/edgar/data/59478/000005947822000248/q322lillysalesandearningsp.htm</t>
        </r>
      </text>
    </comment>
    <comment ref="G14" authorId="0" shapeId="0" xr:uid="{3F5E33E3-AEEC-AF42-B75D-177404E63E81}">
      <text>
        <r>
          <rPr>
            <b/>
            <sz val="10"/>
            <color rgb="FF000000"/>
            <rFont val="Tahoma"/>
            <family val="2"/>
          </rPr>
          <t>Sam Heier:</t>
        </r>
        <r>
          <rPr>
            <sz val="10"/>
            <color rgb="FF000000"/>
            <rFont val="Tahoma"/>
            <family val="2"/>
          </rPr>
          <t xml:space="preserve">
</t>
        </r>
        <r>
          <rPr>
            <sz val="10"/>
            <color rgb="FF000000"/>
            <rFont val="Tahoma"/>
            <family val="2"/>
          </rPr>
          <t>Erbitux economics are territorial/legacy: Lilly (via ImClone) holds North American rights while Merck KGaA markets ex-US; Lilly's interest is a share/royalty rather than full product sales. Worth confirming against the latest 10-K.</t>
        </r>
      </text>
    </comment>
    <comment ref="G16" authorId="0" shapeId="0" xr:uid="{A53E5600-1BD2-3B4E-A367-AEBE5AD4DFBB}">
      <text>
        <r>
          <rPr>
            <b/>
            <sz val="10"/>
            <color rgb="FF000000"/>
            <rFont val="Tahoma"/>
            <family val="2"/>
          </rPr>
          <t>Sam Heier:</t>
        </r>
        <r>
          <rPr>
            <sz val="10"/>
            <color rgb="FF000000"/>
            <rFont val="Tahoma"/>
            <family val="2"/>
          </rPr>
          <t xml:space="preserve">
</t>
        </r>
        <r>
          <rPr>
            <sz val="10"/>
            <color rgb="FF000000"/>
            <rFont val="Tahoma"/>
            <family val="2"/>
          </rPr>
          <t>Tyvyt (sintilimab) is co-developed with Innovent and sold in China; Lilly shares economics in licensed territories rather than booking 100%. Not FDA-approved in the US. Source: Eli Lilly, https://investor.lilly.com/news-releases/news-release-details/tyvyt-sintilimab-injection-combined-alimta-pemetrexed-and</t>
        </r>
      </text>
    </comment>
    <comment ref="G19" authorId="0" shapeId="0" xr:uid="{2AF035C7-A5EB-5E41-9A3F-C7656E2F5970}">
      <text>
        <r>
          <rPr>
            <b/>
            <sz val="10"/>
            <color rgb="FF000000"/>
            <rFont val="Tahoma"/>
            <family val="2"/>
          </rPr>
          <t>Sam Heier:</t>
        </r>
        <r>
          <rPr>
            <sz val="10"/>
            <color rgb="FF000000"/>
            <rFont val="Tahoma"/>
            <family val="2"/>
          </rPr>
          <t xml:space="preserve">
</t>
        </r>
        <r>
          <rPr>
            <sz val="10"/>
            <color rgb="FF000000"/>
            <rFont val="Tahoma"/>
            <family val="2"/>
          </rPr>
          <t>Lilly holds rights outside Europe and books those sales; Almirall licenses lebrikizumab in Europe.</t>
        </r>
      </text>
    </comment>
    <comment ref="G20" authorId="0" shapeId="0" xr:uid="{25FDAAFD-7C4D-D94B-A804-09374BBAAB10}">
      <text>
        <r>
          <rPr>
            <b/>
            <sz val="10"/>
            <color rgb="FF000000"/>
            <rFont val="Tahoma"/>
            <family val="2"/>
          </rPr>
          <t>Sam Heier:</t>
        </r>
        <r>
          <rPr>
            <sz val="10"/>
            <color rgb="FF000000"/>
            <rFont val="Tahoma"/>
            <family val="2"/>
          </rPr>
          <t xml:space="preserve">
</t>
        </r>
        <r>
          <rPr>
            <sz val="10"/>
            <color rgb="FF000000"/>
            <rFont val="Tahoma"/>
            <family val="2"/>
          </rPr>
          <t>Discovered by Incyte and licensed to Lilly; Lilly books sales and pays Incyte royalties. Source: Lilly/Incyte, https://investor.lilly.com/news-releases/news-release-details/fda-approves-lilly-and-incytes-olumiantr-baricitinib-first-and</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2"/>
        </ext>
      </extLst>
    </bk>
  </futureMetadata>
  <cellMetadata count="1">
    <bk>
      <rc t="1" v="0"/>
    </bk>
  </cellMetadata>
  <valueMetadata count="1">
    <bk>
      <rc t="2" v="0"/>
    </bk>
  </valueMetadata>
</metadata>
</file>

<file path=xl/sharedStrings.xml><?xml version="1.0" encoding="utf-8"?>
<sst xmlns="http://schemas.openxmlformats.org/spreadsheetml/2006/main" count="326" uniqueCount="178">
  <si>
    <t xml:space="preserve">Price </t>
  </si>
  <si>
    <t>Market Cap</t>
  </si>
  <si>
    <t>Cash</t>
  </si>
  <si>
    <t>Debt</t>
  </si>
  <si>
    <t>EV</t>
  </si>
  <si>
    <t>Shares</t>
  </si>
  <si>
    <t>Eli Lilly and Company (LLY)</t>
  </si>
  <si>
    <t>Q1'23</t>
  </si>
  <si>
    <t>Q2'23</t>
  </si>
  <si>
    <t>Q3'23</t>
  </si>
  <si>
    <t>Q4'23</t>
  </si>
  <si>
    <t>Q1'24</t>
  </si>
  <si>
    <t>Q2'24</t>
  </si>
  <si>
    <t>Q3'24</t>
  </si>
  <si>
    <t>Q4'24</t>
  </si>
  <si>
    <t>Q1'25</t>
  </si>
  <si>
    <t>Q2'25</t>
  </si>
  <si>
    <t>Q3'25</t>
  </si>
  <si>
    <t>Q4'25</t>
  </si>
  <si>
    <t>Q1'26</t>
  </si>
  <si>
    <t>Net Income</t>
  </si>
  <si>
    <t>Q2'26</t>
  </si>
  <si>
    <t>Q1'27</t>
  </si>
  <si>
    <t>Q3'26</t>
  </si>
  <si>
    <t>Q4'26</t>
  </si>
  <si>
    <t>Q2'27</t>
  </si>
  <si>
    <t>Q3'27</t>
  </si>
  <si>
    <t>Q4'27</t>
  </si>
  <si>
    <t>Q1'28</t>
  </si>
  <si>
    <t>Q2'28</t>
  </si>
  <si>
    <t>Q3'28</t>
  </si>
  <si>
    <t>Q4'28</t>
  </si>
  <si>
    <t>COGS</t>
  </si>
  <si>
    <t>R&amp;D</t>
  </si>
  <si>
    <t>SG&amp;A</t>
  </si>
  <si>
    <t>IPR&amp;D</t>
  </si>
  <si>
    <t>Asset Impairement/Resturcturing</t>
  </si>
  <si>
    <t>Other expenses</t>
  </si>
  <si>
    <t>Pre Tax Income</t>
  </si>
  <si>
    <t>Taxes</t>
  </si>
  <si>
    <t>EPS</t>
  </si>
  <si>
    <t>Q1'29</t>
  </si>
  <si>
    <t>Q2'29</t>
  </si>
  <si>
    <t>Q3'29</t>
  </si>
  <si>
    <t>Q4'29</t>
  </si>
  <si>
    <t>Q1'30</t>
  </si>
  <si>
    <t>Q2'30</t>
  </si>
  <si>
    <t>Q3'30</t>
  </si>
  <si>
    <t>Q4'30</t>
  </si>
  <si>
    <t>FY'23</t>
  </si>
  <si>
    <t>FY'24</t>
  </si>
  <si>
    <t>FY'25</t>
  </si>
  <si>
    <t>FY'26</t>
  </si>
  <si>
    <t>FY'27</t>
  </si>
  <si>
    <t>FY'28</t>
  </si>
  <si>
    <t>FY'29</t>
  </si>
  <si>
    <t>FY'30</t>
  </si>
  <si>
    <t>FY'31</t>
  </si>
  <si>
    <t>Gross Margin</t>
  </si>
  <si>
    <t>Revenue Growth Rate</t>
  </si>
  <si>
    <t>Annual Income Statement</t>
  </si>
  <si>
    <t xml:space="preserve">Quarterly Income Statement </t>
  </si>
  <si>
    <t>Gross Margin %</t>
  </si>
  <si>
    <t>Jardiance</t>
  </si>
  <si>
    <t>Trulicity</t>
  </si>
  <si>
    <t>Inluriyo</t>
  </si>
  <si>
    <t>Jaypirca</t>
  </si>
  <si>
    <t>Verzenio</t>
  </si>
  <si>
    <t>Ebglyss</t>
  </si>
  <si>
    <t>Omvoh</t>
  </si>
  <si>
    <t>Taltz</t>
  </si>
  <si>
    <t>Kisunla</t>
  </si>
  <si>
    <t>R&amp;D %</t>
  </si>
  <si>
    <t>SG&amp;A %</t>
  </si>
  <si>
    <t>IPR&amp;D &amp;</t>
  </si>
  <si>
    <t>Tax rate</t>
  </si>
  <si>
    <t>Q1'31</t>
  </si>
  <si>
    <t>Q2'31</t>
  </si>
  <si>
    <t>Q3'31</t>
  </si>
  <si>
    <t>Q4'31</t>
  </si>
  <si>
    <t>Mounjaro</t>
  </si>
  <si>
    <t>Zepbound</t>
  </si>
  <si>
    <t>Foundayo</t>
  </si>
  <si>
    <t>Humalog</t>
  </si>
  <si>
    <t>Other / Misc</t>
  </si>
  <si>
    <t>Total Revenue</t>
  </si>
  <si>
    <t>Disocunt Rate</t>
  </si>
  <si>
    <t>Maturity Rate</t>
  </si>
  <si>
    <t>NPV</t>
  </si>
  <si>
    <t>Price</t>
  </si>
  <si>
    <t>Name</t>
  </si>
  <si>
    <t>Indication</t>
  </si>
  <si>
    <t>Mechanism</t>
  </si>
  <si>
    <t>Economics</t>
  </si>
  <si>
    <t>Approved</t>
  </si>
  <si>
    <t xml:space="preserve">Brand </t>
  </si>
  <si>
    <t>Generic</t>
  </si>
  <si>
    <t>TIRZEPATIDE</t>
  </si>
  <si>
    <t>Type 2 Diabetes</t>
  </si>
  <si>
    <t>MOA</t>
  </si>
  <si>
    <t>Retatrutide</t>
  </si>
  <si>
    <t>CDK4/6 inhibitors</t>
  </si>
  <si>
    <t>Breast Cancer</t>
  </si>
  <si>
    <t>abemaciclib</t>
  </si>
  <si>
    <t>Type-2 Diabetes</t>
  </si>
  <si>
    <t>dulaglutide</t>
  </si>
  <si>
    <t>GLP-1 Agonist</t>
  </si>
  <si>
    <t>empagliflozin</t>
  </si>
  <si>
    <t>Type 2 Diabetes &amp; Heart Failure</t>
  </si>
  <si>
    <t>SGLT2 Inhibitors</t>
  </si>
  <si>
    <t>Lebrikizumab</t>
  </si>
  <si>
    <t>Eczema</t>
  </si>
  <si>
    <t>interleukin-13 antagonist</t>
  </si>
  <si>
    <t>donanemab-azbt</t>
  </si>
  <si>
    <t>amyloid beta-directed antibody</t>
  </si>
  <si>
    <t>Mirikizumab-Mrkz</t>
  </si>
  <si>
    <t>interleukin-23 antagonist</t>
  </si>
  <si>
    <t>Pirtobrutinib</t>
  </si>
  <si>
    <t>Non-Hodgkin Lymphoma</t>
  </si>
  <si>
    <t>Bruton’s tyrosine kinase (BTK) inhibitor</t>
  </si>
  <si>
    <t>Imlunestrant</t>
  </si>
  <si>
    <t>Estrogen Antagonist</t>
  </si>
  <si>
    <t>Ixekizumab</t>
  </si>
  <si>
    <t>Plaque Psoriasis &amp; Psoriatic Arthritis</t>
  </si>
  <si>
    <t>interleukin antagonist</t>
  </si>
  <si>
    <t>Insulin Lispro</t>
  </si>
  <si>
    <t>Orforglipron</t>
  </si>
  <si>
    <t>Alzheimer's Disease</t>
  </si>
  <si>
    <t>Crohn's Disease &amp; Ulcerative Colitis</t>
  </si>
  <si>
    <t>Basaglar</t>
  </si>
  <si>
    <t xml:space="preserve">Humulin </t>
  </si>
  <si>
    <t xml:space="preserve">Oncology </t>
  </si>
  <si>
    <t>Diabetes</t>
  </si>
  <si>
    <t>Cyramza</t>
  </si>
  <si>
    <t>Erbitux</t>
  </si>
  <si>
    <t>Retevmo</t>
  </si>
  <si>
    <t>Tyvyt</t>
  </si>
  <si>
    <t>Immunology</t>
  </si>
  <si>
    <t xml:space="preserve">Neuroscience </t>
  </si>
  <si>
    <t>Emgality</t>
  </si>
  <si>
    <t>Olumiant</t>
  </si>
  <si>
    <t>Humulin</t>
  </si>
  <si>
    <t>Insulin Glargine</t>
  </si>
  <si>
    <t>Type 1 and Type 2 Diabetes</t>
  </si>
  <si>
    <t>Long-Acting Insulin</t>
  </si>
  <si>
    <t>Human Insulin</t>
  </si>
  <si>
    <t>Insulin (short- and intermediate-acting)</t>
  </si>
  <si>
    <t>Ramucirumab</t>
  </si>
  <si>
    <t>Gastric, NSCLC, and Colorectal Cancer</t>
  </si>
  <si>
    <t>VEGFR2 Antagonist (Monoclonal Antibody)</t>
  </si>
  <si>
    <t>Cetuximab</t>
  </si>
  <si>
    <t>Colorectal and Head &amp; Neck Cancer</t>
  </si>
  <si>
    <t>EGFR Inhibitor (Monoclonal Antibody)</t>
  </si>
  <si>
    <t>Selpercatinib</t>
  </si>
  <si>
    <t>RET-Altered NSCLC and Thyroid Cancer</t>
  </si>
  <si>
    <t>RET Kinase Inhibitor</t>
  </si>
  <si>
    <t>Baricitinib</t>
  </si>
  <si>
    <t>Rheumatoid Arthritis, Alopecia Areata, COVID-19</t>
  </si>
  <si>
    <t>JAK (Janus Kinase) Inhibitor</t>
  </si>
  <si>
    <t>Galcanezumab</t>
  </si>
  <si>
    <t>Migraine Prevention and Cluster Headache</t>
  </si>
  <si>
    <t>CGRP Antagonist (Monoclonal Antibody)</t>
  </si>
  <si>
    <t>Sintilimab</t>
  </si>
  <si>
    <t>Hodgkin Lymphoma, NSCLC &amp; other cancers (approved in China; not FDA-approved)</t>
  </si>
  <si>
    <t>PD-1 Inhibitor (Monoclonal Antibody)</t>
  </si>
  <si>
    <t>GIP / GLP-1 / Glucagon Triple Receptor Agonist</t>
  </si>
  <si>
    <t xml:space="preserve">Obesity &amp; Type 2 Diabetes </t>
  </si>
  <si>
    <t>Tirzepatide</t>
  </si>
  <si>
    <t>Obesity &amp; Obstructive Sleep Apnea</t>
  </si>
  <si>
    <t>Dual GIP/GLP-1 Receptor Agonist</t>
  </si>
  <si>
    <t>Obesity / Chronic Weight Management</t>
  </si>
  <si>
    <t>GLP-1 Receptor Agonist (oral, nonpeptide)</t>
  </si>
  <si>
    <t>Rapid-Acting Insulin</t>
  </si>
  <si>
    <t>Royalty only</t>
  </si>
  <si>
    <t>Royalty / share</t>
  </si>
  <si>
    <t>Not FDA approved</t>
  </si>
  <si>
    <t>TBD</t>
  </si>
  <si>
    <t>None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</si>
</sst>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4" formatCode="_(&quot;$&quot;* #,##0.00_);_(&quot;$&quot;* \(#,##0.00\);_(&quot;$&quot;* &quot;-&quot;??_);_(@_)"/>
    <numFmt numFmtId="43" formatCode="_(* #,##0.00_);_(* \(#,##0.00\);_(* &quot;-&quot;??_);_(@_)"/>
    <numFmt numFmtId="164" formatCode="_(&quot;$&quot;* #,##0_);_(&quot;$&quot;* \(#,##0\);_(&quot;$&quot;* &quot;-&quot;??_);_(@_)"/>
  </numFmts>
  <fonts count="13" x14ac:knownFonts="1">
    <font>
      <sz val="12"/>
      <color theme="1"/>
      <name val="Aptos Narrow"/>
      <family val="2"/>
      <scheme val="minor"/>
    </font>
    <font>
      <sz val="12"/>
      <color theme="1"/>
      <name val="Aptos Narrow"/>
      <family val="2"/>
      <scheme val="minor"/>
    </font>
    <font>
      <b/>
      <sz val="14"/>
      <color theme="1"/>
      <name val="Aptos Narrow"/>
      <scheme val="minor"/>
    </font>
    <font>
      <sz val="12"/>
      <color rgb="FF000000"/>
      <name val="Aptos Narrow"/>
      <family val="2"/>
      <scheme val="minor"/>
    </font>
    <font>
      <sz val="8"/>
      <name val="Aptos Narrow"/>
      <family val="2"/>
      <scheme val="minor"/>
    </font>
    <font>
      <b/>
      <sz val="12"/>
      <color theme="1"/>
      <name val="Aptos Narrow"/>
      <scheme val="minor"/>
    </font>
    <font>
      <sz val="12"/>
      <color theme="1"/>
      <name val="Aptos Narrow"/>
      <scheme val="minor"/>
    </font>
    <font>
      <i/>
      <sz val="12"/>
      <color theme="1"/>
      <name val="Aptos Narrow"/>
      <scheme val="minor"/>
    </font>
    <font>
      <b/>
      <sz val="12"/>
      <color theme="1"/>
      <name val="Aptos Narrow"/>
      <family val="2"/>
      <scheme val="minor"/>
    </font>
    <font>
      <sz val="10"/>
      <color rgb="FF000000"/>
      <name val="Tahoma"/>
      <family val="2"/>
    </font>
    <font>
      <b/>
      <sz val="10"/>
      <color rgb="FF000000"/>
      <name val="Tahoma"/>
      <family val="2"/>
    </font>
    <font>
      <i/>
      <sz val="12"/>
      <color theme="1"/>
      <name val="Aptos Narrow"/>
      <family val="2"/>
      <scheme val="minor"/>
    </font>
    <font>
      <b/>
      <sz val="10"/>
      <name val="Arial"/>
      <family val="2"/>
    </font>
  </fonts>
  <fills count="4">
    <fill>
      <patternFill patternType="none"/>
    </fill>
    <fill>
      <patternFill patternType="gray125"/>
    </fill>
    <fill>
      <patternFill patternType="solid">
        <fgColor theme="2"/>
        <bgColor indexed="64"/>
      </patternFill>
    </fill>
    <fill>
      <patternFill patternType="solid">
        <fgColor theme="4" tint="0.79998168889431442"/>
        <bgColor indexed="64"/>
      </patternFill>
    </fill>
  </fills>
  <borders count="12">
    <border>
      <left/>
      <right/>
      <top/>
      <bottom/>
      <diagonal/>
    </border>
    <border>
      <left/>
      <right/>
      <top/>
      <bottom style="medium">
        <color auto="1"/>
      </bottom>
      <diagonal/>
    </border>
    <border>
      <left/>
      <right style="thin">
        <color auto="1"/>
      </right>
      <top/>
      <bottom/>
      <diagonal/>
    </border>
    <border>
      <left/>
      <right style="thin">
        <color auto="1"/>
      </right>
      <top/>
      <bottom style="medium">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bottom style="thin">
        <color indexed="64"/>
      </bottom>
      <diagonal/>
    </border>
    <border>
      <left/>
      <right style="thin">
        <color indexed="64"/>
      </right>
      <top style="medium">
        <color indexed="64"/>
      </top>
      <bottom/>
      <diagonal/>
    </border>
    <border>
      <left style="thin">
        <color indexed="64"/>
      </left>
      <right/>
      <top/>
      <bottom/>
      <diagonal/>
    </border>
    <border>
      <left style="thin">
        <color indexed="64"/>
      </left>
      <right/>
      <top/>
      <bottom style="thin">
        <color indexed="64"/>
      </bottom>
      <diagonal/>
    </border>
    <border>
      <left/>
      <right style="thin">
        <color indexed="64"/>
      </right>
      <top/>
      <bottom style="thin">
        <color indexed="64"/>
      </bottom>
      <diagonal/>
    </border>
  </borders>
  <cellStyleXfs count="4">
    <xf numFmtId="0" fontId="0" fillId="0" borderId="0"/>
    <xf numFmtId="43" fontId="1" fillId="0" borderId="0" applyFont="0" applyFill="0" applyBorder="0" applyAlignment="0" applyProtection="0"/>
    <xf numFmtId="44" fontId="1" fillId="0" borderId="0" applyFont="0" applyFill="0" applyBorder="0" applyAlignment="0" applyProtection="0"/>
    <xf numFmtId="9" fontId="1" fillId="0" borderId="0" applyFont="0" applyFill="0" applyBorder="0" applyAlignment="0" applyProtection="0"/>
  </cellStyleXfs>
  <cellXfs count="54">
    <xf numFmtId="0" fontId="0" fillId="0" borderId="0" xfId="0"/>
    <xf numFmtId="44" fontId="0" fillId="0" borderId="0" xfId="2" applyFont="1"/>
    <xf numFmtId="43" fontId="0" fillId="0" borderId="0" xfId="1" applyFont="1"/>
    <xf numFmtId="44" fontId="0" fillId="0" borderId="0" xfId="0" applyNumberFormat="1"/>
    <xf numFmtId="0" fontId="2" fillId="0" borderId="0" xfId="0" applyFont="1"/>
    <xf numFmtId="0" fontId="5" fillId="0" borderId="0" xfId="0" applyFont="1"/>
    <xf numFmtId="0" fontId="6" fillId="0" borderId="0" xfId="0" applyFont="1"/>
    <xf numFmtId="164" fontId="5" fillId="0" borderId="2" xfId="2" applyNumberFormat="1" applyFont="1" applyBorder="1"/>
    <xf numFmtId="164" fontId="0" fillId="0" borderId="2" xfId="2" applyNumberFormat="1" applyFont="1" applyBorder="1"/>
    <xf numFmtId="164" fontId="0" fillId="0" borderId="0" xfId="2" applyNumberFormat="1" applyFont="1" applyBorder="1"/>
    <xf numFmtId="164" fontId="5" fillId="0" borderId="0" xfId="2" applyNumberFormat="1" applyFont="1" applyBorder="1"/>
    <xf numFmtId="164" fontId="0" fillId="0" borderId="0" xfId="2" applyNumberFormat="1" applyFont="1" applyFill="1" applyBorder="1"/>
    <xf numFmtId="164" fontId="0" fillId="0" borderId="0" xfId="0" applyNumberFormat="1"/>
    <xf numFmtId="44" fontId="3" fillId="0" borderId="0" xfId="0" applyNumberFormat="1" applyFont="1"/>
    <xf numFmtId="0" fontId="0" fillId="0" borderId="1" xfId="0" applyBorder="1" applyAlignment="1">
      <alignment horizontal="center"/>
    </xf>
    <xf numFmtId="0" fontId="0" fillId="0" borderId="3" xfId="0" applyBorder="1" applyAlignment="1">
      <alignment horizontal="center"/>
    </xf>
    <xf numFmtId="9" fontId="0" fillId="0" borderId="0" xfId="3" applyFont="1"/>
    <xf numFmtId="43" fontId="0" fillId="0" borderId="0" xfId="0" applyNumberFormat="1"/>
    <xf numFmtId="43" fontId="0" fillId="0" borderId="0" xfId="1" applyFont="1" applyBorder="1"/>
    <xf numFmtId="43" fontId="7" fillId="0" borderId="0" xfId="1" applyFont="1" applyBorder="1"/>
    <xf numFmtId="9" fontId="7" fillId="0" borderId="0" xfId="3" applyFont="1" applyBorder="1"/>
    <xf numFmtId="44" fontId="0" fillId="0" borderId="2" xfId="0" applyNumberFormat="1" applyBorder="1"/>
    <xf numFmtId="43" fontId="0" fillId="0" borderId="2" xfId="1" applyFont="1" applyBorder="1"/>
    <xf numFmtId="9" fontId="7" fillId="0" borderId="2" xfId="3" applyFont="1" applyBorder="1"/>
    <xf numFmtId="164" fontId="5" fillId="0" borderId="0" xfId="0" applyNumberFormat="1" applyFont="1"/>
    <xf numFmtId="164" fontId="0" fillId="0" borderId="2" xfId="0" applyNumberFormat="1" applyBorder="1"/>
    <xf numFmtId="43" fontId="0" fillId="0" borderId="2" xfId="0" applyNumberFormat="1" applyBorder="1"/>
    <xf numFmtId="0" fontId="3" fillId="0" borderId="0" xfId="0" applyFont="1"/>
    <xf numFmtId="0" fontId="7" fillId="0" borderId="0" xfId="0" applyFont="1"/>
    <xf numFmtId="9" fontId="7" fillId="0" borderId="0" xfId="0" applyNumberFormat="1" applyFont="1"/>
    <xf numFmtId="0" fontId="0" fillId="0" borderId="0" xfId="0" applyAlignment="1">
      <alignment horizontal="center"/>
    </xf>
    <xf numFmtId="164" fontId="0" fillId="2" borderId="0" xfId="2" applyNumberFormat="1" applyFont="1" applyFill="1" applyBorder="1"/>
    <xf numFmtId="0" fontId="0" fillId="3" borderId="0" xfId="0" applyFill="1"/>
    <xf numFmtId="0" fontId="5" fillId="0" borderId="7" xfId="0" applyFont="1" applyBorder="1"/>
    <xf numFmtId="164" fontId="5" fillId="0" borderId="0" xfId="0" applyNumberFormat="1" applyFont="1" applyAlignment="1">
      <alignment horizontal="center"/>
    </xf>
    <xf numFmtId="9" fontId="0" fillId="0" borderId="0" xfId="0" applyNumberFormat="1"/>
    <xf numFmtId="0" fontId="0" fillId="0" borderId="8" xfId="0" applyBorder="1" applyAlignment="1">
      <alignment horizontal="center"/>
    </xf>
    <xf numFmtId="0" fontId="0" fillId="0" borderId="2" xfId="0" applyBorder="1"/>
    <xf numFmtId="0" fontId="8" fillId="0" borderId="5" xfId="0" applyFont="1" applyBorder="1" applyAlignment="1">
      <alignment horizontal="center"/>
    </xf>
    <xf numFmtId="0" fontId="0" fillId="0" borderId="7" xfId="0" applyBorder="1" applyAlignment="1">
      <alignment horizontal="center"/>
    </xf>
    <xf numFmtId="0" fontId="0" fillId="0" borderId="9" xfId="0" applyBorder="1" applyAlignment="1">
      <alignment horizontal="center"/>
    </xf>
    <xf numFmtId="9" fontId="0" fillId="0" borderId="0" xfId="0" applyNumberFormat="1" applyAlignment="1">
      <alignment horizontal="center"/>
    </xf>
    <xf numFmtId="14" fontId="0" fillId="0" borderId="2" xfId="0" applyNumberFormat="1" applyBorder="1" applyAlignment="1">
      <alignment horizontal="center"/>
    </xf>
    <xf numFmtId="14" fontId="11" fillId="0" borderId="2" xfId="0" applyNumberFormat="1" applyFont="1" applyBorder="1" applyAlignment="1">
      <alignment horizontal="center"/>
    </xf>
    <xf numFmtId="0" fontId="11" fillId="0" borderId="0" xfId="0" applyFont="1" applyAlignment="1">
      <alignment horizontal="center"/>
    </xf>
    <xf numFmtId="0" fontId="11" fillId="0" borderId="2" xfId="0" applyFont="1" applyBorder="1" applyAlignment="1">
      <alignment horizontal="center"/>
    </xf>
    <xf numFmtId="0" fontId="0" fillId="0" borderId="10" xfId="0" applyBorder="1" applyAlignment="1">
      <alignment horizontal="center"/>
    </xf>
    <xf numFmtId="9" fontId="0" fillId="0" borderId="7" xfId="0" applyNumberFormat="1" applyBorder="1" applyAlignment="1">
      <alignment horizontal="center"/>
    </xf>
    <xf numFmtId="14" fontId="0" fillId="0" borderId="11" xfId="0" applyNumberFormat="1" applyBorder="1" applyAlignment="1">
      <alignment horizontal="center"/>
    </xf>
    <xf numFmtId="0" fontId="8" fillId="0" borderId="0" xfId="0" applyFont="1" applyAlignment="1">
      <alignment horizontal="center"/>
    </xf>
    <xf numFmtId="0" fontId="8" fillId="0" borderId="4" xfId="0" applyFont="1" applyBorder="1" applyAlignment="1">
      <alignment horizontal="center"/>
    </xf>
    <xf numFmtId="0" fontId="12" fillId="0" borderId="6" xfId="0" applyFont="1" applyBorder="1" applyAlignment="1">
      <alignment horizontal="center"/>
    </xf>
    <xf numFmtId="164" fontId="5" fillId="0" borderId="2" xfId="0" applyNumberFormat="1" applyFont="1" applyBorder="1" applyAlignment="1">
      <alignment horizontal="center"/>
    </xf>
    <xf numFmtId="164" fontId="0" fillId="2" borderId="2" xfId="2" applyNumberFormat="1" applyFont="1" applyFill="1" applyBorder="1"/>
  </cellXfs>
  <cellStyles count="4">
    <cellStyle name="Comma" xfId="1" builtinId="3"/>
    <cellStyle name="Currency" xfId="2" builtinId="4"/>
    <cellStyle name="Normal" xfId="0" builtinId="0"/>
    <cellStyle name="Percent" xfId="3"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worksheet" Target="worksheets/sheet21.xml"/><Relationship Id="rId34" Type="http://schemas.microsoft.com/office/2017/06/relationships/rdRichValueTypes" Target="richData/rdRichValueTyp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theme" Target="theme/theme1.xml"/><Relationship Id="rId33" Type="http://schemas.microsoft.com/office/2017/06/relationships/rdSupportingPropertyBag" Target="richData/rdsupportingpropertybag.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microsoft.com/office/2017/06/relationships/rdSupportingPropertyBagStructure" Target="richData/rdsupportingpropertybagstructure.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heetMetadata" Target="metadata.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06/relationships/richStyles" Target="richData/rich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haredStrings" Target="sharedStrings.xml"/><Relationship Id="rId30" Type="http://schemas.microsoft.com/office/2017/06/relationships/rdRichValueStructure" Target="richData/rdrichvaluestructure.xml"/><Relationship Id="rId35" Type="http://schemas.openxmlformats.org/officeDocument/2006/relationships/calcChain" Target="calcChain.xml"/><Relationship Id="rId8" Type="http://schemas.openxmlformats.org/officeDocument/2006/relationships/worksheet" Target="worksheets/sheet8.xml"/></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3">
  <rv s="0">
    <v>https://www.bing.com/financeapi/forcetrigger?t=a1wyu2&amp;q=XNYS%3aLLY&amp;form=skydnc</v>
    <v>Learn more on Bing</v>
  </rv>
  <rv s="1">
    <v>0</v>
    <v>ELI LILLY AND COMPANY (XNYS:LLY)</v>
    <v>2</v>
    <v>3</v>
    <v>Finance</v>
    <v>4</v>
    <v>en-US</v>
    <v>a1wyu2</v>
    <v>268435456</v>
    <v>1</v>
    <v>Powered by Refinitiv</v>
    <v>1182.73</v>
    <v>623.78</v>
    <v>0.52090000000000003</v>
    <v>5</v>
    <v>4.5370000000000002E-3</v>
    <v>0.4</v>
    <v>3.613E-4</v>
    <v>USD</v>
    <v>Eli Lilly and Company is a medicine company, which discovers, develops, manufactures, and market products in a single business segment called human pharmaceutical products. The Company manufacture and distribute its products through facilities in the United States, including Puerto Rico, and in Europe and Asia. The Company’s products are sold in approximately 90 countries. Its Cardiometabolic Health products Basaglar; Humalog, Humalog Mix 75/25, Humalog U-100, Humalog U-200, Humalog Mix 50/50, insulin lispro, and others; Humulin, Humulin 70/30, and others; Jardiance; Mounjaro; Trulicity; Zepbound, and others. Its oncology products include Cyramza, Erbitux, Tyvyt, Verzenio, Retevmo, Jaypirca, and others. Its immunology products include Ebglyss, Olumiant, Omvoh, and Taltz. Its neuroscience products include Emgality and Kisunla. Its LillyDirect, a direct-to-patient digital health care platform, provides delivery of select Lilly medicines dispensed by third-party pharmacies to patients.</v>
    <v>50000</v>
    <v>New York Stock Exchange</v>
    <v>XNYS</v>
    <v>XNYS</v>
    <v>Lilly Corporate Ctr, Drop Code 1094, INDIANAPOLIS, IN, 46285 US</v>
    <v>1122.02</v>
    <v>Pharmaceuticals</v>
    <v>Stock</v>
    <v>46196.99998649297</v>
    <v>0</v>
    <v>1079.22</v>
    <v>1042583069111</v>
    <v>ELI LILLY AND COMPANY</v>
    <v>ELI LILLY AND COMPANY</v>
    <v>1117</v>
    <v>39.330500000000001</v>
    <v>1102.08</v>
    <v>1107.08</v>
    <v>1107.48</v>
    <v>941741400</v>
    <v>LLY</v>
    <v>ELI LILLY AND COMPANY (XNYS:LLY)</v>
    <v>3316278</v>
    <v>3201883</v>
    <v>1901</v>
  </rv>
  <rv s="2">
    <v>1</v>
  </rv>
</rvData>
</file>

<file path=xl/richData/rdrichvaluestructure.xml><?xml version="1.0" encoding="utf-8"?>
<rvStructures xmlns="http://schemas.microsoft.com/office/spreadsheetml/2017/richdata" count="3">
  <s t="_hyperlink">
    <k n="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
    <k n="%cvi" t="r"/>
  </s>
</rvStructures>
</file>

<file path=xl/richData/rdsupportingpropertybag.xml><?xml version="1.0" encoding="utf-8"?>
<supportingPropertyBags xmlns="http://schemas.microsoft.com/office/spreadsheetml/2017/richdata2">
  <spbArrays count="1">
    <a count="45">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spbArrays>
  <spbData count="5">
    <spb s="0">
      <v>0</v>
      <v>Name</v>
      <v>LearnMoreOnLink</v>
    </spb>
    <spb s="1">
      <v>0</v>
      <v>0</v>
      <v>0</v>
    </spb>
    <spb s="2">
      <v>1</v>
      <v>1</v>
      <v>1</v>
      <v>1</v>
    </spb>
    <spb s="3">
      <v>1</v>
      <v>2</v>
      <v>2</v>
      <v>1</v>
      <v>3</v>
      <v>1</v>
      <v>1</v>
      <v>1</v>
      <v>4</v>
      <v>4</v>
      <v>5</v>
      <v>6</v>
      <v>1</v>
      <v>1</v>
      <v>1</v>
      <v>4</v>
      <v>7</v>
      <v>8</v>
      <v>9</v>
      <v>4</v>
      <v>1</v>
      <v>1</v>
      <v>5</v>
    </spb>
    <spb s="4">
      <v>at close</v>
      <v>from previous close</v>
      <v>from previous close</v>
      <v>Source: Nasdaq</v>
      <v>GMT</v>
      <v>Delayed 15 minutes</v>
      <v>from close</v>
      <v>from close</v>
    </spb>
  </spbData>
</supportingPropertyBags>
</file>

<file path=xl/richData/rdsupportingpropertybagstructure.xml><?xml version="1.0" encoding="utf-8"?>
<spbStructures xmlns="http://schemas.microsoft.com/office/spreadsheetml/2017/richdata2" count="5">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Price" t="s"/>
    <k n="Change" t="s"/>
    <k n="Change (%)" t="s"/>
    <k n="ExchangeID" t="s"/>
    <k n="Last trade time" t="s"/>
    <k n="Price (Extended hours)" t="s"/>
    <k n="Change (Extended hours)" t="s"/>
    <k n="Change % (Extended hours)"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m/d/yy\ h:mm"/>
    </x:dxf>
    <x:dxf>
      <x:numFmt numFmtId="14" formatCode="0.00%"/>
    </x:dxf>
    <x:dxf>
      <x:numFmt numFmtId="3" formatCode="#,##0"/>
    </x:dxf>
    <x:dxf>
      <x:numFmt numFmtId="4" formatCode="#,##0.00"/>
    </x:dxf>
    <x:dxf>
      <x:numFmt numFmtId="1" formatCode="0"/>
    </x:dxf>
  </dxfs>
  <richProperties>
    <rPr n="NumberFormat" t="s"/>
    <rPr n="IsTitleField" t="b"/>
  </richProperties>
  <richStyles>
    <rSty dxfid="1">
      <rpv i="0">_([$$-en-US]* #,##0.00_);_([$$-en-US]* (#,##0.00);_([$$-en-US]* "-"??_);_(@_)</rpv>
    </rSty>
    <rSty dxfid="5">
      <rpv i="0">#,##0.00</rpv>
    </rSty>
    <rSty>
      <rpv i="1">1</rpv>
    </rSty>
    <rSty dxfid="4">
      <rpv i="0">#,##0</rpv>
    </rSty>
    <rSty dxfid="3"/>
    <rSty dxfid="1">
      <rpv i="0">_([$$-en-US]* #,##0_);_([$$-en-US]* (#,##0);_([$$-en-US]* "-"_);_(@_)</rpv>
    </rSty>
    <rSty dxfid="2"/>
    <rSty dxfid="6">
      <rpv i="0">0</rpv>
    </rSty>
    <rSty dxfid="0">
      <rpv i="0">0.00</rpv>
    </rSty>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A3B7574-CDB1-5E4F-8A94-7EA0BDC2F336}">
  <we:reference id="wa200009404" version="1.0.0.8" store="en-US" storeType="OMEX"/>
  <we:alternateReferences>
    <we:reference id="WA200009404" version="1.0.0.8" store="" storeType="OMEX"/>
  </we:alternateReferences>
  <we:properties>
    <we:property name="claude.fileId" value="&quot;92f1289d-5991-4141-b431-857d04004799&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8DA03D-D60F-7048-8E8C-0EDC58CFE77F}">
  <dimension ref="A1:H29"/>
  <sheetViews>
    <sheetView workbookViewId="0">
      <selection activeCell="E33" sqref="E33"/>
    </sheetView>
  </sheetViews>
  <sheetFormatPr baseColWidth="10" defaultRowHeight="16" x14ac:dyDescent="0.2"/>
  <cols>
    <col min="2" max="2" width="22.1640625" customWidth="1"/>
    <col min="3" max="3" width="2.83203125" customWidth="1"/>
    <col min="4" max="4" width="20.5" customWidth="1"/>
    <col min="5" max="5" width="69.6640625" bestFit="1" customWidth="1"/>
    <col min="6" max="6" width="38.83203125" bestFit="1" customWidth="1"/>
    <col min="7" max="7" width="13.5" bestFit="1" customWidth="1"/>
    <col min="8" max="8" width="16.1640625" bestFit="1" customWidth="1"/>
    <col min="9" max="9" width="14" bestFit="1" customWidth="1"/>
  </cols>
  <sheetData>
    <row r="1" spans="1:8" x14ac:dyDescent="0.2">
      <c r="A1" t="e" vm="1">
        <v>#VALUE!</v>
      </c>
    </row>
    <row r="2" spans="1:8" x14ac:dyDescent="0.2">
      <c r="A2" t="s">
        <v>0</v>
      </c>
      <c r="B2" s="1" cm="1">
        <f t="array" aca="1" ref="B2" ca="1">_FV(A1,"Price")</f>
        <v>1107.08</v>
      </c>
      <c r="D2" s="50" t="s">
        <v>90</v>
      </c>
      <c r="E2" s="38" t="s">
        <v>91</v>
      </c>
      <c r="F2" s="38" t="s">
        <v>92</v>
      </c>
      <c r="G2" s="38" t="s">
        <v>93</v>
      </c>
      <c r="H2" s="51" t="s">
        <v>94</v>
      </c>
    </row>
    <row r="3" spans="1:8" x14ac:dyDescent="0.2">
      <c r="A3" t="s">
        <v>5</v>
      </c>
      <c r="B3" s="2" cm="1">
        <f t="array" aca="1" ref="B3" ca="1">_FV(A1,"Shares outstanding",TRUE)/1000000</f>
        <v>941.7414</v>
      </c>
      <c r="D3" s="40" t="s">
        <v>80</v>
      </c>
      <c r="E3" s="30" t="str">
        <f>Mounjaro!C4</f>
        <v>Type 2 Diabetes</v>
      </c>
      <c r="F3" s="30" t="str">
        <f>Mounjaro!C5</f>
        <v>Dual GIP/GLP-1 Receptor Agonist</v>
      </c>
      <c r="G3" s="41">
        <v>1</v>
      </c>
      <c r="H3" s="42">
        <v>44694</v>
      </c>
    </row>
    <row r="4" spans="1:8" x14ac:dyDescent="0.2">
      <c r="A4" t="s">
        <v>1</v>
      </c>
      <c r="B4" s="1" cm="1">
        <f t="array" aca="1" ref="B4" ca="1">_FV(A1,"Market cap",TRUE)/1000000</f>
        <v>1042583.069111</v>
      </c>
      <c r="D4" s="40" t="s">
        <v>81</v>
      </c>
      <c r="E4" s="30" t="str">
        <f>Zepbound!C4</f>
        <v>Obesity &amp; Obstructive Sleep Apnea</v>
      </c>
      <c r="F4" s="30" t="str">
        <f>Zepbound!C5</f>
        <v>Dual GIP/GLP-1 Receptor Agonist</v>
      </c>
      <c r="G4" s="41">
        <v>1</v>
      </c>
      <c r="H4" s="42">
        <v>45238</v>
      </c>
    </row>
    <row r="5" spans="1:8" x14ac:dyDescent="0.2">
      <c r="A5" t="s">
        <v>2</v>
      </c>
      <c r="B5" s="1">
        <v>7268</v>
      </c>
      <c r="D5" s="40" t="s">
        <v>64</v>
      </c>
      <c r="E5" s="30" t="str">
        <f>Trulicity!C4</f>
        <v>Type-2 Diabetes</v>
      </c>
      <c r="F5" s="30" t="str">
        <f>Trulicity!C5</f>
        <v>GLP-1 Agonist</v>
      </c>
      <c r="G5" s="41">
        <v>1</v>
      </c>
      <c r="H5" s="42">
        <v>41900</v>
      </c>
    </row>
    <row r="6" spans="1:8" x14ac:dyDescent="0.2">
      <c r="A6" t="s">
        <v>3</v>
      </c>
      <c r="B6" s="1">
        <f>1635+40868</f>
        <v>42503</v>
      </c>
      <c r="D6" s="40" t="s">
        <v>100</v>
      </c>
      <c r="E6" s="30" t="str">
        <f>Retatrutide!C4</f>
        <v xml:space="preserve">Obesity &amp; Type 2 Diabetes </v>
      </c>
      <c r="F6" s="30" t="str">
        <f>Retatrutide!C5</f>
        <v>GIP / GLP-1 / Glucagon Triple Receptor Agonist</v>
      </c>
      <c r="G6" s="41">
        <v>1</v>
      </c>
      <c r="H6" s="43" t="s">
        <v>176</v>
      </c>
    </row>
    <row r="7" spans="1:8" x14ac:dyDescent="0.2">
      <c r="A7" t="s">
        <v>4</v>
      </c>
      <c r="B7" s="3">
        <f ca="1">B4+B6-B5</f>
        <v>1077818.069111</v>
      </c>
      <c r="D7" s="40" t="s">
        <v>82</v>
      </c>
      <c r="E7" s="30" t="str">
        <f>Foundayo!C4</f>
        <v>Obesity / Chronic Weight Management</v>
      </c>
      <c r="F7" s="30" t="str">
        <f>Foundayo!C5</f>
        <v>GLP-1 Receptor Agonist (oral, nonpeptide)</v>
      </c>
      <c r="G7" s="41">
        <v>1</v>
      </c>
      <c r="H7" s="42">
        <v>46113</v>
      </c>
    </row>
    <row r="8" spans="1:8" x14ac:dyDescent="0.2">
      <c r="D8" s="40" t="s">
        <v>129</v>
      </c>
      <c r="E8" s="30" t="str">
        <f>Basaglar!C4</f>
        <v>Type 1 and Type 2 Diabetes</v>
      </c>
      <c r="F8" s="30" t="str">
        <f>Basaglar!C5</f>
        <v>Long-Acting Insulin</v>
      </c>
      <c r="G8" s="41">
        <v>1</v>
      </c>
      <c r="H8" s="42">
        <f>DATE(2015,12,16)</f>
        <v>42354</v>
      </c>
    </row>
    <row r="9" spans="1:8" x14ac:dyDescent="0.2">
      <c r="D9" s="40" t="s">
        <v>83</v>
      </c>
      <c r="E9" s="30" t="str">
        <f>Humalog!C4</f>
        <v>Type 1 and Type 2 Diabetes</v>
      </c>
      <c r="F9" s="30" t="str">
        <f>Humalog!C5</f>
        <v>Rapid-Acting Insulin</v>
      </c>
      <c r="G9" s="41">
        <v>1</v>
      </c>
      <c r="H9" s="42">
        <v>35230</v>
      </c>
    </row>
    <row r="10" spans="1:8" x14ac:dyDescent="0.2">
      <c r="D10" s="40" t="s">
        <v>141</v>
      </c>
      <c r="E10" s="30" t="str">
        <f>Humulin!C4</f>
        <v>Type 1 and Type 2 Diabetes</v>
      </c>
      <c r="F10" s="30" t="str">
        <f>Humulin!C5</f>
        <v>Insulin (short- and intermediate-acting)</v>
      </c>
      <c r="G10" s="41">
        <v>1</v>
      </c>
      <c r="H10" s="42">
        <f>DATE(1982,10,28)</f>
        <v>30252</v>
      </c>
    </row>
    <row r="11" spans="1:8" x14ac:dyDescent="0.2">
      <c r="D11" s="40" t="s">
        <v>63</v>
      </c>
      <c r="E11" s="30" t="str">
        <f>Jardiance!C4</f>
        <v>Type 2 Diabetes &amp; Heart Failure</v>
      </c>
      <c r="F11" s="30" t="str">
        <f>Jardiance!C5</f>
        <v>SGLT2 Inhibitors</v>
      </c>
      <c r="G11" s="44" t="s">
        <v>173</v>
      </c>
      <c r="H11" s="42">
        <v>41852</v>
      </c>
    </row>
    <row r="12" spans="1:8" x14ac:dyDescent="0.2">
      <c r="D12" s="40" t="s">
        <v>67</v>
      </c>
      <c r="E12" s="30" t="str">
        <f>Verzenio!C4</f>
        <v>Breast Cancer</v>
      </c>
      <c r="F12" s="30" t="str">
        <f>Verzenio!C5</f>
        <v>CDK4/6 inhibitors</v>
      </c>
      <c r="G12" s="41">
        <v>1</v>
      </c>
      <c r="H12" s="42">
        <v>43006</v>
      </c>
    </row>
    <row r="13" spans="1:8" x14ac:dyDescent="0.2">
      <c r="D13" s="40" t="s">
        <v>133</v>
      </c>
      <c r="E13" s="30" t="str">
        <f>Cyramza!C4</f>
        <v>Gastric, NSCLC, and Colorectal Cancer</v>
      </c>
      <c r="F13" s="30" t="str">
        <f>Cyramza!C5</f>
        <v>VEGFR2 Antagonist (Monoclonal Antibody)</v>
      </c>
      <c r="G13" s="41">
        <v>1</v>
      </c>
      <c r="H13" s="42">
        <f>DATE(2014,4,21)</f>
        <v>41750</v>
      </c>
    </row>
    <row r="14" spans="1:8" x14ac:dyDescent="0.2">
      <c r="D14" s="40" t="s">
        <v>134</v>
      </c>
      <c r="E14" s="30" t="str">
        <f>Erbitux!C4</f>
        <v>Colorectal and Head &amp; Neck Cancer</v>
      </c>
      <c r="F14" s="30" t="str">
        <f>Erbitux!C5</f>
        <v>EGFR Inhibitor (Monoclonal Antibody)</v>
      </c>
      <c r="G14" s="44" t="s">
        <v>174</v>
      </c>
      <c r="H14" s="42">
        <f>DATE(2004,2,12)</f>
        <v>38029</v>
      </c>
    </row>
    <row r="15" spans="1:8" x14ac:dyDescent="0.2">
      <c r="D15" s="40" t="s">
        <v>135</v>
      </c>
      <c r="E15" s="30" t="str">
        <f>Retevmo!C4</f>
        <v>RET-Altered NSCLC and Thyroid Cancer</v>
      </c>
      <c r="F15" s="30" t="str">
        <f>Retevmo!C5</f>
        <v>RET Kinase Inhibitor</v>
      </c>
      <c r="G15" s="41">
        <v>1</v>
      </c>
      <c r="H15" s="42">
        <f>DATE(2020,5,8)</f>
        <v>43959</v>
      </c>
    </row>
    <row r="16" spans="1:8" x14ac:dyDescent="0.2">
      <c r="D16" s="40" t="s">
        <v>136</v>
      </c>
      <c r="E16" s="30" t="str">
        <f>Tyvyt!C4</f>
        <v>Hodgkin Lymphoma, NSCLC &amp; other cancers (approved in China; not FDA-approved)</v>
      </c>
      <c r="F16" s="30" t="str">
        <f>Tyvyt!C5</f>
        <v>PD-1 Inhibitor (Monoclonal Antibody)</v>
      </c>
      <c r="G16" s="44" t="s">
        <v>174</v>
      </c>
      <c r="H16" s="45" t="s">
        <v>175</v>
      </c>
    </row>
    <row r="17" spans="3:8" x14ac:dyDescent="0.2">
      <c r="D17" s="40" t="s">
        <v>66</v>
      </c>
      <c r="E17" s="30" t="str">
        <f>Jaypirca!C4</f>
        <v>Non-Hodgkin Lymphoma</v>
      </c>
      <c r="F17" s="30" t="str">
        <f>Jaypirca!C5</f>
        <v>Bruton’s tyrosine kinase (BTK) inhibitor</v>
      </c>
      <c r="G17" s="41">
        <v>1</v>
      </c>
      <c r="H17" s="42">
        <v>44953</v>
      </c>
    </row>
    <row r="18" spans="3:8" x14ac:dyDescent="0.2">
      <c r="D18" s="40" t="s">
        <v>65</v>
      </c>
      <c r="E18" s="30" t="str">
        <f>Inluriyo!C4</f>
        <v>Breast Cancer</v>
      </c>
      <c r="F18" s="30" t="str">
        <f>Inluriyo!C5</f>
        <v>Estrogen Antagonist</v>
      </c>
      <c r="G18" s="41">
        <v>1</v>
      </c>
      <c r="H18" s="42">
        <v>45925</v>
      </c>
    </row>
    <row r="19" spans="3:8" x14ac:dyDescent="0.2">
      <c r="D19" s="40" t="s">
        <v>68</v>
      </c>
      <c r="E19" s="30" t="str">
        <f>Ebglyss!C4</f>
        <v>Eczema</v>
      </c>
      <c r="F19" s="30" t="str">
        <f>Ebglyss!C5</f>
        <v>interleukin-13 antagonist</v>
      </c>
      <c r="G19" s="41">
        <v>1</v>
      </c>
      <c r="H19" s="42">
        <v>45548</v>
      </c>
    </row>
    <row r="20" spans="3:8" x14ac:dyDescent="0.2">
      <c r="D20" s="40" t="s">
        <v>140</v>
      </c>
      <c r="E20" s="30" t="str">
        <f>Olumiant!C4</f>
        <v>Rheumatoid Arthritis, Alopecia Areata, COVID-19</v>
      </c>
      <c r="F20" s="30" t="str">
        <f>Olumiant!C5</f>
        <v>JAK (Janus Kinase) Inhibitor</v>
      </c>
      <c r="G20" s="41">
        <v>1</v>
      </c>
      <c r="H20" s="42">
        <f>DATE(2018,5,31)</f>
        <v>43251</v>
      </c>
    </row>
    <row r="21" spans="3:8" x14ac:dyDescent="0.2">
      <c r="D21" s="40" t="s">
        <v>69</v>
      </c>
      <c r="E21" s="30" t="str">
        <f>Omvoh!C4</f>
        <v>Crohn's Disease &amp; Ulcerative Colitis</v>
      </c>
      <c r="F21" s="30" t="str">
        <f>Omvoh!C5</f>
        <v>interleukin-23 antagonist</v>
      </c>
      <c r="G21" s="41">
        <v>1</v>
      </c>
      <c r="H21" s="42">
        <v>45225</v>
      </c>
    </row>
    <row r="22" spans="3:8" x14ac:dyDescent="0.2">
      <c r="D22" s="40" t="s">
        <v>70</v>
      </c>
      <c r="E22" s="30" t="str">
        <f>Taltz!C4</f>
        <v>Plaque Psoriasis &amp; Psoriatic Arthritis</v>
      </c>
      <c r="F22" s="30" t="str">
        <f>Taltz!C5</f>
        <v>interleukin antagonist</v>
      </c>
      <c r="G22" s="41">
        <v>1</v>
      </c>
      <c r="H22" s="42">
        <v>42451</v>
      </c>
    </row>
    <row r="23" spans="3:8" x14ac:dyDescent="0.2">
      <c r="D23" s="40" t="s">
        <v>139</v>
      </c>
      <c r="E23" s="30" t="str">
        <f>Emgality!C4</f>
        <v>Migraine Prevention and Cluster Headache</v>
      </c>
      <c r="F23" s="30" t="str">
        <f>Emgality!C5</f>
        <v>CGRP Antagonist (Monoclonal Antibody)</v>
      </c>
      <c r="G23" s="41">
        <v>1</v>
      </c>
      <c r="H23" s="42">
        <f>DATE(2018,9,27)</f>
        <v>43370</v>
      </c>
    </row>
    <row r="24" spans="3:8" x14ac:dyDescent="0.2">
      <c r="D24" s="46" t="s">
        <v>71</v>
      </c>
      <c r="E24" s="39" t="str">
        <f>Kisunla!C4</f>
        <v>Alzheimer's Disease</v>
      </c>
      <c r="F24" s="39" t="str">
        <f>Kisunla!C5</f>
        <v>amyloid beta-directed antibody</v>
      </c>
      <c r="G24" s="47">
        <v>1</v>
      </c>
      <c r="H24" s="48">
        <v>45475</v>
      </c>
    </row>
    <row r="26" spans="3:8" x14ac:dyDescent="0.2">
      <c r="D26" s="49"/>
      <c r="E26" s="30"/>
      <c r="F26" s="30"/>
    </row>
    <row r="28" spans="3:8" x14ac:dyDescent="0.2">
      <c r="C28" s="30"/>
    </row>
    <row r="29" spans="3:8" x14ac:dyDescent="0.2">
      <c r="C29" s="30"/>
    </row>
  </sheetData>
  <phoneticPr fontId="4" type="noConversion"/>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865186-ABD5-9247-B57C-084161281BED}">
  <dimension ref="B1:CM98"/>
  <sheetViews>
    <sheetView tabSelected="1" zoomScale="90" zoomScaleNormal="90" workbookViewId="0">
      <pane xSplit="2" topLeftCell="L1" activePane="topRight" state="frozen"/>
      <selection pane="topRight" activeCell="Q15" sqref="Q15"/>
    </sheetView>
  </sheetViews>
  <sheetFormatPr baseColWidth="10" defaultRowHeight="16" x14ac:dyDescent="0.2"/>
  <cols>
    <col min="1" max="1" width="2.33203125" customWidth="1"/>
    <col min="2" max="2" width="32.6640625" customWidth="1"/>
    <col min="3" max="12" width="13.33203125" customWidth="1"/>
    <col min="13" max="13" width="14" bestFit="1" customWidth="1"/>
    <col min="14" max="14" width="15.1640625" bestFit="1" customWidth="1"/>
    <col min="15" max="31" width="13.33203125" customWidth="1"/>
    <col min="32" max="38" width="13.1640625" customWidth="1"/>
    <col min="39" max="91" width="12.5" bestFit="1" customWidth="1"/>
  </cols>
  <sheetData>
    <row r="1" spans="2:38" ht="10" customHeight="1" x14ac:dyDescent="0.2"/>
    <row r="2" spans="2:38" ht="19" x14ac:dyDescent="0.25">
      <c r="B2" s="4" t="s">
        <v>6</v>
      </c>
    </row>
    <row r="3" spans="2:38" x14ac:dyDescent="0.2">
      <c r="B3" t="s">
        <v>61</v>
      </c>
    </row>
    <row r="4" spans="2:38" ht="17" thickBot="1" x14ac:dyDescent="0.25">
      <c r="B4" s="6"/>
      <c r="C4" s="14" t="s">
        <v>7</v>
      </c>
      <c r="D4" s="14" t="s">
        <v>8</v>
      </c>
      <c r="E4" s="14" t="s">
        <v>9</v>
      </c>
      <c r="F4" s="14" t="s">
        <v>10</v>
      </c>
      <c r="G4" s="14" t="s">
        <v>11</v>
      </c>
      <c r="H4" s="14" t="s">
        <v>12</v>
      </c>
      <c r="I4" s="14" t="s">
        <v>13</v>
      </c>
      <c r="J4" s="14" t="s">
        <v>14</v>
      </c>
      <c r="K4" s="14" t="s">
        <v>15</v>
      </c>
      <c r="L4" s="14" t="s">
        <v>16</v>
      </c>
      <c r="M4" s="14" t="s">
        <v>17</v>
      </c>
      <c r="N4" s="14" t="s">
        <v>18</v>
      </c>
      <c r="O4" s="15" t="s">
        <v>19</v>
      </c>
      <c r="P4" s="14" t="s">
        <v>21</v>
      </c>
      <c r="Q4" s="14" t="s">
        <v>23</v>
      </c>
      <c r="R4" s="14" t="s">
        <v>24</v>
      </c>
      <c r="S4" s="14" t="s">
        <v>22</v>
      </c>
      <c r="T4" s="14" t="s">
        <v>25</v>
      </c>
      <c r="U4" s="14" t="s">
        <v>26</v>
      </c>
      <c r="V4" s="14" t="s">
        <v>27</v>
      </c>
      <c r="W4" s="14" t="s">
        <v>28</v>
      </c>
      <c r="X4" s="14" t="s">
        <v>29</v>
      </c>
      <c r="Y4" s="14" t="s">
        <v>30</v>
      </c>
      <c r="Z4" s="14" t="s">
        <v>31</v>
      </c>
      <c r="AA4" s="14" t="s">
        <v>41</v>
      </c>
      <c r="AB4" s="14" t="s">
        <v>42</v>
      </c>
      <c r="AC4" s="14" t="s">
        <v>43</v>
      </c>
      <c r="AD4" s="14" t="s">
        <v>44</v>
      </c>
      <c r="AE4" s="14" t="s">
        <v>45</v>
      </c>
      <c r="AF4" s="14" t="s">
        <v>46</v>
      </c>
      <c r="AG4" s="14" t="s">
        <v>47</v>
      </c>
      <c r="AH4" s="14" t="s">
        <v>48</v>
      </c>
      <c r="AI4" s="14" t="s">
        <v>76</v>
      </c>
      <c r="AJ4" s="14" t="s">
        <v>77</v>
      </c>
      <c r="AK4" s="14" t="s">
        <v>78</v>
      </c>
      <c r="AL4" s="14" t="s">
        <v>79</v>
      </c>
    </row>
    <row r="5" spans="2:38" x14ac:dyDescent="0.2">
      <c r="B5" s="33" t="s">
        <v>132</v>
      </c>
      <c r="C5" s="34">
        <f>SUM(C6:C14)</f>
        <v>4045.3</v>
      </c>
      <c r="D5" s="34">
        <f t="shared" ref="D5:AL5" si="0">SUM(D6:D14)</f>
        <v>4260.3999999999996</v>
      </c>
      <c r="E5" s="34">
        <f t="shared" si="0"/>
        <v>4565.3999999999996</v>
      </c>
      <c r="F5" s="34">
        <f t="shared" si="0"/>
        <v>5588.7000000000007</v>
      </c>
      <c r="G5" s="34">
        <f t="shared" si="0"/>
        <v>5369.2</v>
      </c>
      <c r="H5" s="34">
        <f t="shared" si="0"/>
        <v>7858.8000000000011</v>
      </c>
      <c r="I5" s="34">
        <f t="shared" si="0"/>
        <v>7261.6</v>
      </c>
      <c r="J5" s="34">
        <f t="shared" si="0"/>
        <v>8962.6999999999989</v>
      </c>
      <c r="K5" s="34">
        <f t="shared" si="0"/>
        <v>9147</v>
      </c>
      <c r="L5" s="34">
        <f t="shared" si="0"/>
        <v>11185.800000000001</v>
      </c>
      <c r="M5" s="34">
        <f t="shared" si="0"/>
        <v>13051.800000000001</v>
      </c>
      <c r="N5" s="34">
        <f t="shared" si="0"/>
        <v>14526.3</v>
      </c>
      <c r="O5" s="52">
        <f t="shared" si="0"/>
        <v>15790.900000000001</v>
      </c>
      <c r="P5" s="34">
        <f t="shared" si="0"/>
        <v>17973.7</v>
      </c>
      <c r="Q5" s="34">
        <f t="shared" si="0"/>
        <v>854</v>
      </c>
      <c r="R5" s="34">
        <f t="shared" si="0"/>
        <v>0</v>
      </c>
      <c r="S5" s="34">
        <f t="shared" si="0"/>
        <v>0</v>
      </c>
      <c r="T5" s="34">
        <f t="shared" si="0"/>
        <v>0</v>
      </c>
      <c r="U5" s="34">
        <f t="shared" si="0"/>
        <v>0</v>
      </c>
      <c r="V5" s="34">
        <f t="shared" si="0"/>
        <v>0</v>
      </c>
      <c r="W5" s="34">
        <f t="shared" si="0"/>
        <v>0</v>
      </c>
      <c r="X5" s="34">
        <f t="shared" si="0"/>
        <v>0</v>
      </c>
      <c r="Y5" s="34">
        <f t="shared" si="0"/>
        <v>0</v>
      </c>
      <c r="Z5" s="34">
        <f t="shared" si="0"/>
        <v>0</v>
      </c>
      <c r="AA5" s="34">
        <f t="shared" si="0"/>
        <v>0</v>
      </c>
      <c r="AB5" s="34">
        <f t="shared" si="0"/>
        <v>0</v>
      </c>
      <c r="AC5" s="34">
        <f t="shared" si="0"/>
        <v>0</v>
      </c>
      <c r="AD5" s="34">
        <f t="shared" si="0"/>
        <v>0</v>
      </c>
      <c r="AE5" s="34">
        <f t="shared" si="0"/>
        <v>0</v>
      </c>
      <c r="AF5" s="34">
        <f t="shared" si="0"/>
        <v>0</v>
      </c>
      <c r="AG5" s="34">
        <f t="shared" si="0"/>
        <v>0</v>
      </c>
      <c r="AH5" s="34">
        <f t="shared" si="0"/>
        <v>0</v>
      </c>
      <c r="AI5" s="34">
        <f t="shared" si="0"/>
        <v>0</v>
      </c>
      <c r="AJ5" s="34">
        <f t="shared" si="0"/>
        <v>0</v>
      </c>
      <c r="AK5" s="34">
        <f t="shared" si="0"/>
        <v>0</v>
      </c>
      <c r="AL5" s="34">
        <f t="shared" si="0"/>
        <v>0</v>
      </c>
    </row>
    <row r="6" spans="2:38" x14ac:dyDescent="0.2">
      <c r="B6" t="s">
        <v>80</v>
      </c>
      <c r="C6" s="9">
        <v>568.5</v>
      </c>
      <c r="D6" s="9">
        <v>979.7</v>
      </c>
      <c r="E6" s="9">
        <v>1409.3</v>
      </c>
      <c r="F6" s="9">
        <v>2205.6</v>
      </c>
      <c r="G6" s="9">
        <v>1806.5</v>
      </c>
      <c r="H6" s="9">
        <v>3090.8</v>
      </c>
      <c r="I6" s="9">
        <v>3112.7</v>
      </c>
      <c r="J6" s="9">
        <v>3530</v>
      </c>
      <c r="K6" s="9">
        <v>3842</v>
      </c>
      <c r="L6" s="9">
        <v>5198.8999999999996</v>
      </c>
      <c r="M6" s="9">
        <v>6515.1</v>
      </c>
      <c r="N6" s="9">
        <v>7409</v>
      </c>
      <c r="O6" s="8">
        <v>8662</v>
      </c>
      <c r="P6" s="3">
        <f>O6*(1.2)</f>
        <v>10394.4</v>
      </c>
    </row>
    <row r="7" spans="2:38" x14ac:dyDescent="0.2">
      <c r="B7" t="s">
        <v>81</v>
      </c>
      <c r="C7" s="31"/>
      <c r="D7" s="31"/>
      <c r="E7" s="31"/>
      <c r="F7" s="9">
        <v>175.8</v>
      </c>
      <c r="G7" s="9">
        <v>517.4</v>
      </c>
      <c r="H7" s="9">
        <v>1243.2</v>
      </c>
      <c r="I7" s="9">
        <v>1257.8</v>
      </c>
      <c r="J7" s="9">
        <v>1907</v>
      </c>
      <c r="K7" s="9">
        <v>2312</v>
      </c>
      <c r="L7" s="9">
        <v>3381.4</v>
      </c>
      <c r="M7" s="9">
        <v>3588</v>
      </c>
      <c r="N7" s="9">
        <v>4261</v>
      </c>
      <c r="O7" s="8">
        <v>4160</v>
      </c>
      <c r="P7" s="3">
        <f>O7*(1.2)</f>
        <v>4992</v>
      </c>
    </row>
    <row r="8" spans="2:38" x14ac:dyDescent="0.2">
      <c r="B8" t="s">
        <v>64</v>
      </c>
      <c r="C8" s="9">
        <v>1977.1</v>
      </c>
      <c r="D8" s="9">
        <v>1812.5</v>
      </c>
      <c r="E8" s="9">
        <v>1673.6</v>
      </c>
      <c r="F8" s="9">
        <v>1669.3</v>
      </c>
      <c r="G8" s="9">
        <v>1456.3</v>
      </c>
      <c r="H8" s="9">
        <v>1245.5999999999999</v>
      </c>
      <c r="I8" s="9">
        <v>1301.4000000000001</v>
      </c>
      <c r="J8" s="9">
        <v>1250.2</v>
      </c>
      <c r="K8" s="9">
        <v>1095</v>
      </c>
      <c r="L8" s="9">
        <v>1092.2</v>
      </c>
      <c r="M8" s="9">
        <v>1051.8</v>
      </c>
      <c r="N8" s="9">
        <f>4276-M8-L8-K8</f>
        <v>1037</v>
      </c>
      <c r="O8" s="8">
        <v>919</v>
      </c>
      <c r="P8" s="12">
        <f>O8-100</f>
        <v>819</v>
      </c>
    </row>
    <row r="9" spans="2:38" x14ac:dyDescent="0.2">
      <c r="B9" s="32" t="s">
        <v>100</v>
      </c>
      <c r="C9" s="31"/>
      <c r="D9" s="31"/>
      <c r="E9" s="31"/>
      <c r="F9" s="31"/>
      <c r="G9" s="31"/>
      <c r="H9" s="31"/>
      <c r="I9" s="31"/>
      <c r="J9" s="31"/>
      <c r="K9" s="31"/>
      <c r="L9" s="31"/>
      <c r="M9" s="31"/>
      <c r="N9" s="31"/>
      <c r="O9" s="53"/>
    </row>
    <row r="10" spans="2:38" x14ac:dyDescent="0.2">
      <c r="B10" s="32" t="s">
        <v>82</v>
      </c>
      <c r="C10" s="31"/>
      <c r="D10" s="31"/>
      <c r="E10" s="31"/>
      <c r="F10" s="31"/>
      <c r="G10" s="31"/>
      <c r="H10" s="31"/>
      <c r="I10" s="31"/>
      <c r="J10" s="31"/>
      <c r="K10" s="31"/>
      <c r="L10" s="31"/>
      <c r="M10" s="31"/>
      <c r="N10" s="31"/>
      <c r="O10" s="53"/>
    </row>
    <row r="11" spans="2:38" x14ac:dyDescent="0.2">
      <c r="B11" t="s">
        <v>129</v>
      </c>
      <c r="C11" s="9">
        <v>209.3</v>
      </c>
      <c r="D11" s="9">
        <v>154.19999999999999</v>
      </c>
      <c r="E11" s="9">
        <v>179.6</v>
      </c>
      <c r="F11" s="9">
        <f>728.3-E11-D11-C11</f>
        <v>185.19999999999993</v>
      </c>
      <c r="G11" s="9">
        <v>157.6</v>
      </c>
      <c r="H11" s="9">
        <v>180.8</v>
      </c>
      <c r="I11" s="9">
        <v>161.6</v>
      </c>
      <c r="J11" s="9">
        <v>176.9</v>
      </c>
      <c r="K11" s="9">
        <v>173.6</v>
      </c>
      <c r="L11" s="9">
        <v>145</v>
      </c>
      <c r="M11" s="9">
        <v>162.19999999999999</v>
      </c>
      <c r="N11" s="9">
        <f t="shared" ref="N11:O11" si="1">+J11</f>
        <v>176.9</v>
      </c>
      <c r="O11" s="8">
        <f t="shared" si="1"/>
        <v>173.6</v>
      </c>
      <c r="P11" s="12">
        <f>L11</f>
        <v>145</v>
      </c>
    </row>
    <row r="12" spans="2:38" x14ac:dyDescent="0.2">
      <c r="B12" t="s">
        <v>83</v>
      </c>
      <c r="C12" s="9">
        <v>460.9</v>
      </c>
      <c r="D12" s="9">
        <v>440.4</v>
      </c>
      <c r="E12" s="9">
        <v>395.4</v>
      </c>
      <c r="F12" s="9">
        <v>366.6</v>
      </c>
      <c r="G12" s="9">
        <v>538.70000000000005</v>
      </c>
      <c r="H12" s="9">
        <v>631.6</v>
      </c>
      <c r="I12" s="9">
        <v>534.6</v>
      </c>
      <c r="J12" s="9">
        <v>619.9</v>
      </c>
      <c r="K12" s="9">
        <v>537.20000000000005</v>
      </c>
      <c r="L12" s="9">
        <v>503.1</v>
      </c>
      <c r="M12" s="9">
        <v>599.1</v>
      </c>
      <c r="N12" s="9">
        <f>+M12-5</f>
        <v>594.1</v>
      </c>
      <c r="O12" s="8">
        <f>+N12-5</f>
        <v>589.1</v>
      </c>
      <c r="P12" s="12">
        <f>O12-5</f>
        <v>584.1</v>
      </c>
    </row>
    <row r="13" spans="2:38" x14ac:dyDescent="0.2">
      <c r="B13" t="s">
        <v>130</v>
      </c>
      <c r="C13" s="9">
        <v>252</v>
      </c>
      <c r="D13" s="9">
        <v>205.3</v>
      </c>
      <c r="E13" s="9">
        <v>206.7</v>
      </c>
      <c r="F13" s="9">
        <f>852.1-E13-D13-C13</f>
        <v>188.10000000000008</v>
      </c>
      <c r="G13" s="9">
        <v>206.2</v>
      </c>
      <c r="H13" s="9">
        <v>223.6</v>
      </c>
      <c r="I13" s="9">
        <v>207.1</v>
      </c>
      <c r="J13" s="9">
        <v>280.3</v>
      </c>
      <c r="K13" s="9">
        <v>173.2</v>
      </c>
      <c r="L13" s="9">
        <v>175.2</v>
      </c>
      <c r="M13" s="9">
        <v>176.6</v>
      </c>
      <c r="N13" s="9">
        <f>+J13</f>
        <v>280.3</v>
      </c>
      <c r="O13" s="8">
        <f t="shared" ref="O13" si="2">+K13</f>
        <v>173.2</v>
      </c>
      <c r="P13" s="12">
        <f>L13</f>
        <v>175.2</v>
      </c>
    </row>
    <row r="14" spans="2:38" x14ac:dyDescent="0.2">
      <c r="B14" t="s">
        <v>63</v>
      </c>
      <c r="C14" s="9">
        <v>577.5</v>
      </c>
      <c r="D14" s="9">
        <v>668.3</v>
      </c>
      <c r="E14" s="9">
        <v>700.8</v>
      </c>
      <c r="F14" s="9">
        <v>798.1</v>
      </c>
      <c r="G14" s="9">
        <v>686.5</v>
      </c>
      <c r="H14" s="9">
        <v>1243.2</v>
      </c>
      <c r="I14" s="9">
        <v>686.4</v>
      </c>
      <c r="J14" s="9">
        <v>1198.4000000000001</v>
      </c>
      <c r="K14" s="9">
        <v>1014</v>
      </c>
      <c r="L14" s="9">
        <v>690</v>
      </c>
      <c r="M14" s="9">
        <v>959</v>
      </c>
      <c r="N14" s="9">
        <f>3431-K14-L14-M14</f>
        <v>768</v>
      </c>
      <c r="O14" s="8">
        <v>1114</v>
      </c>
      <c r="P14" s="12">
        <f>O14-250</f>
        <v>864</v>
      </c>
      <c r="Q14" s="12">
        <f>P14-10</f>
        <v>854</v>
      </c>
    </row>
    <row r="15" spans="2:38" x14ac:dyDescent="0.2">
      <c r="B15" s="33" t="s">
        <v>131</v>
      </c>
      <c r="C15" s="10">
        <f>SUM(C16:C22)</f>
        <v>1230.0000000000002</v>
      </c>
      <c r="D15" s="10">
        <f t="shared" ref="D15:AL15" si="3">SUM(D16:D22)</f>
        <v>1518.6</v>
      </c>
      <c r="E15" s="10">
        <f t="shared" si="3"/>
        <v>1596.7</v>
      </c>
      <c r="F15" s="10">
        <f t="shared" si="3"/>
        <v>1736.2</v>
      </c>
      <c r="G15" s="10">
        <f t="shared" si="3"/>
        <v>1660.7</v>
      </c>
      <c r="H15" s="10">
        <f t="shared" si="3"/>
        <v>2043.2000000000003</v>
      </c>
      <c r="I15" s="10">
        <f t="shared" si="3"/>
        <v>2102.6</v>
      </c>
      <c r="J15" s="10">
        <f t="shared" si="3"/>
        <v>2328.1999999999998</v>
      </c>
      <c r="K15" s="10">
        <f t="shared" si="3"/>
        <v>1853.3000000000002</v>
      </c>
      <c r="L15" s="10">
        <f t="shared" si="3"/>
        <v>2317.6000000000004</v>
      </c>
      <c r="M15" s="10">
        <f t="shared" si="3"/>
        <v>2326</v>
      </c>
      <c r="N15" s="10">
        <f t="shared" si="3"/>
        <v>2468.5</v>
      </c>
      <c r="O15" s="7">
        <f t="shared" si="3"/>
        <v>2135.4</v>
      </c>
      <c r="P15" s="10">
        <f t="shared" si="3"/>
        <v>2559.9300000000003</v>
      </c>
      <c r="Q15" s="10">
        <f t="shared" si="3"/>
        <v>0</v>
      </c>
      <c r="R15" s="10">
        <f t="shared" si="3"/>
        <v>0</v>
      </c>
      <c r="S15" s="10">
        <f t="shared" si="3"/>
        <v>0</v>
      </c>
      <c r="T15" s="10">
        <f t="shared" si="3"/>
        <v>0</v>
      </c>
      <c r="U15" s="10">
        <f t="shared" si="3"/>
        <v>0</v>
      </c>
      <c r="V15" s="10">
        <f t="shared" si="3"/>
        <v>0</v>
      </c>
      <c r="W15" s="10">
        <f t="shared" si="3"/>
        <v>0</v>
      </c>
      <c r="X15" s="10">
        <f t="shared" si="3"/>
        <v>0</v>
      </c>
      <c r="Y15" s="10">
        <f t="shared" si="3"/>
        <v>0</v>
      </c>
      <c r="Z15" s="10">
        <f t="shared" si="3"/>
        <v>0</v>
      </c>
      <c r="AA15" s="10">
        <f t="shared" si="3"/>
        <v>0</v>
      </c>
      <c r="AB15" s="10">
        <f t="shared" si="3"/>
        <v>0</v>
      </c>
      <c r="AC15" s="10">
        <f t="shared" si="3"/>
        <v>0</v>
      </c>
      <c r="AD15" s="10">
        <f t="shared" si="3"/>
        <v>0</v>
      </c>
      <c r="AE15" s="10">
        <f t="shared" si="3"/>
        <v>0</v>
      </c>
      <c r="AF15" s="10">
        <f t="shared" si="3"/>
        <v>0</v>
      </c>
      <c r="AG15" s="10">
        <f t="shared" si="3"/>
        <v>0</v>
      </c>
      <c r="AH15" s="10">
        <f t="shared" si="3"/>
        <v>0</v>
      </c>
      <c r="AI15" s="10">
        <f t="shared" si="3"/>
        <v>0</v>
      </c>
      <c r="AJ15" s="10">
        <f t="shared" si="3"/>
        <v>0</v>
      </c>
      <c r="AK15" s="10">
        <f t="shared" si="3"/>
        <v>0</v>
      </c>
      <c r="AL15" s="10">
        <f t="shared" si="3"/>
        <v>0</v>
      </c>
    </row>
    <row r="16" spans="2:38" x14ac:dyDescent="0.2">
      <c r="B16" t="s">
        <v>67</v>
      </c>
      <c r="C16" s="9">
        <v>750.9</v>
      </c>
      <c r="D16" s="9">
        <v>926.8</v>
      </c>
      <c r="E16" s="9">
        <v>1040.2</v>
      </c>
      <c r="F16" s="9">
        <v>1145.4000000000001</v>
      </c>
      <c r="G16" s="9">
        <v>1050.3</v>
      </c>
      <c r="H16" s="9">
        <v>1331.9</v>
      </c>
      <c r="I16" s="9">
        <v>1369.3</v>
      </c>
      <c r="J16" s="9">
        <v>1555</v>
      </c>
      <c r="K16" s="9">
        <v>1158.9000000000001</v>
      </c>
      <c r="L16" s="9">
        <v>1489.3</v>
      </c>
      <c r="M16" s="9">
        <v>1470.2</v>
      </c>
      <c r="N16" s="9">
        <v>1604</v>
      </c>
      <c r="O16" s="8">
        <v>1302</v>
      </c>
      <c r="P16" s="3">
        <f>L16*1.1</f>
        <v>1638.23</v>
      </c>
    </row>
    <row r="17" spans="2:38" x14ac:dyDescent="0.2">
      <c r="B17" t="s">
        <v>133</v>
      </c>
      <c r="C17" s="9">
        <v>236.8</v>
      </c>
      <c r="D17" s="9">
        <v>260.3</v>
      </c>
      <c r="E17" s="9">
        <v>224.1</v>
      </c>
      <c r="F17" s="9">
        <v>253.6</v>
      </c>
      <c r="G17" s="9">
        <v>229.9</v>
      </c>
      <c r="H17" s="9">
        <v>248.9</v>
      </c>
      <c r="I17" s="9">
        <v>236</v>
      </c>
      <c r="J17" s="9">
        <v>258.60000000000002</v>
      </c>
      <c r="K17" s="9">
        <v>224.9</v>
      </c>
      <c r="L17" s="9">
        <v>253.7</v>
      </c>
      <c r="M17" s="9">
        <v>245.5</v>
      </c>
      <c r="N17" s="9">
        <f>+J17</f>
        <v>258.60000000000002</v>
      </c>
      <c r="O17" s="8">
        <f>+K17</f>
        <v>224.9</v>
      </c>
      <c r="P17" s="12">
        <f>L17</f>
        <v>253.7</v>
      </c>
    </row>
    <row r="18" spans="2:38" x14ac:dyDescent="0.2">
      <c r="B18" t="s">
        <v>134</v>
      </c>
      <c r="C18" s="9">
        <v>129.9</v>
      </c>
      <c r="D18" s="9">
        <v>162.5</v>
      </c>
      <c r="E18" s="9">
        <v>153.9</v>
      </c>
      <c r="F18" s="9">
        <f>596.5-E18-D18-C18</f>
        <v>150.20000000000002</v>
      </c>
      <c r="G18" s="9">
        <v>144.6</v>
      </c>
      <c r="H18" s="9">
        <v>155.80000000000001</v>
      </c>
      <c r="I18" s="9">
        <v>152</v>
      </c>
      <c r="J18" s="9">
        <v>175</v>
      </c>
      <c r="K18" s="9">
        <v>149</v>
      </c>
      <c r="L18" s="9">
        <v>183.7</v>
      </c>
      <c r="M18" s="9">
        <v>198.6</v>
      </c>
      <c r="N18" s="9">
        <f t="shared" ref="N18:O18" si="4">+J18</f>
        <v>175</v>
      </c>
      <c r="O18" s="8">
        <f t="shared" si="4"/>
        <v>149</v>
      </c>
      <c r="P18" s="12">
        <f>L18</f>
        <v>183.7</v>
      </c>
    </row>
    <row r="19" spans="2:38" x14ac:dyDescent="0.2">
      <c r="B19" t="s">
        <v>135</v>
      </c>
      <c r="C19" s="9">
        <v>51.4</v>
      </c>
      <c r="D19" s="9">
        <v>65.400000000000006</v>
      </c>
      <c r="E19" s="9">
        <v>63.4</v>
      </c>
      <c r="F19" s="9">
        <v>73.400000000000006</v>
      </c>
      <c r="G19" s="9">
        <v>69.2</v>
      </c>
      <c r="H19" s="9">
        <v>91.2</v>
      </c>
      <c r="I19" s="9">
        <v>114</v>
      </c>
      <c r="J19" s="9">
        <v>90</v>
      </c>
      <c r="K19" s="9">
        <v>91</v>
      </c>
      <c r="L19" s="9">
        <v>125.3</v>
      </c>
      <c r="M19" s="9">
        <v>112</v>
      </c>
      <c r="N19" s="9">
        <f>+M19+5</f>
        <v>117</v>
      </c>
      <c r="O19" s="8">
        <f t="shared" ref="O19" si="5">+N19+5</f>
        <v>122</v>
      </c>
      <c r="P19" s="9">
        <f>+O19+5</f>
        <v>127</v>
      </c>
    </row>
    <row r="20" spans="2:38" x14ac:dyDescent="0.2">
      <c r="B20" t="s">
        <v>136</v>
      </c>
      <c r="C20" s="9">
        <v>61</v>
      </c>
      <c r="D20" s="9">
        <v>103.6</v>
      </c>
      <c r="E20" s="9">
        <v>115.1</v>
      </c>
      <c r="F20" s="9">
        <v>113.6</v>
      </c>
      <c r="G20" s="9">
        <v>116.7</v>
      </c>
      <c r="H20" s="9">
        <v>123</v>
      </c>
      <c r="I20" s="9">
        <v>150.19999999999999</v>
      </c>
      <c r="J20" s="9">
        <v>136</v>
      </c>
      <c r="K20" s="9">
        <v>137.5</v>
      </c>
      <c r="L20" s="9">
        <v>137.30000000000001</v>
      </c>
      <c r="M20" s="9">
        <v>141.80000000000001</v>
      </c>
      <c r="N20" s="9">
        <f t="shared" ref="N20:P20" si="6">+J20</f>
        <v>136</v>
      </c>
      <c r="O20" s="8">
        <f t="shared" si="6"/>
        <v>137.5</v>
      </c>
      <c r="P20" s="9">
        <f t="shared" si="6"/>
        <v>137.30000000000001</v>
      </c>
    </row>
    <row r="21" spans="2:38" x14ac:dyDescent="0.2">
      <c r="B21" t="s">
        <v>66</v>
      </c>
      <c r="C21" s="31"/>
      <c r="D21" s="31"/>
      <c r="E21" s="31"/>
      <c r="F21" s="31"/>
      <c r="G21" s="9">
        <v>50</v>
      </c>
      <c r="H21" s="9">
        <v>92.4</v>
      </c>
      <c r="I21" s="9">
        <v>81.099999999999994</v>
      </c>
      <c r="J21" s="9">
        <v>113.6</v>
      </c>
      <c r="K21" s="9">
        <v>92</v>
      </c>
      <c r="L21" s="9">
        <v>123.3</v>
      </c>
      <c r="M21" s="9">
        <v>142.9</v>
      </c>
      <c r="N21" s="9">
        <f>+M21+10</f>
        <v>152.9</v>
      </c>
      <c r="O21" s="8">
        <v>165</v>
      </c>
      <c r="P21" s="12">
        <f>O21+10</f>
        <v>175</v>
      </c>
    </row>
    <row r="22" spans="2:38" x14ac:dyDescent="0.2">
      <c r="B22" t="s">
        <v>65</v>
      </c>
      <c r="C22" s="31"/>
      <c r="D22" s="31"/>
      <c r="E22" s="31"/>
      <c r="F22" s="31"/>
      <c r="G22" s="31"/>
      <c r="H22" s="31"/>
      <c r="I22" s="31"/>
      <c r="J22" s="31"/>
      <c r="K22" s="31"/>
      <c r="L22" s="9">
        <f t="shared" ref="L22:M22" si="7">M22-10</f>
        <v>5</v>
      </c>
      <c r="M22" s="9">
        <f t="shared" si="7"/>
        <v>15</v>
      </c>
      <c r="N22" s="9">
        <f>O22-10</f>
        <v>25</v>
      </c>
      <c r="O22" s="8">
        <v>35</v>
      </c>
      <c r="P22" s="12">
        <f t="shared" ref="P22" si="8">O22+10</f>
        <v>45</v>
      </c>
    </row>
    <row r="23" spans="2:38" x14ac:dyDescent="0.2">
      <c r="B23" s="33" t="s">
        <v>137</v>
      </c>
      <c r="C23" s="10">
        <f>SUM(C24:C27)</f>
        <v>755.9</v>
      </c>
      <c r="D23" s="10">
        <f t="shared" ref="D23:AL23" si="9">SUM(D24:D27)</f>
        <v>922.8</v>
      </c>
      <c r="E23" s="10">
        <f t="shared" si="9"/>
        <v>975.6</v>
      </c>
      <c r="F23" s="10">
        <f t="shared" si="9"/>
        <v>1028.0999999999999</v>
      </c>
      <c r="G23" s="10">
        <f t="shared" si="9"/>
        <v>834</v>
      </c>
      <c r="H23" s="10">
        <f t="shared" si="9"/>
        <v>1082.3000000000002</v>
      </c>
      <c r="I23" s="10">
        <f t="shared" si="9"/>
        <v>1185.8</v>
      </c>
      <c r="J23" s="10">
        <f t="shared" si="9"/>
        <v>1290.9000000000001</v>
      </c>
      <c r="K23" s="10">
        <f t="shared" si="9"/>
        <v>1088.0999999999999</v>
      </c>
      <c r="L23" s="10">
        <f t="shared" si="9"/>
        <v>1255.5999999999999</v>
      </c>
      <c r="M23" s="10">
        <f t="shared" si="9"/>
        <v>1362.4</v>
      </c>
      <c r="N23" s="10">
        <f t="shared" si="9"/>
        <v>1535.5</v>
      </c>
      <c r="O23" s="7">
        <f t="shared" si="9"/>
        <v>1186.7</v>
      </c>
      <c r="P23" s="10">
        <f t="shared" si="9"/>
        <v>1334</v>
      </c>
      <c r="Q23" s="10">
        <f t="shared" si="9"/>
        <v>0</v>
      </c>
      <c r="R23" s="10">
        <f t="shared" si="9"/>
        <v>0</v>
      </c>
      <c r="S23" s="10">
        <f t="shared" si="9"/>
        <v>0</v>
      </c>
      <c r="T23" s="10">
        <f t="shared" si="9"/>
        <v>0</v>
      </c>
      <c r="U23" s="10">
        <f t="shared" si="9"/>
        <v>0</v>
      </c>
      <c r="V23" s="10">
        <f t="shared" si="9"/>
        <v>0</v>
      </c>
      <c r="W23" s="10">
        <f t="shared" si="9"/>
        <v>0</v>
      </c>
      <c r="X23" s="10">
        <f t="shared" si="9"/>
        <v>0</v>
      </c>
      <c r="Y23" s="10">
        <f t="shared" si="9"/>
        <v>0</v>
      </c>
      <c r="Z23" s="10">
        <f t="shared" si="9"/>
        <v>0</v>
      </c>
      <c r="AA23" s="10">
        <f t="shared" si="9"/>
        <v>0</v>
      </c>
      <c r="AB23" s="10">
        <f t="shared" si="9"/>
        <v>0</v>
      </c>
      <c r="AC23" s="10">
        <f t="shared" si="9"/>
        <v>0</v>
      </c>
      <c r="AD23" s="10">
        <f t="shared" si="9"/>
        <v>0</v>
      </c>
      <c r="AE23" s="10">
        <f t="shared" si="9"/>
        <v>0</v>
      </c>
      <c r="AF23" s="10">
        <f t="shared" si="9"/>
        <v>0</v>
      </c>
      <c r="AG23" s="10">
        <f t="shared" si="9"/>
        <v>0</v>
      </c>
      <c r="AH23" s="10">
        <f t="shared" si="9"/>
        <v>0</v>
      </c>
      <c r="AI23" s="10">
        <f t="shared" si="9"/>
        <v>0</v>
      </c>
      <c r="AJ23" s="10">
        <f t="shared" si="9"/>
        <v>0</v>
      </c>
      <c r="AK23" s="10">
        <f t="shared" si="9"/>
        <v>0</v>
      </c>
      <c r="AL23" s="10">
        <f t="shared" si="9"/>
        <v>0</v>
      </c>
    </row>
    <row r="24" spans="2:38" x14ac:dyDescent="0.2">
      <c r="B24" t="s">
        <v>68</v>
      </c>
      <c r="C24" s="31"/>
      <c r="D24" s="31"/>
      <c r="E24" s="31"/>
      <c r="F24" s="31"/>
      <c r="G24" s="9">
        <v>3.1</v>
      </c>
      <c r="H24" s="9">
        <v>4.3</v>
      </c>
      <c r="I24" s="9">
        <v>14.9</v>
      </c>
      <c r="J24" s="9">
        <v>20.399999999999999</v>
      </c>
      <c r="K24" s="9">
        <v>60.2</v>
      </c>
      <c r="L24" s="9">
        <v>86.8</v>
      </c>
      <c r="M24" s="9">
        <v>127.1</v>
      </c>
      <c r="N24" s="9">
        <f>+M24+5</f>
        <v>132.1</v>
      </c>
      <c r="O24" s="8">
        <v>145</v>
      </c>
      <c r="P24" s="12">
        <f>O24+10</f>
        <v>155</v>
      </c>
    </row>
    <row r="25" spans="2:38" x14ac:dyDescent="0.2">
      <c r="B25" t="s">
        <v>140</v>
      </c>
      <c r="C25" s="9">
        <v>228.9</v>
      </c>
      <c r="D25" s="9">
        <v>218.9</v>
      </c>
      <c r="E25" s="9">
        <v>231.4</v>
      </c>
      <c r="F25" s="9">
        <v>243.5</v>
      </c>
      <c r="G25" s="9">
        <v>217.4</v>
      </c>
      <c r="H25" s="9">
        <v>227.7</v>
      </c>
      <c r="I25" s="9">
        <v>250.8</v>
      </c>
      <c r="J25" s="9">
        <v>261.60000000000002</v>
      </c>
      <c r="K25" s="9">
        <v>228.7</v>
      </c>
      <c r="L25" s="9">
        <v>246.4</v>
      </c>
      <c r="M25" s="9">
        <v>268.89999999999998</v>
      </c>
      <c r="N25" s="9">
        <f t="shared" ref="N25" si="10">+J25</f>
        <v>261.60000000000002</v>
      </c>
      <c r="O25" s="8">
        <f>+K25</f>
        <v>228.7</v>
      </c>
      <c r="P25" s="9">
        <f>+L25</f>
        <v>246.4</v>
      </c>
    </row>
    <row r="26" spans="2:38" x14ac:dyDescent="0.2">
      <c r="B26" t="s">
        <v>69</v>
      </c>
      <c r="C26" s="31"/>
      <c r="D26" s="31"/>
      <c r="E26" s="31"/>
      <c r="F26" s="31"/>
      <c r="G26" s="9">
        <v>9.4</v>
      </c>
      <c r="H26" s="9">
        <v>25.6</v>
      </c>
      <c r="I26" s="9">
        <v>40.5</v>
      </c>
      <c r="J26" s="9">
        <v>56.9</v>
      </c>
      <c r="K26" s="9">
        <v>37.200000000000003</v>
      </c>
      <c r="L26" s="9">
        <v>74.8</v>
      </c>
      <c r="M26" s="9">
        <v>64.900000000000006</v>
      </c>
      <c r="N26" s="9">
        <f>+M26+25</f>
        <v>89.9</v>
      </c>
      <c r="O26" s="8">
        <v>80</v>
      </c>
      <c r="P26" s="12">
        <f>O26+10</f>
        <v>90</v>
      </c>
    </row>
    <row r="27" spans="2:38" x14ac:dyDescent="0.2">
      <c r="B27" t="s">
        <v>70</v>
      </c>
      <c r="C27" s="9">
        <v>527</v>
      </c>
      <c r="D27" s="9">
        <v>703.9</v>
      </c>
      <c r="E27" s="9">
        <v>744.2</v>
      </c>
      <c r="F27" s="9">
        <v>784.6</v>
      </c>
      <c r="G27" s="9">
        <v>604.1</v>
      </c>
      <c r="H27" s="9">
        <v>824.7</v>
      </c>
      <c r="I27" s="9">
        <v>879.6</v>
      </c>
      <c r="J27" s="9">
        <v>952</v>
      </c>
      <c r="K27" s="9">
        <v>762</v>
      </c>
      <c r="L27" s="9">
        <v>847.6</v>
      </c>
      <c r="M27" s="9">
        <v>901.5</v>
      </c>
      <c r="N27" s="9">
        <f>3563-K27-L27-M27</f>
        <v>1051.9000000000001</v>
      </c>
      <c r="O27" s="8">
        <v>733</v>
      </c>
      <c r="P27" s="12">
        <f>L27-5</f>
        <v>842.6</v>
      </c>
    </row>
    <row r="28" spans="2:38" x14ac:dyDescent="0.2">
      <c r="B28" s="33" t="s">
        <v>138</v>
      </c>
      <c r="C28" s="10">
        <f>SUM(C29:C30)</f>
        <v>154.30000000000001</v>
      </c>
      <c r="D28" s="10">
        <f t="shared" ref="D28:AL28" si="11">SUM(D29:D30)</f>
        <v>169.3</v>
      </c>
      <c r="E28" s="10">
        <f t="shared" si="11"/>
        <v>168.5</v>
      </c>
      <c r="F28" s="10">
        <f t="shared" si="11"/>
        <v>186.1</v>
      </c>
      <c r="G28" s="10">
        <f t="shared" si="11"/>
        <v>225.7</v>
      </c>
      <c r="H28" s="10">
        <f t="shared" si="11"/>
        <v>192</v>
      </c>
      <c r="I28" s="10">
        <f t="shared" si="11"/>
        <v>204.3</v>
      </c>
      <c r="J28" s="10">
        <f t="shared" si="11"/>
        <v>257.7</v>
      </c>
      <c r="K28" s="10">
        <f t="shared" si="11"/>
        <v>146.1</v>
      </c>
      <c r="L28" s="10">
        <f t="shared" si="11"/>
        <v>249.7</v>
      </c>
      <c r="M28" s="10">
        <f t="shared" si="11"/>
        <v>246.1</v>
      </c>
      <c r="N28" s="10">
        <f t="shared" si="11"/>
        <v>370.18000000000006</v>
      </c>
      <c r="O28" s="7">
        <f>SUM(O29:O30)</f>
        <v>261.06</v>
      </c>
      <c r="P28" s="10">
        <f t="shared" si="11"/>
        <v>340.1</v>
      </c>
      <c r="Q28" s="10">
        <f t="shared" si="11"/>
        <v>0</v>
      </c>
      <c r="R28" s="10">
        <f t="shared" si="11"/>
        <v>0</v>
      </c>
      <c r="S28" s="10">
        <f t="shared" si="11"/>
        <v>0</v>
      </c>
      <c r="T28" s="10">
        <f t="shared" si="11"/>
        <v>0</v>
      </c>
      <c r="U28" s="10">
        <f t="shared" si="11"/>
        <v>0</v>
      </c>
      <c r="V28" s="10">
        <f t="shared" si="11"/>
        <v>0</v>
      </c>
      <c r="W28" s="10">
        <f t="shared" si="11"/>
        <v>0</v>
      </c>
      <c r="X28" s="10">
        <f t="shared" si="11"/>
        <v>0</v>
      </c>
      <c r="Y28" s="10">
        <f t="shared" si="11"/>
        <v>0</v>
      </c>
      <c r="Z28" s="10">
        <f t="shared" si="11"/>
        <v>0</v>
      </c>
      <c r="AA28" s="10">
        <f t="shared" si="11"/>
        <v>0</v>
      </c>
      <c r="AB28" s="10">
        <f t="shared" si="11"/>
        <v>0</v>
      </c>
      <c r="AC28" s="10">
        <f t="shared" si="11"/>
        <v>0</v>
      </c>
      <c r="AD28" s="10">
        <f t="shared" si="11"/>
        <v>0</v>
      </c>
      <c r="AE28" s="10">
        <f t="shared" si="11"/>
        <v>0</v>
      </c>
      <c r="AF28" s="10">
        <f t="shared" si="11"/>
        <v>0</v>
      </c>
      <c r="AG28" s="10">
        <f t="shared" si="11"/>
        <v>0</v>
      </c>
      <c r="AH28" s="10">
        <f t="shared" si="11"/>
        <v>0</v>
      </c>
      <c r="AI28" s="10">
        <f t="shared" si="11"/>
        <v>0</v>
      </c>
      <c r="AJ28" s="10">
        <f t="shared" si="11"/>
        <v>0</v>
      </c>
      <c r="AK28" s="10">
        <f t="shared" si="11"/>
        <v>0</v>
      </c>
      <c r="AL28" s="10">
        <f t="shared" si="11"/>
        <v>0</v>
      </c>
    </row>
    <row r="29" spans="2:38" x14ac:dyDescent="0.2">
      <c r="B29" t="s">
        <v>139</v>
      </c>
      <c r="C29" s="9">
        <v>154.30000000000001</v>
      </c>
      <c r="D29" s="9">
        <v>169.3</v>
      </c>
      <c r="E29" s="9">
        <v>168.5</v>
      </c>
      <c r="F29" s="9">
        <v>186.1</v>
      </c>
      <c r="G29" s="9">
        <v>225.7</v>
      </c>
      <c r="H29" s="9">
        <v>192</v>
      </c>
      <c r="I29" s="9">
        <v>202.9</v>
      </c>
      <c r="J29" s="9">
        <v>249.8</v>
      </c>
      <c r="K29" s="9">
        <v>124.6</v>
      </c>
      <c r="L29" s="9">
        <v>201.1</v>
      </c>
      <c r="M29" s="9">
        <v>175.7</v>
      </c>
      <c r="N29" s="9">
        <f t="shared" ref="N29:O29" si="12">+J29*1.1</f>
        <v>274.78000000000003</v>
      </c>
      <c r="O29" s="8">
        <f t="shared" si="12"/>
        <v>137.06</v>
      </c>
      <c r="P29" s="12">
        <f>L29</f>
        <v>201.1</v>
      </c>
    </row>
    <row r="30" spans="2:38" x14ac:dyDescent="0.2">
      <c r="B30" t="s">
        <v>71</v>
      </c>
      <c r="C30" s="31"/>
      <c r="D30" s="31"/>
      <c r="E30" s="31"/>
      <c r="F30" s="31"/>
      <c r="G30" s="31"/>
      <c r="H30" s="31"/>
      <c r="I30" s="9">
        <v>1.4</v>
      </c>
      <c r="J30" s="9">
        <v>7.9</v>
      </c>
      <c r="K30" s="9">
        <v>21.5</v>
      </c>
      <c r="L30" s="9">
        <v>48.6</v>
      </c>
      <c r="M30" s="9">
        <v>70.400000000000006</v>
      </c>
      <c r="N30" s="9">
        <f t="shared" ref="N30" si="13">+M30+25</f>
        <v>95.4</v>
      </c>
      <c r="O30" s="8">
        <v>124</v>
      </c>
      <c r="P30" s="12">
        <f>O30+15</f>
        <v>139</v>
      </c>
    </row>
    <row r="31" spans="2:38" x14ac:dyDescent="0.2">
      <c r="B31" t="s">
        <v>84</v>
      </c>
      <c r="C31" s="12">
        <f t="shared" ref="C31:N31" si="14">C35-(C5+C15+C23+C28)</f>
        <v>774.5</v>
      </c>
      <c r="D31" s="12">
        <f t="shared" si="14"/>
        <v>1441</v>
      </c>
      <c r="E31" s="12">
        <f t="shared" si="14"/>
        <v>2192.4000000000005</v>
      </c>
      <c r="F31" s="12">
        <f t="shared" si="14"/>
        <v>814.29999999999927</v>
      </c>
      <c r="G31" s="12">
        <f t="shared" si="14"/>
        <v>678.40000000000055</v>
      </c>
      <c r="H31" s="12">
        <f t="shared" si="14"/>
        <v>126.49999999999636</v>
      </c>
      <c r="I31" s="12">
        <f t="shared" si="14"/>
        <v>684.80000000000109</v>
      </c>
      <c r="J31" s="12">
        <f t="shared" si="14"/>
        <v>693.30000000000109</v>
      </c>
      <c r="K31" s="12">
        <f t="shared" si="14"/>
        <v>494.5</v>
      </c>
      <c r="L31" s="12">
        <f t="shared" si="14"/>
        <v>548.99999999999818</v>
      </c>
      <c r="M31" s="12">
        <f t="shared" si="14"/>
        <v>614.5</v>
      </c>
      <c r="N31" s="12">
        <f t="shared" si="14"/>
        <v>391.52000000000044</v>
      </c>
      <c r="O31" s="25">
        <f>O35-(O5+O15+O23+O28)</f>
        <v>424.93999999999505</v>
      </c>
      <c r="P31" s="12">
        <f>AVERAGE(C31:O31)</f>
        <v>759.97384615384556</v>
      </c>
      <c r="Q31" s="12"/>
      <c r="R31" s="12"/>
      <c r="S31" s="12"/>
      <c r="T31" s="12"/>
      <c r="U31" s="12"/>
      <c r="V31" s="12"/>
      <c r="W31" s="12"/>
      <c r="X31" s="12"/>
      <c r="Y31" s="12"/>
      <c r="Z31" s="12"/>
      <c r="AA31" s="12"/>
      <c r="AB31" s="12"/>
      <c r="AC31" s="12"/>
      <c r="AD31" s="12"/>
      <c r="AE31" s="12"/>
      <c r="AF31" s="12"/>
      <c r="AG31" s="12"/>
      <c r="AH31" s="12"/>
      <c r="AI31" s="12"/>
      <c r="AJ31" s="12"/>
      <c r="AK31" s="12"/>
      <c r="AL31" s="12"/>
    </row>
    <row r="32" spans="2:38" x14ac:dyDescent="0.2">
      <c r="C32" s="16"/>
      <c r="D32" s="16"/>
      <c r="E32" s="16"/>
      <c r="F32" s="16"/>
      <c r="G32" s="16"/>
      <c r="H32" s="16"/>
      <c r="I32" s="16"/>
      <c r="J32" s="16"/>
      <c r="K32" s="16"/>
      <c r="L32" s="16"/>
      <c r="M32" s="16"/>
      <c r="N32" s="16"/>
      <c r="O32" s="16"/>
      <c r="P32" s="35"/>
    </row>
    <row r="33" spans="2:38" x14ac:dyDescent="0.2">
      <c r="B33" s="27"/>
      <c r="C33" s="19"/>
      <c r="D33" s="20"/>
      <c r="E33" s="20"/>
      <c r="F33" s="20"/>
      <c r="G33" s="20"/>
      <c r="H33" s="20"/>
      <c r="I33" s="20"/>
      <c r="J33" s="20"/>
      <c r="K33" s="20"/>
      <c r="L33" s="20"/>
      <c r="M33" s="20"/>
      <c r="N33" s="20"/>
      <c r="O33" s="20"/>
      <c r="P33" s="29"/>
      <c r="Q33" s="28"/>
      <c r="R33" s="28"/>
      <c r="S33" s="28"/>
      <c r="T33" s="28"/>
      <c r="U33" s="28"/>
      <c r="V33" s="28"/>
      <c r="W33" s="28"/>
      <c r="X33" s="28"/>
      <c r="Y33" s="28"/>
      <c r="Z33" s="28"/>
      <c r="AA33" s="28"/>
      <c r="AB33" s="28"/>
      <c r="AC33" s="28"/>
      <c r="AD33" s="28"/>
      <c r="AE33" s="28"/>
      <c r="AF33" s="28"/>
      <c r="AG33" s="28"/>
      <c r="AH33" s="28"/>
      <c r="AI33" s="28"/>
      <c r="AJ33" s="28"/>
      <c r="AK33" s="28"/>
      <c r="AL33" s="28"/>
    </row>
    <row r="34" spans="2:38" x14ac:dyDescent="0.2">
      <c r="B34" s="27"/>
    </row>
    <row r="35" spans="2:38" x14ac:dyDescent="0.2">
      <c r="B35" s="5" t="s">
        <v>85</v>
      </c>
      <c r="C35" s="10">
        <v>6960</v>
      </c>
      <c r="D35" s="10">
        <v>8312.1</v>
      </c>
      <c r="E35" s="10">
        <v>9498.6</v>
      </c>
      <c r="F35" s="10">
        <v>9353.4</v>
      </c>
      <c r="G35" s="10">
        <v>8768</v>
      </c>
      <c r="H35" s="10">
        <v>11302.8</v>
      </c>
      <c r="I35" s="10">
        <v>11439.1</v>
      </c>
      <c r="J35" s="10">
        <v>13532.8</v>
      </c>
      <c r="K35" s="10">
        <v>12729</v>
      </c>
      <c r="L35" s="10">
        <v>15557.7</v>
      </c>
      <c r="M35" s="10">
        <v>17600.8</v>
      </c>
      <c r="N35" s="10">
        <v>19292</v>
      </c>
      <c r="O35" s="7">
        <v>19799</v>
      </c>
      <c r="P35" s="24">
        <f>L35*(1+P49)</f>
        <v>21812.845819148752</v>
      </c>
      <c r="Q35" s="24">
        <f t="shared" ref="Q35:AH35" si="15">M35*(1+Q49)</f>
        <v>24641.119999999999</v>
      </c>
      <c r="R35" s="24">
        <f t="shared" si="15"/>
        <v>27008.799999999999</v>
      </c>
      <c r="S35" s="24">
        <f t="shared" si="15"/>
        <v>27718.6</v>
      </c>
      <c r="T35" s="24">
        <f t="shared" si="15"/>
        <v>29447.341855850817</v>
      </c>
      <c r="U35" s="24">
        <f t="shared" si="15"/>
        <v>33265.512000000002</v>
      </c>
      <c r="V35" s="24">
        <f t="shared" si="15"/>
        <v>36461.880000000005</v>
      </c>
      <c r="W35" s="24">
        <f t="shared" si="15"/>
        <v>36034.18</v>
      </c>
      <c r="X35" s="24">
        <f t="shared" si="15"/>
        <v>38281.544412606061</v>
      </c>
      <c r="Y35" s="24">
        <f t="shared" si="15"/>
        <v>43245.165600000008</v>
      </c>
      <c r="Z35" s="24">
        <f t="shared" si="15"/>
        <v>45577.350000000006</v>
      </c>
      <c r="AA35" s="24">
        <f t="shared" si="15"/>
        <v>45042.724999999999</v>
      </c>
      <c r="AB35" s="24">
        <f t="shared" si="15"/>
        <v>47851.930515757573</v>
      </c>
      <c r="AC35" s="24">
        <f t="shared" si="15"/>
        <v>51894.198720000008</v>
      </c>
      <c r="AD35" s="24">
        <f t="shared" si="15"/>
        <v>54692.820000000007</v>
      </c>
      <c r="AE35" s="24">
        <f t="shared" si="15"/>
        <v>54051.27</v>
      </c>
      <c r="AF35" s="24">
        <f t="shared" si="15"/>
        <v>57422.316618909084</v>
      </c>
      <c r="AG35" s="24">
        <f t="shared" si="15"/>
        <v>62273.038464000005</v>
      </c>
      <c r="AH35" s="24">
        <f t="shared" si="15"/>
        <v>65631.384000000005</v>
      </c>
      <c r="AI35" s="24">
        <f t="shared" ref="AI35" si="16">AE35*(1+AI49)</f>
        <v>64861.52399999999</v>
      </c>
      <c r="AJ35" s="24">
        <f t="shared" ref="AJ35" si="17">AF35*(1+AJ49)</f>
        <v>68906.779942690904</v>
      </c>
      <c r="AK35" s="24">
        <f t="shared" ref="AK35" si="18">AG35*(1+AK49)</f>
        <v>74727.646156800009</v>
      </c>
      <c r="AL35" s="24">
        <f t="shared" ref="AL35" si="19">AH35*(1+AL49)</f>
        <v>78757.660799999998</v>
      </c>
    </row>
    <row r="36" spans="2:38" x14ac:dyDescent="0.2">
      <c r="B36" t="s">
        <v>32</v>
      </c>
      <c r="C36" s="9">
        <v>1626.7</v>
      </c>
      <c r="D36" s="9">
        <v>1807.4</v>
      </c>
      <c r="E36" s="9">
        <v>1860.1</v>
      </c>
      <c r="F36" s="9">
        <v>1788</v>
      </c>
      <c r="G36" s="9">
        <v>1673.5</v>
      </c>
      <c r="H36" s="9">
        <v>2170.1999999999998</v>
      </c>
      <c r="I36" s="9">
        <v>2170.8000000000002</v>
      </c>
      <c r="J36" s="9">
        <v>2403.8000000000002</v>
      </c>
      <c r="K36" s="9">
        <v>2225</v>
      </c>
      <c r="L36" s="9">
        <v>2447.8000000000002</v>
      </c>
      <c r="M36" s="9">
        <v>3008.3</v>
      </c>
      <c r="N36" s="9">
        <v>3371.7</v>
      </c>
      <c r="O36" s="8">
        <v>3577</v>
      </c>
      <c r="P36" s="12">
        <f t="shared" ref="P36:AH36" si="20">P37*(1-P50)</f>
        <v>3332.9086283770025</v>
      </c>
      <c r="Q36" s="12">
        <f t="shared" si="20"/>
        <v>3765.0567074919218</v>
      </c>
      <c r="R36" s="12">
        <f t="shared" si="20"/>
        <v>4126.8279851446614</v>
      </c>
      <c r="S36" s="12">
        <f t="shared" si="20"/>
        <v>4235.2823594173315</v>
      </c>
      <c r="T36" s="12">
        <f t="shared" si="20"/>
        <v>4499.4266483089541</v>
      </c>
      <c r="U36" s="12">
        <f t="shared" si="20"/>
        <v>5082.8265551140948</v>
      </c>
      <c r="V36" s="12">
        <f t="shared" si="20"/>
        <v>5571.2177799452929</v>
      </c>
      <c r="W36" s="12">
        <f t="shared" si="20"/>
        <v>5505.8670672425305</v>
      </c>
      <c r="X36" s="12">
        <f t="shared" si="20"/>
        <v>5849.2546428016403</v>
      </c>
      <c r="Y36" s="12">
        <f t="shared" si="20"/>
        <v>6607.6745216483232</v>
      </c>
      <c r="Z36" s="12">
        <f t="shared" si="20"/>
        <v>6964.0222249316175</v>
      </c>
      <c r="AA36" s="12">
        <f t="shared" si="20"/>
        <v>6882.3338340531636</v>
      </c>
      <c r="AB36" s="12">
        <f t="shared" si="20"/>
        <v>7311.5683035020493</v>
      </c>
      <c r="AC36" s="12">
        <f t="shared" si="20"/>
        <v>7929.2094259779888</v>
      </c>
      <c r="AD36" s="12">
        <f t="shared" si="20"/>
        <v>8356.8266699179403</v>
      </c>
      <c r="AE36" s="12">
        <f t="shared" si="20"/>
        <v>8258.8006008637949</v>
      </c>
      <c r="AF36" s="12">
        <f t="shared" si="20"/>
        <v>8773.8819642024591</v>
      </c>
      <c r="AG36" s="12">
        <f t="shared" si="20"/>
        <v>9515.0513111735854</v>
      </c>
      <c r="AH36" s="12">
        <f t="shared" si="20"/>
        <v>10028.192003901528</v>
      </c>
      <c r="AI36" s="12">
        <f t="shared" ref="AI36:AL36" si="21">AI37*(1-AI50)</f>
        <v>9910.5607210365524</v>
      </c>
      <c r="AJ36" s="12">
        <f t="shared" si="21"/>
        <v>10528.65835704295</v>
      </c>
      <c r="AK36" s="12">
        <f t="shared" si="21"/>
        <v>11418.061573408302</v>
      </c>
      <c r="AL36" s="12">
        <f t="shared" si="21"/>
        <v>12033.830404681832</v>
      </c>
    </row>
    <row r="37" spans="2:38" x14ac:dyDescent="0.2">
      <c r="B37" s="5" t="s">
        <v>58</v>
      </c>
      <c r="C37" s="10">
        <f t="shared" ref="C37:G37" si="22">C35-C36</f>
        <v>5333.3</v>
      </c>
      <c r="D37" s="10">
        <f t="shared" si="22"/>
        <v>6504.7000000000007</v>
      </c>
      <c r="E37" s="10">
        <f t="shared" si="22"/>
        <v>7638.5</v>
      </c>
      <c r="F37" s="10">
        <f t="shared" si="22"/>
        <v>7565.4</v>
      </c>
      <c r="G37" s="10">
        <f t="shared" si="22"/>
        <v>7094.5</v>
      </c>
      <c r="H37" s="10">
        <f>H35-H36</f>
        <v>9132.5999999999985</v>
      </c>
      <c r="I37" s="10">
        <f t="shared" ref="I37:O37" si="23">I35-I36</f>
        <v>9268.2999999999993</v>
      </c>
      <c r="J37" s="10">
        <f t="shared" si="23"/>
        <v>11129</v>
      </c>
      <c r="K37" s="10">
        <f t="shared" si="23"/>
        <v>10504</v>
      </c>
      <c r="L37" s="10">
        <f t="shared" si="23"/>
        <v>13109.900000000001</v>
      </c>
      <c r="M37" s="10">
        <f t="shared" si="23"/>
        <v>14592.5</v>
      </c>
      <c r="N37" s="10">
        <f t="shared" si="23"/>
        <v>15920.3</v>
      </c>
      <c r="O37" s="7">
        <f t="shared" si="23"/>
        <v>16222</v>
      </c>
      <c r="P37" s="24">
        <f t="shared" ref="P37:AH37" si="24">P35*P50</f>
        <v>17707.146300684373</v>
      </c>
      <c r="Q37" s="24">
        <f t="shared" si="24"/>
        <v>20003.071606075624</v>
      </c>
      <c r="R37" s="24">
        <f t="shared" si="24"/>
        <v>21925.097576497144</v>
      </c>
      <c r="S37" s="24">
        <f t="shared" si="24"/>
        <v>22501.296232483255</v>
      </c>
      <c r="T37" s="24">
        <f t="shared" si="24"/>
        <v>23904.647505923909</v>
      </c>
      <c r="U37" s="24">
        <f t="shared" si="24"/>
        <v>27004.146668202095</v>
      </c>
      <c r="V37" s="24">
        <f t="shared" si="24"/>
        <v>29598.881728271146</v>
      </c>
      <c r="W37" s="24">
        <f t="shared" si="24"/>
        <v>29251.685102228232</v>
      </c>
      <c r="X37" s="24">
        <f t="shared" si="24"/>
        <v>31076.041757701081</v>
      </c>
      <c r="Y37" s="24">
        <f t="shared" si="24"/>
        <v>35105.390668662723</v>
      </c>
      <c r="Z37" s="24">
        <f t="shared" si="24"/>
        <v>36998.602160338938</v>
      </c>
      <c r="AA37" s="24">
        <f t="shared" si="24"/>
        <v>36564.606377785291</v>
      </c>
      <c r="AB37" s="24">
        <f t="shared" si="24"/>
        <v>38845.052197126344</v>
      </c>
      <c r="AC37" s="24">
        <f t="shared" si="24"/>
        <v>42126.468802395269</v>
      </c>
      <c r="AD37" s="24">
        <f t="shared" si="24"/>
        <v>44398.322592406723</v>
      </c>
      <c r="AE37" s="24">
        <f t="shared" si="24"/>
        <v>43877.527653342346</v>
      </c>
      <c r="AF37" s="24">
        <f t="shared" si="24"/>
        <v>46614.062636551615</v>
      </c>
      <c r="AG37" s="24">
        <f t="shared" si="24"/>
        <v>50551.762562874319</v>
      </c>
      <c r="AH37" s="24">
        <f t="shared" si="24"/>
        <v>53277.987110888062</v>
      </c>
      <c r="AI37" s="24">
        <f t="shared" ref="AI37:AL37" si="25">AI35*AI50</f>
        <v>52653.033184010805</v>
      </c>
      <c r="AJ37" s="24">
        <f t="shared" si="25"/>
        <v>55936.875163861936</v>
      </c>
      <c r="AK37" s="24">
        <f t="shared" si="25"/>
        <v>60662.115075449183</v>
      </c>
      <c r="AL37" s="24">
        <f t="shared" si="25"/>
        <v>63933.584533065667</v>
      </c>
    </row>
    <row r="38" spans="2:38" x14ac:dyDescent="0.2">
      <c r="B38" t="s">
        <v>33</v>
      </c>
      <c r="C38" s="9">
        <v>1985.1</v>
      </c>
      <c r="D38" s="9">
        <v>2356.5</v>
      </c>
      <c r="E38" s="9">
        <v>2409.1</v>
      </c>
      <c r="F38" s="9">
        <v>2562.6999999999998</v>
      </c>
      <c r="G38" s="9">
        <v>2522.8000000000002</v>
      </c>
      <c r="H38" s="9">
        <v>2711.2</v>
      </c>
      <c r="I38" s="9">
        <v>2734.1</v>
      </c>
      <c r="J38" s="9">
        <v>3022.5</v>
      </c>
      <c r="K38" s="9">
        <v>2734</v>
      </c>
      <c r="L38" s="9">
        <v>3336.1</v>
      </c>
      <c r="M38" s="9">
        <v>3465.7</v>
      </c>
      <c r="N38" s="9">
        <v>3801.5</v>
      </c>
      <c r="O38" s="8">
        <v>3510</v>
      </c>
      <c r="P38" s="12">
        <f t="shared" ref="P38:AL38" si="26">P$37*P51</f>
        <v>3831.3453036248397</v>
      </c>
      <c r="Q38" s="12">
        <f t="shared" si="26"/>
        <v>4328.1211525906447</v>
      </c>
      <c r="R38" s="12">
        <f t="shared" si="26"/>
        <v>4743.9953454262713</v>
      </c>
      <c r="S38" s="12">
        <f t="shared" si="26"/>
        <v>4868.6690775500083</v>
      </c>
      <c r="T38" s="12">
        <f t="shared" si="26"/>
        <v>5172.3161598935349</v>
      </c>
      <c r="U38" s="12">
        <f t="shared" si="26"/>
        <v>5842.9635559973713</v>
      </c>
      <c r="V38" s="12">
        <f t="shared" si="26"/>
        <v>6404.3937163254668</v>
      </c>
      <c r="W38" s="12">
        <f t="shared" si="26"/>
        <v>6329.2698008150101</v>
      </c>
      <c r="X38" s="12">
        <f t="shared" si="26"/>
        <v>6724.0110078615953</v>
      </c>
      <c r="Y38" s="12">
        <f t="shared" si="26"/>
        <v>7595.8526227965822</v>
      </c>
      <c r="Z38" s="12">
        <f t="shared" si="26"/>
        <v>8005.4921454068353</v>
      </c>
      <c r="AA38" s="12">
        <f t="shared" si="26"/>
        <v>7911.5872510187628</v>
      </c>
      <c r="AB38" s="12">
        <f t="shared" si="26"/>
        <v>8405.0137598269921</v>
      </c>
      <c r="AC38" s="12">
        <f t="shared" si="26"/>
        <v>9115.0231473558997</v>
      </c>
      <c r="AD38" s="12">
        <f t="shared" si="26"/>
        <v>9606.590574488202</v>
      </c>
      <c r="AE38" s="12">
        <f t="shared" si="26"/>
        <v>9493.9047012225146</v>
      </c>
      <c r="AF38" s="12">
        <f t="shared" si="26"/>
        <v>10086.016511792392</v>
      </c>
      <c r="AG38" s="12">
        <f t="shared" si="26"/>
        <v>10938.027776827079</v>
      </c>
      <c r="AH38" s="12">
        <f t="shared" si="26"/>
        <v>11527.90868938584</v>
      </c>
      <c r="AI38" s="12">
        <f t="shared" si="26"/>
        <v>11392.685641467016</v>
      </c>
      <c r="AJ38" s="12">
        <f t="shared" si="26"/>
        <v>12103.219814150869</v>
      </c>
      <c r="AK38" s="12">
        <f t="shared" si="26"/>
        <v>13125.633332192494</v>
      </c>
      <c r="AL38" s="12">
        <f t="shared" si="26"/>
        <v>13833.490427263006</v>
      </c>
    </row>
    <row r="39" spans="2:38" ht="16" customHeight="1" x14ac:dyDescent="0.2">
      <c r="B39" t="s">
        <v>34</v>
      </c>
      <c r="C39" s="9">
        <v>1749.2</v>
      </c>
      <c r="D39" s="9">
        <v>1925.4</v>
      </c>
      <c r="E39" s="9">
        <v>1803.9</v>
      </c>
      <c r="F39" s="9">
        <v>1924.6</v>
      </c>
      <c r="G39" s="9">
        <v>1952.2</v>
      </c>
      <c r="H39" s="9">
        <v>2117.3000000000002</v>
      </c>
      <c r="I39" s="9">
        <v>2099.8000000000002</v>
      </c>
      <c r="J39" s="9">
        <v>2424.5</v>
      </c>
      <c r="K39" s="9">
        <v>2468</v>
      </c>
      <c r="L39" s="9">
        <v>2753</v>
      </c>
      <c r="M39" s="9">
        <v>2740.7</v>
      </c>
      <c r="N39" s="9">
        <v>3131.4</v>
      </c>
      <c r="O39" s="8">
        <v>2934</v>
      </c>
      <c r="P39" s="12">
        <f t="shared" ref="P39:AL39" si="27">P$37*P52</f>
        <v>3202.6117153376867</v>
      </c>
      <c r="Q39" s="12">
        <f t="shared" si="27"/>
        <v>3600.5528890936121</v>
      </c>
      <c r="R39" s="12">
        <f t="shared" si="27"/>
        <v>3946.5175637694861</v>
      </c>
      <c r="S39" s="12">
        <f t="shared" si="27"/>
        <v>4050.2333218469857</v>
      </c>
      <c r="T39" s="12">
        <f t="shared" si="27"/>
        <v>4302.8365510663034</v>
      </c>
      <c r="U39" s="12">
        <f t="shared" si="27"/>
        <v>4860.7464002763772</v>
      </c>
      <c r="V39" s="12">
        <f t="shared" si="27"/>
        <v>5327.7987110888062</v>
      </c>
      <c r="W39" s="12">
        <f t="shared" si="27"/>
        <v>5265.3033184010819</v>
      </c>
      <c r="X39" s="12">
        <f t="shared" si="27"/>
        <v>5593.6875163861941</v>
      </c>
      <c r="Y39" s="12">
        <f t="shared" si="27"/>
        <v>6318.9703203592899</v>
      </c>
      <c r="Z39" s="12">
        <f t="shared" si="27"/>
        <v>6659.7483888610086</v>
      </c>
      <c r="AA39" s="12">
        <f t="shared" si="27"/>
        <v>6581.6291480013524</v>
      </c>
      <c r="AB39" s="12">
        <f t="shared" si="27"/>
        <v>6992.109395482742</v>
      </c>
      <c r="AC39" s="12">
        <f t="shared" si="27"/>
        <v>7582.7643844311478</v>
      </c>
      <c r="AD39" s="12">
        <f t="shared" si="27"/>
        <v>7991.6980666332101</v>
      </c>
      <c r="AE39" s="12">
        <f t="shared" si="27"/>
        <v>7897.954977601622</v>
      </c>
      <c r="AF39" s="12">
        <f t="shared" si="27"/>
        <v>8390.5312745792908</v>
      </c>
      <c r="AG39" s="12">
        <f t="shared" si="27"/>
        <v>9099.3172613173774</v>
      </c>
      <c r="AH39" s="12">
        <f t="shared" si="27"/>
        <v>9590.0376799598507</v>
      </c>
      <c r="AI39" s="12">
        <f t="shared" si="27"/>
        <v>9477.5459731219453</v>
      </c>
      <c r="AJ39" s="12">
        <f t="shared" si="27"/>
        <v>10068.637529495149</v>
      </c>
      <c r="AK39" s="12">
        <f t="shared" si="27"/>
        <v>10919.180713580852</v>
      </c>
      <c r="AL39" s="12">
        <f t="shared" si="27"/>
        <v>11508.045215951819</v>
      </c>
    </row>
    <row r="40" spans="2:38" x14ac:dyDescent="0.2">
      <c r="B40" t="s">
        <v>35</v>
      </c>
      <c r="C40" s="9">
        <v>105</v>
      </c>
      <c r="D40" s="9">
        <v>97.1</v>
      </c>
      <c r="E40" s="9">
        <v>2975.1</v>
      </c>
      <c r="F40" s="9">
        <v>622.6</v>
      </c>
      <c r="G40" s="9">
        <v>110.5</v>
      </c>
      <c r="H40" s="9">
        <v>154.30000000000001</v>
      </c>
      <c r="I40" s="9">
        <v>2826.4</v>
      </c>
      <c r="J40" s="9">
        <v>189.2</v>
      </c>
      <c r="K40" s="9">
        <v>1572</v>
      </c>
      <c r="L40" s="9">
        <v>153</v>
      </c>
      <c r="M40" s="9">
        <v>655.7</v>
      </c>
      <c r="N40" s="9">
        <v>528.79999999999995</v>
      </c>
      <c r="O40" s="8">
        <v>584</v>
      </c>
      <c r="P40" s="12">
        <f t="shared" ref="P40:AL40" si="28">P$37*P53</f>
        <v>637.46599923558585</v>
      </c>
      <c r="Q40" s="12">
        <f t="shared" si="28"/>
        <v>800.12286424302499</v>
      </c>
      <c r="R40" s="12">
        <f t="shared" si="28"/>
        <v>877.00390305988583</v>
      </c>
      <c r="S40" s="12">
        <f t="shared" si="28"/>
        <v>900.05184929933023</v>
      </c>
      <c r="T40" s="12">
        <f t="shared" si="28"/>
        <v>956.1859002369564</v>
      </c>
      <c r="U40" s="12">
        <f t="shared" si="28"/>
        <v>1080.1658667280838</v>
      </c>
      <c r="V40" s="12">
        <f t="shared" si="28"/>
        <v>1183.9552691308459</v>
      </c>
      <c r="W40" s="12">
        <f t="shared" si="28"/>
        <v>1170.0674040891292</v>
      </c>
      <c r="X40" s="12">
        <f t="shared" si="28"/>
        <v>1243.0416703080432</v>
      </c>
      <c r="Y40" s="12">
        <f t="shared" si="28"/>
        <v>1404.2156267465089</v>
      </c>
      <c r="Z40" s="12">
        <f t="shared" si="28"/>
        <v>1479.9440864135574</v>
      </c>
      <c r="AA40" s="12">
        <f t="shared" si="28"/>
        <v>1462.5842551114117</v>
      </c>
      <c r="AB40" s="12">
        <f t="shared" si="28"/>
        <v>1553.8020878850539</v>
      </c>
      <c r="AC40" s="12">
        <f t="shared" si="28"/>
        <v>1685.0587520958109</v>
      </c>
      <c r="AD40" s="12">
        <f t="shared" si="28"/>
        <v>1775.932903696269</v>
      </c>
      <c r="AE40" s="12">
        <f t="shared" si="28"/>
        <v>1755.101106133694</v>
      </c>
      <c r="AF40" s="12">
        <f t="shared" si="28"/>
        <v>1864.5625054620646</v>
      </c>
      <c r="AG40" s="12">
        <f t="shared" si="28"/>
        <v>2022.0705025149728</v>
      </c>
      <c r="AH40" s="12">
        <f t="shared" si="28"/>
        <v>2131.1194844355223</v>
      </c>
      <c r="AI40" s="12">
        <f t="shared" si="28"/>
        <v>2106.1213273604321</v>
      </c>
      <c r="AJ40" s="12">
        <f t="shared" si="28"/>
        <v>2237.4750065544777</v>
      </c>
      <c r="AK40" s="12">
        <f t="shared" si="28"/>
        <v>2426.4846030179674</v>
      </c>
      <c r="AL40" s="12">
        <f t="shared" si="28"/>
        <v>2557.3433813226266</v>
      </c>
    </row>
    <row r="41" spans="2:38" x14ac:dyDescent="0.2">
      <c r="B41" t="s">
        <v>36</v>
      </c>
      <c r="C41" s="11">
        <v>0</v>
      </c>
      <c r="D41" s="9">
        <v>0</v>
      </c>
      <c r="E41" s="9">
        <v>0</v>
      </c>
      <c r="F41" s="9">
        <v>67.7</v>
      </c>
      <c r="G41" s="9">
        <v>0</v>
      </c>
      <c r="H41" s="9">
        <v>435</v>
      </c>
      <c r="I41" s="9">
        <v>81.599999999999994</v>
      </c>
      <c r="J41" s="9">
        <v>344</v>
      </c>
      <c r="K41" s="9">
        <v>35</v>
      </c>
      <c r="L41" s="9">
        <v>0</v>
      </c>
      <c r="M41" s="9">
        <v>364.9</v>
      </c>
      <c r="N41" s="9">
        <v>84.1</v>
      </c>
      <c r="O41" s="8">
        <v>279</v>
      </c>
      <c r="P41" s="12">
        <f>AVERAGE(C41:O41)</f>
        <v>130.09999999999997</v>
      </c>
      <c r="Q41" s="12">
        <v>130</v>
      </c>
      <c r="R41" s="12">
        <v>130</v>
      </c>
      <c r="S41" s="12">
        <v>130</v>
      </c>
      <c r="T41" s="12">
        <v>130</v>
      </c>
      <c r="U41" s="12">
        <v>130</v>
      </c>
      <c r="V41" s="12">
        <v>130</v>
      </c>
      <c r="W41" s="12">
        <v>130</v>
      </c>
      <c r="X41" s="12">
        <v>130</v>
      </c>
      <c r="Y41" s="12">
        <v>130</v>
      </c>
      <c r="Z41" s="12">
        <v>130</v>
      </c>
      <c r="AA41" s="12">
        <v>130</v>
      </c>
      <c r="AB41" s="12">
        <v>130</v>
      </c>
      <c r="AC41" s="12">
        <v>130</v>
      </c>
      <c r="AD41" s="12">
        <v>130</v>
      </c>
      <c r="AE41" s="12">
        <v>130</v>
      </c>
      <c r="AF41" s="12">
        <v>130</v>
      </c>
      <c r="AG41" s="12">
        <v>130</v>
      </c>
      <c r="AH41" s="12">
        <v>130</v>
      </c>
      <c r="AI41" s="12">
        <v>130</v>
      </c>
      <c r="AJ41" s="12">
        <v>130</v>
      </c>
      <c r="AK41" s="12">
        <v>130</v>
      </c>
      <c r="AL41" s="12">
        <v>130</v>
      </c>
    </row>
    <row r="42" spans="2:38" x14ac:dyDescent="0.2">
      <c r="B42" t="s">
        <v>37</v>
      </c>
      <c r="C42" s="9">
        <v>-35.700000000000003</v>
      </c>
      <c r="D42" s="9">
        <v>36.799999999999997</v>
      </c>
      <c r="E42" s="9">
        <v>23.2</v>
      </c>
      <c r="F42" s="9">
        <v>121</v>
      </c>
      <c r="G42" s="9">
        <v>-27.1</v>
      </c>
      <c r="H42" s="9">
        <v>197.6</v>
      </c>
      <c r="I42" s="9">
        <v>-62</v>
      </c>
      <c r="J42" s="9">
        <v>110.2</v>
      </c>
      <c r="K42" s="9">
        <v>239</v>
      </c>
      <c r="L42" s="9">
        <v>90.6</v>
      </c>
      <c r="M42" s="9">
        <v>133.1</v>
      </c>
      <c r="N42" s="9">
        <v>108.3</v>
      </c>
      <c r="O42" s="8">
        <v>65</v>
      </c>
      <c r="P42" s="12">
        <f>AVERAGE(C42:O42)</f>
        <v>76.92307692307692</v>
      </c>
      <c r="Q42" s="12">
        <v>77</v>
      </c>
      <c r="R42" s="12">
        <v>77</v>
      </c>
      <c r="S42" s="12">
        <v>77</v>
      </c>
      <c r="T42" s="12">
        <v>77</v>
      </c>
      <c r="U42" s="12">
        <v>77</v>
      </c>
      <c r="V42" s="12">
        <v>77</v>
      </c>
      <c r="W42" s="12">
        <v>77</v>
      </c>
      <c r="X42" s="12">
        <v>77</v>
      </c>
      <c r="Y42" s="12">
        <v>77</v>
      </c>
      <c r="Z42" s="12">
        <v>77</v>
      </c>
      <c r="AA42" s="12">
        <v>77</v>
      </c>
      <c r="AB42" s="12">
        <v>77</v>
      </c>
      <c r="AC42" s="12">
        <v>77</v>
      </c>
      <c r="AD42" s="12">
        <v>77</v>
      </c>
      <c r="AE42" s="12">
        <v>77</v>
      </c>
      <c r="AF42" s="12">
        <v>77</v>
      </c>
      <c r="AG42" s="12">
        <v>77</v>
      </c>
      <c r="AH42" s="12">
        <v>77</v>
      </c>
      <c r="AI42" s="12">
        <v>77</v>
      </c>
      <c r="AJ42" s="12">
        <v>77</v>
      </c>
      <c r="AK42" s="12">
        <v>77</v>
      </c>
      <c r="AL42" s="12">
        <v>77</v>
      </c>
    </row>
    <row r="43" spans="2:38" x14ac:dyDescent="0.2">
      <c r="B43" t="s">
        <v>38</v>
      </c>
      <c r="C43" s="9">
        <f>C37-(SUM(C38:C42))</f>
        <v>1529.6999999999998</v>
      </c>
      <c r="D43" s="9">
        <f t="shared" ref="D43:F43" si="29">D37-(SUM(D38:D42))</f>
        <v>2088.9000000000005</v>
      </c>
      <c r="E43" s="9">
        <f t="shared" si="29"/>
        <v>427.19999999999982</v>
      </c>
      <c r="F43" s="9">
        <f t="shared" si="29"/>
        <v>2266.8000000000002</v>
      </c>
      <c r="G43" s="9">
        <f>G37-(SUM(G38:G42))</f>
        <v>2536.1000000000004</v>
      </c>
      <c r="H43" s="9">
        <f>H37-(SUM(H38:H42))</f>
        <v>3517.199999999998</v>
      </c>
      <c r="I43" s="9">
        <f t="shared" ref="I43:P43" si="30">I37-(SUM(I38:I42))</f>
        <v>1588.3999999999996</v>
      </c>
      <c r="J43" s="9">
        <f t="shared" si="30"/>
        <v>5038.6000000000004</v>
      </c>
      <c r="K43" s="9">
        <f t="shared" si="30"/>
        <v>3456</v>
      </c>
      <c r="L43" s="9">
        <f t="shared" si="30"/>
        <v>6777.2000000000007</v>
      </c>
      <c r="M43" s="9">
        <f t="shared" si="30"/>
        <v>7232.4000000000005</v>
      </c>
      <c r="N43" s="9">
        <f t="shared" si="30"/>
        <v>8266.1999999999989</v>
      </c>
      <c r="O43" s="8">
        <f t="shared" si="30"/>
        <v>8850</v>
      </c>
      <c r="P43" s="9">
        <f t="shared" si="30"/>
        <v>9828.7002055631838</v>
      </c>
      <c r="Q43" s="9">
        <f>Q37-(SUM(Q38:Q42))</f>
        <v>11067.274700148342</v>
      </c>
      <c r="R43" s="9">
        <f t="shared" ref="R43:AH43" si="31">R37-(SUM(R38:R42))</f>
        <v>12150.580764241502</v>
      </c>
      <c r="S43" s="9">
        <f t="shared" si="31"/>
        <v>12475.341983786931</v>
      </c>
      <c r="T43" s="9">
        <f t="shared" si="31"/>
        <v>13266.308894727114</v>
      </c>
      <c r="U43" s="9">
        <f t="shared" si="31"/>
        <v>15013.270845200261</v>
      </c>
      <c r="V43" s="9">
        <f t="shared" si="31"/>
        <v>16475.734031726028</v>
      </c>
      <c r="W43" s="9">
        <f t="shared" si="31"/>
        <v>16280.044578923009</v>
      </c>
      <c r="X43" s="9">
        <f t="shared" si="31"/>
        <v>17308.301563145251</v>
      </c>
      <c r="Y43" s="9">
        <f t="shared" si="31"/>
        <v>19579.352098760341</v>
      </c>
      <c r="Z43" s="9">
        <f t="shared" si="31"/>
        <v>20646.417539657537</v>
      </c>
      <c r="AA43" s="9">
        <f t="shared" si="31"/>
        <v>20401.805723653764</v>
      </c>
      <c r="AB43" s="9">
        <f t="shared" si="31"/>
        <v>21687.126953931554</v>
      </c>
      <c r="AC43" s="9">
        <f t="shared" si="31"/>
        <v>23536.622518512409</v>
      </c>
      <c r="AD43" s="9">
        <f t="shared" si="31"/>
        <v>24817.10104758904</v>
      </c>
      <c r="AE43" s="9">
        <f t="shared" si="31"/>
        <v>24523.566868384514</v>
      </c>
      <c r="AF43" s="9">
        <f t="shared" si="31"/>
        <v>26065.952344717869</v>
      </c>
      <c r="AG43" s="9">
        <f t="shared" si="31"/>
        <v>28285.34702221489</v>
      </c>
      <c r="AH43" s="9">
        <f t="shared" si="31"/>
        <v>29821.921257106846</v>
      </c>
      <c r="AI43" s="9">
        <f t="shared" ref="AI43" si="32">AI37-(SUM(AI38:AI42))</f>
        <v>29469.680242061408</v>
      </c>
      <c r="AJ43" s="9">
        <f t="shared" ref="AJ43" si="33">AJ37-(SUM(AJ38:AJ42))</f>
        <v>31320.542813661443</v>
      </c>
      <c r="AK43" s="9">
        <f t="shared" ref="AK43" si="34">AK37-(SUM(AK38:AK42))</f>
        <v>33983.816426657868</v>
      </c>
      <c r="AL43" s="9">
        <f t="shared" ref="AL43" si="35">AL37-(SUM(AL38:AL42))</f>
        <v>35827.705508528219</v>
      </c>
    </row>
    <row r="44" spans="2:38" x14ac:dyDescent="0.2">
      <c r="B44" t="s">
        <v>39</v>
      </c>
      <c r="C44" s="11">
        <v>184.8</v>
      </c>
      <c r="D44" s="11">
        <v>325.7</v>
      </c>
      <c r="E44" s="11">
        <v>484.6</v>
      </c>
      <c r="F44" s="11">
        <v>319.10000000000002</v>
      </c>
      <c r="G44" s="11">
        <v>293.2</v>
      </c>
      <c r="H44" s="11">
        <v>550.20000000000005</v>
      </c>
      <c r="I44" s="11">
        <v>618.1</v>
      </c>
      <c r="J44" s="9">
        <v>628.9</v>
      </c>
      <c r="K44" s="11">
        <v>697</v>
      </c>
      <c r="L44" s="11">
        <v>1115.9000000000001</v>
      </c>
      <c r="M44" s="11">
        <v>1649.9</v>
      </c>
      <c r="N44" s="9">
        <v>1628.5</v>
      </c>
      <c r="O44" s="8">
        <v>1454</v>
      </c>
      <c r="P44" s="12">
        <f>P54*P43</f>
        <v>2490.1496818834808</v>
      </c>
      <c r="Q44" s="12">
        <f t="shared" ref="Q44:AH44" si="36">Q54*Q43</f>
        <v>2766.8186750370855</v>
      </c>
      <c r="R44" s="12">
        <f t="shared" si="36"/>
        <v>3037.6451910603755</v>
      </c>
      <c r="S44" s="12">
        <f t="shared" si="36"/>
        <v>3118.8354959467329</v>
      </c>
      <c r="T44" s="12">
        <f t="shared" si="36"/>
        <v>3316.5772236817784</v>
      </c>
      <c r="U44" s="12">
        <f t="shared" si="36"/>
        <v>3753.3177113000652</v>
      </c>
      <c r="V44" s="12">
        <f t="shared" si="36"/>
        <v>4118.9335079315069</v>
      </c>
      <c r="W44" s="12">
        <f t="shared" si="36"/>
        <v>4070.0111447307522</v>
      </c>
      <c r="X44" s="12">
        <f t="shared" si="36"/>
        <v>4327.0753907863127</v>
      </c>
      <c r="Y44" s="12">
        <f t="shared" si="36"/>
        <v>4894.8380246900851</v>
      </c>
      <c r="Z44" s="12">
        <f t="shared" si="36"/>
        <v>5161.6043849143844</v>
      </c>
      <c r="AA44" s="12">
        <f t="shared" si="36"/>
        <v>5100.4514309134411</v>
      </c>
      <c r="AB44" s="12">
        <f t="shared" si="36"/>
        <v>5421.7817384828886</v>
      </c>
      <c r="AC44" s="12">
        <f t="shared" si="36"/>
        <v>5884.1556296281024</v>
      </c>
      <c r="AD44" s="12">
        <f t="shared" si="36"/>
        <v>6204.27526189726</v>
      </c>
      <c r="AE44" s="12">
        <f t="shared" si="36"/>
        <v>6130.8917170961286</v>
      </c>
      <c r="AF44" s="12">
        <f t="shared" si="36"/>
        <v>6516.4880861794672</v>
      </c>
      <c r="AG44" s="12">
        <f t="shared" si="36"/>
        <v>7071.3367555537225</v>
      </c>
      <c r="AH44" s="12">
        <f t="shared" si="36"/>
        <v>7455.4803142767114</v>
      </c>
      <c r="AI44" s="12">
        <f t="shared" ref="AI44" si="37">AI54*AI43</f>
        <v>7367.4200605153519</v>
      </c>
      <c r="AJ44" s="12">
        <f t="shared" ref="AJ44" si="38">AJ54*AJ43</f>
        <v>7830.1357034153607</v>
      </c>
      <c r="AK44" s="12">
        <f t="shared" ref="AK44" si="39">AK54*AK43</f>
        <v>8495.954106664467</v>
      </c>
      <c r="AL44" s="12">
        <f t="shared" ref="AL44" si="40">AL54*AL43</f>
        <v>8956.9263771320548</v>
      </c>
    </row>
    <row r="45" spans="2:38" x14ac:dyDescent="0.2">
      <c r="B45" s="5" t="s">
        <v>20</v>
      </c>
      <c r="C45" s="10">
        <f t="shared" ref="C45:G45" si="41">C43-C44</f>
        <v>1344.8999999999999</v>
      </c>
      <c r="D45" s="10">
        <f t="shared" si="41"/>
        <v>1763.2000000000005</v>
      </c>
      <c r="E45" s="10">
        <f t="shared" si="41"/>
        <v>-57.400000000000205</v>
      </c>
      <c r="F45" s="10">
        <f t="shared" si="41"/>
        <v>1947.7000000000003</v>
      </c>
      <c r="G45" s="10">
        <f t="shared" si="41"/>
        <v>2242.9000000000005</v>
      </c>
      <c r="H45" s="10">
        <f t="shared" ref="H45:P45" si="42">H43-H44</f>
        <v>2966.9999999999982</v>
      </c>
      <c r="I45" s="10">
        <f t="shared" si="42"/>
        <v>970.29999999999961</v>
      </c>
      <c r="J45" s="10">
        <f t="shared" si="42"/>
        <v>4409.7000000000007</v>
      </c>
      <c r="K45" s="10">
        <f t="shared" si="42"/>
        <v>2759</v>
      </c>
      <c r="L45" s="10">
        <f t="shared" si="42"/>
        <v>5661.3000000000011</v>
      </c>
      <c r="M45" s="10">
        <f t="shared" si="42"/>
        <v>5582.5</v>
      </c>
      <c r="N45" s="10">
        <f t="shared" si="42"/>
        <v>6637.6999999999989</v>
      </c>
      <c r="O45" s="7">
        <f t="shared" si="42"/>
        <v>7396</v>
      </c>
      <c r="P45" s="10">
        <f t="shared" si="42"/>
        <v>7338.5505236797035</v>
      </c>
      <c r="Q45" s="10">
        <f t="shared" ref="Q45" si="43">Q43-Q44</f>
        <v>8300.4560251112562</v>
      </c>
      <c r="R45" s="10">
        <f t="shared" ref="R45" si="44">R43-R44</f>
        <v>9112.9355731811265</v>
      </c>
      <c r="S45" s="10">
        <f t="shared" ref="S45" si="45">S43-S44</f>
        <v>9356.506487840199</v>
      </c>
      <c r="T45" s="10">
        <f t="shared" ref="T45" si="46">T43-T44</f>
        <v>9949.7316710453342</v>
      </c>
      <c r="U45" s="10">
        <f t="shared" ref="U45" si="47">U43-U44</f>
        <v>11259.953133900195</v>
      </c>
      <c r="V45" s="10">
        <f t="shared" ref="V45" si="48">V43-V44</f>
        <v>12356.800523794522</v>
      </c>
      <c r="W45" s="10">
        <f t="shared" ref="W45" si="49">W43-W44</f>
        <v>12210.033434192257</v>
      </c>
      <c r="X45" s="10">
        <f t="shared" ref="X45" si="50">X43-X44</f>
        <v>12981.226172358938</v>
      </c>
      <c r="Y45" s="10">
        <f t="shared" ref="Y45" si="51">Y43-Y44</f>
        <v>14684.514074070255</v>
      </c>
      <c r="Z45" s="10">
        <f t="shared" ref="Z45" si="52">Z43-Z44</f>
        <v>15484.813154743153</v>
      </c>
      <c r="AA45" s="10">
        <f t="shared" ref="AA45" si="53">AA43-AA44</f>
        <v>15301.354292740323</v>
      </c>
      <c r="AB45" s="10">
        <f t="shared" ref="AB45" si="54">AB43-AB44</f>
        <v>16265.345215448666</v>
      </c>
      <c r="AC45" s="10">
        <f t="shared" ref="AC45" si="55">AC43-AC44</f>
        <v>17652.466888884308</v>
      </c>
      <c r="AD45" s="10">
        <f t="shared" ref="AD45" si="56">AD43-AD44</f>
        <v>18612.825785691781</v>
      </c>
      <c r="AE45" s="10">
        <f t="shared" ref="AE45" si="57">AE43-AE44</f>
        <v>18392.675151288386</v>
      </c>
      <c r="AF45" s="10">
        <f t="shared" ref="AF45" si="58">AF43-AF44</f>
        <v>19549.464258538403</v>
      </c>
      <c r="AG45" s="10">
        <f t="shared" ref="AG45" si="59">AG43-AG44</f>
        <v>21214.010266661167</v>
      </c>
      <c r="AH45" s="10">
        <f t="shared" ref="AH45" si="60">AH43-AH44</f>
        <v>22366.440942830133</v>
      </c>
      <c r="AI45" s="10">
        <f t="shared" ref="AI45" si="61">AI43-AI44</f>
        <v>22102.260181546055</v>
      </c>
      <c r="AJ45" s="10">
        <f t="shared" ref="AJ45" si="62">AJ43-AJ44</f>
        <v>23490.40711024608</v>
      </c>
      <c r="AK45" s="10">
        <f t="shared" ref="AK45" si="63">AK43-AK44</f>
        <v>25487.862319993401</v>
      </c>
      <c r="AL45" s="10">
        <f t="shared" ref="AL45" si="64">AL43-AL44</f>
        <v>26870.779131396164</v>
      </c>
    </row>
    <row r="46" spans="2:38" x14ac:dyDescent="0.2">
      <c r="B46" t="s">
        <v>40</v>
      </c>
      <c r="C46" s="3">
        <f>C45/C47</f>
        <v>1.4888741281966122</v>
      </c>
      <c r="D46" s="3">
        <f t="shared" ref="D46:O46" si="65">D45/D47</f>
        <v>1.9526024363233672</v>
      </c>
      <c r="E46" s="3">
        <f t="shared" si="65"/>
        <v>-6.3791953767504114E-2</v>
      </c>
      <c r="F46" s="3">
        <f t="shared" si="65"/>
        <v>2.1617092119866816</v>
      </c>
      <c r="G46" s="3">
        <f t="shared" si="65"/>
        <v>2.4816331046691755</v>
      </c>
      <c r="H46" s="3">
        <f t="shared" si="65"/>
        <v>3.2813536828135348</v>
      </c>
      <c r="I46" s="3">
        <f t="shared" si="65"/>
        <v>1.0721546961325963</v>
      </c>
      <c r="J46" s="3">
        <f t="shared" si="65"/>
        <v>4.8779867256637175</v>
      </c>
      <c r="K46" s="3">
        <f t="shared" si="65"/>
        <v>3.0635132134132799</v>
      </c>
      <c r="L46" s="3">
        <f t="shared" si="65"/>
        <v>6.2917314958879764</v>
      </c>
      <c r="M46" s="3">
        <f t="shared" si="65"/>
        <v>6.2110591900311531</v>
      </c>
      <c r="N46" s="3">
        <f t="shared" si="65"/>
        <v>7.3916481069042304</v>
      </c>
      <c r="O46" s="21">
        <f t="shared" si="65"/>
        <v>8.2553856457193877</v>
      </c>
      <c r="P46" s="3">
        <f>P45/P47</f>
        <v>8.1539450263107813</v>
      </c>
      <c r="Q46" s="3">
        <f t="shared" ref="Q46:AH46" si="66">Q45/Q47</f>
        <v>9.2227289167902846</v>
      </c>
      <c r="R46" s="3">
        <f t="shared" si="66"/>
        <v>10.125483970201252</v>
      </c>
      <c r="S46" s="3">
        <f t="shared" si="66"/>
        <v>10.396118319822444</v>
      </c>
      <c r="T46" s="3">
        <f t="shared" si="66"/>
        <v>11.055257412272594</v>
      </c>
      <c r="U46" s="3">
        <f t="shared" si="66"/>
        <v>12.511059037666884</v>
      </c>
      <c r="V46" s="3">
        <f t="shared" si="66"/>
        <v>13.729778359771691</v>
      </c>
      <c r="W46" s="3">
        <f t="shared" si="66"/>
        <v>13.566703815769175</v>
      </c>
      <c r="X46" s="3">
        <f t="shared" si="66"/>
        <v>14.423584635954375</v>
      </c>
      <c r="Y46" s="3">
        <f t="shared" si="66"/>
        <v>16.316126748966951</v>
      </c>
      <c r="Z46" s="3">
        <f t="shared" si="66"/>
        <v>17.205347949714614</v>
      </c>
      <c r="AA46" s="3">
        <f t="shared" si="66"/>
        <v>17.00150476971147</v>
      </c>
      <c r="AB46" s="3">
        <f t="shared" si="66"/>
        <v>18.072605794942962</v>
      </c>
      <c r="AC46" s="3">
        <f t="shared" si="66"/>
        <v>19.613852098760344</v>
      </c>
      <c r="AD46" s="3">
        <f t="shared" si="66"/>
        <v>20.680917539657536</v>
      </c>
      <c r="AE46" s="3">
        <f t="shared" si="66"/>
        <v>20.436305723653764</v>
      </c>
      <c r="AF46" s="3">
        <f t="shared" si="66"/>
        <v>21.721626953931558</v>
      </c>
      <c r="AG46" s="3">
        <f t="shared" si="66"/>
        <v>23.571122518512407</v>
      </c>
      <c r="AH46" s="3">
        <f t="shared" si="66"/>
        <v>24.851601047589035</v>
      </c>
      <c r="AI46" s="3">
        <f t="shared" ref="AI46" si="67">AI45/AI47</f>
        <v>24.530810412370759</v>
      </c>
      <c r="AJ46" s="3">
        <f t="shared" ref="AJ46" si="68">AJ45/AJ47</f>
        <v>26.042579944840444</v>
      </c>
      <c r="AK46" s="3">
        <f t="shared" ref="AK46" si="69">AK45/AK47</f>
        <v>28.225761151709193</v>
      </c>
      <c r="AL46" s="3">
        <f t="shared" ref="AL46" si="70">AL45/AL47</f>
        <v>29.724313198447085</v>
      </c>
    </row>
    <row r="47" spans="2:38" x14ac:dyDescent="0.2">
      <c r="B47" t="s">
        <v>5</v>
      </c>
      <c r="C47" s="18">
        <v>903.3</v>
      </c>
      <c r="D47" s="18">
        <v>903</v>
      </c>
      <c r="E47" s="18">
        <v>899.8</v>
      </c>
      <c r="F47" s="18">
        <v>901</v>
      </c>
      <c r="G47" s="18">
        <v>903.8</v>
      </c>
      <c r="H47" s="18">
        <v>904.2</v>
      </c>
      <c r="I47" s="18">
        <v>905</v>
      </c>
      <c r="J47" s="18">
        <v>904</v>
      </c>
      <c r="K47" s="18">
        <v>900.6</v>
      </c>
      <c r="L47" s="18">
        <v>899.8</v>
      </c>
      <c r="M47" s="18">
        <v>898.8</v>
      </c>
      <c r="N47" s="18">
        <v>898</v>
      </c>
      <c r="O47" s="22">
        <v>895.9</v>
      </c>
      <c r="P47" s="18">
        <v>900</v>
      </c>
      <c r="Q47" s="18">
        <v>900</v>
      </c>
      <c r="R47" s="18">
        <v>900</v>
      </c>
      <c r="S47" s="18">
        <v>900</v>
      </c>
      <c r="T47" s="18">
        <v>900</v>
      </c>
      <c r="U47" s="18">
        <v>900</v>
      </c>
      <c r="V47" s="18">
        <v>900</v>
      </c>
      <c r="W47" s="18">
        <v>900</v>
      </c>
      <c r="X47" s="18">
        <v>900</v>
      </c>
      <c r="Y47" s="18">
        <v>900</v>
      </c>
      <c r="Z47" s="18">
        <v>900</v>
      </c>
      <c r="AA47" s="18">
        <v>900</v>
      </c>
      <c r="AB47" s="18">
        <v>900</v>
      </c>
      <c r="AC47" s="18">
        <v>900</v>
      </c>
      <c r="AD47" s="18">
        <v>900</v>
      </c>
      <c r="AE47" s="18">
        <v>900</v>
      </c>
      <c r="AF47" s="18">
        <v>900</v>
      </c>
      <c r="AG47" s="18">
        <v>900</v>
      </c>
      <c r="AH47" s="18">
        <v>900</v>
      </c>
      <c r="AI47" s="18">
        <v>901</v>
      </c>
      <c r="AJ47" s="18">
        <v>902</v>
      </c>
      <c r="AK47" s="18">
        <v>903</v>
      </c>
      <c r="AL47" s="18">
        <v>904</v>
      </c>
    </row>
    <row r="48" spans="2:38" x14ac:dyDescent="0.2">
      <c r="C48" s="3"/>
      <c r="D48" s="3"/>
      <c r="E48" s="3"/>
      <c r="F48" s="3"/>
      <c r="G48" s="3"/>
      <c r="H48" s="3"/>
      <c r="I48" s="3"/>
      <c r="J48" s="3"/>
      <c r="K48" s="3"/>
      <c r="L48" s="3"/>
      <c r="M48" s="3"/>
      <c r="N48" s="3"/>
      <c r="O48" s="21"/>
    </row>
    <row r="49" spans="2:38" x14ac:dyDescent="0.2">
      <c r="B49" s="28" t="s">
        <v>59</v>
      </c>
      <c r="C49" s="19">
        <v>0</v>
      </c>
      <c r="D49" s="19">
        <v>0</v>
      </c>
      <c r="E49" s="19">
        <v>0</v>
      </c>
      <c r="F49" s="19">
        <v>0</v>
      </c>
      <c r="G49" s="20">
        <f>(G35-C35)/C35</f>
        <v>0.25977011494252872</v>
      </c>
      <c r="H49" s="20">
        <f t="shared" ref="H49:O49" si="71">(H35-D35)/D35</f>
        <v>0.35980077236799352</v>
      </c>
      <c r="I49" s="20">
        <f t="shared" si="71"/>
        <v>0.20429326427052408</v>
      </c>
      <c r="J49" s="20">
        <f t="shared" si="71"/>
        <v>0.44683216798169645</v>
      </c>
      <c r="K49" s="20">
        <f t="shared" si="71"/>
        <v>0.45175638686131386</v>
      </c>
      <c r="L49" s="20">
        <f t="shared" si="71"/>
        <v>0.37644654421913171</v>
      </c>
      <c r="M49" s="20">
        <f t="shared" si="71"/>
        <v>0.53865251636929468</v>
      </c>
      <c r="N49" s="20">
        <f t="shared" si="71"/>
        <v>0.42557342161267447</v>
      </c>
      <c r="O49" s="23">
        <f t="shared" si="71"/>
        <v>0.55542462094430045</v>
      </c>
      <c r="P49" s="29">
        <f>AVERAGE(G49:O49)</f>
        <v>0.402061089952162</v>
      </c>
      <c r="Q49" s="29">
        <v>0.4</v>
      </c>
      <c r="R49" s="20">
        <v>0.4</v>
      </c>
      <c r="S49" s="20">
        <v>0.4</v>
      </c>
      <c r="T49" s="20">
        <v>0.35</v>
      </c>
      <c r="U49" s="20">
        <v>0.35</v>
      </c>
      <c r="V49" s="20">
        <v>0.35</v>
      </c>
      <c r="W49" s="20">
        <v>0.3</v>
      </c>
      <c r="X49" s="20">
        <v>0.3</v>
      </c>
      <c r="Y49" s="20">
        <v>0.3</v>
      </c>
      <c r="Z49" s="20">
        <v>0.25</v>
      </c>
      <c r="AA49" s="20">
        <v>0.25</v>
      </c>
      <c r="AB49" s="20">
        <v>0.25</v>
      </c>
      <c r="AC49" s="20">
        <v>0.2</v>
      </c>
      <c r="AD49" s="20">
        <v>0.2</v>
      </c>
      <c r="AE49" s="20">
        <v>0.2</v>
      </c>
      <c r="AF49" s="20">
        <v>0.2</v>
      </c>
      <c r="AG49" s="20">
        <v>0.2</v>
      </c>
      <c r="AH49" s="20">
        <v>0.2</v>
      </c>
      <c r="AI49" s="20">
        <v>0.2</v>
      </c>
      <c r="AJ49" s="20">
        <v>0.2</v>
      </c>
      <c r="AK49" s="20">
        <v>0.2</v>
      </c>
      <c r="AL49" s="20">
        <v>0.2</v>
      </c>
    </row>
    <row r="50" spans="2:38" x14ac:dyDescent="0.2">
      <c r="B50" s="28" t="s">
        <v>62</v>
      </c>
      <c r="C50" s="20">
        <f t="shared" ref="C50:O50" si="72">C37/C35</f>
        <v>0.76627873563218396</v>
      </c>
      <c r="D50" s="20">
        <f t="shared" si="72"/>
        <v>0.78255795767615888</v>
      </c>
      <c r="E50" s="20">
        <f t="shared" si="72"/>
        <v>0.80417114101025411</v>
      </c>
      <c r="F50" s="20">
        <f t="shared" si="72"/>
        <v>0.80883956636089549</v>
      </c>
      <c r="G50" s="20">
        <f t="shared" si="72"/>
        <v>0.80913549270072993</v>
      </c>
      <c r="H50" s="20">
        <f t="shared" si="72"/>
        <v>0.80799447924408108</v>
      </c>
      <c r="I50" s="20">
        <f t="shared" si="72"/>
        <v>0.81022982577300651</v>
      </c>
      <c r="J50" s="20">
        <f t="shared" si="72"/>
        <v>0.82237231023882718</v>
      </c>
      <c r="K50" s="20">
        <f t="shared" si="72"/>
        <v>0.82520229397438916</v>
      </c>
      <c r="L50" s="20">
        <f t="shared" si="72"/>
        <v>0.8426631185843666</v>
      </c>
      <c r="M50" s="20">
        <f t="shared" si="72"/>
        <v>0.82908163265306123</v>
      </c>
      <c r="N50" s="20">
        <f t="shared" si="72"/>
        <v>0.82522807381297947</v>
      </c>
      <c r="O50" s="23">
        <f t="shared" si="72"/>
        <v>0.81933430981362698</v>
      </c>
      <c r="P50" s="29">
        <f>AVERAGE(C50:O50)</f>
        <v>0.81177607211342762</v>
      </c>
      <c r="Q50" s="29">
        <v>0.81177607211342762</v>
      </c>
      <c r="R50" s="29">
        <v>0.81177607211342762</v>
      </c>
      <c r="S50" s="29">
        <v>0.81177607211342762</v>
      </c>
      <c r="T50" s="29">
        <v>0.81177607211342762</v>
      </c>
      <c r="U50" s="29">
        <v>0.81177607211342762</v>
      </c>
      <c r="V50" s="29">
        <v>0.81177607211342762</v>
      </c>
      <c r="W50" s="29">
        <v>0.81177607211342762</v>
      </c>
      <c r="X50" s="29">
        <v>0.81177607211342762</v>
      </c>
      <c r="Y50" s="29">
        <v>0.81177607211342762</v>
      </c>
      <c r="Z50" s="29">
        <v>0.81177607211342762</v>
      </c>
      <c r="AA50" s="29">
        <v>0.81177607211342762</v>
      </c>
      <c r="AB50" s="29">
        <v>0.81177607211342762</v>
      </c>
      <c r="AC50" s="29">
        <v>0.81177607211342762</v>
      </c>
      <c r="AD50" s="29">
        <v>0.81177607211342762</v>
      </c>
      <c r="AE50" s="29">
        <v>0.81177607211342762</v>
      </c>
      <c r="AF50" s="29">
        <v>0.81177607211342762</v>
      </c>
      <c r="AG50" s="29">
        <v>0.81177607211342762</v>
      </c>
      <c r="AH50" s="29">
        <v>0.81177607211342762</v>
      </c>
      <c r="AI50" s="29">
        <v>0.81177607211342762</v>
      </c>
      <c r="AJ50" s="29">
        <v>0.81177607211342762</v>
      </c>
      <c r="AK50" s="29">
        <v>0.81177607211342762</v>
      </c>
      <c r="AL50" s="29">
        <v>0.81177607211342762</v>
      </c>
    </row>
    <row r="51" spans="2:38" x14ac:dyDescent="0.2">
      <c r="B51" s="28" t="s">
        <v>72</v>
      </c>
      <c r="C51" s="20">
        <f>C38/C37</f>
        <v>0.37220857630360188</v>
      </c>
      <c r="D51" s="20">
        <f t="shared" ref="D51:O51" si="73">D38/D37</f>
        <v>0.36227650775593029</v>
      </c>
      <c r="E51" s="20">
        <f t="shared" si="73"/>
        <v>0.31538914708385152</v>
      </c>
      <c r="F51" s="20">
        <f t="shared" si="73"/>
        <v>0.33873952467813995</v>
      </c>
      <c r="G51" s="20">
        <f t="shared" si="73"/>
        <v>0.3555994079921066</v>
      </c>
      <c r="H51" s="20">
        <f t="shared" si="73"/>
        <v>0.29687055165013254</v>
      </c>
      <c r="I51" s="20">
        <f t="shared" si="73"/>
        <v>0.29499476710939437</v>
      </c>
      <c r="J51" s="20">
        <f t="shared" si="73"/>
        <v>0.27158774373259054</v>
      </c>
      <c r="K51" s="20">
        <f t="shared" si="73"/>
        <v>0.26028179741051027</v>
      </c>
      <c r="L51" s="20">
        <f t="shared" si="73"/>
        <v>0.25447181137918667</v>
      </c>
      <c r="M51" s="20">
        <f t="shared" si="73"/>
        <v>0.23749871509336987</v>
      </c>
      <c r="N51" s="20">
        <f t="shared" si="73"/>
        <v>0.23878318875900581</v>
      </c>
      <c r="O51" s="23">
        <f t="shared" si="73"/>
        <v>0.21637282702502775</v>
      </c>
      <c r="P51" s="29">
        <f>O51</f>
        <v>0.21637282702502775</v>
      </c>
      <c r="Q51" s="29">
        <f t="shared" ref="Q51:AH51" si="74">P51</f>
        <v>0.21637282702502775</v>
      </c>
      <c r="R51" s="29">
        <f t="shared" si="74"/>
        <v>0.21637282702502775</v>
      </c>
      <c r="S51" s="29">
        <f t="shared" si="74"/>
        <v>0.21637282702502775</v>
      </c>
      <c r="T51" s="29">
        <f t="shared" si="74"/>
        <v>0.21637282702502775</v>
      </c>
      <c r="U51" s="29">
        <f t="shared" si="74"/>
        <v>0.21637282702502775</v>
      </c>
      <c r="V51" s="29">
        <f t="shared" si="74"/>
        <v>0.21637282702502775</v>
      </c>
      <c r="W51" s="29">
        <f t="shared" si="74"/>
        <v>0.21637282702502775</v>
      </c>
      <c r="X51" s="29">
        <f t="shared" si="74"/>
        <v>0.21637282702502775</v>
      </c>
      <c r="Y51" s="29">
        <f t="shared" si="74"/>
        <v>0.21637282702502775</v>
      </c>
      <c r="Z51" s="29">
        <f t="shared" si="74"/>
        <v>0.21637282702502775</v>
      </c>
      <c r="AA51" s="29">
        <f t="shared" si="74"/>
        <v>0.21637282702502775</v>
      </c>
      <c r="AB51" s="29">
        <f t="shared" si="74"/>
        <v>0.21637282702502775</v>
      </c>
      <c r="AC51" s="29">
        <f t="shared" si="74"/>
        <v>0.21637282702502775</v>
      </c>
      <c r="AD51" s="29">
        <f t="shared" si="74"/>
        <v>0.21637282702502775</v>
      </c>
      <c r="AE51" s="29">
        <f t="shared" si="74"/>
        <v>0.21637282702502775</v>
      </c>
      <c r="AF51" s="29">
        <f t="shared" si="74"/>
        <v>0.21637282702502775</v>
      </c>
      <c r="AG51" s="29">
        <f t="shared" si="74"/>
        <v>0.21637282702502775</v>
      </c>
      <c r="AH51" s="29">
        <f t="shared" si="74"/>
        <v>0.21637282702502775</v>
      </c>
      <c r="AI51" s="29">
        <f t="shared" ref="AI51:AL51" si="75">AH51</f>
        <v>0.21637282702502775</v>
      </c>
      <c r="AJ51" s="29">
        <f t="shared" si="75"/>
        <v>0.21637282702502775</v>
      </c>
      <c r="AK51" s="29">
        <f t="shared" si="75"/>
        <v>0.21637282702502775</v>
      </c>
      <c r="AL51" s="29">
        <f t="shared" si="75"/>
        <v>0.21637282702502775</v>
      </c>
    </row>
    <row r="52" spans="2:38" x14ac:dyDescent="0.2">
      <c r="B52" s="28" t="s">
        <v>73</v>
      </c>
      <c r="C52" s="20">
        <f>C39/C37</f>
        <v>0.32797704985656162</v>
      </c>
      <c r="D52" s="20">
        <f t="shared" ref="D52:O52" si="76">D39/D37</f>
        <v>0.29600135286792623</v>
      </c>
      <c r="E52" s="20">
        <f t="shared" si="76"/>
        <v>0.23615893172743341</v>
      </c>
      <c r="F52" s="20">
        <f t="shared" si="76"/>
        <v>0.25439500885610805</v>
      </c>
      <c r="G52" s="20">
        <f t="shared" si="76"/>
        <v>0.27517090704066532</v>
      </c>
      <c r="H52" s="20">
        <f t="shared" si="76"/>
        <v>0.23183978275627976</v>
      </c>
      <c r="I52" s="20">
        <f t="shared" si="76"/>
        <v>0.22655718956011353</v>
      </c>
      <c r="J52" s="20">
        <f t="shared" si="76"/>
        <v>0.21785425465001348</v>
      </c>
      <c r="K52" s="20">
        <f t="shared" si="76"/>
        <v>0.23495811119573495</v>
      </c>
      <c r="L52" s="20">
        <f t="shared" si="76"/>
        <v>0.20999397401963399</v>
      </c>
      <c r="M52" s="20">
        <f t="shared" si="76"/>
        <v>0.18781565872879902</v>
      </c>
      <c r="N52" s="20">
        <f t="shared" si="76"/>
        <v>0.19669227338680806</v>
      </c>
      <c r="O52" s="23">
        <f t="shared" si="76"/>
        <v>0.18086549130810012</v>
      </c>
      <c r="P52" s="29">
        <f>O52</f>
        <v>0.18086549130810012</v>
      </c>
      <c r="Q52" s="29">
        <v>0.18</v>
      </c>
      <c r="R52" s="29">
        <v>0.18</v>
      </c>
      <c r="S52" s="29">
        <v>0.18</v>
      </c>
      <c r="T52" s="29">
        <v>0.18</v>
      </c>
      <c r="U52" s="29">
        <v>0.18</v>
      </c>
      <c r="V52" s="29">
        <v>0.18</v>
      </c>
      <c r="W52" s="29">
        <v>0.18</v>
      </c>
      <c r="X52" s="29">
        <v>0.18</v>
      </c>
      <c r="Y52" s="29">
        <v>0.18</v>
      </c>
      <c r="Z52" s="29">
        <v>0.18</v>
      </c>
      <c r="AA52" s="29">
        <v>0.18</v>
      </c>
      <c r="AB52" s="29">
        <v>0.18</v>
      </c>
      <c r="AC52" s="29">
        <v>0.18</v>
      </c>
      <c r="AD52" s="29">
        <v>0.18</v>
      </c>
      <c r="AE52" s="29">
        <v>0.18</v>
      </c>
      <c r="AF52" s="29">
        <v>0.18</v>
      </c>
      <c r="AG52" s="29">
        <v>0.18</v>
      </c>
      <c r="AH52" s="29">
        <v>0.18</v>
      </c>
      <c r="AI52" s="29">
        <v>0.18</v>
      </c>
      <c r="AJ52" s="29">
        <v>0.18</v>
      </c>
      <c r="AK52" s="29">
        <v>0.18</v>
      </c>
      <c r="AL52" s="29">
        <v>0.18</v>
      </c>
    </row>
    <row r="53" spans="2:38" x14ac:dyDescent="0.2">
      <c r="B53" s="28" t="s">
        <v>74</v>
      </c>
      <c r="C53" s="20">
        <f>C40/C37</f>
        <v>1.9687623047644046E-2</v>
      </c>
      <c r="D53" s="20">
        <f t="shared" ref="D53:O53" si="77">D40/D37</f>
        <v>1.4927667686442108E-2</v>
      </c>
      <c r="E53" s="20">
        <f t="shared" si="77"/>
        <v>0.38948746481639063</v>
      </c>
      <c r="F53" s="20">
        <f t="shared" si="77"/>
        <v>8.2295714701139402E-2</v>
      </c>
      <c r="G53" s="20">
        <f t="shared" si="77"/>
        <v>1.5575445767848334E-2</v>
      </c>
      <c r="H53" s="20">
        <f t="shared" si="77"/>
        <v>1.6895517158311984E-2</v>
      </c>
      <c r="I53" s="20">
        <f t="shared" si="77"/>
        <v>0.30495344345780784</v>
      </c>
      <c r="J53" s="20">
        <f t="shared" si="77"/>
        <v>1.7000628987330398E-2</v>
      </c>
      <c r="K53" s="20">
        <f t="shared" si="77"/>
        <v>0.14965727341964966</v>
      </c>
      <c r="L53" s="20">
        <f t="shared" si="77"/>
        <v>1.1670569569561933E-2</v>
      </c>
      <c r="M53" s="20">
        <f t="shared" si="77"/>
        <v>4.4934041459653934E-2</v>
      </c>
      <c r="N53" s="20">
        <f t="shared" si="77"/>
        <v>3.3215454482641654E-2</v>
      </c>
      <c r="O53" s="23">
        <f t="shared" si="77"/>
        <v>3.6000493157440513E-2</v>
      </c>
      <c r="P53" s="29">
        <f>O53</f>
        <v>3.6000493157440513E-2</v>
      </c>
      <c r="Q53" s="29">
        <v>0.04</v>
      </c>
      <c r="R53" s="29">
        <v>0.04</v>
      </c>
      <c r="S53" s="29">
        <v>0.04</v>
      </c>
      <c r="T53" s="29">
        <v>0.04</v>
      </c>
      <c r="U53" s="29">
        <v>0.04</v>
      </c>
      <c r="V53" s="29">
        <v>0.04</v>
      </c>
      <c r="W53" s="29">
        <v>0.04</v>
      </c>
      <c r="X53" s="29">
        <v>0.04</v>
      </c>
      <c r="Y53" s="29">
        <v>0.04</v>
      </c>
      <c r="Z53" s="29">
        <v>0.04</v>
      </c>
      <c r="AA53" s="29">
        <v>0.04</v>
      </c>
      <c r="AB53" s="29">
        <v>0.04</v>
      </c>
      <c r="AC53" s="29">
        <v>0.04</v>
      </c>
      <c r="AD53" s="29">
        <v>0.04</v>
      </c>
      <c r="AE53" s="29">
        <v>0.04</v>
      </c>
      <c r="AF53" s="29">
        <v>0.04</v>
      </c>
      <c r="AG53" s="29">
        <v>0.04</v>
      </c>
      <c r="AH53" s="29">
        <v>0.04</v>
      </c>
      <c r="AI53" s="29">
        <v>0.04</v>
      </c>
      <c r="AJ53" s="29">
        <v>0.04</v>
      </c>
      <c r="AK53" s="29">
        <v>0.04</v>
      </c>
      <c r="AL53" s="29">
        <v>0.04</v>
      </c>
    </row>
    <row r="54" spans="2:38" x14ac:dyDescent="0.2">
      <c r="B54" s="28" t="s">
        <v>75</v>
      </c>
      <c r="C54" s="20">
        <f>C44/C43</f>
        <v>0.12080800156893511</v>
      </c>
      <c r="D54" s="20">
        <f t="shared" ref="D54:O54" si="78">D44/D43</f>
        <v>0.15591938340753503</v>
      </c>
      <c r="E54" s="20">
        <f t="shared" si="78"/>
        <v>1.1343632958801504</v>
      </c>
      <c r="F54" s="20">
        <f t="shared" si="78"/>
        <v>0.14077113110993472</v>
      </c>
      <c r="G54" s="20">
        <f t="shared" si="78"/>
        <v>0.11561058317889671</v>
      </c>
      <c r="H54" s="20">
        <f t="shared" si="78"/>
        <v>0.15643125213237813</v>
      </c>
      <c r="I54" s="20">
        <f t="shared" si="78"/>
        <v>0.38913371946612957</v>
      </c>
      <c r="J54" s="20">
        <f t="shared" si="78"/>
        <v>0.12481641725876234</v>
      </c>
      <c r="K54" s="20">
        <f t="shared" si="78"/>
        <v>0.20167824074074073</v>
      </c>
      <c r="L54" s="20">
        <f t="shared" si="78"/>
        <v>0.16465501977217731</v>
      </c>
      <c r="M54" s="20">
        <f t="shared" si="78"/>
        <v>0.22812620983352691</v>
      </c>
      <c r="N54" s="20">
        <f t="shared" si="78"/>
        <v>0.19700708910986914</v>
      </c>
      <c r="O54" s="23">
        <f t="shared" si="78"/>
        <v>0.16429378531073446</v>
      </c>
      <c r="P54" s="29">
        <f>AVERAGE(C54:O54)</f>
        <v>0.25335493298229006</v>
      </c>
      <c r="Q54" s="29">
        <v>0.25</v>
      </c>
      <c r="R54" s="29">
        <v>0.25</v>
      </c>
      <c r="S54" s="29">
        <v>0.25</v>
      </c>
      <c r="T54" s="29">
        <v>0.25</v>
      </c>
      <c r="U54" s="29">
        <v>0.25</v>
      </c>
      <c r="V54" s="29">
        <v>0.25</v>
      </c>
      <c r="W54" s="29">
        <v>0.25</v>
      </c>
      <c r="X54" s="29">
        <v>0.25</v>
      </c>
      <c r="Y54" s="29">
        <v>0.25</v>
      </c>
      <c r="Z54" s="29">
        <v>0.25</v>
      </c>
      <c r="AA54" s="29">
        <v>0.25</v>
      </c>
      <c r="AB54" s="29">
        <v>0.25</v>
      </c>
      <c r="AC54" s="29">
        <v>0.25</v>
      </c>
      <c r="AD54" s="29">
        <v>0.25</v>
      </c>
      <c r="AE54" s="29">
        <v>0.25</v>
      </c>
      <c r="AF54" s="29">
        <v>0.25</v>
      </c>
      <c r="AG54" s="29">
        <v>0.25</v>
      </c>
      <c r="AH54" s="29">
        <v>0.25</v>
      </c>
      <c r="AI54" s="29">
        <v>0.25</v>
      </c>
      <c r="AJ54" s="29">
        <v>0.25</v>
      </c>
      <c r="AK54" s="29">
        <v>0.25</v>
      </c>
      <c r="AL54" s="29">
        <v>0.25</v>
      </c>
    </row>
    <row r="56" spans="2:38" x14ac:dyDescent="0.2">
      <c r="J56" s="13"/>
    </row>
    <row r="57" spans="2:38" x14ac:dyDescent="0.2">
      <c r="J57" s="13"/>
    </row>
    <row r="58" spans="2:38" x14ac:dyDescent="0.2">
      <c r="B58" t="s">
        <v>60</v>
      </c>
    </row>
    <row r="60" spans="2:38" ht="17" thickBot="1" x14ac:dyDescent="0.25">
      <c r="C60" s="14" t="s">
        <v>49</v>
      </c>
      <c r="D60" s="14" t="s">
        <v>50</v>
      </c>
      <c r="E60" s="15" t="s">
        <v>51</v>
      </c>
      <c r="F60" s="14" t="s">
        <v>52</v>
      </c>
      <c r="G60" s="14" t="s">
        <v>53</v>
      </c>
      <c r="H60" s="14" t="s">
        <v>54</v>
      </c>
      <c r="I60" s="14" t="s">
        <v>55</v>
      </c>
      <c r="J60" s="14" t="s">
        <v>56</v>
      </c>
      <c r="K60" s="14" t="s">
        <v>57</v>
      </c>
    </row>
    <row r="61" spans="2:38" x14ac:dyDescent="0.2">
      <c r="C61" s="30"/>
      <c r="D61" s="30"/>
      <c r="E61" s="36"/>
      <c r="F61" s="30"/>
      <c r="G61" s="30"/>
      <c r="H61" s="30"/>
      <c r="I61" s="30"/>
      <c r="J61" s="30"/>
      <c r="K61" s="30"/>
    </row>
    <row r="62" spans="2:38" x14ac:dyDescent="0.2">
      <c r="C62" s="12"/>
      <c r="D62" s="12"/>
      <c r="E62" s="25"/>
      <c r="F62" s="12"/>
      <c r="G62" s="12">
        <f>SUM(S6:V6)</f>
        <v>0</v>
      </c>
      <c r="H62" s="12">
        <f>SUM(W6:Z6)</f>
        <v>0</v>
      </c>
      <c r="I62" s="12">
        <f>SUM(AA6:AD6)</f>
        <v>0</v>
      </c>
      <c r="J62" s="12">
        <f>SUM(AE6:AH6)</f>
        <v>0</v>
      </c>
      <c r="K62" s="12">
        <f>SUM(AI6:AL6)</f>
        <v>0</v>
      </c>
    </row>
    <row r="63" spans="2:38" x14ac:dyDescent="0.2">
      <c r="C63" s="12"/>
      <c r="D63" s="12"/>
      <c r="E63" s="25"/>
      <c r="F63" s="12"/>
      <c r="G63" s="12">
        <f>SUM(S7:V7)</f>
        <v>0</v>
      </c>
      <c r="H63" s="12">
        <f>SUM(W7:Z7)</f>
        <v>0</v>
      </c>
      <c r="I63" s="12">
        <f>SUM(AA7:AD7)</f>
        <v>0</v>
      </c>
      <c r="J63" s="12">
        <f>SUM(AE7:AH7)</f>
        <v>0</v>
      </c>
      <c r="K63" s="12">
        <f>SUM(AI7:AL7)</f>
        <v>0</v>
      </c>
    </row>
    <row r="64" spans="2:38" x14ac:dyDescent="0.2">
      <c r="C64" s="12"/>
      <c r="D64" s="12"/>
      <c r="E64" s="25"/>
      <c r="F64" s="12"/>
      <c r="G64" s="12">
        <f>SUM(S8:V8)</f>
        <v>0</v>
      </c>
      <c r="H64" s="12">
        <f>SUM(W8:Z8)</f>
        <v>0</v>
      </c>
      <c r="I64" s="12">
        <f>SUM(AA8:AD8)</f>
        <v>0</v>
      </c>
      <c r="J64" s="12">
        <f>SUM(AE8:AH8)</f>
        <v>0</v>
      </c>
      <c r="K64" s="12">
        <f>SUM(AI8:AL8)</f>
        <v>0</v>
      </c>
    </row>
    <row r="65" spans="3:11" x14ac:dyDescent="0.2">
      <c r="C65" s="12"/>
      <c r="D65" s="12"/>
      <c r="E65" s="25"/>
      <c r="F65" s="12"/>
      <c r="G65" s="12"/>
      <c r="H65" s="12"/>
      <c r="I65" s="12"/>
      <c r="J65" s="12"/>
      <c r="K65" s="12"/>
    </row>
    <row r="66" spans="3:11" x14ac:dyDescent="0.2">
      <c r="C66" s="12"/>
      <c r="D66" s="12"/>
      <c r="E66" s="25"/>
      <c r="F66" s="12"/>
      <c r="G66" s="12"/>
      <c r="H66" s="12"/>
      <c r="I66" s="12"/>
      <c r="J66" s="12"/>
      <c r="K66" s="12"/>
    </row>
    <row r="67" spans="3:11" x14ac:dyDescent="0.2">
      <c r="C67" s="12"/>
      <c r="D67" s="12"/>
      <c r="E67" s="25"/>
      <c r="F67" s="12"/>
      <c r="G67" s="12">
        <f>SUM(S16:V16)</f>
        <v>0</v>
      </c>
      <c r="H67" s="12">
        <f>SUM(W16:Z16)</f>
        <v>0</v>
      </c>
      <c r="I67" s="12">
        <f>SUM(AA16:AD16)</f>
        <v>0</v>
      </c>
      <c r="J67" s="12">
        <f>SUM(AE16:AH16)</f>
        <v>0</v>
      </c>
      <c r="K67" s="12">
        <f>SUM(AI16:AL16)</f>
        <v>0</v>
      </c>
    </row>
    <row r="68" spans="3:11" x14ac:dyDescent="0.2">
      <c r="C68" s="12"/>
      <c r="D68" s="12"/>
      <c r="E68" s="25"/>
      <c r="F68" s="12"/>
      <c r="G68" s="12">
        <f>SUM(S14:V14)</f>
        <v>0</v>
      </c>
      <c r="H68" s="12">
        <f>SUM(W14:Z14)</f>
        <v>0</v>
      </c>
      <c r="I68" s="12">
        <f>SUM(AA14:AD14)</f>
        <v>0</v>
      </c>
      <c r="J68" s="12">
        <f>SUM(AE14:AH14)</f>
        <v>0</v>
      </c>
      <c r="K68" s="12">
        <f>SUM(AI14:AL14)</f>
        <v>0</v>
      </c>
    </row>
    <row r="69" spans="3:11" x14ac:dyDescent="0.2">
      <c r="C69" s="12"/>
      <c r="D69" s="12"/>
      <c r="E69" s="25"/>
      <c r="F69" s="12"/>
      <c r="G69" s="12">
        <f>SUM(S24:V24)</f>
        <v>0</v>
      </c>
      <c r="H69" s="12">
        <f>SUM(W24:Z24)</f>
        <v>0</v>
      </c>
      <c r="I69" s="12">
        <f>SUM(AA24:AD24)</f>
        <v>0</v>
      </c>
      <c r="J69" s="12">
        <f>SUM(AE24:AH24)</f>
        <v>0</v>
      </c>
      <c r="K69" s="12">
        <f>SUM(AI24:AL24)</f>
        <v>0</v>
      </c>
    </row>
    <row r="70" spans="3:11" x14ac:dyDescent="0.2">
      <c r="C70" s="12"/>
      <c r="D70" s="12"/>
      <c r="E70" s="25"/>
      <c r="F70" s="12"/>
      <c r="G70" s="12">
        <f>SUM(S30:V30)</f>
        <v>0</v>
      </c>
      <c r="H70" s="12">
        <f>SUM(W30:Z30)</f>
        <v>0</v>
      </c>
      <c r="I70" s="12">
        <f>SUM(AA30:AD30)</f>
        <v>0</v>
      </c>
      <c r="J70" s="12">
        <f>SUM(AE30:AH30)</f>
        <v>0</v>
      </c>
      <c r="K70" s="12">
        <f>SUM(AI30:AL30)</f>
        <v>0</v>
      </c>
    </row>
    <row r="71" spans="3:11" x14ac:dyDescent="0.2">
      <c r="C71" s="12"/>
      <c r="D71" s="12"/>
      <c r="E71" s="25"/>
      <c r="F71" s="12"/>
      <c r="G71" s="12">
        <f>SUM(S26:V26)</f>
        <v>0</v>
      </c>
      <c r="H71" s="12">
        <f>SUM(W26:Z26)</f>
        <v>0</v>
      </c>
      <c r="I71" s="12">
        <f>SUM(AA26:AD26)</f>
        <v>0</v>
      </c>
      <c r="J71" s="12">
        <f>SUM(AE26:AH26)</f>
        <v>0</v>
      </c>
      <c r="K71" s="12">
        <f>SUM(AI26:AL26)</f>
        <v>0</v>
      </c>
    </row>
    <row r="72" spans="3:11" x14ac:dyDescent="0.2">
      <c r="C72" s="12"/>
      <c r="D72" s="12"/>
      <c r="E72" s="25"/>
      <c r="F72" s="12"/>
      <c r="G72" s="12">
        <f>SUM(S21:V21)</f>
        <v>0</v>
      </c>
      <c r="H72" s="12">
        <f>SUM(W21:Z21)</f>
        <v>0</v>
      </c>
      <c r="I72" s="12">
        <f>SUM(AA21:AD21)</f>
        <v>0</v>
      </c>
      <c r="J72" s="12">
        <f>SUM(AE21:AH21)</f>
        <v>0</v>
      </c>
      <c r="K72" s="12">
        <f>SUM(AI21:AL21)</f>
        <v>0</v>
      </c>
    </row>
    <row r="73" spans="3:11" x14ac:dyDescent="0.2">
      <c r="C73" s="12"/>
      <c r="D73" s="12"/>
      <c r="E73" s="25"/>
      <c r="F73" s="12"/>
      <c r="G73" s="12">
        <f>SUM(S22:V22)</f>
        <v>0</v>
      </c>
      <c r="H73" s="12">
        <f>SUM(W22:Z22)</f>
        <v>0</v>
      </c>
      <c r="I73" s="12">
        <f>SUM(AA22:AD22)</f>
        <v>0</v>
      </c>
      <c r="J73" s="12">
        <f>SUM(AE22:AH22)</f>
        <v>0</v>
      </c>
      <c r="K73" s="12">
        <f>SUM(AI22:AL22)</f>
        <v>0</v>
      </c>
    </row>
    <row r="74" spans="3:11" x14ac:dyDescent="0.2">
      <c r="C74" s="12"/>
      <c r="D74" s="12"/>
      <c r="E74" s="25"/>
      <c r="F74" s="12"/>
      <c r="G74" s="12">
        <f>SUM(S27:V27)</f>
        <v>0</v>
      </c>
      <c r="H74" s="12">
        <f>SUM(W27:Z27)</f>
        <v>0</v>
      </c>
      <c r="I74" s="12">
        <f>SUM(AA27:AD27)</f>
        <v>0</v>
      </c>
      <c r="J74" s="12">
        <f>SUM(AE27:AH27)</f>
        <v>0</v>
      </c>
      <c r="K74" s="12">
        <f>SUM(AI27:AL27)</f>
        <v>0</v>
      </c>
    </row>
    <row r="75" spans="3:11" x14ac:dyDescent="0.2">
      <c r="C75" s="12"/>
      <c r="D75" s="12"/>
      <c r="E75" s="25"/>
      <c r="F75" s="12"/>
      <c r="G75" s="12">
        <f>SUM(S12:V12)</f>
        <v>0</v>
      </c>
      <c r="H75" s="12">
        <f>SUM(W12:Z12)</f>
        <v>0</v>
      </c>
      <c r="I75" s="12">
        <f>SUM(AA12:AD12)</f>
        <v>0</v>
      </c>
      <c r="J75" s="12">
        <f>SUM(AE12:AH12)</f>
        <v>0</v>
      </c>
      <c r="K75" s="12">
        <f>SUM(AI12:AL12)</f>
        <v>0</v>
      </c>
    </row>
    <row r="76" spans="3:11" x14ac:dyDescent="0.2">
      <c r="C76" s="12"/>
      <c r="D76" s="12"/>
      <c r="E76" s="25"/>
      <c r="F76" s="12"/>
      <c r="G76" s="12">
        <f t="shared" ref="G76" si="79">SUM(S31:V31)</f>
        <v>0</v>
      </c>
      <c r="H76" s="12">
        <f t="shared" ref="H76" si="80">SUM(W31:Z31)</f>
        <v>0</v>
      </c>
      <c r="I76" s="12">
        <f t="shared" ref="I76" si="81">SUM(AA31:AD31)</f>
        <v>0</v>
      </c>
      <c r="J76" s="12">
        <f t="shared" ref="J76" si="82">SUM(AE31:AH31)</f>
        <v>0</v>
      </c>
      <c r="K76" s="12">
        <f t="shared" ref="K76" si="83">SUM(AI31:AL31)</f>
        <v>0</v>
      </c>
    </row>
    <row r="77" spans="3:11" x14ac:dyDescent="0.2">
      <c r="E77" s="37"/>
    </row>
    <row r="78" spans="3:11" x14ac:dyDescent="0.2">
      <c r="E78" s="37"/>
    </row>
    <row r="79" spans="3:11" x14ac:dyDescent="0.2">
      <c r="E79" s="37"/>
    </row>
    <row r="80" spans="3:11" x14ac:dyDescent="0.2">
      <c r="C80" s="12"/>
      <c r="D80" s="12"/>
      <c r="E80" s="25"/>
      <c r="F80" s="12"/>
      <c r="G80" s="12"/>
      <c r="H80" s="12"/>
      <c r="I80" s="12"/>
      <c r="J80" s="12"/>
      <c r="K80" s="12"/>
    </row>
    <row r="81" spans="2:91" x14ac:dyDescent="0.2">
      <c r="C81" s="12"/>
      <c r="D81" s="12"/>
      <c r="E81" s="25"/>
      <c r="F81" s="12"/>
      <c r="G81" s="12"/>
      <c r="H81" s="12"/>
      <c r="I81" s="12"/>
      <c r="J81" s="12"/>
      <c r="K81" s="12"/>
    </row>
    <row r="82" spans="2:91" x14ac:dyDescent="0.2">
      <c r="C82" s="12"/>
      <c r="D82" s="12"/>
      <c r="E82" s="25"/>
      <c r="F82" s="12"/>
      <c r="G82" s="12"/>
      <c r="H82" s="12"/>
      <c r="I82" s="12"/>
      <c r="J82" s="12"/>
      <c r="K82" s="12"/>
    </row>
    <row r="83" spans="2:91" x14ac:dyDescent="0.2">
      <c r="B83" s="5" t="s">
        <v>85</v>
      </c>
      <c r="C83" s="12">
        <f t="shared" ref="C83:C93" si="84">SUM(C35:F35)</f>
        <v>34124.1</v>
      </c>
      <c r="D83" s="12">
        <f t="shared" ref="D83:D93" si="85">SUM(G35:J35)</f>
        <v>45042.7</v>
      </c>
      <c r="E83" s="25">
        <f t="shared" ref="E83:E93" si="86">SUM(K35:N35)</f>
        <v>65179.5</v>
      </c>
      <c r="F83" s="12">
        <f t="shared" ref="F83:F93" si="87">SUM(O35:R35)</f>
        <v>93261.765819148757</v>
      </c>
      <c r="G83" s="12">
        <f t="shared" ref="G83:G93" si="88">SUM(S35:V35)</f>
        <v>126893.33385585083</v>
      </c>
      <c r="H83" s="12">
        <f t="shared" ref="H83:H93" si="89">SUM(W35:Z35)</f>
        <v>163138.24001260608</v>
      </c>
      <c r="I83" s="12">
        <f>SUM(AA35:AD35)</f>
        <v>199481.67423575759</v>
      </c>
      <c r="J83" s="12">
        <f t="shared" ref="J83:J93" si="90">SUM(AE35:AH35)</f>
        <v>239378.00908290909</v>
      </c>
      <c r="K83" s="12">
        <f t="shared" ref="K83:K93" si="91">SUM(AI35:AL35)</f>
        <v>287253.61089949089</v>
      </c>
    </row>
    <row r="84" spans="2:91" x14ac:dyDescent="0.2">
      <c r="B84" t="s">
        <v>32</v>
      </c>
      <c r="C84" s="12">
        <f t="shared" si="84"/>
        <v>7082.2000000000007</v>
      </c>
      <c r="D84" s="12">
        <f t="shared" si="85"/>
        <v>8418.2999999999993</v>
      </c>
      <c r="E84" s="25">
        <f t="shared" si="86"/>
        <v>11052.8</v>
      </c>
      <c r="F84" s="12">
        <f t="shared" si="87"/>
        <v>14801.793321013585</v>
      </c>
      <c r="G84" s="12">
        <f t="shared" si="88"/>
        <v>19388.753342785676</v>
      </c>
      <c r="H84" s="12">
        <f t="shared" si="89"/>
        <v>24926.818456624114</v>
      </c>
      <c r="I84" s="12">
        <f t="shared" ref="I84:I93" si="92">SUM(W36:Z36)</f>
        <v>24926.818456624114</v>
      </c>
      <c r="J84" s="12">
        <f t="shared" si="90"/>
        <v>36575.925880141367</v>
      </c>
      <c r="K84" s="12">
        <f t="shared" si="91"/>
        <v>43891.111056169633</v>
      </c>
    </row>
    <row r="85" spans="2:91" x14ac:dyDescent="0.2">
      <c r="B85" s="5" t="s">
        <v>58</v>
      </c>
      <c r="C85" s="12">
        <f t="shared" si="84"/>
        <v>27041.9</v>
      </c>
      <c r="D85" s="12">
        <f t="shared" si="85"/>
        <v>36624.399999999994</v>
      </c>
      <c r="E85" s="25">
        <f t="shared" si="86"/>
        <v>54126.7</v>
      </c>
      <c r="F85" s="12">
        <f t="shared" si="87"/>
        <v>75857.315483257145</v>
      </c>
      <c r="G85" s="12">
        <f t="shared" si="88"/>
        <v>103008.9721348804</v>
      </c>
      <c r="H85" s="12">
        <f t="shared" si="89"/>
        <v>132431.71968893096</v>
      </c>
      <c r="I85" s="12">
        <f t="shared" si="92"/>
        <v>132431.71968893096</v>
      </c>
      <c r="J85" s="12">
        <f t="shared" si="90"/>
        <v>194321.33996365636</v>
      </c>
      <c r="K85" s="12">
        <f t="shared" si="91"/>
        <v>233185.6079563876</v>
      </c>
    </row>
    <row r="86" spans="2:91" x14ac:dyDescent="0.2">
      <c r="B86" t="s">
        <v>33</v>
      </c>
      <c r="C86" s="12">
        <f t="shared" si="84"/>
        <v>9313.4000000000015</v>
      </c>
      <c r="D86" s="12">
        <f t="shared" si="85"/>
        <v>10990.6</v>
      </c>
      <c r="E86" s="25">
        <f t="shared" si="86"/>
        <v>13337.3</v>
      </c>
      <c r="F86" s="12">
        <f t="shared" si="87"/>
        <v>16413.461801641755</v>
      </c>
      <c r="G86" s="12">
        <f t="shared" si="88"/>
        <v>22288.342509766382</v>
      </c>
      <c r="H86" s="12">
        <f t="shared" si="89"/>
        <v>28654.625576880022</v>
      </c>
      <c r="I86" s="12">
        <f t="shared" si="92"/>
        <v>28654.625576880022</v>
      </c>
      <c r="J86" s="12">
        <f t="shared" si="90"/>
        <v>42045.857679227825</v>
      </c>
      <c r="K86" s="12">
        <f t="shared" si="91"/>
        <v>50455.029215073388</v>
      </c>
    </row>
    <row r="87" spans="2:91" x14ac:dyDescent="0.2">
      <c r="B87" t="s">
        <v>34</v>
      </c>
      <c r="C87" s="12">
        <f t="shared" si="84"/>
        <v>7403.1</v>
      </c>
      <c r="D87" s="12">
        <f t="shared" si="85"/>
        <v>8593.7999999999993</v>
      </c>
      <c r="E87" s="25">
        <f t="shared" si="86"/>
        <v>11093.1</v>
      </c>
      <c r="F87" s="12">
        <f t="shared" si="87"/>
        <v>13683.682168200785</v>
      </c>
      <c r="G87" s="12">
        <f t="shared" si="88"/>
        <v>18541.614984278473</v>
      </c>
      <c r="H87" s="12">
        <f t="shared" si="89"/>
        <v>23837.709544007575</v>
      </c>
      <c r="I87" s="12">
        <f t="shared" si="92"/>
        <v>23837.709544007575</v>
      </c>
      <c r="J87" s="12">
        <f t="shared" si="90"/>
        <v>34977.841193458138</v>
      </c>
      <c r="K87" s="12">
        <f t="shared" si="91"/>
        <v>41973.409432149769</v>
      </c>
    </row>
    <row r="88" spans="2:91" x14ac:dyDescent="0.2">
      <c r="B88" t="s">
        <v>35</v>
      </c>
      <c r="C88" s="12">
        <f t="shared" si="84"/>
        <v>3799.7999999999997</v>
      </c>
      <c r="D88" s="12">
        <f t="shared" si="85"/>
        <v>3280.4</v>
      </c>
      <c r="E88" s="25">
        <f t="shared" si="86"/>
        <v>2909.5</v>
      </c>
      <c r="F88" s="12">
        <f t="shared" si="87"/>
        <v>2898.592766538497</v>
      </c>
      <c r="G88" s="12">
        <f t="shared" si="88"/>
        <v>4120.3588853952169</v>
      </c>
      <c r="H88" s="12">
        <f t="shared" si="89"/>
        <v>5297.2687875572392</v>
      </c>
      <c r="I88" s="12">
        <f t="shared" si="92"/>
        <v>5297.2687875572392</v>
      </c>
      <c r="J88" s="12">
        <f t="shared" si="90"/>
        <v>7772.853598546254</v>
      </c>
      <c r="K88" s="12">
        <f t="shared" si="91"/>
        <v>9327.4243182555037</v>
      </c>
    </row>
    <row r="89" spans="2:91" x14ac:dyDescent="0.2">
      <c r="B89" t="s">
        <v>36</v>
      </c>
      <c r="C89" s="12">
        <f t="shared" si="84"/>
        <v>67.7</v>
      </c>
      <c r="D89" s="12">
        <f t="shared" si="85"/>
        <v>860.6</v>
      </c>
      <c r="E89" s="25">
        <f t="shared" si="86"/>
        <v>484</v>
      </c>
      <c r="F89" s="12">
        <f t="shared" si="87"/>
        <v>669.09999999999991</v>
      </c>
      <c r="G89" s="12">
        <f t="shared" si="88"/>
        <v>520</v>
      </c>
      <c r="H89" s="12">
        <f t="shared" si="89"/>
        <v>520</v>
      </c>
      <c r="I89" s="12">
        <f t="shared" si="92"/>
        <v>520</v>
      </c>
      <c r="J89" s="12">
        <f t="shared" si="90"/>
        <v>520</v>
      </c>
      <c r="K89" s="12">
        <f t="shared" si="91"/>
        <v>520</v>
      </c>
    </row>
    <row r="90" spans="2:91" x14ac:dyDescent="0.2">
      <c r="B90" t="s">
        <v>37</v>
      </c>
      <c r="C90" s="12">
        <f t="shared" si="84"/>
        <v>145.29999999999998</v>
      </c>
      <c r="D90" s="12">
        <f t="shared" si="85"/>
        <v>218.7</v>
      </c>
      <c r="E90" s="25">
        <f t="shared" si="86"/>
        <v>571</v>
      </c>
      <c r="F90" s="12">
        <f t="shared" si="87"/>
        <v>295.92307692307691</v>
      </c>
      <c r="G90" s="12">
        <f t="shared" si="88"/>
        <v>308</v>
      </c>
      <c r="H90" s="12">
        <f t="shared" si="89"/>
        <v>308</v>
      </c>
      <c r="I90" s="12">
        <f t="shared" si="92"/>
        <v>308</v>
      </c>
      <c r="J90" s="12">
        <f t="shared" si="90"/>
        <v>308</v>
      </c>
      <c r="K90" s="12">
        <f t="shared" si="91"/>
        <v>308</v>
      </c>
    </row>
    <row r="91" spans="2:91" x14ac:dyDescent="0.2">
      <c r="B91" t="s">
        <v>38</v>
      </c>
      <c r="C91" s="12">
        <f t="shared" si="84"/>
        <v>6312.6</v>
      </c>
      <c r="D91" s="12">
        <f t="shared" si="85"/>
        <v>12680.3</v>
      </c>
      <c r="E91" s="25">
        <f t="shared" si="86"/>
        <v>25731.800000000003</v>
      </c>
      <c r="F91" s="12">
        <f t="shared" si="87"/>
        <v>41896.555669953028</v>
      </c>
      <c r="G91" s="12">
        <f t="shared" si="88"/>
        <v>57230.655755440341</v>
      </c>
      <c r="H91" s="12">
        <f t="shared" si="89"/>
        <v>73814.115780486143</v>
      </c>
      <c r="I91" s="12">
        <f t="shared" si="92"/>
        <v>73814.115780486143</v>
      </c>
      <c r="J91" s="12">
        <f t="shared" si="90"/>
        <v>108696.78749242412</v>
      </c>
      <c r="K91" s="12">
        <f t="shared" si="91"/>
        <v>130601.74499090893</v>
      </c>
      <c r="M91" t="s">
        <v>87</v>
      </c>
      <c r="N91" s="16">
        <v>0.01</v>
      </c>
    </row>
    <row r="92" spans="2:91" x14ac:dyDescent="0.2">
      <c r="B92" t="s">
        <v>39</v>
      </c>
      <c r="C92" s="12">
        <f t="shared" si="84"/>
        <v>1314.2</v>
      </c>
      <c r="D92" s="12">
        <f t="shared" si="85"/>
        <v>2090.4</v>
      </c>
      <c r="E92" s="25">
        <f t="shared" si="86"/>
        <v>5091.3</v>
      </c>
      <c r="F92" s="12">
        <f t="shared" si="87"/>
        <v>9748.6135479809418</v>
      </c>
      <c r="G92" s="12">
        <f t="shared" si="88"/>
        <v>14307.663938860085</v>
      </c>
      <c r="H92" s="12">
        <f t="shared" si="89"/>
        <v>18453.528945121536</v>
      </c>
      <c r="I92" s="12">
        <f t="shared" si="92"/>
        <v>18453.528945121536</v>
      </c>
      <c r="J92" s="12">
        <f t="shared" si="90"/>
        <v>27174.19687310603</v>
      </c>
      <c r="K92" s="12">
        <f t="shared" si="91"/>
        <v>32650.436247727233</v>
      </c>
      <c r="M92" t="s">
        <v>86</v>
      </c>
      <c r="N92" s="16">
        <v>0.09</v>
      </c>
    </row>
    <row r="93" spans="2:91" x14ac:dyDescent="0.2">
      <c r="B93" s="5" t="s">
        <v>20</v>
      </c>
      <c r="C93" s="12">
        <f t="shared" si="84"/>
        <v>4998.4000000000005</v>
      </c>
      <c r="D93" s="12">
        <f t="shared" si="85"/>
        <v>10589.899999999998</v>
      </c>
      <c r="E93" s="25">
        <f t="shared" si="86"/>
        <v>20640.5</v>
      </c>
      <c r="F93" s="12">
        <f t="shared" si="87"/>
        <v>32147.942121972086</v>
      </c>
      <c r="G93" s="12">
        <f t="shared" si="88"/>
        <v>42922.991816580252</v>
      </c>
      <c r="H93" s="12">
        <f t="shared" si="89"/>
        <v>55360.586835364607</v>
      </c>
      <c r="I93" s="12">
        <f t="shared" si="92"/>
        <v>55360.586835364607</v>
      </c>
      <c r="J93" s="12">
        <f t="shared" si="90"/>
        <v>81522.590619318085</v>
      </c>
      <c r="K93" s="12">
        <f t="shared" si="91"/>
        <v>97951.308743181711</v>
      </c>
      <c r="L93" s="3"/>
      <c r="M93" t="s">
        <v>88</v>
      </c>
      <c r="N93" s="1">
        <f>K93*(1+N91)/(N92-N91)</f>
        <v>1236635.272882669</v>
      </c>
    </row>
    <row r="94" spans="2:91" x14ac:dyDescent="0.2">
      <c r="B94" t="s">
        <v>40</v>
      </c>
      <c r="C94" s="3">
        <f>C93/C95</f>
        <v>5.5428460536164792</v>
      </c>
      <c r="D94" s="3">
        <f t="shared" ref="D94:K94" si="93">D93/D95</f>
        <v>11.711252419131874</v>
      </c>
      <c r="E94" s="21">
        <f t="shared" si="93"/>
        <v>22.951740242410764</v>
      </c>
      <c r="F94" s="3">
        <f t="shared" si="93"/>
        <v>35.760663112958746</v>
      </c>
      <c r="G94" s="3">
        <f t="shared" si="93"/>
        <v>47.692213129533613</v>
      </c>
      <c r="H94" s="3">
        <f t="shared" si="93"/>
        <v>61.511763150405116</v>
      </c>
      <c r="I94" s="3">
        <f t="shared" si="93"/>
        <v>61.511763150405116</v>
      </c>
      <c r="J94" s="3">
        <f t="shared" si="93"/>
        <v>90.580656243686761</v>
      </c>
      <c r="K94" s="3">
        <f t="shared" si="93"/>
        <v>108.53330608662793</v>
      </c>
      <c r="M94" t="s">
        <v>5</v>
      </c>
      <c r="N94" s="2">
        <f ca="1">Main!B3</f>
        <v>941.7414</v>
      </c>
      <c r="O94" s="3"/>
      <c r="P94" s="3"/>
      <c r="Q94" s="3"/>
      <c r="R94" s="3"/>
      <c r="S94" s="3"/>
      <c r="T94" s="3"/>
      <c r="U94" s="3"/>
      <c r="V94" s="3"/>
      <c r="W94" s="3"/>
      <c r="X94" s="3"/>
      <c r="Y94" s="3"/>
      <c r="Z94" s="3"/>
      <c r="AA94" s="3"/>
      <c r="AB94" s="3"/>
      <c r="AC94" s="3"/>
      <c r="AD94" s="3"/>
      <c r="AE94" s="3"/>
      <c r="AF94" s="3"/>
      <c r="AG94" s="3"/>
      <c r="AH94" s="3"/>
      <c r="AI94" s="3"/>
      <c r="AJ94" s="3"/>
      <c r="AK94" s="3"/>
      <c r="AL94" s="3"/>
      <c r="AM94" s="3"/>
      <c r="AN94" s="3"/>
      <c r="AO94" s="3"/>
      <c r="AP94" s="3"/>
      <c r="AQ94" s="3"/>
      <c r="AR94" s="3"/>
      <c r="AS94" s="3"/>
      <c r="AT94" s="3"/>
      <c r="AU94" s="3"/>
      <c r="AV94" s="3"/>
      <c r="AW94" s="3"/>
      <c r="AX94" s="3"/>
      <c r="AY94" s="3"/>
      <c r="AZ94" s="3"/>
      <c r="BA94" s="3"/>
      <c r="BB94" s="3"/>
      <c r="BC94" s="3"/>
      <c r="BD94" s="3"/>
      <c r="BE94" s="3"/>
      <c r="BF94" s="3"/>
      <c r="BG94" s="3"/>
      <c r="BH94" s="3"/>
      <c r="BI94" s="3"/>
      <c r="BJ94" s="3"/>
      <c r="BK94" s="3"/>
      <c r="BL94" s="3"/>
      <c r="BM94" s="3"/>
      <c r="BN94" s="3"/>
      <c r="BO94" s="3"/>
      <c r="BP94" s="3"/>
      <c r="BQ94" s="3"/>
      <c r="BR94" s="3"/>
      <c r="BS94" s="3"/>
      <c r="BT94" s="3"/>
      <c r="BU94" s="3"/>
      <c r="BV94" s="3"/>
      <c r="BW94" s="3"/>
      <c r="BX94" s="3"/>
      <c r="BY94" s="3"/>
      <c r="BZ94" s="3"/>
      <c r="CA94" s="3"/>
      <c r="CB94" s="3"/>
      <c r="CC94" s="3"/>
      <c r="CD94" s="3"/>
      <c r="CE94" s="3"/>
      <c r="CF94" s="3"/>
      <c r="CG94" s="3"/>
      <c r="CH94" s="3"/>
      <c r="CI94" s="3"/>
      <c r="CJ94" s="3"/>
      <c r="CK94" s="3"/>
      <c r="CL94" s="3"/>
      <c r="CM94" s="3"/>
    </row>
    <row r="95" spans="2:91" x14ac:dyDescent="0.2">
      <c r="B95" t="s">
        <v>5</v>
      </c>
      <c r="C95" s="17">
        <f>AVERAGE(C47:F47)</f>
        <v>901.77499999999998</v>
      </c>
      <c r="D95" s="17">
        <f>AVERAGE(G47:J47)</f>
        <v>904.25</v>
      </c>
      <c r="E95" s="26">
        <f>AVERAGE(K47:N47)</f>
        <v>899.3</v>
      </c>
      <c r="F95" s="17">
        <f>AVERAGE(O47:R47)</f>
        <v>898.97500000000002</v>
      </c>
      <c r="G95" s="17">
        <f>AVERAGE(S47:V47)</f>
        <v>900</v>
      </c>
      <c r="H95" s="17">
        <f>AVERAGE(W47:Z47)</f>
        <v>900</v>
      </c>
      <c r="I95" s="17">
        <f>AVERAGE(W47:Z47)</f>
        <v>900</v>
      </c>
      <c r="J95" s="17">
        <f>AVERAGE(AE47:AH47)</f>
        <v>900</v>
      </c>
      <c r="K95" s="17">
        <f>AVERAGE(AI47:AL47)</f>
        <v>902.5</v>
      </c>
      <c r="M95" t="s">
        <v>89</v>
      </c>
      <c r="N95" s="1">
        <f ca="1">N93/N94</f>
        <v>1313.1367834977511</v>
      </c>
    </row>
    <row r="98" spans="3:5" x14ac:dyDescent="0.2">
      <c r="C98" s="2"/>
      <c r="D98" s="16"/>
      <c r="E98" s="16"/>
    </row>
  </sheetData>
  <phoneticPr fontId="4"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29C2C3-61A4-604B-9B27-349A7F74AD9C}">
  <dimension ref="B2:C6"/>
  <sheetViews>
    <sheetView zoomScale="130" zoomScaleNormal="130" workbookViewId="0">
      <selection activeCell="D11" sqref="D11"/>
    </sheetView>
  </sheetViews>
  <sheetFormatPr baseColWidth="10" defaultRowHeight="16" x14ac:dyDescent="0.2"/>
  <cols>
    <col min="2" max="2" width="11.5" customWidth="1"/>
    <col min="3" max="3" width="32" customWidth="1"/>
  </cols>
  <sheetData>
    <row r="2" spans="2:3" x14ac:dyDescent="0.2">
      <c r="B2" s="5" t="s">
        <v>95</v>
      </c>
      <c r="C2" t="s">
        <v>80</v>
      </c>
    </row>
    <row r="3" spans="2:3" x14ac:dyDescent="0.2">
      <c r="B3" s="5" t="s">
        <v>96</v>
      </c>
      <c r="C3" t="s">
        <v>97</v>
      </c>
    </row>
    <row r="4" spans="2:3" x14ac:dyDescent="0.2">
      <c r="B4" s="5" t="s">
        <v>91</v>
      </c>
      <c r="C4" t="s">
        <v>98</v>
      </c>
    </row>
    <row r="5" spans="2:3" x14ac:dyDescent="0.2">
      <c r="B5" s="5" t="s">
        <v>99</v>
      </c>
      <c r="C5" t="s">
        <v>169</v>
      </c>
    </row>
    <row r="6" spans="2:3" x14ac:dyDescent="0.2">
      <c r="B6" s="5"/>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62C398-D8CE-024E-9926-8443BA028628}">
  <dimension ref="B2:C6"/>
  <sheetViews>
    <sheetView zoomScale="130" zoomScaleNormal="130" workbookViewId="0">
      <selection activeCell="C5" sqref="C5"/>
    </sheetView>
  </sheetViews>
  <sheetFormatPr baseColWidth="10" defaultRowHeight="16" x14ac:dyDescent="0.2"/>
  <cols>
    <col min="2" max="2" width="11.5" customWidth="1"/>
    <col min="3" max="3" width="32" customWidth="1"/>
  </cols>
  <sheetData>
    <row r="2" spans="2:3" x14ac:dyDescent="0.2">
      <c r="B2" s="5" t="s">
        <v>95</v>
      </c>
      <c r="C2" t="s">
        <v>81</v>
      </c>
    </row>
    <row r="3" spans="2:3" x14ac:dyDescent="0.2">
      <c r="B3" s="5" t="s">
        <v>96</v>
      </c>
      <c r="C3" t="s">
        <v>167</v>
      </c>
    </row>
    <row r="4" spans="2:3" x14ac:dyDescent="0.2">
      <c r="B4" s="5" t="s">
        <v>91</v>
      </c>
      <c r="C4" t="s">
        <v>168</v>
      </c>
    </row>
    <row r="5" spans="2:3" x14ac:dyDescent="0.2">
      <c r="B5" s="5" t="s">
        <v>99</v>
      </c>
      <c r="C5" t="s">
        <v>169</v>
      </c>
    </row>
    <row r="6" spans="2:3" x14ac:dyDescent="0.2">
      <c r="B6" s="5"/>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30D6B5-CB98-2D45-AD55-3F68546ACC09}">
  <dimension ref="B2:C6"/>
  <sheetViews>
    <sheetView zoomScale="130" zoomScaleNormal="130" workbookViewId="0">
      <selection activeCell="C14" sqref="C14"/>
    </sheetView>
  </sheetViews>
  <sheetFormatPr baseColWidth="10" defaultRowHeight="16" x14ac:dyDescent="0.2"/>
  <cols>
    <col min="2" max="2" width="11.5" customWidth="1"/>
    <col min="3" max="3" width="32" customWidth="1"/>
  </cols>
  <sheetData>
    <row r="2" spans="2:3" x14ac:dyDescent="0.2">
      <c r="B2" s="5" t="s">
        <v>95</v>
      </c>
      <c r="C2" t="s">
        <v>64</v>
      </c>
    </row>
    <row r="3" spans="2:3" x14ac:dyDescent="0.2">
      <c r="B3" s="5" t="s">
        <v>96</v>
      </c>
      <c r="C3" t="s">
        <v>105</v>
      </c>
    </row>
    <row r="4" spans="2:3" x14ac:dyDescent="0.2">
      <c r="B4" s="5" t="s">
        <v>91</v>
      </c>
      <c r="C4" t="s">
        <v>104</v>
      </c>
    </row>
    <row r="5" spans="2:3" x14ac:dyDescent="0.2">
      <c r="B5" s="5" t="s">
        <v>99</v>
      </c>
      <c r="C5" t="s">
        <v>106</v>
      </c>
    </row>
    <row r="6" spans="2:3" x14ac:dyDescent="0.2">
      <c r="B6" s="5"/>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C19EB6-3318-0648-826D-DF67A437D65F}">
  <sheetPr>
    <tabColor theme="4" tint="0.79998168889431442"/>
  </sheetPr>
  <dimension ref="B2:C5"/>
  <sheetViews>
    <sheetView zoomScale="130" zoomScaleNormal="130" workbookViewId="0">
      <selection activeCell="C12" sqref="C12"/>
    </sheetView>
  </sheetViews>
  <sheetFormatPr baseColWidth="10" defaultRowHeight="16" x14ac:dyDescent="0.2"/>
  <cols>
    <col min="2" max="2" width="11.5" customWidth="1"/>
    <col min="3" max="3" width="39.5" customWidth="1"/>
  </cols>
  <sheetData>
    <row r="2" spans="2:3" x14ac:dyDescent="0.2">
      <c r="B2" s="5" t="s">
        <v>95</v>
      </c>
      <c r="C2" t="s">
        <v>177</v>
      </c>
    </row>
    <row r="3" spans="2:3" x14ac:dyDescent="0.2">
      <c r="B3" s="5" t="s">
        <v>96</v>
      </c>
      <c r="C3" t="s">
        <v>100</v>
      </c>
    </row>
    <row r="4" spans="2:3" x14ac:dyDescent="0.2">
      <c r="B4" s="5" t="s">
        <v>91</v>
      </c>
      <c r="C4" t="s">
        <v>166</v>
      </c>
    </row>
    <row r="5" spans="2:3" x14ac:dyDescent="0.2">
      <c r="B5" s="5" t="s">
        <v>99</v>
      </c>
      <c r="C5" t="s">
        <v>165</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C4E7DD-E7DB-4B4E-B4EE-1F7B76515044}">
  <dimension ref="B2:C5"/>
  <sheetViews>
    <sheetView zoomScale="130" zoomScaleNormal="130" workbookViewId="0">
      <selection activeCell="C14" sqref="C14"/>
    </sheetView>
  </sheetViews>
  <sheetFormatPr baseColWidth="10" defaultRowHeight="16" x14ac:dyDescent="0.2"/>
  <cols>
    <col min="2" max="2" width="11.5" customWidth="1"/>
    <col min="3" max="3" width="36" bestFit="1" customWidth="1"/>
  </cols>
  <sheetData>
    <row r="2" spans="2:3" x14ac:dyDescent="0.2">
      <c r="B2" s="5" t="s">
        <v>95</v>
      </c>
      <c r="C2" t="s">
        <v>82</v>
      </c>
    </row>
    <row r="3" spans="2:3" x14ac:dyDescent="0.2">
      <c r="B3" s="5" t="s">
        <v>96</v>
      </c>
      <c r="C3" t="s">
        <v>126</v>
      </c>
    </row>
    <row r="4" spans="2:3" x14ac:dyDescent="0.2">
      <c r="B4" s="5" t="s">
        <v>91</v>
      </c>
      <c r="C4" t="s">
        <v>170</v>
      </c>
    </row>
    <row r="5" spans="2:3" x14ac:dyDescent="0.2">
      <c r="B5" s="5" t="s">
        <v>99</v>
      </c>
      <c r="C5" t="s">
        <v>171</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F8DD7D-6B57-AF48-A826-43749FB9823A}">
  <dimension ref="B2:C5"/>
  <sheetViews>
    <sheetView zoomScale="130" zoomScaleNormal="130" workbookViewId="0">
      <selection activeCell="C14" sqref="C14"/>
    </sheetView>
  </sheetViews>
  <sheetFormatPr baseColWidth="10" defaultRowHeight="16" x14ac:dyDescent="0.2"/>
  <cols>
    <col min="2" max="2" width="11.5" customWidth="1"/>
    <col min="3" max="3" width="32" customWidth="1"/>
  </cols>
  <sheetData>
    <row r="2" spans="2:3" x14ac:dyDescent="0.2">
      <c r="B2" s="5" t="s">
        <v>95</v>
      </c>
      <c r="C2" t="s">
        <v>129</v>
      </c>
    </row>
    <row r="3" spans="2:3" x14ac:dyDescent="0.2">
      <c r="B3" s="5" t="s">
        <v>96</v>
      </c>
      <c r="C3" t="s">
        <v>142</v>
      </c>
    </row>
    <row r="4" spans="2:3" x14ac:dyDescent="0.2">
      <c r="B4" s="5" t="s">
        <v>91</v>
      </c>
      <c r="C4" t="s">
        <v>143</v>
      </c>
    </row>
    <row r="5" spans="2:3" x14ac:dyDescent="0.2">
      <c r="B5" s="5" t="s">
        <v>99</v>
      </c>
      <c r="C5" t="s">
        <v>144</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844755-AC93-B145-9E0E-902DA5ECD2ED}">
  <dimension ref="B2:C5"/>
  <sheetViews>
    <sheetView zoomScale="130" zoomScaleNormal="130" workbookViewId="0">
      <selection activeCell="C14" sqref="C14"/>
    </sheetView>
  </sheetViews>
  <sheetFormatPr baseColWidth="10" defaultRowHeight="16" x14ac:dyDescent="0.2"/>
  <cols>
    <col min="2" max="2" width="11.5" customWidth="1"/>
    <col min="3" max="3" width="32" customWidth="1"/>
  </cols>
  <sheetData>
    <row r="2" spans="2:3" x14ac:dyDescent="0.2">
      <c r="B2" s="5" t="s">
        <v>95</v>
      </c>
      <c r="C2" t="s">
        <v>83</v>
      </c>
    </row>
    <row r="3" spans="2:3" x14ac:dyDescent="0.2">
      <c r="B3" s="5" t="s">
        <v>96</v>
      </c>
      <c r="C3" t="s">
        <v>125</v>
      </c>
    </row>
    <row r="4" spans="2:3" x14ac:dyDescent="0.2">
      <c r="B4" s="5" t="s">
        <v>91</v>
      </c>
      <c r="C4" t="s">
        <v>143</v>
      </c>
    </row>
    <row r="5" spans="2:3" x14ac:dyDescent="0.2">
      <c r="B5" s="5" t="s">
        <v>99</v>
      </c>
      <c r="C5" t="s">
        <v>172</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DAA71F-283D-A84C-A745-ACFF3EB09014}">
  <dimension ref="B2:C5"/>
  <sheetViews>
    <sheetView zoomScale="130" zoomScaleNormal="130" workbookViewId="0">
      <selection activeCell="C14" sqref="C14"/>
    </sheetView>
  </sheetViews>
  <sheetFormatPr baseColWidth="10" defaultRowHeight="16" x14ac:dyDescent="0.2"/>
  <cols>
    <col min="2" max="2" width="11.5" customWidth="1"/>
    <col min="3" max="3" width="32" customWidth="1"/>
  </cols>
  <sheetData>
    <row r="2" spans="2:3" x14ac:dyDescent="0.2">
      <c r="B2" s="5" t="s">
        <v>95</v>
      </c>
      <c r="C2" t="s">
        <v>141</v>
      </c>
    </row>
    <row r="3" spans="2:3" x14ac:dyDescent="0.2">
      <c r="B3" s="5" t="s">
        <v>96</v>
      </c>
      <c r="C3" t="s">
        <v>145</v>
      </c>
    </row>
    <row r="4" spans="2:3" x14ac:dyDescent="0.2">
      <c r="B4" s="5" t="s">
        <v>91</v>
      </c>
      <c r="C4" t="s">
        <v>143</v>
      </c>
    </row>
    <row r="5" spans="2:3" x14ac:dyDescent="0.2">
      <c r="B5" s="5" t="s">
        <v>99</v>
      </c>
      <c r="C5" t="s">
        <v>146</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AD8715-4322-124E-AD47-057ED0FEA06D}">
  <dimension ref="B2:C6"/>
  <sheetViews>
    <sheetView zoomScale="130" zoomScaleNormal="130" workbookViewId="0">
      <selection activeCell="C14" sqref="C14"/>
    </sheetView>
  </sheetViews>
  <sheetFormatPr baseColWidth="10" defaultRowHeight="16" x14ac:dyDescent="0.2"/>
  <cols>
    <col min="2" max="2" width="11.5" customWidth="1"/>
    <col min="3" max="3" width="32" customWidth="1"/>
  </cols>
  <sheetData>
    <row r="2" spans="2:3" x14ac:dyDescent="0.2">
      <c r="B2" s="5" t="s">
        <v>95</v>
      </c>
      <c r="C2" t="s">
        <v>63</v>
      </c>
    </row>
    <row r="3" spans="2:3" x14ac:dyDescent="0.2">
      <c r="B3" s="5" t="s">
        <v>96</v>
      </c>
      <c r="C3" t="s">
        <v>107</v>
      </c>
    </row>
    <row r="4" spans="2:3" x14ac:dyDescent="0.2">
      <c r="B4" s="5" t="s">
        <v>91</v>
      </c>
      <c r="C4" t="s">
        <v>108</v>
      </c>
    </row>
    <row r="5" spans="2:3" x14ac:dyDescent="0.2">
      <c r="B5" s="5" t="s">
        <v>99</v>
      </c>
      <c r="C5" t="s">
        <v>109</v>
      </c>
    </row>
    <row r="6" spans="2:3" x14ac:dyDescent="0.2">
      <c r="B6" s="5"/>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18ED2D-2973-D343-B078-3FE5FF5654B7}">
  <dimension ref="B2:C6"/>
  <sheetViews>
    <sheetView zoomScale="130" zoomScaleNormal="130" workbookViewId="0">
      <selection activeCell="C14" sqref="C14"/>
    </sheetView>
  </sheetViews>
  <sheetFormatPr baseColWidth="10" defaultRowHeight="16" x14ac:dyDescent="0.2"/>
  <cols>
    <col min="2" max="2" width="11.5" customWidth="1"/>
    <col min="3" max="3" width="32" customWidth="1"/>
  </cols>
  <sheetData>
    <row r="2" spans="2:3" x14ac:dyDescent="0.2">
      <c r="B2" s="5" t="s">
        <v>95</v>
      </c>
      <c r="C2" t="s">
        <v>67</v>
      </c>
    </row>
    <row r="3" spans="2:3" x14ac:dyDescent="0.2">
      <c r="B3" s="5" t="s">
        <v>96</v>
      </c>
      <c r="C3" t="s">
        <v>103</v>
      </c>
    </row>
    <row r="4" spans="2:3" x14ac:dyDescent="0.2">
      <c r="B4" s="5" t="s">
        <v>91</v>
      </c>
      <c r="C4" t="s">
        <v>102</v>
      </c>
    </row>
    <row r="5" spans="2:3" x14ac:dyDescent="0.2">
      <c r="B5" s="5" t="s">
        <v>99</v>
      </c>
      <c r="C5" t="s">
        <v>101</v>
      </c>
    </row>
    <row r="6" spans="2:3" x14ac:dyDescent="0.2">
      <c r="B6" s="5"/>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66A10E-2CE9-C44A-BA05-CEC3F6A7B9B4}">
  <dimension ref="B2:C5"/>
  <sheetViews>
    <sheetView zoomScale="130" zoomScaleNormal="130" workbookViewId="0">
      <selection activeCell="C14" sqref="C14"/>
    </sheetView>
  </sheetViews>
  <sheetFormatPr baseColWidth="10" defaultRowHeight="16" x14ac:dyDescent="0.2"/>
  <cols>
    <col min="2" max="2" width="11.5" customWidth="1"/>
    <col min="3" max="3" width="32" customWidth="1"/>
  </cols>
  <sheetData>
    <row r="2" spans="2:3" x14ac:dyDescent="0.2">
      <c r="B2" s="5" t="s">
        <v>95</v>
      </c>
      <c r="C2" t="s">
        <v>133</v>
      </c>
    </row>
    <row r="3" spans="2:3" x14ac:dyDescent="0.2">
      <c r="B3" s="5" t="s">
        <v>96</v>
      </c>
      <c r="C3" t="s">
        <v>147</v>
      </c>
    </row>
    <row r="4" spans="2:3" x14ac:dyDescent="0.2">
      <c r="B4" s="5" t="s">
        <v>91</v>
      </c>
      <c r="C4" t="s">
        <v>148</v>
      </c>
    </row>
    <row r="5" spans="2:3" x14ac:dyDescent="0.2">
      <c r="B5" s="5" t="s">
        <v>99</v>
      </c>
      <c r="C5" t="s">
        <v>149</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2C921E-ABAD-664F-9F04-2F94181335E8}">
  <dimension ref="B2:C5"/>
  <sheetViews>
    <sheetView zoomScale="130" zoomScaleNormal="130" workbookViewId="0">
      <selection activeCell="C14" sqref="C14"/>
    </sheetView>
  </sheetViews>
  <sheetFormatPr baseColWidth="10" defaultRowHeight="16" x14ac:dyDescent="0.2"/>
  <cols>
    <col min="2" max="2" width="11.5" customWidth="1"/>
    <col min="3" max="3" width="32" customWidth="1"/>
  </cols>
  <sheetData>
    <row r="2" spans="2:3" x14ac:dyDescent="0.2">
      <c r="B2" s="5" t="s">
        <v>95</v>
      </c>
      <c r="C2" t="s">
        <v>134</v>
      </c>
    </row>
    <row r="3" spans="2:3" x14ac:dyDescent="0.2">
      <c r="B3" s="5" t="s">
        <v>96</v>
      </c>
      <c r="C3" t="s">
        <v>150</v>
      </c>
    </row>
    <row r="4" spans="2:3" x14ac:dyDescent="0.2">
      <c r="B4" s="5" t="s">
        <v>91</v>
      </c>
      <c r="C4" t="s">
        <v>151</v>
      </c>
    </row>
    <row r="5" spans="2:3" x14ac:dyDescent="0.2">
      <c r="B5" s="5" t="s">
        <v>99</v>
      </c>
      <c r="C5" t="s">
        <v>152</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F54DB0-2A38-CC43-AFB6-A4D15B1D16A6}">
  <dimension ref="B2:C5"/>
  <sheetViews>
    <sheetView zoomScale="130" zoomScaleNormal="130" workbookViewId="0">
      <selection activeCell="C14" sqref="C14"/>
    </sheetView>
  </sheetViews>
  <sheetFormatPr baseColWidth="10" defaultRowHeight="16" x14ac:dyDescent="0.2"/>
  <cols>
    <col min="2" max="2" width="11.5" customWidth="1"/>
    <col min="3" max="3" width="32" customWidth="1"/>
  </cols>
  <sheetData>
    <row r="2" spans="2:3" x14ac:dyDescent="0.2">
      <c r="B2" s="5" t="s">
        <v>95</v>
      </c>
      <c r="C2" t="s">
        <v>135</v>
      </c>
    </row>
    <row r="3" spans="2:3" x14ac:dyDescent="0.2">
      <c r="B3" s="5" t="s">
        <v>96</v>
      </c>
      <c r="C3" t="s">
        <v>153</v>
      </c>
    </row>
    <row r="4" spans="2:3" x14ac:dyDescent="0.2">
      <c r="B4" s="5" t="s">
        <v>91</v>
      </c>
      <c r="C4" t="s">
        <v>154</v>
      </c>
    </row>
    <row r="5" spans="2:3" x14ac:dyDescent="0.2">
      <c r="B5" s="5" t="s">
        <v>99</v>
      </c>
      <c r="C5" t="s">
        <v>155</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B13BAB-A367-E247-9734-F5A507896F00}">
  <dimension ref="B2:C5"/>
  <sheetViews>
    <sheetView zoomScale="130" zoomScaleNormal="130" workbookViewId="0">
      <selection activeCell="C14" sqref="C14"/>
    </sheetView>
  </sheetViews>
  <sheetFormatPr baseColWidth="10" defaultRowHeight="16" x14ac:dyDescent="0.2"/>
  <cols>
    <col min="2" max="2" width="11.5" customWidth="1"/>
    <col min="3" max="3" width="32" customWidth="1"/>
  </cols>
  <sheetData>
    <row r="2" spans="2:3" x14ac:dyDescent="0.2">
      <c r="B2" s="5" t="s">
        <v>95</v>
      </c>
      <c r="C2" t="s">
        <v>136</v>
      </c>
    </row>
    <row r="3" spans="2:3" x14ac:dyDescent="0.2">
      <c r="B3" s="5" t="s">
        <v>96</v>
      </c>
      <c r="C3" t="s">
        <v>162</v>
      </c>
    </row>
    <row r="4" spans="2:3" x14ac:dyDescent="0.2">
      <c r="B4" s="5" t="s">
        <v>91</v>
      </c>
      <c r="C4" t="s">
        <v>163</v>
      </c>
    </row>
    <row r="5" spans="2:3" x14ac:dyDescent="0.2">
      <c r="B5" s="5" t="s">
        <v>99</v>
      </c>
      <c r="C5" t="s">
        <v>164</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E589F-D302-9A4C-AA5D-AB6E3600497C}">
  <dimension ref="B2:C5"/>
  <sheetViews>
    <sheetView zoomScale="130" zoomScaleNormal="130" workbookViewId="0">
      <selection activeCell="C14" sqref="C14"/>
    </sheetView>
  </sheetViews>
  <sheetFormatPr baseColWidth="10" defaultRowHeight="16" x14ac:dyDescent="0.2"/>
  <cols>
    <col min="2" max="2" width="11.5" customWidth="1"/>
    <col min="3" max="3" width="32" customWidth="1"/>
  </cols>
  <sheetData>
    <row r="2" spans="2:3" x14ac:dyDescent="0.2">
      <c r="B2" s="5" t="s">
        <v>95</v>
      </c>
      <c r="C2" t="s">
        <v>66</v>
      </c>
    </row>
    <row r="3" spans="2:3" x14ac:dyDescent="0.2">
      <c r="B3" s="5" t="s">
        <v>96</v>
      </c>
      <c r="C3" t="s">
        <v>117</v>
      </c>
    </row>
    <row r="4" spans="2:3" x14ac:dyDescent="0.2">
      <c r="B4" s="5" t="s">
        <v>91</v>
      </c>
      <c r="C4" t="s">
        <v>118</v>
      </c>
    </row>
    <row r="5" spans="2:3" x14ac:dyDescent="0.2">
      <c r="B5" s="5" t="s">
        <v>99</v>
      </c>
      <c r="C5" t="s">
        <v>119</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C7D7D5-0456-3948-91A3-88A754874038}">
  <dimension ref="B2:C5"/>
  <sheetViews>
    <sheetView zoomScale="130" zoomScaleNormal="130" workbookViewId="0">
      <selection activeCell="C14" sqref="C14"/>
    </sheetView>
  </sheetViews>
  <sheetFormatPr baseColWidth="10" defaultRowHeight="16" x14ac:dyDescent="0.2"/>
  <cols>
    <col min="2" max="2" width="11.5" customWidth="1"/>
    <col min="3" max="3" width="32" customWidth="1"/>
  </cols>
  <sheetData>
    <row r="2" spans="2:3" x14ac:dyDescent="0.2">
      <c r="B2" s="5" t="s">
        <v>95</v>
      </c>
      <c r="C2" t="s">
        <v>65</v>
      </c>
    </row>
    <row r="3" spans="2:3" x14ac:dyDescent="0.2">
      <c r="B3" s="5" t="s">
        <v>96</v>
      </c>
      <c r="C3" t="s">
        <v>120</v>
      </c>
    </row>
    <row r="4" spans="2:3" x14ac:dyDescent="0.2">
      <c r="B4" s="5" t="s">
        <v>91</v>
      </c>
      <c r="C4" t="s">
        <v>102</v>
      </c>
    </row>
    <row r="5" spans="2:3" x14ac:dyDescent="0.2">
      <c r="B5" s="5" t="s">
        <v>99</v>
      </c>
      <c r="C5" t="s">
        <v>121</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6FC247-8CC8-FC41-B2F1-DFF196B2E853}">
  <dimension ref="B2:C5"/>
  <sheetViews>
    <sheetView workbookViewId="0">
      <selection activeCell="C10" sqref="C10"/>
    </sheetView>
  </sheetViews>
  <sheetFormatPr baseColWidth="10" defaultRowHeight="16" x14ac:dyDescent="0.2"/>
  <cols>
    <col min="3" max="3" width="27.1640625" customWidth="1"/>
  </cols>
  <sheetData>
    <row r="2" spans="2:3" x14ac:dyDescent="0.2">
      <c r="B2" s="5" t="s">
        <v>95</v>
      </c>
      <c r="C2" t="s">
        <v>68</v>
      </c>
    </row>
    <row r="3" spans="2:3" x14ac:dyDescent="0.2">
      <c r="B3" s="5" t="s">
        <v>96</v>
      </c>
      <c r="C3" t="s">
        <v>110</v>
      </c>
    </row>
    <row r="4" spans="2:3" x14ac:dyDescent="0.2">
      <c r="B4" s="5" t="s">
        <v>91</v>
      </c>
      <c r="C4" t="s">
        <v>111</v>
      </c>
    </row>
    <row r="5" spans="2:3" x14ac:dyDescent="0.2">
      <c r="B5" s="5" t="s">
        <v>99</v>
      </c>
      <c r="C5" t="s">
        <v>112</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B126D4-837A-7D4E-800F-AD80A82B8628}">
  <dimension ref="B2:C5"/>
  <sheetViews>
    <sheetView workbookViewId="0">
      <selection activeCell="C10" sqref="C10"/>
    </sheetView>
  </sheetViews>
  <sheetFormatPr baseColWidth="10" defaultRowHeight="16" x14ac:dyDescent="0.2"/>
  <cols>
    <col min="3" max="3" width="46.6640625" customWidth="1"/>
  </cols>
  <sheetData>
    <row r="2" spans="2:3" x14ac:dyDescent="0.2">
      <c r="B2" s="5" t="s">
        <v>95</v>
      </c>
      <c r="C2" t="s">
        <v>140</v>
      </c>
    </row>
    <row r="3" spans="2:3" x14ac:dyDescent="0.2">
      <c r="B3" s="5" t="s">
        <v>96</v>
      </c>
      <c r="C3" t="s">
        <v>156</v>
      </c>
    </row>
    <row r="4" spans="2:3" x14ac:dyDescent="0.2">
      <c r="B4" s="5" t="s">
        <v>91</v>
      </c>
      <c r="C4" t="s">
        <v>157</v>
      </c>
    </row>
    <row r="5" spans="2:3" x14ac:dyDescent="0.2">
      <c r="B5" s="5" t="s">
        <v>99</v>
      </c>
      <c r="C5" t="s">
        <v>158</v>
      </c>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DB8648-63EE-E146-A556-824FD11B725A}">
  <dimension ref="B2:C5"/>
  <sheetViews>
    <sheetView workbookViewId="0">
      <selection activeCell="C10" sqref="C10"/>
    </sheetView>
  </sheetViews>
  <sheetFormatPr baseColWidth="10" defaultRowHeight="16" x14ac:dyDescent="0.2"/>
  <cols>
    <col min="3" max="3" width="30.6640625" customWidth="1"/>
  </cols>
  <sheetData>
    <row r="2" spans="2:3" x14ac:dyDescent="0.2">
      <c r="B2" s="5" t="s">
        <v>95</v>
      </c>
      <c r="C2" t="s">
        <v>69</v>
      </c>
    </row>
    <row r="3" spans="2:3" x14ac:dyDescent="0.2">
      <c r="B3" s="5" t="s">
        <v>96</v>
      </c>
      <c r="C3" t="s">
        <v>115</v>
      </c>
    </row>
    <row r="4" spans="2:3" x14ac:dyDescent="0.2">
      <c r="B4" s="5" t="s">
        <v>91</v>
      </c>
      <c r="C4" t="s">
        <v>128</v>
      </c>
    </row>
    <row r="5" spans="2:3" x14ac:dyDescent="0.2">
      <c r="B5" s="5" t="s">
        <v>99</v>
      </c>
      <c r="C5" t="s">
        <v>116</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0CB9B4-8F4E-5D4B-B1A5-8E4FDB848678}">
  <dimension ref="B2:C5"/>
  <sheetViews>
    <sheetView workbookViewId="0">
      <selection activeCell="C10" sqref="C10"/>
    </sheetView>
  </sheetViews>
  <sheetFormatPr baseColWidth="10" defaultRowHeight="16" x14ac:dyDescent="0.2"/>
  <cols>
    <col min="3" max="3" width="27.1640625" customWidth="1"/>
  </cols>
  <sheetData>
    <row r="2" spans="2:3" x14ac:dyDescent="0.2">
      <c r="B2" s="5" t="s">
        <v>95</v>
      </c>
      <c r="C2" t="s">
        <v>70</v>
      </c>
    </row>
    <row r="3" spans="2:3" x14ac:dyDescent="0.2">
      <c r="B3" s="5" t="s">
        <v>96</v>
      </c>
      <c r="C3" t="s">
        <v>122</v>
      </c>
    </row>
    <row r="4" spans="2:3" x14ac:dyDescent="0.2">
      <c r="B4" s="5" t="s">
        <v>91</v>
      </c>
      <c r="C4" t="s">
        <v>123</v>
      </c>
    </row>
    <row r="5" spans="2:3" x14ac:dyDescent="0.2">
      <c r="B5" s="5" t="s">
        <v>99</v>
      </c>
      <c r="C5" t="s">
        <v>124</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0FC926-7D51-7843-BABD-6B4598F8197F}">
  <dimension ref="B2:C5"/>
  <sheetViews>
    <sheetView workbookViewId="0">
      <selection activeCell="C10" sqref="C10"/>
    </sheetView>
  </sheetViews>
  <sheetFormatPr baseColWidth="10" defaultRowHeight="16" x14ac:dyDescent="0.2"/>
  <cols>
    <col min="3" max="3" width="46.6640625" customWidth="1"/>
  </cols>
  <sheetData>
    <row r="2" spans="2:3" x14ac:dyDescent="0.2">
      <c r="B2" s="5" t="s">
        <v>95</v>
      </c>
      <c r="C2" t="s">
        <v>139</v>
      </c>
    </row>
    <row r="3" spans="2:3" x14ac:dyDescent="0.2">
      <c r="B3" s="5" t="s">
        <v>96</v>
      </c>
      <c r="C3" t="s">
        <v>159</v>
      </c>
    </row>
    <row r="4" spans="2:3" x14ac:dyDescent="0.2">
      <c r="B4" s="5" t="s">
        <v>91</v>
      </c>
      <c r="C4" t="s">
        <v>160</v>
      </c>
    </row>
    <row r="5" spans="2:3" x14ac:dyDescent="0.2">
      <c r="B5" s="5" t="s">
        <v>99</v>
      </c>
      <c r="C5" t="s">
        <v>161</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065818-12E3-D249-AF08-D73D6ACD578B}">
  <dimension ref="B2:C5"/>
  <sheetViews>
    <sheetView workbookViewId="0">
      <selection activeCell="C10" sqref="C10"/>
    </sheetView>
  </sheetViews>
  <sheetFormatPr baseColWidth="10" defaultRowHeight="16" x14ac:dyDescent="0.2"/>
  <cols>
    <col min="3" max="3" width="27.1640625" customWidth="1"/>
  </cols>
  <sheetData>
    <row r="2" spans="2:3" x14ac:dyDescent="0.2">
      <c r="B2" s="5" t="s">
        <v>95</v>
      </c>
      <c r="C2" t="s">
        <v>71</v>
      </c>
    </row>
    <row r="3" spans="2:3" x14ac:dyDescent="0.2">
      <c r="B3" s="5" t="s">
        <v>96</v>
      </c>
      <c r="C3" t="s">
        <v>113</v>
      </c>
    </row>
    <row r="4" spans="2:3" x14ac:dyDescent="0.2">
      <c r="B4" s="5" t="s">
        <v>91</v>
      </c>
      <c r="C4" t="s">
        <v>127</v>
      </c>
    </row>
    <row r="5" spans="2:3" x14ac:dyDescent="0.2">
      <c r="B5" s="5" t="s">
        <v>99</v>
      </c>
      <c r="C5" t="s">
        <v>114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24</vt:i4>
      </vt:variant>
    </vt:vector>
  </HeadingPairs>
  <TitlesOfParts>
    <vt:vector size="24" baseType="lpstr">
      <vt:lpstr>Main</vt:lpstr>
      <vt:lpstr>Model</vt:lpstr>
      <vt:lpstr>Mounjaro</vt:lpstr>
      <vt:lpstr>Zepbound</vt:lpstr>
      <vt:lpstr>Trulicity</vt:lpstr>
      <vt:lpstr>Retatrutide</vt:lpstr>
      <vt:lpstr>Foundayo</vt:lpstr>
      <vt:lpstr>Basaglar</vt:lpstr>
      <vt:lpstr>Humalog</vt:lpstr>
      <vt:lpstr>Humulin</vt:lpstr>
      <vt:lpstr>Jardiance</vt:lpstr>
      <vt:lpstr>Verzenio</vt:lpstr>
      <vt:lpstr>Cyramza</vt:lpstr>
      <vt:lpstr>Erbitux</vt:lpstr>
      <vt:lpstr>Retevmo</vt:lpstr>
      <vt:lpstr>Tyvyt</vt:lpstr>
      <vt:lpstr>Jaypirca</vt:lpstr>
      <vt:lpstr>Inluriyo</vt:lpstr>
      <vt:lpstr>Ebglyss</vt:lpstr>
      <vt:lpstr>Olumiant</vt:lpstr>
      <vt:lpstr>Omvoh</vt:lpstr>
      <vt:lpstr>Taltz</vt:lpstr>
      <vt:lpstr>Emgality</vt:lpstr>
      <vt:lpstr>Kisunla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Sam Heier</dc:creator>
  <cp:lastModifiedBy>Sam Heier</cp:lastModifiedBy>
  <dcterms:created xsi:type="dcterms:W3CDTF">2026-05-18T21:29:55Z</dcterms:created>
  <dcterms:modified xsi:type="dcterms:W3CDTF">2026-06-24T00:57:33Z</dcterms:modified>
</cp:coreProperties>
</file>
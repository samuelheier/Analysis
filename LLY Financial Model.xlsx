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8_{5BA85899-C31E-4A64-BB81-12455D6369A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Main" sheetId="1" r:id="rId1"/>
    <sheet name="3 STMT Model" sheetId="2" r:id="rId2"/>
    <sheet name="Mounjaro" sheetId="3" r:id="rId3"/>
    <sheet name="Zepbound" sheetId="4" r:id="rId4"/>
    <sheet name="Trulicity" sheetId="5" r:id="rId5"/>
    <sheet name="Retatrutide" sheetId="6" r:id="rId6"/>
    <sheet name="Foundayo" sheetId="7" r:id="rId7"/>
    <sheet name="Basaglar" sheetId="8" r:id="rId8"/>
    <sheet name="Humalog" sheetId="9" r:id="rId9"/>
    <sheet name="Humulin" sheetId="10" r:id="rId10"/>
    <sheet name="Jardiance" sheetId="11" r:id="rId11"/>
    <sheet name="Verzenio" sheetId="12" r:id="rId12"/>
    <sheet name="Cyramza" sheetId="13" r:id="rId13"/>
    <sheet name="Erbitux" sheetId="14" r:id="rId14"/>
    <sheet name="Retevmo" sheetId="15" r:id="rId15"/>
    <sheet name="Tyvyt" sheetId="16" r:id="rId16"/>
    <sheet name="Jaypirca" sheetId="17" r:id="rId17"/>
    <sheet name="Inluriyo" sheetId="18" r:id="rId18"/>
    <sheet name="Ebglyss" sheetId="19" r:id="rId19"/>
    <sheet name="Olumiant" sheetId="20" r:id="rId20"/>
    <sheet name="Omvoh" sheetId="21" r:id="rId21"/>
    <sheet name="Taltz" sheetId="22" r:id="rId22"/>
    <sheet name="Emgality" sheetId="23" r:id="rId23"/>
    <sheet name="Kisunla" sheetId="24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01" i="2" l="1"/>
  <c r="G194" i="2"/>
  <c r="G192" i="2"/>
  <c r="Q171" i="2"/>
  <c r="P171" i="2"/>
  <c r="O171" i="2"/>
  <c r="N171" i="2"/>
  <c r="M171" i="2"/>
  <c r="L171" i="2"/>
  <c r="K171" i="2"/>
  <c r="J171" i="2"/>
  <c r="I171" i="2"/>
  <c r="H171" i="2"/>
  <c r="G171" i="2"/>
  <c r="G162" i="2"/>
  <c r="H162" i="2" s="1"/>
  <c r="I162" i="2" s="1"/>
  <c r="J162" i="2" s="1"/>
  <c r="K162" i="2" s="1"/>
  <c r="L162" i="2" s="1"/>
  <c r="M162" i="2" s="1"/>
  <c r="N162" i="2" s="1"/>
  <c r="O162" i="2" s="1"/>
  <c r="P162" i="2" s="1"/>
  <c r="Q162" i="2" s="1"/>
  <c r="G161" i="2"/>
  <c r="H161" i="2" s="1"/>
  <c r="I161" i="2" s="1"/>
  <c r="J161" i="2" s="1"/>
  <c r="K161" i="2" s="1"/>
  <c r="L161" i="2" s="1"/>
  <c r="M161" i="2" s="1"/>
  <c r="N161" i="2" s="1"/>
  <c r="O161" i="2" s="1"/>
  <c r="P161" i="2" s="1"/>
  <c r="Q161" i="2" s="1"/>
  <c r="G154" i="2"/>
  <c r="G151" i="2"/>
  <c r="H151" i="2" s="1"/>
  <c r="I151" i="2" s="1"/>
  <c r="J151" i="2" s="1"/>
  <c r="K151" i="2" s="1"/>
  <c r="L151" i="2" s="1"/>
  <c r="M151" i="2" s="1"/>
  <c r="N151" i="2" s="1"/>
  <c r="O151" i="2" s="1"/>
  <c r="P151" i="2" s="1"/>
  <c r="Q151" i="2" s="1"/>
  <c r="G149" i="2"/>
  <c r="H149" i="2" s="1"/>
  <c r="I149" i="2" s="1"/>
  <c r="J149" i="2" s="1"/>
  <c r="K149" i="2" s="1"/>
  <c r="L149" i="2" s="1"/>
  <c r="M149" i="2" s="1"/>
  <c r="N149" i="2" s="1"/>
  <c r="O149" i="2" s="1"/>
  <c r="P149" i="2" s="1"/>
  <c r="Q149" i="2" s="1"/>
  <c r="G148" i="2"/>
  <c r="H148" i="2" s="1"/>
  <c r="I148" i="2" s="1"/>
  <c r="J148" i="2" s="1"/>
  <c r="K148" i="2" s="1"/>
  <c r="L148" i="2" s="1"/>
  <c r="M148" i="2" s="1"/>
  <c r="N148" i="2" s="1"/>
  <c r="O148" i="2" s="1"/>
  <c r="P148" i="2" s="1"/>
  <c r="Q148" i="2" s="1"/>
  <c r="G147" i="2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G146" i="2"/>
  <c r="H146" i="2" s="1"/>
  <c r="I146" i="2" s="1"/>
  <c r="J146" i="2" s="1"/>
  <c r="K146" i="2" s="1"/>
  <c r="L146" i="2" s="1"/>
  <c r="M146" i="2" s="1"/>
  <c r="N146" i="2" s="1"/>
  <c r="O146" i="2" s="1"/>
  <c r="P146" i="2" s="1"/>
  <c r="Q146" i="2" s="1"/>
  <c r="G136" i="2"/>
  <c r="F136" i="2"/>
  <c r="E136" i="2"/>
  <c r="D136" i="2"/>
  <c r="C136" i="2"/>
  <c r="F133" i="2"/>
  <c r="E133" i="2"/>
  <c r="D133" i="2"/>
  <c r="C133" i="2"/>
  <c r="C132" i="2"/>
  <c r="F131" i="2"/>
  <c r="E131" i="2"/>
  <c r="D131" i="2"/>
  <c r="C131" i="2"/>
  <c r="F130" i="2"/>
  <c r="E130" i="2"/>
  <c r="D130" i="2"/>
  <c r="C130" i="2"/>
  <c r="G130" i="2" s="1"/>
  <c r="F129" i="2"/>
  <c r="E129" i="2"/>
  <c r="D129" i="2"/>
  <c r="C129" i="2"/>
  <c r="F128" i="2"/>
  <c r="E128" i="2"/>
  <c r="D128" i="2"/>
  <c r="C128" i="2"/>
  <c r="F127" i="2"/>
  <c r="E127" i="2"/>
  <c r="D127" i="2"/>
  <c r="C127" i="2"/>
  <c r="F125" i="2"/>
  <c r="E125" i="2"/>
  <c r="D125" i="2"/>
  <c r="C125" i="2"/>
  <c r="E122" i="2"/>
  <c r="D122" i="2"/>
  <c r="C122" i="2"/>
  <c r="E121" i="2"/>
  <c r="D121" i="2"/>
  <c r="C121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C110" i="2"/>
  <c r="E109" i="2"/>
  <c r="D109" i="2"/>
  <c r="C109" i="2"/>
  <c r="F108" i="2"/>
  <c r="E108" i="2"/>
  <c r="D108" i="2"/>
  <c r="C108" i="2"/>
  <c r="E106" i="2"/>
  <c r="D106" i="2"/>
  <c r="C106" i="2"/>
  <c r="E105" i="2"/>
  <c r="C105" i="2"/>
  <c r="E104" i="2"/>
  <c r="D104" i="2"/>
  <c r="C104" i="2"/>
  <c r="E103" i="2"/>
  <c r="C103" i="2"/>
  <c r="F102" i="2"/>
  <c r="E102" i="2"/>
  <c r="D102" i="2"/>
  <c r="C102" i="2"/>
  <c r="F101" i="2"/>
  <c r="E101" i="2"/>
  <c r="D101" i="2"/>
  <c r="C101" i="2"/>
  <c r="E100" i="2"/>
  <c r="D100" i="2"/>
  <c r="C100" i="2"/>
  <c r="F99" i="2"/>
  <c r="E99" i="2"/>
  <c r="D99" i="2"/>
  <c r="C99" i="2"/>
  <c r="F98" i="2"/>
  <c r="E98" i="2"/>
  <c r="D98" i="2"/>
  <c r="C98" i="2"/>
  <c r="Q93" i="2"/>
  <c r="P93" i="2"/>
  <c r="O93" i="2"/>
  <c r="N93" i="2"/>
  <c r="M93" i="2"/>
  <c r="L93" i="2"/>
  <c r="K93" i="2"/>
  <c r="J93" i="2"/>
  <c r="I93" i="2"/>
  <c r="H93" i="2"/>
  <c r="G93" i="2"/>
  <c r="G131" i="2" s="1"/>
  <c r="F90" i="2"/>
  <c r="E90" i="2"/>
  <c r="D90" i="2"/>
  <c r="F89" i="2"/>
  <c r="E89" i="2"/>
  <c r="D89" i="2"/>
  <c r="C89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73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134" i="2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F122" i="2" s="1"/>
  <c r="S29" i="2"/>
  <c r="R29" i="2"/>
  <c r="F121" i="2" s="1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120" i="2" s="1"/>
  <c r="R27" i="2"/>
  <c r="F119" i="2" s="1"/>
  <c r="R26" i="2"/>
  <c r="F118" i="2" s="1"/>
  <c r="S25" i="2"/>
  <c r="R25" i="2"/>
  <c r="F117" i="2" s="1"/>
  <c r="R24" i="2"/>
  <c r="F116" i="2" s="1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115" i="2" s="1"/>
  <c r="R22" i="2"/>
  <c r="Q22" i="2"/>
  <c r="P22" i="2"/>
  <c r="F114" i="2" s="1"/>
  <c r="R21" i="2"/>
  <c r="F113" i="2" s="1"/>
  <c r="S20" i="2"/>
  <c r="R20" i="2"/>
  <c r="F112" i="2" s="1"/>
  <c r="R19" i="2"/>
  <c r="S18" i="2"/>
  <c r="R18" i="2"/>
  <c r="F110" i="2" s="1"/>
  <c r="J18" i="2"/>
  <c r="D110" i="2" s="1"/>
  <c r="S17" i="2"/>
  <c r="R17" i="2"/>
  <c r="F109" i="2" s="1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7" i="2" s="1"/>
  <c r="R14" i="2"/>
  <c r="F106" i="2" s="1"/>
  <c r="S13" i="2"/>
  <c r="R13" i="2"/>
  <c r="F105" i="2" s="1"/>
  <c r="J13" i="2"/>
  <c r="D105" i="2" s="1"/>
  <c r="R12" i="2"/>
  <c r="S11" i="2"/>
  <c r="R11" i="2"/>
  <c r="F103" i="2" s="1"/>
  <c r="J11" i="2"/>
  <c r="D103" i="2" s="1"/>
  <c r="R8" i="2"/>
  <c r="F100" i="2" s="1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F24" i="1"/>
  <c r="E24" i="1"/>
  <c r="H23" i="1"/>
  <c r="F23" i="1"/>
  <c r="E23" i="1"/>
  <c r="F22" i="1"/>
  <c r="E22" i="1"/>
  <c r="F21" i="1"/>
  <c r="E21" i="1"/>
  <c r="H20" i="1"/>
  <c r="F20" i="1"/>
  <c r="E20" i="1"/>
  <c r="F19" i="1"/>
  <c r="E19" i="1"/>
  <c r="F18" i="1"/>
  <c r="E18" i="1"/>
  <c r="F17" i="1"/>
  <c r="E17" i="1"/>
  <c r="F16" i="1"/>
  <c r="E16" i="1"/>
  <c r="H15" i="1"/>
  <c r="F15" i="1"/>
  <c r="E15" i="1"/>
  <c r="H14" i="1"/>
  <c r="F14" i="1"/>
  <c r="E14" i="1"/>
  <c r="H13" i="1"/>
  <c r="F13" i="1"/>
  <c r="E13" i="1"/>
  <c r="F12" i="1"/>
  <c r="E12" i="1"/>
  <c r="F11" i="1"/>
  <c r="E11" i="1"/>
  <c r="H10" i="1"/>
  <c r="F10" i="1"/>
  <c r="E10" i="1"/>
  <c r="F9" i="1"/>
  <c r="E9" i="1"/>
  <c r="H8" i="1"/>
  <c r="F8" i="1"/>
  <c r="E8" i="1"/>
  <c r="F7" i="1"/>
  <c r="E7" i="1"/>
  <c r="B7" i="1"/>
  <c r="F6" i="1"/>
  <c r="E6" i="1"/>
  <c r="F5" i="1"/>
  <c r="E5" i="1"/>
  <c r="B5" i="1"/>
  <c r="B8" i="1" s="1"/>
  <c r="F4" i="1"/>
  <c r="E4" i="1"/>
  <c r="F3" i="1"/>
  <c r="E3" i="1"/>
  <c r="C97" i="2" l="1"/>
  <c r="C31" i="2"/>
  <c r="C123" i="2" s="1"/>
  <c r="D97" i="2"/>
  <c r="G47" i="2"/>
  <c r="G31" i="2"/>
  <c r="H47" i="2"/>
  <c r="H31" i="2"/>
  <c r="H51" i="2" s="1"/>
  <c r="I47" i="2"/>
  <c r="I31" i="2"/>
  <c r="I51" i="2" s="1"/>
  <c r="J47" i="2"/>
  <c r="J31" i="2"/>
  <c r="J51" i="2" s="1"/>
  <c r="E97" i="2"/>
  <c r="K47" i="2"/>
  <c r="K31" i="2"/>
  <c r="L47" i="2"/>
  <c r="L31" i="2"/>
  <c r="L51" i="2" s="1"/>
  <c r="M47" i="2"/>
  <c r="M31" i="2"/>
  <c r="M51" i="2" s="1"/>
  <c r="N47" i="2"/>
  <c r="N31" i="2"/>
  <c r="N51" i="2" s="1"/>
  <c r="F97" i="2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F104" i="2"/>
  <c r="S12" i="2"/>
  <c r="S5" i="2" s="1"/>
  <c r="D107" i="2"/>
  <c r="D65" i="2" s="1"/>
  <c r="G48" i="2"/>
  <c r="H48" i="2"/>
  <c r="I48" i="2"/>
  <c r="J48" i="2"/>
  <c r="E107" i="2"/>
  <c r="E65" i="2" s="1"/>
  <c r="K48" i="2"/>
  <c r="L48" i="2"/>
  <c r="M48" i="2"/>
  <c r="N48" i="2"/>
  <c r="F107" i="2"/>
  <c r="O48" i="2"/>
  <c r="P48" i="2"/>
  <c r="Q48" i="2"/>
  <c r="R48" i="2"/>
  <c r="T48" i="2"/>
  <c r="F111" i="2"/>
  <c r="S19" i="2"/>
  <c r="S15" i="2" s="1"/>
  <c r="S48" i="2" s="1"/>
  <c r="D115" i="2"/>
  <c r="D66" i="2" s="1"/>
  <c r="G49" i="2"/>
  <c r="H49" i="2"/>
  <c r="I49" i="2"/>
  <c r="J49" i="2"/>
  <c r="E115" i="2"/>
  <c r="E66" i="2" s="1"/>
  <c r="K49" i="2"/>
  <c r="L49" i="2"/>
  <c r="M49" i="2"/>
  <c r="N49" i="2"/>
  <c r="F115" i="2"/>
  <c r="O49" i="2"/>
  <c r="P49" i="2"/>
  <c r="Q49" i="2"/>
  <c r="R49" i="2"/>
  <c r="S49" i="2"/>
  <c r="T49" i="2"/>
  <c r="D120" i="2"/>
  <c r="D67" i="2" s="1"/>
  <c r="G50" i="2"/>
  <c r="H50" i="2"/>
  <c r="I50" i="2"/>
  <c r="J50" i="2"/>
  <c r="E120" i="2"/>
  <c r="E67" i="2" s="1"/>
  <c r="K50" i="2"/>
  <c r="L50" i="2"/>
  <c r="M50" i="2"/>
  <c r="N50" i="2"/>
  <c r="F120" i="2"/>
  <c r="O50" i="2"/>
  <c r="P50" i="2"/>
  <c r="Q50" i="2"/>
  <c r="R50" i="2"/>
  <c r="S50" i="2"/>
  <c r="T50" i="2"/>
  <c r="T31" i="2"/>
  <c r="T51" i="2" s="1"/>
  <c r="C126" i="2"/>
  <c r="C52" i="2"/>
  <c r="D126" i="2"/>
  <c r="G52" i="2"/>
  <c r="G40" i="2"/>
  <c r="H52" i="2"/>
  <c r="H40" i="2"/>
  <c r="I52" i="2"/>
  <c r="I40" i="2"/>
  <c r="J52" i="2"/>
  <c r="J40" i="2"/>
  <c r="E126" i="2"/>
  <c r="K52" i="2"/>
  <c r="K40" i="2"/>
  <c r="L52" i="2"/>
  <c r="L40" i="2"/>
  <c r="M52" i="2"/>
  <c r="M40" i="2"/>
  <c r="N52" i="2"/>
  <c r="N40" i="2"/>
  <c r="F126" i="2"/>
  <c r="O52" i="2"/>
  <c r="O40" i="2"/>
  <c r="P52" i="2"/>
  <c r="P40" i="2"/>
  <c r="Q52" i="2"/>
  <c r="Q40" i="2"/>
  <c r="R52" i="2"/>
  <c r="R40" i="2"/>
  <c r="S52" i="2"/>
  <c r="S40" i="2"/>
  <c r="T52" i="2"/>
  <c r="T40" i="2"/>
  <c r="C135" i="2"/>
  <c r="C88" i="2"/>
  <c r="Q70" i="2"/>
  <c r="P70" i="2"/>
  <c r="O70" i="2"/>
  <c r="N70" i="2"/>
  <c r="M70" i="2"/>
  <c r="L70" i="2"/>
  <c r="K70" i="2"/>
  <c r="J70" i="2"/>
  <c r="I70" i="2"/>
  <c r="H70" i="2"/>
  <c r="G70" i="2"/>
  <c r="Q71" i="2"/>
  <c r="P71" i="2"/>
  <c r="O71" i="2"/>
  <c r="N71" i="2"/>
  <c r="M71" i="2"/>
  <c r="L71" i="2"/>
  <c r="K71" i="2"/>
  <c r="J71" i="2"/>
  <c r="I71" i="2"/>
  <c r="H71" i="2"/>
  <c r="G71" i="2"/>
  <c r="Q72" i="2"/>
  <c r="P72" i="2"/>
  <c r="O72" i="2"/>
  <c r="N72" i="2"/>
  <c r="M72" i="2"/>
  <c r="L72" i="2"/>
  <c r="K72" i="2"/>
  <c r="J72" i="2"/>
  <c r="I72" i="2"/>
  <c r="H72" i="2"/>
  <c r="G72" i="2"/>
  <c r="H130" i="2"/>
  <c r="I130" i="2"/>
  <c r="J130" i="2"/>
  <c r="K130" i="2" l="1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F132" i="2"/>
  <c r="F73" i="2" s="1"/>
  <c r="O56" i="2"/>
  <c r="O42" i="2"/>
  <c r="N56" i="2"/>
  <c r="N42" i="2"/>
  <c r="N43" i="2" s="1"/>
  <c r="M56" i="2"/>
  <c r="M42" i="2"/>
  <c r="M43" i="2" s="1"/>
  <c r="L56" i="2"/>
  <c r="L42" i="2"/>
  <c r="L43" i="2" s="1"/>
  <c r="E132" i="2"/>
  <c r="E73" i="2" s="1"/>
  <c r="K56" i="2"/>
  <c r="K42" i="2"/>
  <c r="J56" i="2"/>
  <c r="J42" i="2"/>
  <c r="J43" i="2" s="1"/>
  <c r="I56" i="2"/>
  <c r="I42" i="2"/>
  <c r="I43" i="2" s="1"/>
  <c r="H56" i="2"/>
  <c r="H42" i="2"/>
  <c r="H43" i="2" s="1"/>
  <c r="D132" i="2"/>
  <c r="D73" i="2" s="1"/>
  <c r="G56" i="2"/>
  <c r="G42" i="2"/>
  <c r="Q69" i="2"/>
  <c r="P69" i="2"/>
  <c r="O69" i="2"/>
  <c r="N69" i="2"/>
  <c r="M69" i="2"/>
  <c r="L69" i="2"/>
  <c r="K69" i="2"/>
  <c r="J69" i="2"/>
  <c r="I69" i="2"/>
  <c r="H69" i="2"/>
  <c r="G69" i="2"/>
  <c r="G120" i="2"/>
  <c r="H120" i="2" s="1"/>
  <c r="I120" i="2" s="1"/>
  <c r="J120" i="2" s="1"/>
  <c r="K120" i="2" s="1"/>
  <c r="L120" i="2" s="1"/>
  <c r="M120" i="2" s="1"/>
  <c r="N120" i="2" s="1"/>
  <c r="O120" i="2" s="1"/>
  <c r="P120" i="2" s="1"/>
  <c r="Q120" i="2" s="1"/>
  <c r="F67" i="2"/>
  <c r="G115" i="2"/>
  <c r="H115" i="2" s="1"/>
  <c r="I115" i="2" s="1"/>
  <c r="J115" i="2" s="1"/>
  <c r="K115" i="2" s="1"/>
  <c r="L115" i="2" s="1"/>
  <c r="M115" i="2" s="1"/>
  <c r="N115" i="2" s="1"/>
  <c r="O115" i="2" s="1"/>
  <c r="P115" i="2" s="1"/>
  <c r="Q115" i="2" s="1"/>
  <c r="F66" i="2"/>
  <c r="G107" i="2"/>
  <c r="H107" i="2" s="1"/>
  <c r="I107" i="2" s="1"/>
  <c r="J107" i="2" s="1"/>
  <c r="K107" i="2" s="1"/>
  <c r="L107" i="2" s="1"/>
  <c r="M107" i="2" s="1"/>
  <c r="N107" i="2" s="1"/>
  <c r="O107" i="2" s="1"/>
  <c r="P107" i="2" s="1"/>
  <c r="Q107" i="2" s="1"/>
  <c r="F65" i="2"/>
  <c r="S47" i="2"/>
  <c r="S31" i="2"/>
  <c r="S51" i="2" s="1"/>
  <c r="F123" i="2"/>
  <c r="O51" i="2"/>
  <c r="F124" i="2"/>
  <c r="G97" i="2"/>
  <c r="F64" i="2"/>
  <c r="E123" i="2"/>
  <c r="K51" i="2"/>
  <c r="E124" i="2"/>
  <c r="E64" i="2"/>
  <c r="D123" i="2"/>
  <c r="D68" i="2" s="1"/>
  <c r="G51" i="2"/>
  <c r="D124" i="2"/>
  <c r="D64" i="2"/>
  <c r="C124" i="2"/>
  <c r="C91" i="2" l="1"/>
  <c r="C87" i="2"/>
  <c r="C86" i="2"/>
  <c r="C85" i="2"/>
  <c r="C83" i="2"/>
  <c r="C82" i="2"/>
  <c r="C81" i="2"/>
  <c r="C79" i="2"/>
  <c r="C78" i="2"/>
  <c r="C76" i="2"/>
  <c r="C75" i="2"/>
  <c r="C72" i="2"/>
  <c r="C71" i="2"/>
  <c r="C70" i="2"/>
  <c r="C69" i="2"/>
  <c r="D91" i="2"/>
  <c r="D87" i="2"/>
  <c r="D86" i="2"/>
  <c r="D85" i="2"/>
  <c r="D83" i="2"/>
  <c r="D82" i="2"/>
  <c r="D81" i="2"/>
  <c r="D79" i="2"/>
  <c r="D78" i="2"/>
  <c r="D76" i="2"/>
  <c r="D75" i="2"/>
  <c r="D72" i="2"/>
  <c r="D71" i="2"/>
  <c r="D70" i="2"/>
  <c r="D69" i="2"/>
  <c r="E91" i="2"/>
  <c r="E87" i="2"/>
  <c r="E86" i="2"/>
  <c r="E85" i="2"/>
  <c r="E83" i="2"/>
  <c r="E82" i="2"/>
  <c r="E81" i="2"/>
  <c r="E79" i="2"/>
  <c r="E78" i="2"/>
  <c r="E76" i="2"/>
  <c r="E75" i="2"/>
  <c r="E72" i="2"/>
  <c r="E71" i="2"/>
  <c r="E70" i="2"/>
  <c r="E69" i="2"/>
  <c r="E68" i="2"/>
  <c r="H97" i="2"/>
  <c r="F91" i="2"/>
  <c r="F87" i="2"/>
  <c r="F86" i="2"/>
  <c r="F85" i="2"/>
  <c r="Q83" i="2"/>
  <c r="P83" i="2"/>
  <c r="O83" i="2"/>
  <c r="N83" i="2"/>
  <c r="M83" i="2"/>
  <c r="L83" i="2"/>
  <c r="K83" i="2"/>
  <c r="J83" i="2"/>
  <c r="I83" i="2"/>
  <c r="H83" i="2"/>
  <c r="G83" i="2"/>
  <c r="F83" i="2"/>
  <c r="Q82" i="2"/>
  <c r="P82" i="2"/>
  <c r="O82" i="2"/>
  <c r="N82" i="2"/>
  <c r="M82" i="2"/>
  <c r="L82" i="2"/>
  <c r="K82" i="2"/>
  <c r="J82" i="2"/>
  <c r="I82" i="2"/>
  <c r="H82" i="2"/>
  <c r="G82" i="2"/>
  <c r="F82" i="2"/>
  <c r="Q81" i="2"/>
  <c r="P81" i="2"/>
  <c r="O81" i="2"/>
  <c r="N81" i="2"/>
  <c r="M81" i="2"/>
  <c r="L81" i="2"/>
  <c r="K81" i="2"/>
  <c r="J81" i="2"/>
  <c r="I81" i="2"/>
  <c r="H81" i="2"/>
  <c r="G81" i="2"/>
  <c r="F81" i="2"/>
  <c r="Q79" i="2"/>
  <c r="P79" i="2"/>
  <c r="O79" i="2"/>
  <c r="N79" i="2"/>
  <c r="M79" i="2"/>
  <c r="L79" i="2"/>
  <c r="K79" i="2"/>
  <c r="J79" i="2"/>
  <c r="I79" i="2"/>
  <c r="H79" i="2"/>
  <c r="G79" i="2"/>
  <c r="F79" i="2"/>
  <c r="Q78" i="2"/>
  <c r="P78" i="2"/>
  <c r="O78" i="2"/>
  <c r="N78" i="2"/>
  <c r="M78" i="2"/>
  <c r="L78" i="2"/>
  <c r="K78" i="2"/>
  <c r="J78" i="2"/>
  <c r="I78" i="2"/>
  <c r="H78" i="2"/>
  <c r="G78" i="2"/>
  <c r="F78" i="2"/>
  <c r="Q76" i="2"/>
  <c r="P76" i="2"/>
  <c r="O76" i="2"/>
  <c r="N76" i="2"/>
  <c r="M76" i="2"/>
  <c r="L76" i="2"/>
  <c r="K76" i="2"/>
  <c r="J76" i="2"/>
  <c r="I76" i="2"/>
  <c r="H76" i="2"/>
  <c r="G76" i="2"/>
  <c r="F76" i="2"/>
  <c r="Q75" i="2"/>
  <c r="P75" i="2"/>
  <c r="O75" i="2"/>
  <c r="N75" i="2"/>
  <c r="M75" i="2"/>
  <c r="L75" i="2"/>
  <c r="K75" i="2"/>
  <c r="J75" i="2"/>
  <c r="I75" i="2"/>
  <c r="H75" i="2"/>
  <c r="G75" i="2"/>
  <c r="F75" i="2"/>
  <c r="F72" i="2"/>
  <c r="F71" i="2"/>
  <c r="F70" i="2"/>
  <c r="F69" i="2"/>
  <c r="G123" i="2"/>
  <c r="F68" i="2"/>
  <c r="D134" i="2"/>
  <c r="G43" i="2"/>
  <c r="E134" i="2"/>
  <c r="K43" i="2"/>
  <c r="F134" i="2"/>
  <c r="O43" i="2"/>
  <c r="L130" i="2"/>
  <c r="M130" i="2" l="1"/>
  <c r="F135" i="2"/>
  <c r="F88" i="2"/>
  <c r="E135" i="2"/>
  <c r="E88" i="2"/>
  <c r="D135" i="2"/>
  <c r="D88" i="2"/>
  <c r="G88" i="2" s="1"/>
  <c r="H123" i="2"/>
  <c r="I123" i="2" s="1"/>
  <c r="J123" i="2" s="1"/>
  <c r="K123" i="2" s="1"/>
  <c r="L123" i="2" s="1"/>
  <c r="M123" i="2" s="1"/>
  <c r="N123" i="2" s="1"/>
  <c r="O123" i="2" s="1"/>
  <c r="P123" i="2" s="1"/>
  <c r="Q123" i="2" s="1"/>
  <c r="G124" i="2"/>
  <c r="H124" i="2"/>
  <c r="I97" i="2"/>
  <c r="G85" i="2"/>
  <c r="G86" i="2"/>
  <c r="G87" i="2"/>
  <c r="G91" i="2"/>
  <c r="I124" i="2" l="1"/>
  <c r="J97" i="2"/>
  <c r="H195" i="2"/>
  <c r="H182" i="2"/>
  <c r="H172" i="2"/>
  <c r="H170" i="2"/>
  <c r="H158" i="2"/>
  <c r="H157" i="2"/>
  <c r="H156" i="2"/>
  <c r="H144" i="2"/>
  <c r="H143" i="2"/>
  <c r="H141" i="2"/>
  <c r="H140" i="2"/>
  <c r="H129" i="2"/>
  <c r="H174" i="2" s="1"/>
  <c r="H186" i="2" s="1"/>
  <c r="H128" i="2"/>
  <c r="H127" i="2"/>
  <c r="H126" i="2"/>
  <c r="H125" i="2"/>
  <c r="G195" i="2"/>
  <c r="G182" i="2"/>
  <c r="G172" i="2"/>
  <c r="G170" i="2"/>
  <c r="G158" i="2"/>
  <c r="G157" i="2"/>
  <c r="G156" i="2"/>
  <c r="G144" i="2"/>
  <c r="G143" i="2"/>
  <c r="G178" i="2" s="1"/>
  <c r="G141" i="2"/>
  <c r="G140" i="2"/>
  <c r="G176" i="2" s="1"/>
  <c r="G129" i="2"/>
  <c r="G174" i="2" s="1"/>
  <c r="G186" i="2" s="1"/>
  <c r="G128" i="2"/>
  <c r="G127" i="2"/>
  <c r="G126" i="2"/>
  <c r="G132" i="2" s="1"/>
  <c r="G125" i="2"/>
  <c r="N130" i="2"/>
  <c r="O130" i="2" l="1"/>
  <c r="G155" i="2"/>
  <c r="G142" i="2"/>
  <c r="G177" i="2" s="1"/>
  <c r="G133" i="2"/>
  <c r="G134" i="2" s="1"/>
  <c r="G193" i="2"/>
  <c r="G160" i="2" s="1"/>
  <c r="G189" i="2"/>
  <c r="G150" i="2"/>
  <c r="H150" i="2" s="1"/>
  <c r="H155" i="2"/>
  <c r="H179" i="2" s="1"/>
  <c r="H142" i="2"/>
  <c r="H177" i="2" s="1"/>
  <c r="H176" i="2"/>
  <c r="H178" i="2"/>
  <c r="H193" i="2"/>
  <c r="H189" i="2"/>
  <c r="J124" i="2"/>
  <c r="K97" i="2"/>
  <c r="I195" i="2"/>
  <c r="I182" i="2"/>
  <c r="I172" i="2"/>
  <c r="I170" i="2"/>
  <c r="I158" i="2"/>
  <c r="I157" i="2"/>
  <c r="I156" i="2"/>
  <c r="I144" i="2"/>
  <c r="I143" i="2"/>
  <c r="I178" i="2" s="1"/>
  <c r="I141" i="2"/>
  <c r="I140" i="2"/>
  <c r="I176" i="2" s="1"/>
  <c r="I129" i="2"/>
  <c r="I174" i="2" s="1"/>
  <c r="I186" i="2" s="1"/>
  <c r="I128" i="2"/>
  <c r="I127" i="2"/>
  <c r="I126" i="2"/>
  <c r="I125" i="2"/>
  <c r="I155" i="2" l="1"/>
  <c r="I179" i="2" s="1"/>
  <c r="I142" i="2"/>
  <c r="I177" i="2" s="1"/>
  <c r="I193" i="2"/>
  <c r="I189" i="2"/>
  <c r="K124" i="2"/>
  <c r="L97" i="2"/>
  <c r="J195" i="2"/>
  <c r="J182" i="2"/>
  <c r="J172" i="2"/>
  <c r="J170" i="2"/>
  <c r="J158" i="2"/>
  <c r="J157" i="2"/>
  <c r="J156" i="2"/>
  <c r="J144" i="2"/>
  <c r="J143" i="2"/>
  <c r="J178" i="2" s="1"/>
  <c r="J141" i="2"/>
  <c r="J140" i="2"/>
  <c r="J176" i="2" s="1"/>
  <c r="J129" i="2"/>
  <c r="J174" i="2" s="1"/>
  <c r="J186" i="2" s="1"/>
  <c r="J128" i="2"/>
  <c r="J127" i="2"/>
  <c r="J126" i="2"/>
  <c r="J125" i="2"/>
  <c r="I150" i="2"/>
  <c r="J150" i="2" s="1"/>
  <c r="H194" i="2"/>
  <c r="G163" i="2"/>
  <c r="H160" i="2"/>
  <c r="H131" i="2"/>
  <c r="H132" i="2" s="1"/>
  <c r="G191" i="2"/>
  <c r="G197" i="2" s="1"/>
  <c r="G169" i="2"/>
  <c r="G164" i="2"/>
  <c r="G135" i="2"/>
  <c r="G179" i="2"/>
  <c r="G159" i="2"/>
  <c r="P130" i="2"/>
  <c r="Q130" i="2" s="1"/>
  <c r="H192" i="2" l="1"/>
  <c r="H154" i="2" s="1"/>
  <c r="G165" i="2"/>
  <c r="G180" i="2"/>
  <c r="G200" i="2" s="1"/>
  <c r="G202" i="2" s="1"/>
  <c r="G139" i="2" s="1"/>
  <c r="H133" i="2"/>
  <c r="H134" i="2" s="1"/>
  <c r="I194" i="2"/>
  <c r="H163" i="2"/>
  <c r="I160" i="2"/>
  <c r="J155" i="2"/>
  <c r="J179" i="2" s="1"/>
  <c r="J142" i="2"/>
  <c r="J177" i="2" s="1"/>
  <c r="J193" i="2"/>
  <c r="J189" i="2"/>
  <c r="L124" i="2"/>
  <c r="M97" i="2"/>
  <c r="K195" i="2"/>
  <c r="K182" i="2"/>
  <c r="K172" i="2"/>
  <c r="K170" i="2"/>
  <c r="K158" i="2"/>
  <c r="K157" i="2"/>
  <c r="K156" i="2"/>
  <c r="K144" i="2"/>
  <c r="K143" i="2"/>
  <c r="K178" i="2" s="1"/>
  <c r="K141" i="2"/>
  <c r="K140" i="2"/>
  <c r="K176" i="2" s="1"/>
  <c r="K129" i="2"/>
  <c r="K174" i="2" s="1"/>
  <c r="K186" i="2" s="1"/>
  <c r="K128" i="2"/>
  <c r="K127" i="2"/>
  <c r="K126" i="2"/>
  <c r="K125" i="2"/>
  <c r="K155" i="2" l="1"/>
  <c r="K179" i="2" s="1"/>
  <c r="K142" i="2"/>
  <c r="K177" i="2" s="1"/>
  <c r="K193" i="2"/>
  <c r="K189" i="2"/>
  <c r="K150" i="2"/>
  <c r="M124" i="2"/>
  <c r="N97" i="2"/>
  <c r="L195" i="2"/>
  <c r="L182" i="2"/>
  <c r="L172" i="2"/>
  <c r="L170" i="2"/>
  <c r="L158" i="2"/>
  <c r="L157" i="2"/>
  <c r="L156" i="2"/>
  <c r="L144" i="2"/>
  <c r="L143" i="2"/>
  <c r="L178" i="2" s="1"/>
  <c r="L141" i="2"/>
  <c r="L140" i="2"/>
  <c r="L176" i="2" s="1"/>
  <c r="L129" i="2"/>
  <c r="L174" i="2" s="1"/>
  <c r="L186" i="2" s="1"/>
  <c r="L128" i="2"/>
  <c r="L127" i="2"/>
  <c r="L126" i="2"/>
  <c r="L125" i="2"/>
  <c r="J194" i="2"/>
  <c r="I163" i="2"/>
  <c r="J160" i="2"/>
  <c r="H191" i="2"/>
  <c r="H197" i="2" s="1"/>
  <c r="H169" i="2"/>
  <c r="H180" i="2" s="1"/>
  <c r="H200" i="2" s="1"/>
  <c r="H135" i="2"/>
  <c r="H164" i="2"/>
  <c r="H201" i="2"/>
  <c r="H202" i="2" s="1"/>
  <c r="H139" i="2" s="1"/>
  <c r="G145" i="2"/>
  <c r="G152" i="2" s="1"/>
  <c r="G166" i="2" s="1"/>
  <c r="H159" i="2"/>
  <c r="I131" i="2"/>
  <c r="I132" i="2" s="1"/>
  <c r="I133" i="2" l="1"/>
  <c r="I134" i="2" s="1"/>
  <c r="I192" i="2"/>
  <c r="I154" i="2" s="1"/>
  <c r="H165" i="2"/>
  <c r="I201" i="2"/>
  <c r="H145" i="2"/>
  <c r="H152" i="2" s="1"/>
  <c r="H166" i="2" s="1"/>
  <c r="K194" i="2"/>
  <c r="J163" i="2"/>
  <c r="K160" i="2"/>
  <c r="L155" i="2"/>
  <c r="L179" i="2" s="1"/>
  <c r="L142" i="2"/>
  <c r="L177" i="2" s="1"/>
  <c r="L193" i="2"/>
  <c r="L189" i="2"/>
  <c r="N124" i="2"/>
  <c r="O97" i="2"/>
  <c r="M195" i="2"/>
  <c r="M182" i="2"/>
  <c r="M172" i="2"/>
  <c r="M170" i="2"/>
  <c r="M158" i="2"/>
  <c r="M157" i="2"/>
  <c r="M156" i="2"/>
  <c r="M144" i="2"/>
  <c r="M143" i="2"/>
  <c r="M178" i="2" s="1"/>
  <c r="M141" i="2"/>
  <c r="M140" i="2"/>
  <c r="M176" i="2" s="1"/>
  <c r="M129" i="2"/>
  <c r="M174" i="2" s="1"/>
  <c r="M186" i="2" s="1"/>
  <c r="M128" i="2"/>
  <c r="M127" i="2"/>
  <c r="M126" i="2"/>
  <c r="M125" i="2"/>
  <c r="L150" i="2"/>
  <c r="M150" i="2" s="1"/>
  <c r="M155" i="2" l="1"/>
  <c r="M179" i="2" s="1"/>
  <c r="M142" i="2"/>
  <c r="M177" i="2" s="1"/>
  <c r="M193" i="2"/>
  <c r="M189" i="2"/>
  <c r="O124" i="2"/>
  <c r="P97" i="2"/>
  <c r="N195" i="2"/>
  <c r="N182" i="2"/>
  <c r="N172" i="2"/>
  <c r="N170" i="2"/>
  <c r="N158" i="2"/>
  <c r="N157" i="2"/>
  <c r="N156" i="2"/>
  <c r="N144" i="2"/>
  <c r="N143" i="2"/>
  <c r="N178" i="2" s="1"/>
  <c r="N141" i="2"/>
  <c r="N140" i="2"/>
  <c r="N176" i="2" s="1"/>
  <c r="N129" i="2"/>
  <c r="N174" i="2" s="1"/>
  <c r="N186" i="2" s="1"/>
  <c r="N128" i="2"/>
  <c r="N127" i="2"/>
  <c r="N126" i="2"/>
  <c r="N125" i="2"/>
  <c r="L194" i="2"/>
  <c r="K163" i="2"/>
  <c r="L160" i="2"/>
  <c r="I159" i="2"/>
  <c r="J131" i="2"/>
  <c r="J132" i="2" s="1"/>
  <c r="I191" i="2"/>
  <c r="I169" i="2"/>
  <c r="I180" i="2" s="1"/>
  <c r="I135" i="2"/>
  <c r="I197" i="2" l="1"/>
  <c r="I200" i="2" s="1"/>
  <c r="I202" i="2" s="1"/>
  <c r="I139" i="2" s="1"/>
  <c r="I164" i="2"/>
  <c r="J133" i="2"/>
  <c r="J134" i="2" s="1"/>
  <c r="J192" i="2"/>
  <c r="J154" i="2" s="1"/>
  <c r="I165" i="2"/>
  <c r="M194" i="2"/>
  <c r="L163" i="2"/>
  <c r="M160" i="2"/>
  <c r="N155" i="2"/>
  <c r="N179" i="2" s="1"/>
  <c r="N142" i="2"/>
  <c r="N177" i="2" s="1"/>
  <c r="N193" i="2"/>
  <c r="N189" i="2"/>
  <c r="N150" i="2"/>
  <c r="P124" i="2"/>
  <c r="Q97" i="2"/>
  <c r="Q124" i="2" s="1"/>
  <c r="O195" i="2"/>
  <c r="O182" i="2"/>
  <c r="O172" i="2"/>
  <c r="O170" i="2"/>
  <c r="O158" i="2"/>
  <c r="O157" i="2"/>
  <c r="O156" i="2"/>
  <c r="O144" i="2"/>
  <c r="O143" i="2"/>
  <c r="O178" i="2" s="1"/>
  <c r="O141" i="2"/>
  <c r="O140" i="2"/>
  <c r="O176" i="2" s="1"/>
  <c r="O129" i="2"/>
  <c r="O174" i="2" s="1"/>
  <c r="O186" i="2" s="1"/>
  <c r="O128" i="2"/>
  <c r="O127" i="2"/>
  <c r="O126" i="2"/>
  <c r="O125" i="2"/>
  <c r="O155" i="2" l="1"/>
  <c r="O179" i="2" s="1"/>
  <c r="O142" i="2"/>
  <c r="O177" i="2" s="1"/>
  <c r="O193" i="2"/>
  <c r="O189" i="2"/>
  <c r="Q195" i="2"/>
  <c r="Q182" i="2"/>
  <c r="Q172" i="2"/>
  <c r="Q170" i="2"/>
  <c r="Q158" i="2"/>
  <c r="Q157" i="2"/>
  <c r="Q156" i="2"/>
  <c r="Q144" i="2"/>
  <c r="Q143" i="2"/>
  <c r="Q141" i="2"/>
  <c r="Q140" i="2"/>
  <c r="Q129" i="2"/>
  <c r="Q174" i="2" s="1"/>
  <c r="Q186" i="2" s="1"/>
  <c r="Q128" i="2"/>
  <c r="Q127" i="2"/>
  <c r="Q126" i="2"/>
  <c r="Q125" i="2"/>
  <c r="P195" i="2"/>
  <c r="P182" i="2"/>
  <c r="P172" i="2"/>
  <c r="P170" i="2"/>
  <c r="P158" i="2"/>
  <c r="P157" i="2"/>
  <c r="P156" i="2"/>
  <c r="P144" i="2"/>
  <c r="P143" i="2"/>
  <c r="P178" i="2" s="1"/>
  <c r="P141" i="2"/>
  <c r="P140" i="2"/>
  <c r="P176" i="2" s="1"/>
  <c r="P129" i="2"/>
  <c r="P174" i="2" s="1"/>
  <c r="P186" i="2" s="1"/>
  <c r="P128" i="2"/>
  <c r="P127" i="2"/>
  <c r="P126" i="2"/>
  <c r="P125" i="2"/>
  <c r="O150" i="2"/>
  <c r="P150" i="2" s="1"/>
  <c r="Q150" i="2" s="1"/>
  <c r="N194" i="2"/>
  <c r="M163" i="2"/>
  <c r="N160" i="2"/>
  <c r="J159" i="2"/>
  <c r="K131" i="2"/>
  <c r="K132" i="2" s="1"/>
  <c r="J191" i="2"/>
  <c r="J197" i="2" s="1"/>
  <c r="J169" i="2"/>
  <c r="J180" i="2" s="1"/>
  <c r="J200" i="2" s="1"/>
  <c r="J135" i="2"/>
  <c r="J164" i="2"/>
  <c r="J201" i="2"/>
  <c r="J202" i="2" s="1"/>
  <c r="J139" i="2" s="1"/>
  <c r="I145" i="2"/>
  <c r="I152" i="2" s="1"/>
  <c r="I166" i="2" s="1"/>
  <c r="K201" i="2" l="1"/>
  <c r="J145" i="2"/>
  <c r="J152" i="2" s="1"/>
  <c r="K133" i="2"/>
  <c r="K134" i="2" s="1"/>
  <c r="K192" i="2"/>
  <c r="K154" i="2" s="1"/>
  <c r="J165" i="2"/>
  <c r="O194" i="2"/>
  <c r="N163" i="2"/>
  <c r="O160" i="2"/>
  <c r="P155" i="2"/>
  <c r="P179" i="2" s="1"/>
  <c r="P142" i="2"/>
  <c r="P177" i="2" s="1"/>
  <c r="P193" i="2"/>
  <c r="P189" i="2"/>
  <c r="Q155" i="2"/>
  <c r="Q179" i="2" s="1"/>
  <c r="Q142" i="2"/>
  <c r="Q177" i="2" s="1"/>
  <c r="Q176" i="2"/>
  <c r="Q178" i="2"/>
  <c r="Q193" i="2"/>
  <c r="Q189" i="2"/>
  <c r="P194" i="2" l="1"/>
  <c r="O163" i="2"/>
  <c r="P160" i="2"/>
  <c r="K159" i="2"/>
  <c r="L131" i="2"/>
  <c r="L132" i="2" s="1"/>
  <c r="K191" i="2"/>
  <c r="K197" i="2" s="1"/>
  <c r="K169" i="2"/>
  <c r="K180" i="2" s="1"/>
  <c r="K200" i="2" s="1"/>
  <c r="K135" i="2"/>
  <c r="K164" i="2"/>
  <c r="J166" i="2"/>
  <c r="K202" i="2"/>
  <c r="K139" i="2" s="1"/>
  <c r="L201" i="2" l="1"/>
  <c r="K145" i="2"/>
  <c r="K152" i="2" s="1"/>
  <c r="L133" i="2"/>
  <c r="L134" i="2" s="1"/>
  <c r="L192" i="2"/>
  <c r="L154" i="2" s="1"/>
  <c r="K165" i="2"/>
  <c r="Q194" i="2"/>
  <c r="P163" i="2"/>
  <c r="Q160" i="2"/>
  <c r="Q163" i="2" s="1"/>
  <c r="L159" i="2" l="1"/>
  <c r="M131" i="2"/>
  <c r="M132" i="2" s="1"/>
  <c r="L191" i="2"/>
  <c r="L197" i="2" s="1"/>
  <c r="L169" i="2"/>
  <c r="L180" i="2" s="1"/>
  <c r="L200" i="2" s="1"/>
  <c r="L135" i="2"/>
  <c r="L164" i="2"/>
  <c r="K166" i="2"/>
  <c r="L202" i="2"/>
  <c r="L139" i="2" s="1"/>
  <c r="M201" i="2" l="1"/>
  <c r="L145" i="2"/>
  <c r="L152" i="2" s="1"/>
  <c r="M133" i="2"/>
  <c r="M134" i="2" s="1"/>
  <c r="M192" i="2"/>
  <c r="M154" i="2" s="1"/>
  <c r="L165" i="2"/>
  <c r="M159" i="2" l="1"/>
  <c r="N131" i="2"/>
  <c r="N132" i="2" s="1"/>
  <c r="M191" i="2"/>
  <c r="M197" i="2" s="1"/>
  <c r="M169" i="2"/>
  <c r="M180" i="2" s="1"/>
  <c r="M200" i="2" s="1"/>
  <c r="M135" i="2"/>
  <c r="M164" i="2"/>
  <c r="L166" i="2"/>
  <c r="M202" i="2"/>
  <c r="M139" i="2" s="1"/>
  <c r="N201" i="2" l="1"/>
  <c r="M145" i="2"/>
  <c r="M152" i="2" s="1"/>
  <c r="N133" i="2"/>
  <c r="N134" i="2" s="1"/>
  <c r="N192" i="2"/>
  <c r="N154" i="2" s="1"/>
  <c r="M165" i="2"/>
  <c r="N159" i="2" l="1"/>
  <c r="O131" i="2"/>
  <c r="O132" i="2" s="1"/>
  <c r="N191" i="2"/>
  <c r="N197" i="2" s="1"/>
  <c r="N169" i="2"/>
  <c r="N180" i="2" s="1"/>
  <c r="N200" i="2" s="1"/>
  <c r="N135" i="2"/>
  <c r="N164" i="2"/>
  <c r="M166" i="2"/>
  <c r="N202" i="2"/>
  <c r="N139" i="2" s="1"/>
  <c r="O201" i="2" l="1"/>
  <c r="N145" i="2"/>
  <c r="N152" i="2" s="1"/>
  <c r="O133" i="2"/>
  <c r="O134" i="2" s="1"/>
  <c r="O192" i="2"/>
  <c r="O154" i="2" s="1"/>
  <c r="N165" i="2"/>
  <c r="O159" i="2" l="1"/>
  <c r="P131" i="2"/>
  <c r="P132" i="2" s="1"/>
  <c r="O191" i="2"/>
  <c r="O197" i="2" s="1"/>
  <c r="O169" i="2"/>
  <c r="O180" i="2" s="1"/>
  <c r="O200" i="2" s="1"/>
  <c r="O135" i="2"/>
  <c r="O164" i="2"/>
  <c r="N166" i="2"/>
  <c r="O202" i="2"/>
  <c r="O139" i="2" s="1"/>
  <c r="P201" i="2" l="1"/>
  <c r="O145" i="2"/>
  <c r="O152" i="2" s="1"/>
  <c r="P133" i="2"/>
  <c r="P134" i="2" s="1"/>
  <c r="P192" i="2"/>
  <c r="P154" i="2" s="1"/>
  <c r="O165" i="2"/>
  <c r="P159" i="2" l="1"/>
  <c r="Q131" i="2"/>
  <c r="Q132" i="2" s="1"/>
  <c r="P191" i="2"/>
  <c r="P197" i="2" s="1"/>
  <c r="P169" i="2"/>
  <c r="P180" i="2" s="1"/>
  <c r="P200" i="2" s="1"/>
  <c r="P135" i="2"/>
  <c r="P164" i="2"/>
  <c r="O166" i="2"/>
  <c r="P202" i="2"/>
  <c r="P139" i="2" s="1"/>
  <c r="Q201" i="2" l="1"/>
  <c r="P145" i="2"/>
  <c r="P152" i="2" s="1"/>
  <c r="Q133" i="2"/>
  <c r="Q134" i="2" s="1"/>
  <c r="Q192" i="2"/>
  <c r="Q154" i="2" s="1"/>
  <c r="Q159" i="2" s="1"/>
  <c r="P165" i="2"/>
  <c r="Q191" i="2" l="1"/>
  <c r="Q197" i="2" s="1"/>
  <c r="Q169" i="2"/>
  <c r="Q180" i="2" s="1"/>
  <c r="Q200" i="2" s="1"/>
  <c r="Q135" i="2"/>
  <c r="Q164" i="2"/>
  <c r="Q165" i="2" s="1"/>
  <c r="P166" i="2"/>
  <c r="Q202" i="2"/>
  <c r="Q139" i="2" s="1"/>
  <c r="Q145" i="2" s="1"/>
  <c r="Q152" i="2" s="1"/>
  <c r="Q16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G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<sst xmlns="http://schemas.openxmlformats.org/spreadsheetml/2006/main" count="463" uniqueCount="261">
  <si>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</si>
  <si>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</si>
  <si>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</si>
  <si>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</si>
  <si>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</si>
  <si>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</si>
  <si>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</si>
  <si>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</si>
  <si>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</si>
  <si>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</si>
  <si>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</si>
  <si>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</si>
  <si>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</si>
  <si>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</si>
  <si>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</si>
  <si>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</si>
  <si>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</si>
  <si>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</si>
  <si>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</si>
  <si>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</si>
  <si>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</si>
  <si>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</si>
  <si>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</si>
  <si>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</si>
  <si>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</si>
  <si>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</si>
  <si>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</si>
  <si>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</si>
  <si>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</si>
  <si>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</si>
  <si>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</si>
  <si>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</si>
  <si>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</si>
  <si>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</si>
  <si>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</si>
  <si>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</si>
  <si>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</si>
  <si>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</si>
  <si>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</si>
  <si>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Historic Quarterly IS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</si>
  <si>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</si>
  <si>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</si>
  <si>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</si>
  <si>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</si>
  <si>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</si>
  <si>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</si>
  <si>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</si>
  <si>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</si>
  <si>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</si>
  <si>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</si>
  <si>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</si>
  <si>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</si>
  <si>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</si>
  <si>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</si>
  <si>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</si>
  <si>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</si>
  <si>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</si>
  <si>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</si>
  <si>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</si>
  <si>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</si>
  <si>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</si>
  <si>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</si>
  <si>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</si>
  <si>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</si>
  <si>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</si>
  <si>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</si>
  <si>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</si>
  <si>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</si>
  <si>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</si>
  <si>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</si>
  <si>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</si>
  <si>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</si>
  <si>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</si>
  <si>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</si>
  <si>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</si>
  <si>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</si>
  <si>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</si>
  <si>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</si>
  <si>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</si>
  <si>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</si>
  <si>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</si>
  <si>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</si>
  <si>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</si>
  <si>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</si>
  <si>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</si>
  <si>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</si>
  <si>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</si>
  <si>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>Assumptions</t>
  </si>
  <si>
    <t>IS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</si>
  <si>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</si>
  <si>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</si>
  <si>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</si>
  <si>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</si>
  <si>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</si>
  <si>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</si>
  <si>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</si>
  <si>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</si>
  <si>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</si>
  <si>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</si>
  <si>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BS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</si>
  <si>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</si>
  <si>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</si>
  <si>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</si>
  <si>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</si>
  <si>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</si>
  <si>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</si>
  <si>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</si>
  <si>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</si>
  <si>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</si>
  <si>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CFS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</si>
  <si>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</si>
  <si>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</si>
  <si>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</si>
  <si>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</si>
  <si>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</si>
  <si>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</si>
  <si>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</si>
  <si>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</si>
  <si>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</si>
  <si>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</si>
  <si>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</si>
  <si>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</si>
  <si>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</si>
  <si>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</si>
  <si>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</si>
  <si>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</si>
  <si>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</si>
  <si>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</si>
  <si>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</si>
  <si>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</si>
  <si>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FY'32</t>
  </si>
  <si>
    <t>FY'33</t>
  </si>
  <si>
    <t>FY'34</t>
  </si>
  <si>
    <t>FY'35</t>
  </si>
  <si>
    <t>FY'36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</si>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</sst>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</numFmts>
  <fonts count="12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/>
    <xf numFmtId="0" fontId="2" fillId="0" borderId="1" xfId="0" applyFont="1" applyBorder="1" applyAlignment="1"/>
    <xf numFmtId="0" fontId="0" fillId="0" borderId="2" xfId="0" applyBorder="1" applyAlignment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0" fillId="0" borderId="0" xfId="0" applyNumberFormat="1" applyAlignment="1"/>
    <xf numFmtId="0" fontId="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0" borderId="0" xfId="0" applyNumberFormat="1" applyAlignment="1"/>
    <xf numFmtId="14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0" fontId="2" fillId="0" borderId="9" xfId="0" applyFont="1" applyBorder="1" applyAlignment="1"/>
    <xf numFmtId="0" fontId="0" fillId="0" borderId="9" xfId="0" applyFont="1" applyBorder="1" applyAlignment="1">
      <alignment horizontal="center"/>
    </xf>
    <xf numFmtId="0" fontId="0" fillId="0" borderId="7" xfId="0" applyFont="1" applyBorder="1" applyAlignment="1"/>
    <xf numFmtId="166" fontId="0" fillId="0" borderId="10" xfId="0" applyNumberFormat="1" applyBorder="1" applyAlignment="1">
      <alignment horizontal="center"/>
    </xf>
    <xf numFmtId="166" fontId="0" fillId="2" borderId="0" xfId="0" applyNumberFormat="1" applyFill="1" applyAlignment="1"/>
    <xf numFmtId="166" fontId="0" fillId="0" borderId="0" xfId="0" applyNumberFormat="1" applyAlignment="1"/>
    <xf numFmtId="0" fontId="0" fillId="3" borderId="0" xfId="0" applyFont="1" applyFill="1" applyAlignment="1"/>
    <xf numFmtId="0" fontId="0" fillId="0" borderId="3" xfId="0" applyFont="1" applyBorder="1" applyAlignment="1"/>
    <xf numFmtId="166" fontId="0" fillId="0" borderId="3" xfId="0" applyNumberFormat="1" applyBorder="1" applyAlignment="1"/>
    <xf numFmtId="0" fontId="2" fillId="0" borderId="0" xfId="0" applyFont="1" applyAlignment="1"/>
    <xf numFmtId="166" fontId="2" fillId="0" borderId="0" xfId="0" applyNumberFormat="1" applyFont="1" applyAlignment="1"/>
    <xf numFmtId="0" fontId="2" fillId="0" borderId="11" xfId="0" applyFont="1" applyBorder="1" applyAlignment="1"/>
    <xf numFmtId="166" fontId="2" fillId="0" borderId="11" xfId="0" applyNumberFormat="1" applyFont="1" applyBorder="1" applyAlignment="1"/>
    <xf numFmtId="2" fontId="0" fillId="0" borderId="0" xfId="0" applyNumberFormat="1" applyAlignment="1"/>
    <xf numFmtId="0" fontId="4" fillId="0" borderId="0" xfId="0" applyFont="1" applyAlignment="1"/>
    <xf numFmtId="9" fontId="4" fillId="2" borderId="0" xfId="0" applyNumberFormat="1" applyFont="1" applyFill="1" applyAlignment="1"/>
    <xf numFmtId="9" fontId="4" fillId="0" borderId="0" xfId="0" applyNumberFormat="1" applyFont="1" applyAlignment="1"/>
    <xf numFmtId="9" fontId="0" fillId="0" borderId="0" xfId="0" applyNumberFormat="1" applyAlignment="1"/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2" borderId="0" xfId="0" applyFont="1" applyFill="1" applyAlignment="1"/>
    <xf numFmtId="9" fontId="0" fillId="0" borderId="5" xfId="0" applyNumberFormat="1" applyBorder="1" applyAlignment="1"/>
    <xf numFmtId="9" fontId="6" fillId="0" borderId="0" xfId="0" applyNumberFormat="1" applyFont="1" applyAlignment="1"/>
    <xf numFmtId="9" fontId="7" fillId="0" borderId="0" xfId="0" applyNumberFormat="1" applyFont="1" applyAlignment="1"/>
    <xf numFmtId="9" fontId="8" fillId="0" borderId="0" xfId="0" applyNumberFormat="1" applyFont="1" applyAlignment="1"/>
    <xf numFmtId="0" fontId="4" fillId="0" borderId="0" xfId="0" applyFont="1"/>
    <xf numFmtId="0" fontId="0" fillId="0" borderId="5" xfId="0" applyBorder="1" applyAlignment="1"/>
    <xf numFmtId="167" fontId="6" fillId="0" borderId="0" xfId="0" applyNumberFormat="1" applyFont="1"/>
    <xf numFmtId="10" fontId="0" fillId="0" borderId="0" xfId="0" applyNumberFormat="1"/>
    <xf numFmtId="0" fontId="0" fillId="0" borderId="9" xfId="0" applyFont="1" applyBorder="1" applyAlignment="1"/>
    <xf numFmtId="0" fontId="2" fillId="0" borderId="7" xfId="0" applyFont="1" applyBorder="1" applyAlignment="1"/>
    <xf numFmtId="166" fontId="0" fillId="0" borderId="5" xfId="0" applyNumberFormat="1" applyBorder="1" applyAlignment="1"/>
    <xf numFmtId="166" fontId="2" fillId="0" borderId="5" xfId="0" applyNumberFormat="1" applyFont="1" applyBorder="1" applyAlignment="1"/>
    <xf numFmtId="164" fontId="0" fillId="0" borderId="5" xfId="0" applyNumberFormat="1" applyBorder="1" applyAlignment="1"/>
    <xf numFmtId="165" fontId="0" fillId="0" borderId="5" xfId="0" applyNumberFormat="1" applyBorder="1" applyAlignment="1"/>
    <xf numFmtId="0" fontId="9" fillId="0" borderId="9" xfId="0" applyFont="1" applyBorder="1" applyAlignment="1"/>
    <xf numFmtId="0" fontId="9" fillId="0" borderId="9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0" xfId="0" applyFont="1" applyAlignment="1"/>
    <xf numFmtId="166" fontId="9" fillId="0" borderId="0" xfId="0" applyNumberFormat="1" applyFont="1" applyAlignment="1"/>
    <xf numFmtId="166" fontId="9" fillId="0" borderId="5" xfId="0" applyNumberFormat="1" applyFont="1" applyBorder="1" applyAlignment="1"/>
    <xf numFmtId="0" fontId="10" fillId="0" borderId="0" xfId="0" applyFont="1" applyAlignment="1"/>
    <xf numFmtId="166" fontId="10" fillId="0" borderId="0" xfId="0" applyNumberFormat="1" applyFont="1" applyAlignment="1"/>
    <xf numFmtId="166" fontId="10" fillId="0" borderId="5" xfId="0" applyNumberFormat="1" applyFont="1" applyBorder="1" applyAlignment="1"/>
    <xf numFmtId="0" fontId="11" fillId="0" borderId="0" xfId="0" applyFont="1" applyAlignment="1"/>
    <xf numFmtId="166" fontId="11" fillId="0" borderId="0" xfId="0" applyNumberFormat="1" applyFont="1" applyAlignment="1"/>
    <xf numFmtId="166" fontId="11" fillId="0" borderId="5" xfId="0" applyNumberFormat="1" applyFont="1" applyBorder="1" applyAlignment="1"/>
    <xf numFmtId="167" fontId="9" fillId="0" borderId="0" xfId="0" applyNumberFormat="1" applyFont="1" applyAlignment="1"/>
    <xf numFmtId="164" fontId="9" fillId="0" borderId="0" xfId="0" applyNumberFormat="1" applyFont="1" applyAlignment="1"/>
    <xf numFmtId="166" fontId="9" fillId="0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29"/>
  <sheetViews>
    <sheetView zoomScaleNormal="100" workbookViewId="0">
      <selection activeCell="B16" sqref="B16"/>
    </sheetView>
  </sheetViews>
  <sheetFormatPr defaultColWidth="11" defaultRowHeight="15.75" x14ac:dyDescent="0.25"/>
  <cols>
    <col min="2" max="2" width="22.125" style="1" customWidth="1"/>
    <col min="3" max="3" width="2.875" style="1" customWidth="1"/>
    <col min="4" max="4" width="20.5" style="1" customWidth="1"/>
    <col min="5" max="5" width="69.625" style="1" customWidth="1"/>
    <col min="6" max="6" width="38.875" style="1" customWidth="1"/>
    <col min="7" max="7" width="13.5" style="1" customWidth="1"/>
    <col min="8" max="8" width="16.125" style="1" customWidth="1"/>
    <col min="9" max="9" width="14" style="1" customWidth="1"/>
  </cols>
  <sheetData>
    <row r="2" spans="1:8" ht="15.75" customHeight="1" x14ac:dyDescent="0.25">
      <c r="A2" s="2" t="s">
        <v>0</v>
      </c>
      <c r="B2" s="3"/>
      <c r="D2" s="4" t="s">
        <v>1</v>
      </c>
      <c r="E2" s="5" t="s">
        <v>2</v>
      </c>
      <c r="F2" s="5" t="s">
        <v>3</v>
      </c>
      <c r="G2" s="5" t="s">
        <v>4</v>
      </c>
      <c r="H2" s="6" t="s">
        <v>5</v>
      </c>
    </row>
    <row r="3" spans="1:8" ht="15.75" customHeight="1" x14ac:dyDescent="0.25">
      <c r="A3" s="1" t="s">
        <v>6</v>
      </c>
      <c r="B3" s="7">
        <v>1213.4000000000001</v>
      </c>
      <c r="D3" s="8" t="s">
        <v>7</v>
      </c>
      <c r="E3" s="9" t="str">
        <f>Mounjaro!C4</f>
        <v>Type 2 Diabetes</v>
      </c>
      <c r="F3" s="9" t="str">
        <f>Mounjaro!C5</f>
        <v>Dual GIP/GLP-1 Receptor Agonist</v>
      </c>
      <c r="G3" s="10">
        <v>1</v>
      </c>
      <c r="H3" s="11">
        <v>44694</v>
      </c>
    </row>
    <row r="4" spans="1:8" ht="15.75" customHeight="1" x14ac:dyDescent="0.25">
      <c r="A4" s="1" t="s">
        <v>8</v>
      </c>
      <c r="B4" s="12">
        <v>895.9</v>
      </c>
      <c r="D4" s="8" t="s">
        <v>9</v>
      </c>
      <c r="E4" s="9" t="str">
        <f>Zepbound!C4</f>
        <v>Obesity &amp; Obstructive Sleep Apnea</v>
      </c>
      <c r="F4" s="9" t="str">
        <f>Zepbound!C5</f>
        <v>Dual GIP/GLP-1 Receptor Agonist</v>
      </c>
      <c r="G4" s="10">
        <v>1</v>
      </c>
      <c r="H4" s="11">
        <v>45238</v>
      </c>
    </row>
    <row r="5" spans="1:8" ht="15.75" customHeight="1" x14ac:dyDescent="0.25">
      <c r="A5" s="1" t="s">
        <v>10</v>
      </c>
      <c r="B5" s="7">
        <f>B3*B4</f>
        <v>1087085.06</v>
      </c>
      <c r="D5" s="8" t="s">
        <v>11</v>
      </c>
      <c r="E5" s="9" t="str">
        <f>Trulicity!C4</f>
        <v>Type-2 Diabetes</v>
      </c>
      <c r="F5" s="9" t="str">
        <f>Trulicity!C5</f>
        <v>GLP-1 Agonist</v>
      </c>
      <c r="G5" s="10">
        <v>1</v>
      </c>
      <c r="H5" s="11">
        <v>41900</v>
      </c>
    </row>
    <row r="6" spans="1:8" ht="15.75" customHeight="1" x14ac:dyDescent="0.25">
      <c r="A6" s="1" t="s">
        <v>12</v>
      </c>
      <c r="B6" s="7">
        <v>7268</v>
      </c>
      <c r="D6" s="8" t="s">
        <v>13</v>
      </c>
      <c r="E6" s="9" t="str">
        <f>Retatrutide!C4</f>
        <v xml:space="preserve">Obesity &amp; Type 2 Diabetes </v>
      </c>
      <c r="F6" s="9" t="str">
        <f>Retatrutide!C5</f>
        <v>GIP / GLP-1 / Glucagon Triple Receptor Agonist</v>
      </c>
      <c r="G6" s="10">
        <v>1</v>
      </c>
      <c r="H6" s="13" t="s">
        <v>14</v>
      </c>
    </row>
    <row r="7" spans="1:8" ht="15.75" customHeight="1" x14ac:dyDescent="0.25">
      <c r="A7" s="1" t="s">
        <v>15</v>
      </c>
      <c r="B7" s="7">
        <f>1635+40868</f>
        <v>42503</v>
      </c>
      <c r="D7" s="8" t="s">
        <v>16</v>
      </c>
      <c r="E7" s="9" t="str">
        <f>Foundayo!C4</f>
        <v>Obesity / Chronic Weight Management</v>
      </c>
      <c r="F7" s="9" t="str">
        <f>Foundayo!C5</f>
        <v>GLP-1 Receptor Agonist (oral, nonpeptide)</v>
      </c>
      <c r="G7" s="10">
        <v>1</v>
      </c>
      <c r="H7" s="11">
        <v>46113</v>
      </c>
    </row>
    <row r="8" spans="1:8" ht="15.75" customHeight="1" x14ac:dyDescent="0.25">
      <c r="A8" s="1" t="s">
        <v>17</v>
      </c>
      <c r="B8" s="7">
        <f>B5+B7-B6</f>
        <v>1122320.06</v>
      </c>
      <c r="D8" s="8" t="s">
        <v>18</v>
      </c>
      <c r="E8" s="9" t="str">
        <f>Basaglar!C4</f>
        <v>Type 1 and Type 2 Diabetes</v>
      </c>
      <c r="F8" s="9" t="str">
        <f>Basaglar!C5</f>
        <v>Long-Acting Insulin</v>
      </c>
      <c r="G8" s="10">
        <v>1</v>
      </c>
      <c r="H8" s="11">
        <f>DATE(2015,12,16)</f>
        <v>42354</v>
      </c>
    </row>
    <row r="9" spans="1:8" ht="15.75" customHeight="1" x14ac:dyDescent="0.25">
      <c r="D9" s="8" t="s">
        <v>19</v>
      </c>
      <c r="E9" s="9" t="str">
        <f>Humalog!C4</f>
        <v>Type 1 and Type 2 Diabetes</v>
      </c>
      <c r="F9" s="9" t="str">
        <f>Humalog!C5</f>
        <v>Rapid-Acting Insulin</v>
      </c>
      <c r="G9" s="10">
        <v>1</v>
      </c>
      <c r="H9" s="11">
        <v>35230</v>
      </c>
    </row>
    <row r="10" spans="1:8" ht="15.75" customHeight="1" x14ac:dyDescent="0.25">
      <c r="D10" s="8" t="s">
        <v>20</v>
      </c>
      <c r="E10" s="9" t="str">
        <f>Humulin!C4</f>
        <v>Type 1 and Type 2 Diabetes</v>
      </c>
      <c r="F10" s="9" t="str">
        <f>Humulin!C5</f>
        <v>Insulin (short- and intermediate-acting)</v>
      </c>
      <c r="G10" s="10">
        <v>1</v>
      </c>
      <c r="H10" s="11">
        <f>DATE(1982,10,28)</f>
        <v>30252</v>
      </c>
    </row>
    <row r="11" spans="1:8" ht="15.75" customHeight="1" x14ac:dyDescent="0.25">
      <c r="D11" s="8" t="s">
        <v>21</v>
      </c>
      <c r="E11" s="9" t="str">
        <f>Jardiance!C4</f>
        <v>Type 2 Diabetes &amp; Heart Failure</v>
      </c>
      <c r="F11" s="9" t="str">
        <f>Jardiance!C5</f>
        <v>SGLT2 Inhibitors</v>
      </c>
      <c r="G11" s="14" t="s">
        <v>22</v>
      </c>
      <c r="H11" s="11">
        <v>41852</v>
      </c>
    </row>
    <row r="12" spans="1:8" ht="15.75" customHeight="1" x14ac:dyDescent="0.25">
      <c r="D12" s="8" t="s">
        <v>23</v>
      </c>
      <c r="E12" s="9" t="str">
        <f>Verzenio!C4</f>
        <v>Breast Cancer</v>
      </c>
      <c r="F12" s="9" t="str">
        <f>Verzenio!C5</f>
        <v>CDK4/6 inhibitors</v>
      </c>
      <c r="G12" s="10">
        <v>1</v>
      </c>
      <c r="H12" s="11">
        <v>43006</v>
      </c>
    </row>
    <row r="13" spans="1:8" ht="15.75" customHeight="1" x14ac:dyDescent="0.25">
      <c r="D13" s="8" t="s">
        <v>24</v>
      </c>
      <c r="E13" s="9" t="str">
        <f>Cyramza!C4</f>
        <v>Gastric, NSCLC, and Colorectal Cancer</v>
      </c>
      <c r="F13" s="9" t="str">
        <f>Cyramza!C5</f>
        <v>VEGFR2 Antagonist (Monoclonal Antibody)</v>
      </c>
      <c r="G13" s="10">
        <v>1</v>
      </c>
      <c r="H13" s="11">
        <f>DATE(2014,4,21)</f>
        <v>41750</v>
      </c>
    </row>
    <row r="14" spans="1:8" ht="15.75" customHeight="1" x14ac:dyDescent="0.25">
      <c r="D14" s="8" t="s">
        <v>25</v>
      </c>
      <c r="E14" s="9" t="str">
        <f>Erbitux!C4</f>
        <v>Colorectal and Head &amp; Neck Cancer</v>
      </c>
      <c r="F14" s="9" t="str">
        <f>Erbitux!C5</f>
        <v>EGFR Inhibitor (Monoclonal Antibody)</v>
      </c>
      <c r="G14" s="14" t="s">
        <v>26</v>
      </c>
      <c r="H14" s="11">
        <f>DATE(2004,2,12)</f>
        <v>38029</v>
      </c>
    </row>
    <row r="15" spans="1:8" ht="15.75" customHeight="1" x14ac:dyDescent="0.25">
      <c r="D15" s="8" t="s">
        <v>27</v>
      </c>
      <c r="E15" s="9" t="str">
        <f>Retevmo!C4</f>
        <v>RET-Altered NSCLC and Thyroid Cancer</v>
      </c>
      <c r="F15" s="9" t="str">
        <f>Retevmo!C5</f>
        <v>RET Kinase Inhibitor</v>
      </c>
      <c r="G15" s="10">
        <v>1</v>
      </c>
      <c r="H15" s="11">
        <f>DATE(2020,5,8)</f>
        <v>43959</v>
      </c>
    </row>
    <row r="16" spans="1:8" ht="15.75" customHeight="1" x14ac:dyDescent="0.25">
      <c r="D16" s="8" t="s">
        <v>28</v>
      </c>
      <c r="E16" s="9" t="str">
        <f>Tyvyt!C4</f>
        <v>Hodgkin Lymphoma, NSCLC &amp; other cancers (approved in China; not FDA-approved)</v>
      </c>
      <c r="F16" s="9" t="str">
        <f>Tyvyt!C5</f>
        <v>PD-1 Inhibitor (Monoclonal Antibody)</v>
      </c>
      <c r="G16" s="14" t="s">
        <v>26</v>
      </c>
      <c r="H16" s="15" t="s">
        <v>29</v>
      </c>
    </row>
    <row r="17" spans="3:8" ht="15.75" customHeight="1" x14ac:dyDescent="0.25">
      <c r="D17" s="8" t="s">
        <v>30</v>
      </c>
      <c r="E17" s="9" t="str">
        <f>Jaypirca!C4</f>
        <v>Non-Hodgkin Lymphoma</v>
      </c>
      <c r="F17" s="9" t="str">
        <f>Jaypirca!C5</f>
        <v>Bruton’s tyrosine kinase (BTK) inhibitor</v>
      </c>
      <c r="G17" s="10">
        <v>1</v>
      </c>
      <c r="H17" s="11">
        <v>44953</v>
      </c>
    </row>
    <row r="18" spans="3:8" ht="15.75" customHeight="1" x14ac:dyDescent="0.25">
      <c r="D18" s="8" t="s">
        <v>31</v>
      </c>
      <c r="E18" s="9" t="str">
        <f>Inluriyo!C4</f>
        <v>Breast Cancer</v>
      </c>
      <c r="F18" s="9" t="str">
        <f>Inluriyo!C5</f>
        <v>Estrogen Antagonist</v>
      </c>
      <c r="G18" s="10">
        <v>1</v>
      </c>
      <c r="H18" s="11">
        <v>45925</v>
      </c>
    </row>
    <row r="19" spans="3:8" ht="15.75" customHeight="1" x14ac:dyDescent="0.25">
      <c r="D19" s="8" t="s">
        <v>32</v>
      </c>
      <c r="E19" s="9" t="str">
        <f>Ebglyss!C4</f>
        <v>Eczema</v>
      </c>
      <c r="F19" s="9" t="str">
        <f>Ebglyss!C5</f>
        <v>interleukin-13 antagonist</v>
      </c>
      <c r="G19" s="10">
        <v>1</v>
      </c>
      <c r="H19" s="11">
        <v>45548</v>
      </c>
    </row>
    <row r="20" spans="3:8" ht="15.75" customHeight="1" x14ac:dyDescent="0.25">
      <c r="D20" s="8" t="s">
        <v>33</v>
      </c>
      <c r="E20" s="9" t="str">
        <f>Olumiant!C4</f>
        <v>Rheumatoid Arthritis, Alopecia Areata, COVID-19</v>
      </c>
      <c r="F20" s="9" t="str">
        <f>Olumiant!C5</f>
        <v>JAK (Janus Kinase) Inhibitor</v>
      </c>
      <c r="G20" s="10">
        <v>1</v>
      </c>
      <c r="H20" s="11">
        <f>DATE(2018,5,31)</f>
        <v>43251</v>
      </c>
    </row>
    <row r="21" spans="3:8" ht="15.75" customHeight="1" x14ac:dyDescent="0.25">
      <c r="D21" s="8" t="s">
        <v>34</v>
      </c>
      <c r="E21" s="9" t="str">
        <f>Omvoh!C4</f>
        <v>Crohn's Disease &amp; Ulcerative Colitis</v>
      </c>
      <c r="F21" s="9" t="str">
        <f>Omvoh!C5</f>
        <v>interleukin-23 antagonist</v>
      </c>
      <c r="G21" s="10">
        <v>1</v>
      </c>
      <c r="H21" s="11">
        <v>45225</v>
      </c>
    </row>
    <row r="22" spans="3:8" ht="15.75" customHeight="1" x14ac:dyDescent="0.25">
      <c r="D22" s="8" t="s">
        <v>35</v>
      </c>
      <c r="E22" s="9" t="str">
        <f>Taltz!C4</f>
        <v>Plaque Psoriasis &amp; Psoriatic Arthritis</v>
      </c>
      <c r="F22" s="9" t="str">
        <f>Taltz!C5</f>
        <v>interleukin antagonist</v>
      </c>
      <c r="G22" s="10">
        <v>1</v>
      </c>
      <c r="H22" s="11">
        <v>42451</v>
      </c>
    </row>
    <row r="23" spans="3:8" ht="15.75" customHeight="1" x14ac:dyDescent="0.25">
      <c r="D23" s="8" t="s">
        <v>36</v>
      </c>
      <c r="E23" s="9" t="str">
        <f>Emgality!C4</f>
        <v>Migraine Prevention and Cluster Headache</v>
      </c>
      <c r="F23" s="9" t="str">
        <f>Emgality!C5</f>
        <v>CGRP Antagonist (Monoclonal Antibody)</v>
      </c>
      <c r="G23" s="10">
        <v>1</v>
      </c>
      <c r="H23" s="11">
        <f>DATE(2018,9,27)</f>
        <v>43370</v>
      </c>
    </row>
    <row r="24" spans="3:8" ht="15.75" customHeight="1" x14ac:dyDescent="0.25">
      <c r="D24" s="16" t="s">
        <v>37</v>
      </c>
      <c r="E24" s="17" t="str">
        <f>Kisunla!C4</f>
        <v>Alzheimer's Disease</v>
      </c>
      <c r="F24" s="17" t="str">
        <f>Kisunla!C5</f>
        <v>amyloid beta-directed antibody</v>
      </c>
      <c r="G24" s="18">
        <v>1</v>
      </c>
      <c r="H24" s="19">
        <v>45475</v>
      </c>
    </row>
    <row r="26" spans="3:8" ht="15.75" customHeight="1" x14ac:dyDescent="0.25">
      <c r="D26" s="20"/>
      <c r="E26" s="9"/>
      <c r="F26" s="9"/>
    </row>
    <row r="28" spans="3:8" ht="15.75" customHeight="1" x14ac:dyDescent="0.25">
      <c r="C28" s="9"/>
    </row>
    <row r="29" spans="3:8" ht="15.75" customHeight="1" x14ac:dyDescent="0.25">
      <c r="C29" s="9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277"/>
  <sheetViews>
    <sheetView tabSelected="1" topLeftCell="A95" zoomScale="90" zoomScaleNormal="90" workbookViewId="0">
      <pane xSplit="2" topLeftCell="C1" activePane="topRight" state="frozen"/>
      <selection activeCell="A135" sqref="A135"/>
      <selection pane="topRight" activeCell="L200" sqref="L200"/>
    </sheetView>
  </sheetViews>
  <sheetFormatPr defaultColWidth="11" defaultRowHeight="15.75" x14ac:dyDescent="0.25"/>
  <cols>
    <col min="1" max="1" width="2.375" style="1" customWidth="1"/>
    <col min="2" max="2" width="47.125" style="1" customWidth="1"/>
    <col min="3" max="21" width="13.5" style="1" customWidth="1"/>
    <col min="22" max="32" width="13.375" style="1" customWidth="1"/>
    <col min="33" max="39" width="13.125" style="1" customWidth="1"/>
    <col min="40" max="92" width="12.5" style="1" customWidth="1"/>
  </cols>
  <sheetData>
    <row r="1" spans="2:20" ht="9.75" customHeight="1" x14ac:dyDescent="0.25"/>
    <row r="2" spans="2:20" ht="34.5" customHeight="1" x14ac:dyDescent="0.4">
      <c r="B2" s="21" t="s">
        <v>38</v>
      </c>
      <c r="C2" s="21"/>
    </row>
    <row r="4" spans="2:20" ht="16.5" customHeight="1" x14ac:dyDescent="0.25">
      <c r="B4" s="22" t="s">
        <v>39</v>
      </c>
      <c r="C4" s="23" t="s">
        <v>40</v>
      </c>
      <c r="D4" s="23" t="s">
        <v>41</v>
      </c>
      <c r="E4" s="23" t="s">
        <v>42</v>
      </c>
      <c r="F4" s="23" t="s">
        <v>43</v>
      </c>
      <c r="G4" s="23" t="s">
        <v>44</v>
      </c>
      <c r="H4" s="23" t="s">
        <v>45</v>
      </c>
      <c r="I4" s="23" t="s">
        <v>46</v>
      </c>
      <c r="J4" s="23" t="s">
        <v>47</v>
      </c>
      <c r="K4" s="23" t="s">
        <v>48</v>
      </c>
      <c r="L4" s="23" t="s">
        <v>49</v>
      </c>
      <c r="M4" s="23" t="s">
        <v>50</v>
      </c>
      <c r="N4" s="23" t="s">
        <v>51</v>
      </c>
      <c r="O4" s="23" t="s">
        <v>52</v>
      </c>
      <c r="P4" s="23" t="s">
        <v>53</v>
      </c>
      <c r="Q4" s="23" t="s">
        <v>54</v>
      </c>
      <c r="R4" s="23" t="s">
        <v>55</v>
      </c>
      <c r="S4" s="23" t="s">
        <v>56</v>
      </c>
      <c r="T4" s="23" t="s">
        <v>57</v>
      </c>
    </row>
    <row r="5" spans="2:20" ht="15.75" customHeight="1" x14ac:dyDescent="0.25">
      <c r="B5" s="24" t="s">
        <v>58</v>
      </c>
      <c r="C5" s="25">
        <f t="shared" ref="C5:T5" si="0">SUM(C6:C14)</f>
        <v>3243.6</v>
      </c>
      <c r="D5" s="25">
        <f t="shared" si="0"/>
        <v>3268.2</v>
      </c>
      <c r="E5" s="25">
        <f t="shared" si="0"/>
        <v>3489.2</v>
      </c>
      <c r="F5" s="25">
        <f t="shared" si="0"/>
        <v>3811.7</v>
      </c>
      <c r="G5" s="25">
        <f t="shared" si="0"/>
        <v>4045.3</v>
      </c>
      <c r="H5" s="25">
        <f t="shared" si="0"/>
        <v>4260.3999999999996</v>
      </c>
      <c r="I5" s="25">
        <f t="shared" si="0"/>
        <v>4565.3999999999996</v>
      </c>
      <c r="J5" s="25">
        <f t="shared" si="0"/>
        <v>5588.7000000000007</v>
      </c>
      <c r="K5" s="25">
        <f t="shared" si="0"/>
        <v>5369.2</v>
      </c>
      <c r="L5" s="25">
        <f t="shared" si="0"/>
        <v>7858.8000000000011</v>
      </c>
      <c r="M5" s="25">
        <f t="shared" si="0"/>
        <v>7261.6</v>
      </c>
      <c r="N5" s="25">
        <f t="shared" si="0"/>
        <v>8962.6999999999989</v>
      </c>
      <c r="O5" s="25">
        <f t="shared" si="0"/>
        <v>9147</v>
      </c>
      <c r="P5" s="25">
        <f t="shared" si="0"/>
        <v>11185.800000000001</v>
      </c>
      <c r="Q5" s="25">
        <f t="shared" si="0"/>
        <v>13051.800000000001</v>
      </c>
      <c r="R5" s="25">
        <f t="shared" si="0"/>
        <v>14526.3</v>
      </c>
      <c r="S5" s="25">
        <f t="shared" si="0"/>
        <v>15790.900000000001</v>
      </c>
      <c r="T5" s="25">
        <f t="shared" si="0"/>
        <v>18126</v>
      </c>
    </row>
    <row r="6" spans="2:20" ht="15.75" customHeight="1" x14ac:dyDescent="0.25">
      <c r="B6" s="1" t="s">
        <v>7</v>
      </c>
      <c r="C6" s="26"/>
      <c r="D6" s="26"/>
      <c r="E6" s="27">
        <v>187.3</v>
      </c>
      <c r="F6" s="27">
        <v>279.2</v>
      </c>
      <c r="G6" s="27">
        <v>568.5</v>
      </c>
      <c r="H6" s="27">
        <v>979.7</v>
      </c>
      <c r="I6" s="27">
        <v>1409.3</v>
      </c>
      <c r="J6" s="27">
        <v>2205.6</v>
      </c>
      <c r="K6" s="27">
        <v>1806.5</v>
      </c>
      <c r="L6" s="27">
        <v>3090.8</v>
      </c>
      <c r="M6" s="27">
        <v>3112.7</v>
      </c>
      <c r="N6" s="27">
        <v>3530</v>
      </c>
      <c r="O6" s="27">
        <v>3842</v>
      </c>
      <c r="P6" s="27">
        <v>5198.8999999999996</v>
      </c>
      <c r="Q6" s="27">
        <v>6515.1</v>
      </c>
      <c r="R6" s="27">
        <v>7409</v>
      </c>
      <c r="S6" s="27">
        <v>8662</v>
      </c>
      <c r="T6" s="27">
        <v>9943</v>
      </c>
    </row>
    <row r="7" spans="2:20" ht="15.75" customHeight="1" x14ac:dyDescent="0.25">
      <c r="B7" s="1" t="s">
        <v>9</v>
      </c>
      <c r="C7" s="26"/>
      <c r="D7" s="26"/>
      <c r="E7" s="26"/>
      <c r="F7" s="26"/>
      <c r="G7" s="26"/>
      <c r="H7" s="26"/>
      <c r="I7" s="26"/>
      <c r="J7" s="27">
        <v>175.8</v>
      </c>
      <c r="K7" s="27">
        <v>517.4</v>
      </c>
      <c r="L7" s="27">
        <v>1243.2</v>
      </c>
      <c r="M7" s="27">
        <v>1257.8</v>
      </c>
      <c r="N7" s="27">
        <v>1907</v>
      </c>
      <c r="O7" s="27">
        <v>2312</v>
      </c>
      <c r="P7" s="27">
        <v>3381.4</v>
      </c>
      <c r="Q7" s="27">
        <v>3588</v>
      </c>
      <c r="R7" s="27">
        <v>4261</v>
      </c>
      <c r="S7" s="27">
        <v>4160</v>
      </c>
      <c r="T7" s="27">
        <v>4928</v>
      </c>
    </row>
    <row r="8" spans="2:20" ht="15.75" customHeight="1" x14ac:dyDescent="0.25">
      <c r="B8" s="1" t="s">
        <v>11</v>
      </c>
      <c r="C8" s="27">
        <v>1741.3</v>
      </c>
      <c r="D8" s="27">
        <v>1911.9</v>
      </c>
      <c r="E8" s="27">
        <v>1850.4</v>
      </c>
      <c r="F8" s="27">
        <v>1936.2</v>
      </c>
      <c r="G8" s="27">
        <v>1977.1</v>
      </c>
      <c r="H8" s="27">
        <v>1812.5</v>
      </c>
      <c r="I8" s="27">
        <v>1673.6</v>
      </c>
      <c r="J8" s="27">
        <v>1669.3</v>
      </c>
      <c r="K8" s="27">
        <v>1456.3</v>
      </c>
      <c r="L8" s="27">
        <v>1245.5999999999999</v>
      </c>
      <c r="M8" s="27">
        <v>1301.4000000000001</v>
      </c>
      <c r="N8" s="27">
        <v>1250.2</v>
      </c>
      <c r="O8" s="27">
        <v>1095</v>
      </c>
      <c r="P8" s="27">
        <v>1092.2</v>
      </c>
      <c r="Q8" s="27">
        <v>1051.8</v>
      </c>
      <c r="R8" s="27">
        <f>4276-Q8-P8-O8</f>
        <v>1037</v>
      </c>
      <c r="S8" s="27">
        <v>919</v>
      </c>
      <c r="T8" s="27">
        <v>1219</v>
      </c>
    </row>
    <row r="9" spans="2:20" ht="15.75" customHeight="1" x14ac:dyDescent="0.25">
      <c r="B9" s="28" t="s">
        <v>13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</row>
    <row r="10" spans="2:20" ht="15.75" customHeight="1" x14ac:dyDescent="0.25">
      <c r="B10" s="1" t="s">
        <v>16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7">
        <v>98</v>
      </c>
    </row>
    <row r="11" spans="2:20" ht="15.75" customHeight="1" x14ac:dyDescent="0.25">
      <c r="B11" s="1" t="s">
        <v>18</v>
      </c>
      <c r="C11" s="27">
        <v>191.5</v>
      </c>
      <c r="D11" s="27">
        <v>174.2</v>
      </c>
      <c r="E11" s="27">
        <v>193</v>
      </c>
      <c r="F11" s="27">
        <v>201.7</v>
      </c>
      <c r="G11" s="27">
        <v>209.3</v>
      </c>
      <c r="H11" s="27">
        <v>154.19999999999999</v>
      </c>
      <c r="I11" s="27">
        <v>179.6</v>
      </c>
      <c r="J11" s="27">
        <f>728.3-I11-H11-G11</f>
        <v>185.19999999999993</v>
      </c>
      <c r="K11" s="27">
        <v>157.6</v>
      </c>
      <c r="L11" s="27">
        <v>180.8</v>
      </c>
      <c r="M11" s="27">
        <v>161.6</v>
      </c>
      <c r="N11" s="27">
        <v>176.9</v>
      </c>
      <c r="O11" s="27">
        <v>173.6</v>
      </c>
      <c r="P11" s="27">
        <v>145</v>
      </c>
      <c r="Q11" s="27">
        <v>162.19999999999999</v>
      </c>
      <c r="R11" s="27">
        <f>+N11</f>
        <v>176.9</v>
      </c>
      <c r="S11" s="27">
        <f>+O11-10</f>
        <v>163.6</v>
      </c>
      <c r="T11" s="27">
        <v>143</v>
      </c>
    </row>
    <row r="12" spans="2:20" ht="15.75" customHeight="1" x14ac:dyDescent="0.25">
      <c r="B12" s="1" t="s">
        <v>19</v>
      </c>
      <c r="C12" s="27">
        <v>618.20000000000005</v>
      </c>
      <c r="D12" s="27">
        <v>447.1</v>
      </c>
      <c r="E12" s="27">
        <v>447</v>
      </c>
      <c r="F12" s="27">
        <v>548.29999999999995</v>
      </c>
      <c r="G12" s="27">
        <v>460.9</v>
      </c>
      <c r="H12" s="27">
        <v>440.4</v>
      </c>
      <c r="I12" s="27">
        <v>395.4</v>
      </c>
      <c r="J12" s="27">
        <v>366.6</v>
      </c>
      <c r="K12" s="27">
        <v>538.70000000000005</v>
      </c>
      <c r="L12" s="27">
        <v>631.6</v>
      </c>
      <c r="M12" s="27">
        <v>534.6</v>
      </c>
      <c r="N12" s="27">
        <v>619.9</v>
      </c>
      <c r="O12" s="27">
        <v>537.20000000000005</v>
      </c>
      <c r="P12" s="27">
        <v>503.1</v>
      </c>
      <c r="Q12" s="27">
        <v>599.1</v>
      </c>
      <c r="R12" s="27">
        <f>+Q12-5</f>
        <v>594.1</v>
      </c>
      <c r="S12" s="27">
        <f>+R12--15</f>
        <v>609.1</v>
      </c>
      <c r="T12" s="27">
        <v>410</v>
      </c>
    </row>
    <row r="13" spans="2:20" ht="15.75" customHeight="1" x14ac:dyDescent="0.25">
      <c r="B13" s="1" t="s">
        <v>59</v>
      </c>
      <c r="C13" s="27">
        <v>273.2</v>
      </c>
      <c r="D13" s="27">
        <v>274</v>
      </c>
      <c r="E13" s="27">
        <v>238.2</v>
      </c>
      <c r="F13" s="27">
        <v>234</v>
      </c>
      <c r="G13" s="27">
        <v>252</v>
      </c>
      <c r="H13" s="27">
        <v>205.3</v>
      </c>
      <c r="I13" s="27">
        <v>206.7</v>
      </c>
      <c r="J13" s="27">
        <f>852.1-I13-H13-G13</f>
        <v>188.10000000000008</v>
      </c>
      <c r="K13" s="27">
        <v>206.2</v>
      </c>
      <c r="L13" s="27">
        <v>223.6</v>
      </c>
      <c r="M13" s="27">
        <v>207.1</v>
      </c>
      <c r="N13" s="27">
        <v>280.3</v>
      </c>
      <c r="O13" s="27">
        <v>173.2</v>
      </c>
      <c r="P13" s="27">
        <v>175.2</v>
      </c>
      <c r="Q13" s="27">
        <v>176.6</v>
      </c>
      <c r="R13" s="27">
        <f>+N13</f>
        <v>280.3</v>
      </c>
      <c r="S13" s="27">
        <f>+O13-10</f>
        <v>163.19999999999999</v>
      </c>
      <c r="T13" s="27">
        <v>153</v>
      </c>
    </row>
    <row r="14" spans="2:20" ht="15.75" customHeight="1" x14ac:dyDescent="0.25">
      <c r="B14" s="1" t="s">
        <v>21</v>
      </c>
      <c r="C14" s="27">
        <v>419.4</v>
      </c>
      <c r="D14" s="27">
        <v>461</v>
      </c>
      <c r="E14" s="27">
        <v>573.29999999999995</v>
      </c>
      <c r="F14" s="27">
        <v>612.29999999999995</v>
      </c>
      <c r="G14" s="27">
        <v>577.5</v>
      </c>
      <c r="H14" s="27">
        <v>668.3</v>
      </c>
      <c r="I14" s="27">
        <v>700.8</v>
      </c>
      <c r="J14" s="27">
        <v>798.1</v>
      </c>
      <c r="K14" s="27">
        <v>686.5</v>
      </c>
      <c r="L14" s="27">
        <v>1243.2</v>
      </c>
      <c r="M14" s="27">
        <v>686.4</v>
      </c>
      <c r="N14" s="27">
        <v>1198.4000000000001</v>
      </c>
      <c r="O14" s="27">
        <v>1014</v>
      </c>
      <c r="P14" s="27">
        <v>690</v>
      </c>
      <c r="Q14" s="27">
        <v>959</v>
      </c>
      <c r="R14" s="27">
        <f>3431-O14-P14-Q14</f>
        <v>768</v>
      </c>
      <c r="S14" s="27">
        <v>1114</v>
      </c>
      <c r="T14" s="27">
        <v>1232</v>
      </c>
    </row>
    <row r="15" spans="2:20" ht="15.75" customHeight="1" x14ac:dyDescent="0.25">
      <c r="B15" s="29" t="s">
        <v>60</v>
      </c>
      <c r="C15" s="30">
        <f t="shared" ref="C15:T15" si="1">SUM(C16:C22)</f>
        <v>907.90000000000009</v>
      </c>
      <c r="D15" s="30">
        <f t="shared" si="1"/>
        <v>1034.1999999999998</v>
      </c>
      <c r="E15" s="30">
        <f t="shared" si="1"/>
        <v>1071.5</v>
      </c>
      <c r="F15" s="30">
        <f t="shared" si="1"/>
        <v>1207.8999999999999</v>
      </c>
      <c r="G15" s="30">
        <f t="shared" si="1"/>
        <v>1230.0000000000002</v>
      </c>
      <c r="H15" s="30">
        <f t="shared" si="1"/>
        <v>1518.6</v>
      </c>
      <c r="I15" s="30">
        <f t="shared" si="1"/>
        <v>1596.7</v>
      </c>
      <c r="J15" s="30">
        <f t="shared" si="1"/>
        <v>1736.2</v>
      </c>
      <c r="K15" s="30">
        <f t="shared" si="1"/>
        <v>1660.7</v>
      </c>
      <c r="L15" s="30">
        <f t="shared" si="1"/>
        <v>2043.2000000000003</v>
      </c>
      <c r="M15" s="30">
        <f t="shared" si="1"/>
        <v>2102.6</v>
      </c>
      <c r="N15" s="30">
        <f t="shared" si="1"/>
        <v>2328.1999999999998</v>
      </c>
      <c r="O15" s="30">
        <f t="shared" si="1"/>
        <v>1853.3000000000002</v>
      </c>
      <c r="P15" s="30">
        <f t="shared" si="1"/>
        <v>2317.6000000000004</v>
      </c>
      <c r="Q15" s="30">
        <f t="shared" si="1"/>
        <v>2326</v>
      </c>
      <c r="R15" s="30">
        <f t="shared" si="1"/>
        <v>2468.5</v>
      </c>
      <c r="S15" s="30">
        <f t="shared" si="1"/>
        <v>2268.4</v>
      </c>
      <c r="T15" s="30">
        <f t="shared" si="1"/>
        <v>2486</v>
      </c>
    </row>
    <row r="16" spans="2:20" ht="15.75" customHeight="1" x14ac:dyDescent="0.25">
      <c r="B16" s="1" t="s">
        <v>23</v>
      </c>
      <c r="C16" s="27">
        <v>469.4</v>
      </c>
      <c r="D16" s="27">
        <v>588.5</v>
      </c>
      <c r="E16" s="27">
        <v>617.70000000000005</v>
      </c>
      <c r="F16" s="27">
        <v>808</v>
      </c>
      <c r="G16" s="27">
        <v>750.9</v>
      </c>
      <c r="H16" s="27">
        <v>926.8</v>
      </c>
      <c r="I16" s="27">
        <v>1040.2</v>
      </c>
      <c r="J16" s="27">
        <v>1145.4000000000001</v>
      </c>
      <c r="K16" s="27">
        <v>1050.3</v>
      </c>
      <c r="L16" s="27">
        <v>1331.9</v>
      </c>
      <c r="M16" s="27">
        <v>1369.3</v>
      </c>
      <c r="N16" s="27">
        <v>1555</v>
      </c>
      <c r="O16" s="27">
        <v>1158.9000000000001</v>
      </c>
      <c r="P16" s="27">
        <v>1489.3</v>
      </c>
      <c r="Q16" s="27">
        <v>1470.2</v>
      </c>
      <c r="R16" s="27">
        <v>1604</v>
      </c>
      <c r="S16" s="27">
        <v>1302</v>
      </c>
      <c r="T16" s="27">
        <v>1474</v>
      </c>
    </row>
    <row r="17" spans="2:20" ht="15.75" customHeight="1" x14ac:dyDescent="0.25">
      <c r="B17" s="1" t="s">
        <v>24</v>
      </c>
      <c r="C17" s="27">
        <v>230.3</v>
      </c>
      <c r="D17" s="27">
        <v>231.3</v>
      </c>
      <c r="E17" s="27">
        <v>232.1</v>
      </c>
      <c r="F17" s="27">
        <v>277.8</v>
      </c>
      <c r="G17" s="27">
        <v>236.8</v>
      </c>
      <c r="H17" s="27">
        <v>260.3</v>
      </c>
      <c r="I17" s="27">
        <v>224.1</v>
      </c>
      <c r="J17" s="27">
        <v>253.6</v>
      </c>
      <c r="K17" s="27">
        <v>229.9</v>
      </c>
      <c r="L17" s="27">
        <v>248.9</v>
      </c>
      <c r="M17" s="27">
        <v>236</v>
      </c>
      <c r="N17" s="27">
        <v>258.60000000000002</v>
      </c>
      <c r="O17" s="27">
        <v>224.9</v>
      </c>
      <c r="P17" s="27">
        <v>253.7</v>
      </c>
      <c r="Q17" s="27">
        <v>245.5</v>
      </c>
      <c r="R17" s="27">
        <f>+N17</f>
        <v>258.60000000000002</v>
      </c>
      <c r="S17" s="27">
        <f>+O17+34</f>
        <v>258.89999999999998</v>
      </c>
      <c r="T17" s="27">
        <v>256</v>
      </c>
    </row>
    <row r="18" spans="2:20" ht="15.75" customHeight="1" x14ac:dyDescent="0.25">
      <c r="B18" s="1" t="s">
        <v>25</v>
      </c>
      <c r="C18" s="27">
        <v>122.7</v>
      </c>
      <c r="D18" s="27">
        <v>140.80000000000001</v>
      </c>
      <c r="E18" s="27">
        <v>144.9</v>
      </c>
      <c r="F18" s="27"/>
      <c r="G18" s="27">
        <v>129.9</v>
      </c>
      <c r="H18" s="27">
        <v>162.5</v>
      </c>
      <c r="I18" s="27">
        <v>153.9</v>
      </c>
      <c r="J18" s="27">
        <f>596.5-I18-H18-G18</f>
        <v>150.20000000000002</v>
      </c>
      <c r="K18" s="27">
        <v>144.6</v>
      </c>
      <c r="L18" s="27">
        <v>155.80000000000001</v>
      </c>
      <c r="M18" s="27">
        <v>152</v>
      </c>
      <c r="N18" s="27">
        <v>175</v>
      </c>
      <c r="O18" s="27">
        <v>149</v>
      </c>
      <c r="P18" s="27">
        <v>183.7</v>
      </c>
      <c r="Q18" s="27">
        <v>198.6</v>
      </c>
      <c r="R18" s="27">
        <f>+N18</f>
        <v>175</v>
      </c>
      <c r="S18" s="27">
        <f>+O18+34</f>
        <v>183</v>
      </c>
      <c r="T18" s="27">
        <v>215</v>
      </c>
    </row>
    <row r="19" spans="2:20" ht="15.75" customHeight="1" x14ac:dyDescent="0.25">
      <c r="B19" s="1" t="s">
        <v>27</v>
      </c>
      <c r="C19" s="27"/>
      <c r="D19" s="27"/>
      <c r="E19" s="27"/>
      <c r="F19" s="27">
        <v>64.599999999999994</v>
      </c>
      <c r="G19" s="27">
        <v>51.4</v>
      </c>
      <c r="H19" s="27">
        <v>65.400000000000006</v>
      </c>
      <c r="I19" s="27">
        <v>63.4</v>
      </c>
      <c r="J19" s="27">
        <v>73.400000000000006</v>
      </c>
      <c r="K19" s="27">
        <v>69.2</v>
      </c>
      <c r="L19" s="27">
        <v>91.2</v>
      </c>
      <c r="M19" s="27">
        <v>114</v>
      </c>
      <c r="N19" s="27">
        <v>90</v>
      </c>
      <c r="O19" s="27">
        <v>91</v>
      </c>
      <c r="P19" s="27">
        <v>125.3</v>
      </c>
      <c r="Q19" s="27">
        <v>112</v>
      </c>
      <c r="R19" s="27">
        <f>+Q19+5</f>
        <v>117</v>
      </c>
      <c r="S19" s="27">
        <f>+R19+34</f>
        <v>151</v>
      </c>
      <c r="T19" s="27">
        <v>144</v>
      </c>
    </row>
    <row r="20" spans="2:20" ht="15.75" customHeight="1" x14ac:dyDescent="0.25">
      <c r="B20" s="1" t="s">
        <v>28</v>
      </c>
      <c r="C20" s="27">
        <v>85.5</v>
      </c>
      <c r="D20" s="27">
        <v>73.599999999999994</v>
      </c>
      <c r="E20" s="27">
        <v>76.8</v>
      </c>
      <c r="F20" s="27">
        <v>57.5</v>
      </c>
      <c r="G20" s="27">
        <v>61</v>
      </c>
      <c r="H20" s="27">
        <v>103.6</v>
      </c>
      <c r="I20" s="27">
        <v>115.1</v>
      </c>
      <c r="J20" s="27">
        <v>113.6</v>
      </c>
      <c r="K20" s="27">
        <v>116.7</v>
      </c>
      <c r="L20" s="27">
        <v>123</v>
      </c>
      <c r="M20" s="27">
        <v>150.19999999999999</v>
      </c>
      <c r="N20" s="27">
        <v>136</v>
      </c>
      <c r="O20" s="27">
        <v>137.5</v>
      </c>
      <c r="P20" s="27">
        <v>137.30000000000001</v>
      </c>
      <c r="Q20" s="27">
        <v>141.80000000000001</v>
      </c>
      <c r="R20" s="27">
        <f>+N20</f>
        <v>136</v>
      </c>
      <c r="S20" s="27">
        <f>+O20+34+2</f>
        <v>173.5</v>
      </c>
      <c r="T20" s="27">
        <v>130</v>
      </c>
    </row>
    <row r="21" spans="2:20" ht="15.75" customHeight="1" x14ac:dyDescent="0.25">
      <c r="B21" s="1" t="s">
        <v>30</v>
      </c>
      <c r="C21" s="26"/>
      <c r="D21" s="26"/>
      <c r="E21" s="26"/>
      <c r="F21" s="26"/>
      <c r="G21" s="26"/>
      <c r="H21" s="26"/>
      <c r="I21" s="26"/>
      <c r="J21" s="26"/>
      <c r="K21" s="27">
        <v>50</v>
      </c>
      <c r="L21" s="27">
        <v>92.4</v>
      </c>
      <c r="M21" s="27">
        <v>81.099999999999994</v>
      </c>
      <c r="N21" s="27">
        <v>113.6</v>
      </c>
      <c r="O21" s="27">
        <v>92</v>
      </c>
      <c r="P21" s="27">
        <v>123.3</v>
      </c>
      <c r="Q21" s="27">
        <v>142.9</v>
      </c>
      <c r="R21" s="27">
        <f>+Q21+10</f>
        <v>152.9</v>
      </c>
      <c r="S21" s="27">
        <v>165</v>
      </c>
      <c r="T21" s="27">
        <v>192</v>
      </c>
    </row>
    <row r="22" spans="2:20" ht="15.75" customHeight="1" x14ac:dyDescent="0.25">
      <c r="B22" s="1" t="s">
        <v>31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7">
        <f>Q22-10</f>
        <v>5</v>
      </c>
      <c r="Q22" s="27">
        <f>R22-10</f>
        <v>15</v>
      </c>
      <c r="R22" s="27">
        <f>S22-10</f>
        <v>25</v>
      </c>
      <c r="S22" s="27">
        <v>35</v>
      </c>
      <c r="T22" s="27">
        <v>75</v>
      </c>
    </row>
    <row r="23" spans="2:20" ht="15.75" customHeight="1" x14ac:dyDescent="0.25">
      <c r="B23" s="29" t="s">
        <v>61</v>
      </c>
      <c r="C23" s="30">
        <f t="shared" ref="C23:T23" si="2">SUM(C24:C27)</f>
        <v>743.7</v>
      </c>
      <c r="D23" s="30">
        <f t="shared" si="2"/>
        <v>792.40000000000009</v>
      </c>
      <c r="E23" s="30">
        <f t="shared" si="2"/>
        <v>862.8</v>
      </c>
      <c r="F23" s="30">
        <f t="shared" si="2"/>
        <v>913.59999999999991</v>
      </c>
      <c r="G23" s="30">
        <f t="shared" si="2"/>
        <v>755.9</v>
      </c>
      <c r="H23" s="30">
        <f t="shared" si="2"/>
        <v>922.8</v>
      </c>
      <c r="I23" s="30">
        <f t="shared" si="2"/>
        <v>975.6</v>
      </c>
      <c r="J23" s="30">
        <f t="shared" si="2"/>
        <v>1028.0999999999999</v>
      </c>
      <c r="K23" s="30">
        <f t="shared" si="2"/>
        <v>834</v>
      </c>
      <c r="L23" s="30">
        <f t="shared" si="2"/>
        <v>1082.3000000000002</v>
      </c>
      <c r="M23" s="30">
        <f t="shared" si="2"/>
        <v>1185.8</v>
      </c>
      <c r="N23" s="30">
        <f t="shared" si="2"/>
        <v>1290.9000000000001</v>
      </c>
      <c r="O23" s="30">
        <f t="shared" si="2"/>
        <v>1088.0999999999999</v>
      </c>
      <c r="P23" s="30">
        <f t="shared" si="2"/>
        <v>1255.5999999999999</v>
      </c>
      <c r="Q23" s="30">
        <f t="shared" si="2"/>
        <v>1362.4</v>
      </c>
      <c r="R23" s="30">
        <f t="shared" si="2"/>
        <v>1535.5</v>
      </c>
      <c r="S23" s="30">
        <f t="shared" si="2"/>
        <v>1202.7</v>
      </c>
      <c r="T23" s="30">
        <f t="shared" si="2"/>
        <v>1417</v>
      </c>
    </row>
    <row r="24" spans="2:20" ht="15.75" customHeight="1" x14ac:dyDescent="0.25">
      <c r="B24" s="1" t="s">
        <v>32</v>
      </c>
      <c r="C24" s="26"/>
      <c r="D24" s="26"/>
      <c r="E24" s="26"/>
      <c r="F24" s="26"/>
      <c r="G24" s="26"/>
      <c r="H24" s="26"/>
      <c r="I24" s="26"/>
      <c r="J24" s="26"/>
      <c r="K24" s="27">
        <v>3.1</v>
      </c>
      <c r="L24" s="27">
        <v>4.3</v>
      </c>
      <c r="M24" s="27">
        <v>14.9</v>
      </c>
      <c r="N24" s="27">
        <v>20.399999999999999</v>
      </c>
      <c r="O24" s="27">
        <v>60.2</v>
      </c>
      <c r="P24" s="27">
        <v>86.8</v>
      </c>
      <c r="Q24" s="27">
        <v>127.1</v>
      </c>
      <c r="R24" s="27">
        <f>+Q24+5</f>
        <v>132.1</v>
      </c>
      <c r="S24" s="27">
        <v>145</v>
      </c>
      <c r="T24" s="27">
        <v>201</v>
      </c>
    </row>
    <row r="25" spans="2:20" ht="15.75" customHeight="1" x14ac:dyDescent="0.25">
      <c r="B25" s="1" t="s">
        <v>33</v>
      </c>
      <c r="C25" s="27">
        <v>255.6</v>
      </c>
      <c r="D25" s="27">
        <v>186.2</v>
      </c>
      <c r="E25" s="27">
        <v>182.9</v>
      </c>
      <c r="F25" s="27">
        <v>205.8</v>
      </c>
      <c r="G25" s="27">
        <v>228.9</v>
      </c>
      <c r="H25" s="27">
        <v>218.9</v>
      </c>
      <c r="I25" s="27">
        <v>231.4</v>
      </c>
      <c r="J25" s="27">
        <v>243.5</v>
      </c>
      <c r="K25" s="27">
        <v>217.4</v>
      </c>
      <c r="L25" s="27">
        <v>227.7</v>
      </c>
      <c r="M25" s="27">
        <v>250.8</v>
      </c>
      <c r="N25" s="27">
        <v>261.60000000000002</v>
      </c>
      <c r="O25" s="27">
        <v>228.7</v>
      </c>
      <c r="P25" s="27">
        <v>246.4</v>
      </c>
      <c r="Q25" s="27">
        <v>268.89999999999998</v>
      </c>
      <c r="R25" s="27">
        <f>+N25</f>
        <v>261.60000000000002</v>
      </c>
      <c r="S25" s="27">
        <f>+O25+16</f>
        <v>244.7</v>
      </c>
      <c r="T25" s="27">
        <v>258</v>
      </c>
    </row>
    <row r="26" spans="2:20" ht="15.75" customHeight="1" x14ac:dyDescent="0.25">
      <c r="B26" s="1" t="s">
        <v>34</v>
      </c>
      <c r="C26" s="26"/>
      <c r="D26" s="26"/>
      <c r="E26" s="26"/>
      <c r="F26" s="26"/>
      <c r="G26" s="26"/>
      <c r="H26" s="26"/>
      <c r="I26" s="26"/>
      <c r="J26" s="26"/>
      <c r="K26" s="27">
        <v>9.4</v>
      </c>
      <c r="L26" s="27">
        <v>25.6</v>
      </c>
      <c r="M26" s="27">
        <v>40.5</v>
      </c>
      <c r="N26" s="27">
        <v>56.9</v>
      </c>
      <c r="O26" s="27">
        <v>37.200000000000003</v>
      </c>
      <c r="P26" s="27">
        <v>74.8</v>
      </c>
      <c r="Q26" s="27">
        <v>64.900000000000006</v>
      </c>
      <c r="R26" s="27">
        <f>+Q26+25</f>
        <v>89.9</v>
      </c>
      <c r="S26" s="27">
        <v>80</v>
      </c>
      <c r="T26" s="27">
        <v>102</v>
      </c>
    </row>
    <row r="27" spans="2:20" ht="15.75" customHeight="1" x14ac:dyDescent="0.25">
      <c r="B27" s="1" t="s">
        <v>35</v>
      </c>
      <c r="C27" s="27">
        <v>488.1</v>
      </c>
      <c r="D27" s="27">
        <v>606.20000000000005</v>
      </c>
      <c r="E27" s="27">
        <v>679.9</v>
      </c>
      <c r="F27" s="27">
        <v>707.8</v>
      </c>
      <c r="G27" s="27">
        <v>527</v>
      </c>
      <c r="H27" s="27">
        <v>703.9</v>
      </c>
      <c r="I27" s="27">
        <v>744.2</v>
      </c>
      <c r="J27" s="27">
        <v>784.6</v>
      </c>
      <c r="K27" s="27">
        <v>604.1</v>
      </c>
      <c r="L27" s="27">
        <v>824.7</v>
      </c>
      <c r="M27" s="27">
        <v>879.6</v>
      </c>
      <c r="N27" s="27">
        <v>952</v>
      </c>
      <c r="O27" s="27">
        <v>762</v>
      </c>
      <c r="P27" s="27">
        <v>847.6</v>
      </c>
      <c r="Q27" s="27">
        <v>901.5</v>
      </c>
      <c r="R27" s="27">
        <f>3563-O27-P27-Q27</f>
        <v>1051.9000000000001</v>
      </c>
      <c r="S27" s="27">
        <v>733</v>
      </c>
      <c r="T27" s="27">
        <v>856</v>
      </c>
    </row>
    <row r="28" spans="2:20" ht="15.75" customHeight="1" x14ac:dyDescent="0.25">
      <c r="B28" s="29" t="s">
        <v>62</v>
      </c>
      <c r="C28" s="30">
        <f t="shared" ref="C28:T28" si="3">SUM(C29:C30)</f>
        <v>149.30000000000001</v>
      </c>
      <c r="D28" s="30">
        <f t="shared" si="3"/>
        <v>157.5</v>
      </c>
      <c r="E28" s="30">
        <f t="shared" si="3"/>
        <v>168.5</v>
      </c>
      <c r="F28" s="30">
        <f t="shared" si="3"/>
        <v>175.6</v>
      </c>
      <c r="G28" s="30">
        <f t="shared" si="3"/>
        <v>154.30000000000001</v>
      </c>
      <c r="H28" s="30">
        <f t="shared" si="3"/>
        <v>169.3</v>
      </c>
      <c r="I28" s="30">
        <f t="shared" si="3"/>
        <v>168.5</v>
      </c>
      <c r="J28" s="30">
        <f t="shared" si="3"/>
        <v>186.1</v>
      </c>
      <c r="K28" s="30">
        <f t="shared" si="3"/>
        <v>225.7</v>
      </c>
      <c r="L28" s="30">
        <f t="shared" si="3"/>
        <v>192</v>
      </c>
      <c r="M28" s="30">
        <f t="shared" si="3"/>
        <v>204.3</v>
      </c>
      <c r="N28" s="30">
        <f t="shared" si="3"/>
        <v>257.7</v>
      </c>
      <c r="O28" s="30">
        <f t="shared" si="3"/>
        <v>146.1</v>
      </c>
      <c r="P28" s="30">
        <f t="shared" si="3"/>
        <v>249.7</v>
      </c>
      <c r="Q28" s="30">
        <f t="shared" si="3"/>
        <v>246.1</v>
      </c>
      <c r="R28" s="30">
        <f t="shared" si="3"/>
        <v>370.18000000000006</v>
      </c>
      <c r="S28" s="30">
        <f t="shared" si="3"/>
        <v>261.06</v>
      </c>
      <c r="T28" s="30">
        <f t="shared" si="3"/>
        <v>358</v>
      </c>
    </row>
    <row r="29" spans="2:20" ht="15.75" customHeight="1" x14ac:dyDescent="0.25">
      <c r="B29" s="1" t="s">
        <v>36</v>
      </c>
      <c r="C29" s="27">
        <v>149.30000000000001</v>
      </c>
      <c r="D29" s="27">
        <v>157.5</v>
      </c>
      <c r="E29" s="27">
        <v>168.5</v>
      </c>
      <c r="F29" s="27">
        <v>175.6</v>
      </c>
      <c r="G29" s="27">
        <v>154.30000000000001</v>
      </c>
      <c r="H29" s="27">
        <v>169.3</v>
      </c>
      <c r="I29" s="27">
        <v>168.5</v>
      </c>
      <c r="J29" s="27">
        <v>186.1</v>
      </c>
      <c r="K29" s="27">
        <v>225.7</v>
      </c>
      <c r="L29" s="27">
        <v>192</v>
      </c>
      <c r="M29" s="27">
        <v>202.9</v>
      </c>
      <c r="N29" s="27">
        <v>249.8</v>
      </c>
      <c r="O29" s="27">
        <v>124.6</v>
      </c>
      <c r="P29" s="27">
        <v>201.1</v>
      </c>
      <c r="Q29" s="27">
        <v>175.7</v>
      </c>
      <c r="R29" s="27">
        <f>+N29*1.1</f>
        <v>274.78000000000003</v>
      </c>
      <c r="S29" s="27">
        <f>+O29*1.1</f>
        <v>137.06</v>
      </c>
      <c r="T29" s="27">
        <v>191</v>
      </c>
    </row>
    <row r="30" spans="2:20" ht="15.75" customHeight="1" x14ac:dyDescent="0.25">
      <c r="B30" s="1" t="s">
        <v>37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7">
        <v>1.4</v>
      </c>
      <c r="N30" s="27">
        <v>7.9</v>
      </c>
      <c r="O30" s="27">
        <v>21.5</v>
      </c>
      <c r="P30" s="27">
        <v>48.6</v>
      </c>
      <c r="Q30" s="27">
        <v>70.400000000000006</v>
      </c>
      <c r="R30" s="27">
        <f>+Q30+25</f>
        <v>95.4</v>
      </c>
      <c r="S30" s="27">
        <v>124</v>
      </c>
      <c r="T30" s="27">
        <v>167</v>
      </c>
    </row>
    <row r="31" spans="2:20" ht="15.75" customHeight="1" x14ac:dyDescent="0.25">
      <c r="B31" s="29" t="s">
        <v>63</v>
      </c>
      <c r="C31" s="30">
        <f t="shared" ref="C31:S31" si="4">C32-(C5+C15+C23+C28)</f>
        <v>2765.5</v>
      </c>
      <c r="D31" s="30">
        <f t="shared" si="4"/>
        <v>1235.7000000000007</v>
      </c>
      <c r="E31" s="30">
        <f t="shared" si="4"/>
        <v>1349.6000000000004</v>
      </c>
      <c r="F31" s="30">
        <f t="shared" si="4"/>
        <v>1193.0000000000009</v>
      </c>
      <c r="G31" s="30">
        <f t="shared" si="4"/>
        <v>774.5</v>
      </c>
      <c r="H31" s="30">
        <f t="shared" si="4"/>
        <v>1441</v>
      </c>
      <c r="I31" s="30">
        <f t="shared" si="4"/>
        <v>2192.4000000000005</v>
      </c>
      <c r="J31" s="30">
        <f t="shared" si="4"/>
        <v>814.29999999999927</v>
      </c>
      <c r="K31" s="30">
        <f t="shared" si="4"/>
        <v>678.40000000000055</v>
      </c>
      <c r="L31" s="30">
        <f t="shared" si="4"/>
        <v>126.49999999999636</v>
      </c>
      <c r="M31" s="30">
        <f t="shared" si="4"/>
        <v>684.80000000000109</v>
      </c>
      <c r="N31" s="30">
        <f t="shared" si="4"/>
        <v>693.30000000000109</v>
      </c>
      <c r="O31" s="30">
        <f t="shared" si="4"/>
        <v>494.5</v>
      </c>
      <c r="P31" s="30">
        <f t="shared" si="4"/>
        <v>548.99999999999818</v>
      </c>
      <c r="Q31" s="30">
        <f t="shared" si="4"/>
        <v>614.5</v>
      </c>
      <c r="R31" s="30">
        <f t="shared" si="4"/>
        <v>391.52000000000044</v>
      </c>
      <c r="S31" s="30">
        <f t="shared" si="4"/>
        <v>275.93999999999505</v>
      </c>
      <c r="T31" s="30">
        <f>T32-(T28+T23+T15+T5)</f>
        <v>587</v>
      </c>
    </row>
    <row r="32" spans="2:20" ht="15.75" customHeight="1" x14ac:dyDescent="0.25">
      <c r="B32" s="31" t="s">
        <v>64</v>
      </c>
      <c r="C32" s="32">
        <v>7810</v>
      </c>
      <c r="D32" s="32">
        <v>6488</v>
      </c>
      <c r="E32" s="32">
        <v>6941.6</v>
      </c>
      <c r="F32" s="32">
        <v>7301.8</v>
      </c>
      <c r="G32" s="32">
        <v>6960</v>
      </c>
      <c r="H32" s="32">
        <v>8312.1</v>
      </c>
      <c r="I32" s="32">
        <v>9498.6</v>
      </c>
      <c r="J32" s="32">
        <v>9353.4</v>
      </c>
      <c r="K32" s="32">
        <v>8768</v>
      </c>
      <c r="L32" s="32">
        <v>11302.8</v>
      </c>
      <c r="M32" s="32">
        <v>11439.1</v>
      </c>
      <c r="N32" s="32">
        <v>13532.8</v>
      </c>
      <c r="O32" s="32">
        <v>12729</v>
      </c>
      <c r="P32" s="32">
        <v>15557.7</v>
      </c>
      <c r="Q32" s="32">
        <v>17600.8</v>
      </c>
      <c r="R32" s="32">
        <v>19292</v>
      </c>
      <c r="S32" s="32">
        <v>19799</v>
      </c>
      <c r="T32" s="32">
        <v>22974</v>
      </c>
    </row>
    <row r="33" spans="2:37" ht="15.75" customHeight="1" x14ac:dyDescent="0.25">
      <c r="B33" s="1" t="s">
        <v>65</v>
      </c>
      <c r="C33" s="27">
        <v>2072.1</v>
      </c>
      <c r="D33" s="27">
        <v>1430.5</v>
      </c>
      <c r="E33" s="27">
        <v>1579.1</v>
      </c>
      <c r="F33" s="27">
        <v>1548.1</v>
      </c>
      <c r="G33" s="27">
        <v>1626.7</v>
      </c>
      <c r="H33" s="27">
        <v>1807.4</v>
      </c>
      <c r="I33" s="27">
        <v>1860.1</v>
      </c>
      <c r="J33" s="27">
        <v>1788</v>
      </c>
      <c r="K33" s="27">
        <v>1673.5</v>
      </c>
      <c r="L33" s="27">
        <v>2170.1999999999998</v>
      </c>
      <c r="M33" s="27">
        <v>2170.8000000000002</v>
      </c>
      <c r="N33" s="27">
        <v>2403.8000000000002</v>
      </c>
      <c r="O33" s="27">
        <v>2225</v>
      </c>
      <c r="P33" s="27">
        <v>2447.8000000000002</v>
      </c>
      <c r="Q33" s="27">
        <v>3008.3</v>
      </c>
      <c r="R33" s="27">
        <v>3371.7</v>
      </c>
      <c r="S33" s="27">
        <v>3577</v>
      </c>
      <c r="T33" s="27">
        <v>3268</v>
      </c>
    </row>
    <row r="34" spans="2:37" ht="15.75" customHeight="1" x14ac:dyDescent="0.25">
      <c r="B34" s="31" t="s">
        <v>66</v>
      </c>
      <c r="C34" s="32">
        <f t="shared" ref="C34:T34" si="5">C32-C33</f>
        <v>5737.9</v>
      </c>
      <c r="D34" s="32">
        <f t="shared" si="5"/>
        <v>5057.5</v>
      </c>
      <c r="E34" s="32">
        <f t="shared" si="5"/>
        <v>5362.5</v>
      </c>
      <c r="F34" s="32">
        <f t="shared" si="5"/>
        <v>5753.7000000000007</v>
      </c>
      <c r="G34" s="32">
        <f t="shared" si="5"/>
        <v>5333.3</v>
      </c>
      <c r="H34" s="32">
        <f t="shared" si="5"/>
        <v>6504.7000000000007</v>
      </c>
      <c r="I34" s="32">
        <f t="shared" si="5"/>
        <v>7638.5</v>
      </c>
      <c r="J34" s="32">
        <f t="shared" si="5"/>
        <v>7565.4</v>
      </c>
      <c r="K34" s="32">
        <f t="shared" si="5"/>
        <v>7094.5</v>
      </c>
      <c r="L34" s="32">
        <f t="shared" si="5"/>
        <v>9132.5999999999985</v>
      </c>
      <c r="M34" s="32">
        <f t="shared" si="5"/>
        <v>9268.2999999999993</v>
      </c>
      <c r="N34" s="32">
        <f t="shared" si="5"/>
        <v>11129</v>
      </c>
      <c r="O34" s="32">
        <f t="shared" si="5"/>
        <v>10504</v>
      </c>
      <c r="P34" s="32">
        <f t="shared" si="5"/>
        <v>13109.900000000001</v>
      </c>
      <c r="Q34" s="32">
        <f t="shared" si="5"/>
        <v>14592.5</v>
      </c>
      <c r="R34" s="32">
        <f t="shared" si="5"/>
        <v>15920.3</v>
      </c>
      <c r="S34" s="32">
        <f t="shared" si="5"/>
        <v>16222</v>
      </c>
      <c r="T34" s="32">
        <f t="shared" si="5"/>
        <v>19706</v>
      </c>
    </row>
    <row r="35" spans="2:37" ht="15.75" customHeight="1" x14ac:dyDescent="0.25">
      <c r="B35" s="1" t="s">
        <v>67</v>
      </c>
      <c r="C35" s="27">
        <v>1610.1</v>
      </c>
      <c r="D35" s="27">
        <v>1781.9</v>
      </c>
      <c r="E35" s="27">
        <v>1802.9</v>
      </c>
      <c r="F35" s="27">
        <v>1995.9</v>
      </c>
      <c r="G35" s="27">
        <v>1985.1</v>
      </c>
      <c r="H35" s="27">
        <v>2356.5</v>
      </c>
      <c r="I35" s="27">
        <v>2409.1</v>
      </c>
      <c r="J35" s="27">
        <v>2562.6999999999998</v>
      </c>
      <c r="K35" s="27">
        <v>2522.8000000000002</v>
      </c>
      <c r="L35" s="27">
        <v>2711.2</v>
      </c>
      <c r="M35" s="27">
        <v>2734.1</v>
      </c>
      <c r="N35" s="27">
        <v>3022.5</v>
      </c>
      <c r="O35" s="27">
        <v>2734</v>
      </c>
      <c r="P35" s="27">
        <v>3336.1</v>
      </c>
      <c r="Q35" s="27">
        <v>3465.7</v>
      </c>
      <c r="R35" s="27">
        <v>3801.5</v>
      </c>
      <c r="S35" s="27">
        <v>3510</v>
      </c>
      <c r="T35" s="27">
        <v>3819</v>
      </c>
    </row>
    <row r="36" spans="2:37" ht="15.75" customHeight="1" x14ac:dyDescent="0.25">
      <c r="B36" s="1" t="s">
        <v>68</v>
      </c>
      <c r="C36" s="27">
        <v>1557.9</v>
      </c>
      <c r="D36" s="27">
        <v>1625.1</v>
      </c>
      <c r="E36" s="27">
        <v>1614.2</v>
      </c>
      <c r="F36" s="27">
        <v>1643.2</v>
      </c>
      <c r="G36" s="27">
        <v>1749.2</v>
      </c>
      <c r="H36" s="27">
        <v>1925.4</v>
      </c>
      <c r="I36" s="27">
        <v>1803.9</v>
      </c>
      <c r="J36" s="27">
        <v>1924.6</v>
      </c>
      <c r="K36" s="27">
        <v>1952.2</v>
      </c>
      <c r="L36" s="27">
        <v>2117.3000000000002</v>
      </c>
      <c r="M36" s="27">
        <v>2099.8000000000002</v>
      </c>
      <c r="N36" s="27">
        <v>2424.5</v>
      </c>
      <c r="O36" s="27">
        <v>2468</v>
      </c>
      <c r="P36" s="27">
        <v>2753</v>
      </c>
      <c r="Q36" s="27">
        <v>2740.7</v>
      </c>
      <c r="R36" s="27">
        <v>3131.4</v>
      </c>
      <c r="S36" s="27">
        <v>2934</v>
      </c>
      <c r="T36" s="27">
        <v>3430</v>
      </c>
    </row>
    <row r="37" spans="2:37" ht="15.75" customHeight="1" x14ac:dyDescent="0.25">
      <c r="B37" s="1" t="s">
        <v>69</v>
      </c>
      <c r="C37" s="27">
        <v>165.6</v>
      </c>
      <c r="D37" s="27">
        <v>440.4</v>
      </c>
      <c r="E37" s="27">
        <v>62.4</v>
      </c>
      <c r="F37" s="27">
        <v>240.1</v>
      </c>
      <c r="G37" s="27">
        <v>105</v>
      </c>
      <c r="H37" s="27">
        <v>97.1</v>
      </c>
      <c r="I37" s="27">
        <v>2975.1</v>
      </c>
      <c r="J37" s="27">
        <v>622.6</v>
      </c>
      <c r="K37" s="27">
        <v>110.5</v>
      </c>
      <c r="L37" s="27">
        <v>154.30000000000001</v>
      </c>
      <c r="M37" s="27">
        <v>2826.4</v>
      </c>
      <c r="N37" s="27">
        <v>189.2</v>
      </c>
      <c r="O37" s="27">
        <v>1572</v>
      </c>
      <c r="P37" s="27">
        <v>153</v>
      </c>
      <c r="Q37" s="27">
        <v>655.7</v>
      </c>
      <c r="R37" s="27">
        <v>528.79999999999995</v>
      </c>
      <c r="S37" s="27">
        <v>584</v>
      </c>
      <c r="T37" s="27">
        <v>2776</v>
      </c>
    </row>
    <row r="38" spans="2:37" ht="15.75" customHeight="1" x14ac:dyDescent="0.25">
      <c r="B38" s="1" t="s">
        <v>70</v>
      </c>
      <c r="C38" s="27">
        <v>0</v>
      </c>
      <c r="D38" s="27">
        <v>0</v>
      </c>
      <c r="E38" s="27">
        <v>206.5</v>
      </c>
      <c r="F38" s="27">
        <v>38.1</v>
      </c>
      <c r="G38" s="27">
        <v>0</v>
      </c>
      <c r="H38" s="27">
        <v>0</v>
      </c>
      <c r="I38" s="27">
        <v>0</v>
      </c>
      <c r="J38" s="27">
        <v>67.7</v>
      </c>
      <c r="K38" s="27">
        <v>0</v>
      </c>
      <c r="L38" s="27">
        <v>435</v>
      </c>
      <c r="M38" s="27">
        <v>81.599999999999994</v>
      </c>
      <c r="N38" s="27">
        <v>344</v>
      </c>
      <c r="O38" s="27">
        <v>35</v>
      </c>
      <c r="P38" s="27">
        <v>0</v>
      </c>
      <c r="Q38" s="27">
        <v>364.9</v>
      </c>
      <c r="R38" s="27">
        <v>84.1</v>
      </c>
      <c r="S38" s="27">
        <v>279</v>
      </c>
      <c r="T38" s="27">
        <v>703</v>
      </c>
    </row>
    <row r="39" spans="2:37" ht="15.75" customHeight="1" x14ac:dyDescent="0.25">
      <c r="B39" s="1" t="s">
        <v>71</v>
      </c>
      <c r="C39" s="27">
        <v>350.7</v>
      </c>
      <c r="D39" s="27">
        <v>119.2</v>
      </c>
      <c r="E39" s="27">
        <v>-111</v>
      </c>
      <c r="F39" s="27">
        <v>-260</v>
      </c>
      <c r="G39" s="27">
        <v>-35.700000000000003</v>
      </c>
      <c r="H39" s="27">
        <v>36.799999999999997</v>
      </c>
      <c r="I39" s="27">
        <v>23.2</v>
      </c>
      <c r="J39" s="27">
        <v>121</v>
      </c>
      <c r="K39" s="27">
        <v>-27.1</v>
      </c>
      <c r="L39" s="27">
        <v>197.6</v>
      </c>
      <c r="M39" s="27">
        <v>-62</v>
      </c>
      <c r="N39" s="27">
        <v>110.2</v>
      </c>
      <c r="O39" s="27">
        <v>239</v>
      </c>
      <c r="P39" s="27">
        <v>90.6</v>
      </c>
      <c r="Q39" s="27">
        <v>133.1</v>
      </c>
      <c r="R39" s="27">
        <v>108.3</v>
      </c>
      <c r="S39" s="27">
        <v>65</v>
      </c>
      <c r="T39" s="27">
        <v>-269</v>
      </c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</row>
    <row r="40" spans="2:37" ht="15.75" customHeight="1" x14ac:dyDescent="0.25">
      <c r="B40" s="1" t="s">
        <v>72</v>
      </c>
      <c r="C40" s="27">
        <v>2053.6</v>
      </c>
      <c r="D40" s="27">
        <v>1090.9000000000001</v>
      </c>
      <c r="E40" s="27">
        <v>1565.5</v>
      </c>
      <c r="F40" s="27">
        <v>2096.4</v>
      </c>
      <c r="G40" s="27">
        <f t="shared" ref="G40:T40" si="6">G34-(SUM(G35:G39))</f>
        <v>1529.6999999999998</v>
      </c>
      <c r="H40" s="27">
        <f t="shared" si="6"/>
        <v>2088.9000000000005</v>
      </c>
      <c r="I40" s="27">
        <f t="shared" si="6"/>
        <v>427.19999999999982</v>
      </c>
      <c r="J40" s="27">
        <f t="shared" si="6"/>
        <v>2266.8000000000002</v>
      </c>
      <c r="K40" s="27">
        <f t="shared" si="6"/>
        <v>2536.1000000000004</v>
      </c>
      <c r="L40" s="27">
        <f t="shared" si="6"/>
        <v>3517.199999999998</v>
      </c>
      <c r="M40" s="27">
        <f t="shared" si="6"/>
        <v>1588.3999999999996</v>
      </c>
      <c r="N40" s="27">
        <f t="shared" si="6"/>
        <v>5038.6000000000004</v>
      </c>
      <c r="O40" s="27">
        <f t="shared" si="6"/>
        <v>3456</v>
      </c>
      <c r="P40" s="27">
        <f t="shared" si="6"/>
        <v>6777.2000000000007</v>
      </c>
      <c r="Q40" s="27">
        <f t="shared" si="6"/>
        <v>7232.4000000000005</v>
      </c>
      <c r="R40" s="27">
        <f t="shared" si="6"/>
        <v>8266.1999999999989</v>
      </c>
      <c r="S40" s="27">
        <f t="shared" si="6"/>
        <v>8850</v>
      </c>
      <c r="T40" s="27">
        <f t="shared" si="6"/>
        <v>9247</v>
      </c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</row>
    <row r="41" spans="2:37" ht="15.75" customHeight="1" x14ac:dyDescent="0.25">
      <c r="B41" s="1" t="s">
        <v>73</v>
      </c>
      <c r="C41" s="27">
        <v>150.69999999999999</v>
      </c>
      <c r="D41" s="27">
        <v>138.4</v>
      </c>
      <c r="E41" s="27">
        <v>113.8</v>
      </c>
      <c r="F41" s="27">
        <v>158.69999999999999</v>
      </c>
      <c r="G41" s="27">
        <v>184.8</v>
      </c>
      <c r="H41" s="27">
        <v>325.7</v>
      </c>
      <c r="I41" s="27">
        <v>484.6</v>
      </c>
      <c r="J41" s="27">
        <v>319.10000000000002</v>
      </c>
      <c r="K41" s="27">
        <v>293.2</v>
      </c>
      <c r="L41" s="27">
        <v>550.20000000000005</v>
      </c>
      <c r="M41" s="27">
        <v>618.1</v>
      </c>
      <c r="N41" s="27">
        <v>628.9</v>
      </c>
      <c r="O41" s="27">
        <v>697</v>
      </c>
      <c r="P41" s="27">
        <v>1115.9000000000001</v>
      </c>
      <c r="Q41" s="27">
        <v>1649.9</v>
      </c>
      <c r="R41" s="27">
        <v>1628.5</v>
      </c>
      <c r="S41" s="27">
        <v>1454</v>
      </c>
      <c r="T41" s="27">
        <v>2152</v>
      </c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</row>
    <row r="42" spans="2:37" ht="16.5" customHeight="1" x14ac:dyDescent="0.25">
      <c r="B42" s="33" t="s">
        <v>74</v>
      </c>
      <c r="C42" s="34">
        <f t="shared" ref="C42:T42" si="7">C40-C41</f>
        <v>1902.8999999999999</v>
      </c>
      <c r="D42" s="34">
        <f t="shared" si="7"/>
        <v>952.50000000000011</v>
      </c>
      <c r="E42" s="34">
        <f t="shared" si="7"/>
        <v>1451.7</v>
      </c>
      <c r="F42" s="34">
        <f t="shared" si="7"/>
        <v>1937.7</v>
      </c>
      <c r="G42" s="34">
        <f t="shared" si="7"/>
        <v>1344.8999999999999</v>
      </c>
      <c r="H42" s="34">
        <f t="shared" si="7"/>
        <v>1763.2000000000005</v>
      </c>
      <c r="I42" s="34">
        <f t="shared" si="7"/>
        <v>-57.400000000000205</v>
      </c>
      <c r="J42" s="34">
        <f t="shared" si="7"/>
        <v>1947.7000000000003</v>
      </c>
      <c r="K42" s="34">
        <f t="shared" si="7"/>
        <v>2242.9000000000005</v>
      </c>
      <c r="L42" s="34">
        <f t="shared" si="7"/>
        <v>2966.9999999999982</v>
      </c>
      <c r="M42" s="34">
        <f t="shared" si="7"/>
        <v>970.29999999999961</v>
      </c>
      <c r="N42" s="34">
        <f t="shared" si="7"/>
        <v>4409.7000000000007</v>
      </c>
      <c r="O42" s="34">
        <f t="shared" si="7"/>
        <v>2759</v>
      </c>
      <c r="P42" s="34">
        <f t="shared" si="7"/>
        <v>5661.3000000000011</v>
      </c>
      <c r="Q42" s="34">
        <f t="shared" si="7"/>
        <v>5582.5</v>
      </c>
      <c r="R42" s="34">
        <f t="shared" si="7"/>
        <v>6637.6999999999989</v>
      </c>
      <c r="S42" s="34">
        <f t="shared" si="7"/>
        <v>7396</v>
      </c>
      <c r="T42" s="34">
        <f t="shared" si="7"/>
        <v>7095</v>
      </c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</row>
    <row r="43" spans="2:37" ht="16.5" customHeight="1" x14ac:dyDescent="0.25">
      <c r="B43" s="1" t="s">
        <v>75</v>
      </c>
      <c r="C43" s="7">
        <v>2.1</v>
      </c>
      <c r="D43" s="7">
        <v>1.05</v>
      </c>
      <c r="E43" s="7">
        <v>1.61</v>
      </c>
      <c r="F43" s="7">
        <v>2.14</v>
      </c>
      <c r="G43" s="7">
        <f t="shared" ref="G43:T43" si="8">G42/G44</f>
        <v>1.4888741281966122</v>
      </c>
      <c r="H43" s="7">
        <f t="shared" si="8"/>
        <v>1.9526024363233672</v>
      </c>
      <c r="I43" s="7">
        <f t="shared" si="8"/>
        <v>-6.3791953767504114E-2</v>
      </c>
      <c r="J43" s="7">
        <f t="shared" si="8"/>
        <v>2.1617092119866816</v>
      </c>
      <c r="K43" s="7">
        <f t="shared" si="8"/>
        <v>2.4816331046691755</v>
      </c>
      <c r="L43" s="7">
        <f t="shared" si="8"/>
        <v>3.2813536828135348</v>
      </c>
      <c r="M43" s="7">
        <f t="shared" si="8"/>
        <v>1.0721546961325963</v>
      </c>
      <c r="N43" s="7">
        <f t="shared" si="8"/>
        <v>4.8779867256637175</v>
      </c>
      <c r="O43" s="7">
        <f t="shared" si="8"/>
        <v>3.0635132134132799</v>
      </c>
      <c r="P43" s="7">
        <f t="shared" si="8"/>
        <v>6.2917314958879764</v>
      </c>
      <c r="Q43" s="7">
        <f t="shared" si="8"/>
        <v>6.2110591900311531</v>
      </c>
      <c r="R43" s="7">
        <f t="shared" si="8"/>
        <v>7.3916481069042304</v>
      </c>
      <c r="S43" s="7">
        <f t="shared" si="8"/>
        <v>8.2553856457193877</v>
      </c>
      <c r="T43" s="7">
        <f t="shared" si="8"/>
        <v>7.9391632938743673</v>
      </c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2:37" ht="15.75" customHeight="1" x14ac:dyDescent="0.25">
      <c r="B44" s="1" t="s">
        <v>8</v>
      </c>
      <c r="C44" s="35">
        <v>906.4</v>
      </c>
      <c r="D44" s="35">
        <v>902.9</v>
      </c>
      <c r="E44" s="35">
        <v>903.8</v>
      </c>
      <c r="F44" s="35">
        <v>904.73199999999997</v>
      </c>
      <c r="G44" s="12">
        <v>903.3</v>
      </c>
      <c r="H44" s="12">
        <v>903</v>
      </c>
      <c r="I44" s="12">
        <v>899.8</v>
      </c>
      <c r="J44" s="12">
        <v>901</v>
      </c>
      <c r="K44" s="12">
        <v>903.8</v>
      </c>
      <c r="L44" s="12">
        <v>904.2</v>
      </c>
      <c r="M44" s="12">
        <v>905</v>
      </c>
      <c r="N44" s="12">
        <v>904</v>
      </c>
      <c r="O44" s="12">
        <v>900.6</v>
      </c>
      <c r="P44" s="12">
        <v>899.8</v>
      </c>
      <c r="Q44" s="12">
        <v>898.8</v>
      </c>
      <c r="R44" s="12">
        <v>898</v>
      </c>
      <c r="S44" s="12">
        <v>895.9</v>
      </c>
      <c r="T44" s="12">
        <v>893.67100000000005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</row>
    <row r="45" spans="2:37" ht="15.75" customHeight="1" x14ac:dyDescent="0.25"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spans="2:37" ht="16.5" customHeight="1" x14ac:dyDescent="0.25">
      <c r="B46" s="22" t="s">
        <v>76</v>
      </c>
      <c r="C46" s="31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spans="2:37" ht="15.75" customHeight="1" x14ac:dyDescent="0.25">
      <c r="B47" s="36" t="s">
        <v>77</v>
      </c>
      <c r="C47" s="37"/>
      <c r="D47" s="37"/>
      <c r="E47" s="37"/>
      <c r="F47" s="37"/>
      <c r="G47" s="38">
        <f t="shared" ref="G47:T47" si="9">(G5-C5)/C5</f>
        <v>0.24716364533234686</v>
      </c>
      <c r="H47" s="38">
        <f t="shared" si="9"/>
        <v>0.30359219142035365</v>
      </c>
      <c r="I47" s="38">
        <f t="shared" si="9"/>
        <v>0.30843746417516904</v>
      </c>
      <c r="J47" s="38">
        <f t="shared" si="9"/>
        <v>0.46619618542907393</v>
      </c>
      <c r="K47" s="38">
        <f t="shared" si="9"/>
        <v>0.3272686821743751</v>
      </c>
      <c r="L47" s="38">
        <f t="shared" si="9"/>
        <v>0.84461552905830484</v>
      </c>
      <c r="M47" s="38">
        <f t="shared" si="9"/>
        <v>0.59057256757348775</v>
      </c>
      <c r="N47" s="38">
        <f t="shared" si="9"/>
        <v>0.6037182171166815</v>
      </c>
      <c r="O47" s="38">
        <f t="shared" si="9"/>
        <v>0.70360575132235725</v>
      </c>
      <c r="P47" s="38">
        <f t="shared" si="9"/>
        <v>0.4233470758894487</v>
      </c>
      <c r="Q47" s="38">
        <f t="shared" si="9"/>
        <v>0.79737247989423821</v>
      </c>
      <c r="R47" s="38">
        <f t="shared" si="9"/>
        <v>0.62075044350474762</v>
      </c>
      <c r="S47" s="38">
        <f t="shared" si="9"/>
        <v>0.72634743631791865</v>
      </c>
      <c r="T47" s="38">
        <f t="shared" si="9"/>
        <v>0.62044735289384745</v>
      </c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 spans="2:37" ht="15.75" customHeight="1" x14ac:dyDescent="0.25">
      <c r="B48" s="36" t="s">
        <v>78</v>
      </c>
      <c r="C48" s="37"/>
      <c r="D48" s="37"/>
      <c r="E48" s="37"/>
      <c r="F48" s="37"/>
      <c r="G48" s="38">
        <f t="shared" ref="G48:T48" si="10">(G15-C15)/C15</f>
        <v>0.35477475492895705</v>
      </c>
      <c r="H48" s="38">
        <f t="shared" si="10"/>
        <v>0.46838135757106958</v>
      </c>
      <c r="I48" s="38">
        <f t="shared" si="10"/>
        <v>0.49015398973401775</v>
      </c>
      <c r="J48" s="38">
        <f t="shared" si="10"/>
        <v>0.43737064326517117</v>
      </c>
      <c r="K48" s="38">
        <f t="shared" si="10"/>
        <v>0.35016260162601603</v>
      </c>
      <c r="L48" s="38">
        <f t="shared" si="10"/>
        <v>0.34544975635453734</v>
      </c>
      <c r="M48" s="38">
        <f t="shared" si="10"/>
        <v>0.31684098453059428</v>
      </c>
      <c r="N48" s="38">
        <f t="shared" si="10"/>
        <v>0.34097454210344419</v>
      </c>
      <c r="O48" s="38">
        <f t="shared" si="10"/>
        <v>0.11597519118444037</v>
      </c>
      <c r="P48" s="38">
        <f t="shared" si="10"/>
        <v>0.13429913860610809</v>
      </c>
      <c r="Q48" s="38">
        <f t="shared" si="10"/>
        <v>0.10624940549795496</v>
      </c>
      <c r="R48" s="38">
        <f t="shared" si="10"/>
        <v>6.0261145949660762E-2</v>
      </c>
      <c r="S48" s="38">
        <f t="shared" si="10"/>
        <v>0.22397884854044131</v>
      </c>
      <c r="T48" s="38">
        <f t="shared" si="10"/>
        <v>7.2661373835001555E-2</v>
      </c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 spans="2:37" ht="15.75" customHeight="1" x14ac:dyDescent="0.25">
      <c r="B49" s="36" t="s">
        <v>79</v>
      </c>
      <c r="C49" s="37"/>
      <c r="D49" s="37"/>
      <c r="E49" s="37"/>
      <c r="F49" s="37"/>
      <c r="G49" s="38">
        <f t="shared" ref="G49:T49" si="11">(G23-C23)/C23</f>
        <v>1.6404464165658102E-2</v>
      </c>
      <c r="H49" s="38">
        <f t="shared" si="11"/>
        <v>0.16456335184250359</v>
      </c>
      <c r="I49" s="38">
        <f t="shared" si="11"/>
        <v>0.13073713490959674</v>
      </c>
      <c r="J49" s="38">
        <f t="shared" si="11"/>
        <v>0.12532837127845886</v>
      </c>
      <c r="K49" s="38">
        <f t="shared" si="11"/>
        <v>0.10332054504564099</v>
      </c>
      <c r="L49" s="38">
        <f t="shared" si="11"/>
        <v>0.17284351972258369</v>
      </c>
      <c r="M49" s="38">
        <f t="shared" si="11"/>
        <v>0.21545715457154563</v>
      </c>
      <c r="N49" s="38">
        <f t="shared" si="11"/>
        <v>0.25561715786402123</v>
      </c>
      <c r="O49" s="38">
        <f t="shared" si="11"/>
        <v>0.30467625899280565</v>
      </c>
      <c r="P49" s="38">
        <f t="shared" si="11"/>
        <v>0.16012196248729529</v>
      </c>
      <c r="Q49" s="38">
        <f t="shared" si="11"/>
        <v>0.14892899308483737</v>
      </c>
      <c r="R49" s="38">
        <f t="shared" si="11"/>
        <v>0.18948020760709575</v>
      </c>
      <c r="S49" s="38">
        <f t="shared" si="11"/>
        <v>0.10532120209539578</v>
      </c>
      <c r="T49" s="38">
        <f t="shared" si="11"/>
        <v>0.12854412233195292</v>
      </c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 spans="2:37" ht="15.75" customHeight="1" x14ac:dyDescent="0.25">
      <c r="B50" s="36" t="s">
        <v>80</v>
      </c>
      <c r="C50" s="37"/>
      <c r="D50" s="37"/>
      <c r="E50" s="37"/>
      <c r="F50" s="37"/>
      <c r="G50" s="38">
        <f t="shared" ref="G50:T50" si="12">(G28-C28)/C28</f>
        <v>3.3489618218352307E-2</v>
      </c>
      <c r="H50" s="38">
        <f t="shared" si="12"/>
        <v>7.4920634920634999E-2</v>
      </c>
      <c r="I50" s="38">
        <f t="shared" si="12"/>
        <v>0</v>
      </c>
      <c r="J50" s="38">
        <f t="shared" si="12"/>
        <v>5.9794988610478363E-2</v>
      </c>
      <c r="K50" s="38">
        <f t="shared" si="12"/>
        <v>0.46273493195074511</v>
      </c>
      <c r="L50" s="38">
        <f t="shared" si="12"/>
        <v>0.13408151210868274</v>
      </c>
      <c r="M50" s="38">
        <f t="shared" si="12"/>
        <v>0.21246290801186951</v>
      </c>
      <c r="N50" s="38">
        <f t="shared" si="12"/>
        <v>0.38473938742611496</v>
      </c>
      <c r="O50" s="38">
        <f t="shared" si="12"/>
        <v>-0.35268054940186089</v>
      </c>
      <c r="P50" s="38">
        <f t="shared" si="12"/>
        <v>0.30052083333333329</v>
      </c>
      <c r="Q50" s="38">
        <f t="shared" si="12"/>
        <v>0.20460107684777279</v>
      </c>
      <c r="R50" s="38">
        <f t="shared" si="12"/>
        <v>0.43647652308886331</v>
      </c>
      <c r="S50" s="38">
        <f t="shared" si="12"/>
        <v>0.78685831622176605</v>
      </c>
      <c r="T50" s="38">
        <f t="shared" si="12"/>
        <v>0.43372046455746904</v>
      </c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 spans="2:37" ht="15.75" customHeight="1" x14ac:dyDescent="0.25">
      <c r="B51" s="36" t="s">
        <v>81</v>
      </c>
      <c r="C51" s="37"/>
      <c r="D51" s="37"/>
      <c r="E51" s="37"/>
      <c r="F51" s="37"/>
      <c r="G51" s="38">
        <f t="shared" ref="G51:T51" si="13">(G31-C31)/C31</f>
        <v>-0.71994214427770742</v>
      </c>
      <c r="H51" s="38">
        <f t="shared" si="13"/>
        <v>0.16614064902484352</v>
      </c>
      <c r="I51" s="38">
        <f t="shared" si="13"/>
        <v>0.62448132780082988</v>
      </c>
      <c r="J51" s="38">
        <f t="shared" si="13"/>
        <v>-0.31743503772003467</v>
      </c>
      <c r="K51" s="38">
        <f t="shared" si="13"/>
        <v>-0.12408005164622267</v>
      </c>
      <c r="L51" s="38">
        <f t="shared" si="13"/>
        <v>-0.91221374045801784</v>
      </c>
      <c r="M51" s="38">
        <f t="shared" si="13"/>
        <v>-0.68764823937237685</v>
      </c>
      <c r="N51" s="38">
        <f t="shared" si="13"/>
        <v>-0.14859388431781689</v>
      </c>
      <c r="O51" s="38">
        <f t="shared" si="13"/>
        <v>-0.27107900943396285</v>
      </c>
      <c r="P51" s="38">
        <f t="shared" si="13"/>
        <v>3.3399209486167112</v>
      </c>
      <c r="Q51" s="38">
        <f t="shared" si="13"/>
        <v>-0.10265771028037526</v>
      </c>
      <c r="R51" s="38">
        <f t="shared" si="13"/>
        <v>-0.43528054233376628</v>
      </c>
      <c r="S51" s="38">
        <f t="shared" si="13"/>
        <v>-0.44198179979778551</v>
      </c>
      <c r="T51" s="38">
        <f t="shared" si="13"/>
        <v>6.9216757741351442E-2</v>
      </c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 spans="2:37" ht="15.75" customHeight="1" x14ac:dyDescent="0.25">
      <c r="B52" s="36" t="s">
        <v>82</v>
      </c>
      <c r="C52" s="38">
        <f t="shared" ref="C52:T52" si="14">C34/C32</f>
        <v>0.73468629961587706</v>
      </c>
      <c r="D52" s="38">
        <f t="shared" si="14"/>
        <v>0.77951602959309496</v>
      </c>
      <c r="E52" s="38">
        <f t="shared" si="14"/>
        <v>0.77251642272674881</v>
      </c>
      <c r="F52" s="38">
        <f t="shared" si="14"/>
        <v>0.78798378482018139</v>
      </c>
      <c r="G52" s="38">
        <f t="shared" si="14"/>
        <v>0.76627873563218396</v>
      </c>
      <c r="H52" s="38">
        <f t="shared" si="14"/>
        <v>0.78255795767615888</v>
      </c>
      <c r="I52" s="38">
        <f t="shared" si="14"/>
        <v>0.80417114101025411</v>
      </c>
      <c r="J52" s="38">
        <f t="shared" si="14"/>
        <v>0.80883956636089549</v>
      </c>
      <c r="K52" s="38">
        <f t="shared" si="14"/>
        <v>0.80913549270072993</v>
      </c>
      <c r="L52" s="38">
        <f t="shared" si="14"/>
        <v>0.80799447924408108</v>
      </c>
      <c r="M52" s="38">
        <f t="shared" si="14"/>
        <v>0.81022982577300651</v>
      </c>
      <c r="N52" s="38">
        <f t="shared" si="14"/>
        <v>0.82237231023882718</v>
      </c>
      <c r="O52" s="38">
        <f t="shared" si="14"/>
        <v>0.82520229397438916</v>
      </c>
      <c r="P52" s="38">
        <f t="shared" si="14"/>
        <v>0.8426631185843666</v>
      </c>
      <c r="Q52" s="38">
        <f t="shared" si="14"/>
        <v>0.82908163265306123</v>
      </c>
      <c r="R52" s="38">
        <f t="shared" si="14"/>
        <v>0.82522807381297947</v>
      </c>
      <c r="S52" s="38">
        <f t="shared" si="14"/>
        <v>0.81933430981362698</v>
      </c>
      <c r="T52" s="38">
        <f t="shared" si="14"/>
        <v>0.85775224166449027</v>
      </c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 spans="2:37" ht="15.75" customHeight="1" x14ac:dyDescent="0.25">
      <c r="B53" s="36" t="s">
        <v>83</v>
      </c>
      <c r="C53" s="38">
        <f t="shared" ref="C53:T53" si="15">C35/C32</f>
        <v>0.20615877080665812</v>
      </c>
      <c r="D53" s="38">
        <f t="shared" si="15"/>
        <v>0.27464549938347721</v>
      </c>
      <c r="E53" s="38">
        <f t="shared" si="15"/>
        <v>0.25972398294341364</v>
      </c>
      <c r="F53" s="38">
        <f t="shared" si="15"/>
        <v>0.27334355912240815</v>
      </c>
      <c r="G53" s="38">
        <f t="shared" si="15"/>
        <v>0.28521551724137928</v>
      </c>
      <c r="H53" s="38">
        <f t="shared" si="15"/>
        <v>0.28350236402353196</v>
      </c>
      <c r="I53" s="38">
        <f t="shared" si="15"/>
        <v>0.25362685027267173</v>
      </c>
      <c r="J53" s="38">
        <f t="shared" si="15"/>
        <v>0.27398593024996259</v>
      </c>
      <c r="K53" s="38">
        <f t="shared" si="15"/>
        <v>0.28772810218978107</v>
      </c>
      <c r="L53" s="38">
        <f t="shared" si="15"/>
        <v>0.2398697667834519</v>
      </c>
      <c r="M53" s="38">
        <f t="shared" si="15"/>
        <v>0.23901355875899327</v>
      </c>
      <c r="N53" s="38">
        <f t="shared" si="15"/>
        <v>0.22334624024592103</v>
      </c>
      <c r="O53" s="38">
        <f t="shared" si="15"/>
        <v>0.21478513630293031</v>
      </c>
      <c r="P53" s="38">
        <f t="shared" si="15"/>
        <v>0.21443401016859817</v>
      </c>
      <c r="Q53" s="38">
        <f t="shared" si="15"/>
        <v>0.19690582246261534</v>
      </c>
      <c r="R53" s="38">
        <f t="shared" si="15"/>
        <v>0.19705059091851546</v>
      </c>
      <c r="S53" s="38">
        <f t="shared" si="15"/>
        <v>0.17728168089297439</v>
      </c>
      <c r="T53" s="38">
        <f t="shared" si="15"/>
        <v>0.16623139200835726</v>
      </c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 spans="2:37" ht="15.75" customHeight="1" x14ac:dyDescent="0.25">
      <c r="B54" s="36" t="s">
        <v>84</v>
      </c>
      <c r="C54" s="38">
        <f t="shared" ref="C54:T54" si="16">C36/C32</f>
        <v>0.1994750320102433</v>
      </c>
      <c r="D54" s="38">
        <f t="shared" si="16"/>
        <v>0.25047780517879159</v>
      </c>
      <c r="E54" s="38">
        <f t="shared" si="16"/>
        <v>0.23254004840382619</v>
      </c>
      <c r="F54" s="38">
        <f t="shared" si="16"/>
        <v>0.22504040099701444</v>
      </c>
      <c r="G54" s="38">
        <f t="shared" si="16"/>
        <v>0.2513218390804598</v>
      </c>
      <c r="H54" s="38">
        <f t="shared" si="16"/>
        <v>0.2316382141697044</v>
      </c>
      <c r="I54" s="38">
        <f t="shared" si="16"/>
        <v>0.18991219758701283</v>
      </c>
      <c r="J54" s="38">
        <f t="shared" si="16"/>
        <v>0.20576474864755062</v>
      </c>
      <c r="K54" s="38">
        <f t="shared" si="16"/>
        <v>0.22265054744525548</v>
      </c>
      <c r="L54" s="38">
        <f t="shared" si="16"/>
        <v>0.18732526453622114</v>
      </c>
      <c r="M54" s="38">
        <f t="shared" si="16"/>
        <v>0.1835633922249128</v>
      </c>
      <c r="N54" s="38">
        <f t="shared" si="16"/>
        <v>0.17915730669188934</v>
      </c>
      <c r="O54" s="38">
        <f t="shared" si="16"/>
        <v>0.19388797234661009</v>
      </c>
      <c r="P54" s="38">
        <f t="shared" si="16"/>
        <v>0.17695417703130925</v>
      </c>
      <c r="Q54" s="38">
        <f t="shared" si="16"/>
        <v>0.15571451297668287</v>
      </c>
      <c r="R54" s="38">
        <f t="shared" si="16"/>
        <v>0.16231598590089158</v>
      </c>
      <c r="S54" s="38">
        <f t="shared" si="16"/>
        <v>0.14818930249002474</v>
      </c>
      <c r="T54" s="38">
        <f t="shared" si="16"/>
        <v>0.14929920780012187</v>
      </c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 spans="2:37" ht="15.75" customHeight="1" x14ac:dyDescent="0.25">
      <c r="B55" s="36" t="s">
        <v>85</v>
      </c>
      <c r="C55" s="38">
        <f t="shared" ref="C55:T55" si="17">C37/C32</f>
        <v>2.1203585147247118E-2</v>
      </c>
      <c r="D55" s="38">
        <f t="shared" si="17"/>
        <v>6.7879161528976564E-2</v>
      </c>
      <c r="E55" s="38">
        <f t="shared" si="17"/>
        <v>8.9892820099112588E-3</v>
      </c>
      <c r="F55" s="38">
        <f t="shared" si="17"/>
        <v>3.288230299378235E-2</v>
      </c>
      <c r="G55" s="38">
        <f t="shared" si="17"/>
        <v>1.5086206896551725E-2</v>
      </c>
      <c r="H55" s="38">
        <f t="shared" si="17"/>
        <v>1.1681765137570528E-2</v>
      </c>
      <c r="I55" s="38">
        <f t="shared" si="17"/>
        <v>0.31321457899058808</v>
      </c>
      <c r="J55" s="38">
        <f t="shared" si="17"/>
        <v>6.6564030192229562E-2</v>
      </c>
      <c r="K55" s="38">
        <f t="shared" si="17"/>
        <v>1.2602645985401459E-2</v>
      </c>
      <c r="L55" s="38">
        <f t="shared" si="17"/>
        <v>1.3651484587889728E-2</v>
      </c>
      <c r="M55" s="38">
        <f t="shared" si="17"/>
        <v>0.24708237536169803</v>
      </c>
      <c r="N55" s="38">
        <f t="shared" si="17"/>
        <v>1.3980846535824073E-2</v>
      </c>
      <c r="O55" s="38">
        <f t="shared" si="17"/>
        <v>0.12349752533584728</v>
      </c>
      <c r="P55" s="38">
        <f t="shared" si="17"/>
        <v>9.834358549142868E-3</v>
      </c>
      <c r="Q55" s="38">
        <f t="shared" si="17"/>
        <v>3.7253988455070226E-2</v>
      </c>
      <c r="R55" s="38">
        <f t="shared" si="17"/>
        <v>2.7410325523533067E-2</v>
      </c>
      <c r="S55" s="38">
        <f t="shared" si="17"/>
        <v>2.9496439214101722E-2</v>
      </c>
      <c r="T55" s="38">
        <f t="shared" si="17"/>
        <v>0.12083224514668756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 spans="2:37" ht="15.75" customHeight="1" x14ac:dyDescent="0.25">
      <c r="B56" s="36" t="s">
        <v>86</v>
      </c>
      <c r="C56" s="38">
        <f t="shared" ref="C56:T56" si="18">C41/C40</f>
        <v>7.3383326840670046E-2</v>
      </c>
      <c r="D56" s="38">
        <f t="shared" si="18"/>
        <v>0.12686772389769915</v>
      </c>
      <c r="E56" s="38">
        <f t="shared" si="18"/>
        <v>7.2692430533375915E-2</v>
      </c>
      <c r="F56" s="38">
        <f t="shared" si="18"/>
        <v>7.5701202060675432E-2</v>
      </c>
      <c r="G56" s="38">
        <f t="shared" si="18"/>
        <v>0.12080800156893511</v>
      </c>
      <c r="H56" s="38">
        <f t="shared" si="18"/>
        <v>0.15591938340753503</v>
      </c>
      <c r="I56" s="38">
        <f t="shared" si="18"/>
        <v>1.1343632958801504</v>
      </c>
      <c r="J56" s="38">
        <f t="shared" si="18"/>
        <v>0.14077113110993472</v>
      </c>
      <c r="K56" s="38">
        <f t="shared" si="18"/>
        <v>0.11561058317889671</v>
      </c>
      <c r="L56" s="38">
        <f t="shared" si="18"/>
        <v>0.15643125213237813</v>
      </c>
      <c r="M56" s="38">
        <f t="shared" si="18"/>
        <v>0.38913371946612957</v>
      </c>
      <c r="N56" s="38">
        <f t="shared" si="18"/>
        <v>0.12481641725876234</v>
      </c>
      <c r="O56" s="38">
        <f t="shared" si="18"/>
        <v>0.20167824074074073</v>
      </c>
      <c r="P56" s="38">
        <f t="shared" si="18"/>
        <v>0.16465501977217731</v>
      </c>
      <c r="Q56" s="38">
        <f t="shared" si="18"/>
        <v>0.22812620983352691</v>
      </c>
      <c r="R56" s="38">
        <f t="shared" si="18"/>
        <v>0.19700708910986914</v>
      </c>
      <c r="S56" s="38">
        <f t="shared" si="18"/>
        <v>0.16429378531073446</v>
      </c>
      <c r="T56" s="38">
        <f t="shared" si="18"/>
        <v>0.2327241267438088</v>
      </c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9" spans="2:37" ht="15.75" customHeight="1" x14ac:dyDescent="0.25">
      <c r="D59" s="9"/>
    </row>
    <row r="60" spans="2:37" ht="15.75" customHeight="1" x14ac:dyDescent="0.25">
      <c r="B60" s="31"/>
      <c r="C60" s="31"/>
      <c r="D60" s="9"/>
      <c r="G60" s="39"/>
    </row>
    <row r="61" spans="2:37" ht="15.75" customHeight="1" x14ac:dyDescent="0.25">
      <c r="B61" s="31"/>
      <c r="C61" s="31"/>
      <c r="D61" s="9"/>
    </row>
    <row r="62" spans="2:37" ht="16.5" customHeight="1" x14ac:dyDescent="0.25">
      <c r="B62" s="22" t="s">
        <v>87</v>
      </c>
      <c r="C62" s="23" t="str">
        <f t="shared" ref="C62:Q62" si="19">C96</f>
        <v>FY'22</v>
      </c>
      <c r="D62" s="23" t="str">
        <f t="shared" si="19"/>
        <v>FY'23</v>
      </c>
      <c r="E62" s="23" t="str">
        <f t="shared" si="19"/>
        <v>FY'24</v>
      </c>
      <c r="F62" s="40" t="str">
        <f t="shared" si="19"/>
        <v>FY'25</v>
      </c>
      <c r="G62" s="23" t="str">
        <f t="shared" si="19"/>
        <v>FY'26</v>
      </c>
      <c r="H62" s="23" t="str">
        <f t="shared" si="19"/>
        <v>FY'27</v>
      </c>
      <c r="I62" s="23" t="str">
        <f t="shared" si="19"/>
        <v>FY'28</v>
      </c>
      <c r="J62" s="23" t="str">
        <f t="shared" si="19"/>
        <v>FY'29</v>
      </c>
      <c r="K62" s="23" t="str">
        <f t="shared" si="19"/>
        <v>FY'30</v>
      </c>
      <c r="L62" s="23" t="str">
        <f t="shared" si="19"/>
        <v>FY'31</v>
      </c>
      <c r="M62" s="23" t="str">
        <f t="shared" si="19"/>
        <v>FY'32</v>
      </c>
      <c r="N62" s="23" t="str">
        <f t="shared" si="19"/>
        <v>FY'33</v>
      </c>
      <c r="O62" s="23" t="str">
        <f t="shared" si="19"/>
        <v>FY'34</v>
      </c>
      <c r="P62" s="23" t="str">
        <f t="shared" si="19"/>
        <v>FY'35</v>
      </c>
      <c r="Q62" s="23" t="str">
        <f t="shared" si="19"/>
        <v>FY'36</v>
      </c>
    </row>
    <row r="63" spans="2:37" ht="15.75" customHeight="1" x14ac:dyDescent="0.25">
      <c r="B63" s="31" t="s">
        <v>88</v>
      </c>
      <c r="C63" s="9"/>
      <c r="D63" s="9"/>
      <c r="E63" s="9"/>
      <c r="F63" s="41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2:37" ht="15.75" customHeight="1" x14ac:dyDescent="0.25">
      <c r="B64" s="36" t="s">
        <v>89</v>
      </c>
      <c r="C64" s="42"/>
      <c r="D64" s="39">
        <f>(D97-C97)/C97</f>
        <v>0.33643675747681495</v>
      </c>
      <c r="E64" s="39">
        <f>(E97-D97)/D97</f>
        <v>0.59548315799737761</v>
      </c>
      <c r="F64" s="43">
        <f>(F97-E97)/E97</f>
        <v>0.62672864258479022</v>
      </c>
      <c r="G64" s="44">
        <v>0.4</v>
      </c>
      <c r="H64" s="44">
        <v>0.3417</v>
      </c>
      <c r="I64" s="44">
        <v>0.2833</v>
      </c>
      <c r="J64" s="44">
        <v>0.22500000000000001</v>
      </c>
      <c r="K64" s="44">
        <v>0.16669999999999999</v>
      </c>
      <c r="L64" s="44">
        <v>0.10829999999999999</v>
      </c>
      <c r="M64" s="44">
        <v>0.05</v>
      </c>
      <c r="N64" s="44">
        <v>0.05</v>
      </c>
      <c r="O64" s="44">
        <v>0.05</v>
      </c>
      <c r="P64" s="44">
        <v>0.05</v>
      </c>
      <c r="Q64" s="44">
        <v>0.05</v>
      </c>
    </row>
    <row r="65" spans="2:17" ht="15.75" customHeight="1" x14ac:dyDescent="0.25">
      <c r="B65" s="36" t="s">
        <v>90</v>
      </c>
      <c r="C65" s="42"/>
      <c r="D65" s="39">
        <f>(D107-C107)/C107</f>
        <v>0.44060168186663506</v>
      </c>
      <c r="E65" s="39">
        <f>(E107-D107)/D107</f>
        <v>0.3376140754748006</v>
      </c>
      <c r="F65" s="43">
        <f>(F107-E107)/E107</f>
        <v>0.10211808671493745</v>
      </c>
      <c r="G65" s="44">
        <v>0.25</v>
      </c>
      <c r="H65" s="44">
        <v>0.2167</v>
      </c>
      <c r="I65" s="44">
        <v>0.18329999999999999</v>
      </c>
      <c r="J65" s="44">
        <v>0.15</v>
      </c>
      <c r="K65" s="44">
        <v>0.1167</v>
      </c>
      <c r="L65" s="44">
        <v>8.3299999999999999E-2</v>
      </c>
      <c r="M65" s="44">
        <v>0.05</v>
      </c>
      <c r="N65" s="44">
        <v>0.05</v>
      </c>
      <c r="O65" s="44">
        <v>0.05</v>
      </c>
      <c r="P65" s="44">
        <v>0.05</v>
      </c>
      <c r="Q65" s="44">
        <v>0.05</v>
      </c>
    </row>
    <row r="66" spans="2:17" ht="15.75" customHeight="1" x14ac:dyDescent="0.25">
      <c r="B66" s="36" t="s">
        <v>91</v>
      </c>
      <c r="C66" s="42"/>
      <c r="D66" s="39">
        <f>(D115-C115)/C115</f>
        <v>0.11166792452830178</v>
      </c>
      <c r="E66" s="39">
        <f>(E115-D115)/D115</f>
        <v>0.19297197479904421</v>
      </c>
      <c r="F66" s="43">
        <f>(F115-E115)/E115</f>
        <v>0.19317095379012073</v>
      </c>
      <c r="G66" s="44">
        <v>0.15</v>
      </c>
      <c r="H66" s="44">
        <v>0.1333</v>
      </c>
      <c r="I66" s="44">
        <v>0.1167</v>
      </c>
      <c r="J66" s="44">
        <v>0.1</v>
      </c>
      <c r="K66" s="44">
        <v>8.3299999999999999E-2</v>
      </c>
      <c r="L66" s="44">
        <v>6.6699999999999995E-2</v>
      </c>
      <c r="M66" s="44">
        <v>0.05</v>
      </c>
      <c r="N66" s="44">
        <v>0.05</v>
      </c>
      <c r="O66" s="44">
        <v>0.05</v>
      </c>
      <c r="P66" s="44">
        <v>0.05</v>
      </c>
      <c r="Q66" s="44">
        <v>0.05</v>
      </c>
    </row>
    <row r="67" spans="2:17" ht="15.75" customHeight="1" x14ac:dyDescent="0.25">
      <c r="B67" s="36" t="s">
        <v>92</v>
      </c>
      <c r="C67" s="42"/>
      <c r="D67" s="39">
        <f>(D120-C120)/C120</f>
        <v>4.194192656322026E-2</v>
      </c>
      <c r="E67" s="39">
        <f>(E120-D120)/D120</f>
        <v>0.29710999705101737</v>
      </c>
      <c r="F67" s="43">
        <f>(F120-E120)/E120</f>
        <v>0.15048311924519722</v>
      </c>
      <c r="G67" s="44">
        <v>0.3</v>
      </c>
      <c r="H67" s="44">
        <v>0.26329999999999998</v>
      </c>
      <c r="I67" s="44">
        <v>0.22670000000000001</v>
      </c>
      <c r="J67" s="44">
        <v>0.19</v>
      </c>
      <c r="K67" s="44">
        <v>0.15329999999999999</v>
      </c>
      <c r="L67" s="44">
        <v>0.1167</v>
      </c>
      <c r="M67" s="44">
        <v>0.08</v>
      </c>
      <c r="N67" s="44">
        <v>0.08</v>
      </c>
      <c r="O67" s="44">
        <v>0.08</v>
      </c>
      <c r="P67" s="44">
        <v>0.08</v>
      </c>
      <c r="Q67" s="44">
        <v>0.08</v>
      </c>
    </row>
    <row r="68" spans="2:17" ht="15.75" customHeight="1" x14ac:dyDescent="0.25">
      <c r="B68" s="36" t="s">
        <v>93</v>
      </c>
      <c r="C68" s="42"/>
      <c r="D68" s="39">
        <f>(D123-C123)/C123</f>
        <v>-0.20196216265778322</v>
      </c>
      <c r="E68" s="39">
        <f>(E123-D123)/D123</f>
        <v>-0.58197694458274307</v>
      </c>
      <c r="F68" s="43">
        <f>(F123-E123)/E123</f>
        <v>-6.1145213009620031E-2</v>
      </c>
      <c r="G68" s="44">
        <v>-0.02</v>
      </c>
      <c r="H68" s="44">
        <v>-0.02</v>
      </c>
      <c r="I68" s="44">
        <v>-0.02</v>
      </c>
      <c r="J68" s="44">
        <v>-0.02</v>
      </c>
      <c r="K68" s="44">
        <v>-0.02</v>
      </c>
      <c r="L68" s="44">
        <v>-0.02</v>
      </c>
      <c r="M68" s="44">
        <v>-0.02</v>
      </c>
      <c r="N68" s="44">
        <v>-0.02</v>
      </c>
      <c r="O68" s="44">
        <v>-0.02</v>
      </c>
      <c r="P68" s="44">
        <v>-0.02</v>
      </c>
      <c r="Q68" s="44">
        <v>-0.02</v>
      </c>
    </row>
    <row r="69" spans="2:17" ht="15.75" customHeight="1" x14ac:dyDescent="0.25">
      <c r="B69" s="36" t="s">
        <v>94</v>
      </c>
      <c r="C69" s="39">
        <f>C126/C124</f>
        <v>0.76771286622239954</v>
      </c>
      <c r="D69" s="39">
        <f>D126/D124</f>
        <v>0.7924575300154435</v>
      </c>
      <c r="E69" s="39">
        <f>E126/E124</f>
        <v>0.81310401019477074</v>
      </c>
      <c r="F69" s="43">
        <f>F126/F124</f>
        <v>0.83042521038056427</v>
      </c>
      <c r="G69" s="45">
        <f t="shared" ref="G69:Q69" si="20">AVERAGE($C$52:$T$52)</f>
        <v>0.80475242866083063</v>
      </c>
      <c r="H69" s="45">
        <f t="shared" si="20"/>
        <v>0.80475242866083063</v>
      </c>
      <c r="I69" s="45">
        <f t="shared" si="20"/>
        <v>0.80475242866083063</v>
      </c>
      <c r="J69" s="45">
        <f t="shared" si="20"/>
        <v>0.80475242866083063</v>
      </c>
      <c r="K69" s="45">
        <f t="shared" si="20"/>
        <v>0.80475242866083063</v>
      </c>
      <c r="L69" s="45">
        <f t="shared" si="20"/>
        <v>0.80475242866083063</v>
      </c>
      <c r="M69" s="45">
        <f t="shared" si="20"/>
        <v>0.80475242866083063</v>
      </c>
      <c r="N69" s="45">
        <f t="shared" si="20"/>
        <v>0.80475242866083063</v>
      </c>
      <c r="O69" s="45">
        <f t="shared" si="20"/>
        <v>0.80475242866083063</v>
      </c>
      <c r="P69" s="45">
        <f t="shared" si="20"/>
        <v>0.80475242866083063</v>
      </c>
      <c r="Q69" s="45">
        <f t="shared" si="20"/>
        <v>0.80475242866083063</v>
      </c>
    </row>
    <row r="70" spans="2:17" ht="15.75" customHeight="1" x14ac:dyDescent="0.25">
      <c r="B70" s="36" t="s">
        <v>95</v>
      </c>
      <c r="C70" s="39">
        <f>C127/C124</f>
        <v>0.25194279187425977</v>
      </c>
      <c r="D70" s="39">
        <f>D127/D124</f>
        <v>0.27292734460396023</v>
      </c>
      <c r="E70" s="39">
        <f>E127/E124</f>
        <v>0.2440040228494296</v>
      </c>
      <c r="F70" s="43">
        <f>F127/F124</f>
        <v>0.20462415329973377</v>
      </c>
      <c r="G70" s="45">
        <f t="shared" ref="G70:Q70" si="21">AVERAGE($C$53:$T$53)</f>
        <v>0.2370471541542023</v>
      </c>
      <c r="H70" s="45">
        <f t="shared" si="21"/>
        <v>0.2370471541542023</v>
      </c>
      <c r="I70" s="45">
        <f t="shared" si="21"/>
        <v>0.2370471541542023</v>
      </c>
      <c r="J70" s="45">
        <f t="shared" si="21"/>
        <v>0.2370471541542023</v>
      </c>
      <c r="K70" s="45">
        <f t="shared" si="21"/>
        <v>0.2370471541542023</v>
      </c>
      <c r="L70" s="45">
        <f t="shared" si="21"/>
        <v>0.2370471541542023</v>
      </c>
      <c r="M70" s="45">
        <f t="shared" si="21"/>
        <v>0.2370471541542023</v>
      </c>
      <c r="N70" s="45">
        <f t="shared" si="21"/>
        <v>0.2370471541542023</v>
      </c>
      <c r="O70" s="45">
        <f t="shared" si="21"/>
        <v>0.2370471541542023</v>
      </c>
      <c r="P70" s="45">
        <f t="shared" si="21"/>
        <v>0.2370471541542023</v>
      </c>
      <c r="Q70" s="45">
        <f t="shared" si="21"/>
        <v>0.2370471541542023</v>
      </c>
    </row>
    <row r="71" spans="2:17" ht="15.75" customHeight="1" x14ac:dyDescent="0.25">
      <c r="B71" s="36" t="s">
        <v>96</v>
      </c>
      <c r="C71" s="39">
        <f>C128/C124</f>
        <v>0.22565115936849622</v>
      </c>
      <c r="D71" s="39">
        <f>D128/D124</f>
        <v>0.21694638100345501</v>
      </c>
      <c r="E71" s="39">
        <f>E128/E124</f>
        <v>0.19079229264675521</v>
      </c>
      <c r="F71" s="43">
        <f>F128/F124</f>
        <v>0.170193082180747</v>
      </c>
      <c r="G71" s="45">
        <f t="shared" ref="G71:Q71" si="22">AVERAGE($C$54:$T$54)</f>
        <v>0.19695710863991797</v>
      </c>
      <c r="H71" s="45">
        <f t="shared" si="22"/>
        <v>0.19695710863991797</v>
      </c>
      <c r="I71" s="45">
        <f t="shared" si="22"/>
        <v>0.19695710863991797</v>
      </c>
      <c r="J71" s="45">
        <f t="shared" si="22"/>
        <v>0.19695710863991797</v>
      </c>
      <c r="K71" s="45">
        <f t="shared" si="22"/>
        <v>0.19695710863991797</v>
      </c>
      <c r="L71" s="45">
        <f t="shared" si="22"/>
        <v>0.19695710863991797</v>
      </c>
      <c r="M71" s="45">
        <f t="shared" si="22"/>
        <v>0.19695710863991797</v>
      </c>
      <c r="N71" s="45">
        <f t="shared" si="22"/>
        <v>0.19695710863991797</v>
      </c>
      <c r="O71" s="45">
        <f t="shared" si="22"/>
        <v>0.19695710863991797</v>
      </c>
      <c r="P71" s="45">
        <f t="shared" si="22"/>
        <v>0.19695710863991797</v>
      </c>
      <c r="Q71" s="45">
        <f t="shared" si="22"/>
        <v>0.19695710863991797</v>
      </c>
    </row>
    <row r="72" spans="2:17" ht="15.75" customHeight="1" x14ac:dyDescent="0.25">
      <c r="B72" s="36" t="s">
        <v>97</v>
      </c>
      <c r="C72" s="39">
        <f>C129/C124</f>
        <v>3.183095433300398E-2</v>
      </c>
      <c r="D72" s="39">
        <f>D129/D124</f>
        <v>0.1113523873157094</v>
      </c>
      <c r="E72" s="39">
        <f>E129/E124</f>
        <v>7.2828671460636263E-2</v>
      </c>
      <c r="F72" s="43">
        <f>F129/F124</f>
        <v>4.4638268167138437E-2</v>
      </c>
      <c r="G72" s="45">
        <f t="shared" ref="G72:Q72" si="23">AVERAGE($C$55:$T$55)</f>
        <v>6.5174619310669632E-2</v>
      </c>
      <c r="H72" s="45">
        <f t="shared" si="23"/>
        <v>6.5174619310669632E-2</v>
      </c>
      <c r="I72" s="45">
        <f t="shared" si="23"/>
        <v>6.5174619310669632E-2</v>
      </c>
      <c r="J72" s="45">
        <f t="shared" si="23"/>
        <v>6.5174619310669632E-2</v>
      </c>
      <c r="K72" s="45">
        <f t="shared" si="23"/>
        <v>6.5174619310669632E-2</v>
      </c>
      <c r="L72" s="45">
        <f t="shared" si="23"/>
        <v>6.5174619310669632E-2</v>
      </c>
      <c r="M72" s="45">
        <f t="shared" si="23"/>
        <v>6.5174619310669632E-2</v>
      </c>
      <c r="N72" s="45">
        <f t="shared" si="23"/>
        <v>6.5174619310669632E-2</v>
      </c>
      <c r="O72" s="45">
        <f t="shared" si="23"/>
        <v>6.5174619310669632E-2</v>
      </c>
      <c r="P72" s="45">
        <f t="shared" si="23"/>
        <v>6.5174619310669632E-2</v>
      </c>
      <c r="Q72" s="45">
        <f t="shared" si="23"/>
        <v>6.5174619310669632E-2</v>
      </c>
    </row>
    <row r="73" spans="2:17" ht="15.75" customHeight="1" x14ac:dyDescent="0.25">
      <c r="B73" s="36" t="s">
        <v>98</v>
      </c>
      <c r="C73" s="39">
        <f>C133/C132</f>
        <v>8.2510578279266583E-2</v>
      </c>
      <c r="D73" s="39">
        <f>D133/D132</f>
        <v>0.20818680100117226</v>
      </c>
      <c r="E73" s="39">
        <f>E133/E132</f>
        <v>0.16485414382940469</v>
      </c>
      <c r="F73" s="43">
        <f>F133/F132</f>
        <v>0.19786023519536136</v>
      </c>
      <c r="G73" s="45">
        <v>0.2</v>
      </c>
      <c r="H73" s="45">
        <v>0.2</v>
      </c>
      <c r="I73" s="45">
        <v>0.2</v>
      </c>
      <c r="J73" s="45">
        <v>0.2</v>
      </c>
      <c r="K73" s="45">
        <v>0.2</v>
      </c>
      <c r="L73" s="45">
        <v>0.2</v>
      </c>
      <c r="M73" s="45">
        <v>0.2</v>
      </c>
      <c r="N73" s="45">
        <v>0.2</v>
      </c>
      <c r="O73" s="45">
        <v>0.2</v>
      </c>
      <c r="P73" s="45">
        <v>0.2</v>
      </c>
      <c r="Q73" s="45">
        <v>0.2</v>
      </c>
    </row>
    <row r="74" spans="2:17" ht="15.75" customHeight="1" x14ac:dyDescent="0.25">
      <c r="B74" s="31" t="s">
        <v>99</v>
      </c>
      <c r="C74" s="39"/>
      <c r="D74" s="39"/>
      <c r="E74" s="39"/>
      <c r="F74" s="43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</row>
    <row r="75" spans="2:17" ht="15.75" customHeight="1" x14ac:dyDescent="0.25">
      <c r="B75" s="36" t="s">
        <v>100</v>
      </c>
      <c r="C75" s="39">
        <f>C140/C124</f>
        <v>0.24161393624699554</v>
      </c>
      <c r="D75" s="39">
        <f>D140/D124</f>
        <v>0.26639530419849894</v>
      </c>
      <c r="E75" s="39">
        <f>E140/E124</f>
        <v>0.24434592064862903</v>
      </c>
      <c r="F75" s="43">
        <f>F140/F124</f>
        <v>0.27247830989805072</v>
      </c>
      <c r="G75" s="46">
        <f t="shared" ref="G75:Q75" si="24">$F$140/$F$124</f>
        <v>0.27247830989805072</v>
      </c>
      <c r="H75" s="46">
        <f t="shared" si="24"/>
        <v>0.27247830989805072</v>
      </c>
      <c r="I75" s="46">
        <f t="shared" si="24"/>
        <v>0.27247830989805072</v>
      </c>
      <c r="J75" s="46">
        <f t="shared" si="24"/>
        <v>0.27247830989805072</v>
      </c>
      <c r="K75" s="46">
        <f t="shared" si="24"/>
        <v>0.27247830989805072</v>
      </c>
      <c r="L75" s="46">
        <f t="shared" si="24"/>
        <v>0.27247830989805072</v>
      </c>
      <c r="M75" s="46">
        <f t="shared" si="24"/>
        <v>0.27247830989805072</v>
      </c>
      <c r="N75" s="46">
        <f t="shared" si="24"/>
        <v>0.27247830989805072</v>
      </c>
      <c r="O75" s="46">
        <f t="shared" si="24"/>
        <v>0.27247830989805072</v>
      </c>
      <c r="P75" s="46">
        <f t="shared" si="24"/>
        <v>0.27247830989805072</v>
      </c>
      <c r="Q75" s="46">
        <f t="shared" si="24"/>
        <v>0.27247830989805072</v>
      </c>
    </row>
    <row r="76" spans="2:17" ht="15.75" customHeight="1" x14ac:dyDescent="0.25">
      <c r="B76" s="36" t="s">
        <v>101</v>
      </c>
      <c r="C76" s="39">
        <f t="shared" ref="C76:F77" si="25">C141/C124</f>
        <v>5.8266237815944547E-2</v>
      </c>
      <c r="D76" s="39">
        <f t="shared" si="25"/>
        <v>6.5809794250983891E-2</v>
      </c>
      <c r="E76" s="39">
        <f t="shared" si="25"/>
        <v>5.039662364822714E-2</v>
      </c>
      <c r="F76" s="43">
        <f t="shared" si="25"/>
        <v>3.6744681993571594E-2</v>
      </c>
      <c r="G76" s="46">
        <f t="shared" ref="G76:Q76" si="26">$F$141/$F$124</f>
        <v>3.6744681993571594E-2</v>
      </c>
      <c r="H76" s="46">
        <f t="shared" si="26"/>
        <v>3.6744681993571594E-2</v>
      </c>
      <c r="I76" s="46">
        <f t="shared" si="26"/>
        <v>3.6744681993571594E-2</v>
      </c>
      <c r="J76" s="46">
        <f t="shared" si="26"/>
        <v>3.6744681993571594E-2</v>
      </c>
      <c r="K76" s="46">
        <f t="shared" si="26"/>
        <v>3.6744681993571594E-2</v>
      </c>
      <c r="L76" s="46">
        <f t="shared" si="26"/>
        <v>3.6744681993571594E-2</v>
      </c>
      <c r="M76" s="46">
        <f t="shared" si="26"/>
        <v>3.6744681993571594E-2</v>
      </c>
      <c r="N76" s="46">
        <f t="shared" si="26"/>
        <v>3.6744681993571594E-2</v>
      </c>
      <c r="O76" s="46">
        <f t="shared" si="26"/>
        <v>3.6744681993571594E-2</v>
      </c>
      <c r="P76" s="46">
        <f t="shared" si="26"/>
        <v>3.6744681993571594E-2</v>
      </c>
      <c r="Q76" s="46">
        <f t="shared" si="26"/>
        <v>3.6744681993571594E-2</v>
      </c>
    </row>
    <row r="77" spans="2:17" ht="15.75" customHeight="1" x14ac:dyDescent="0.25">
      <c r="B77" s="36" t="s">
        <v>102</v>
      </c>
      <c r="C77" s="39">
        <f t="shared" si="25"/>
        <v>0.65009502549096509</v>
      </c>
      <c r="D77" s="39">
        <f t="shared" si="25"/>
        <v>0.81511394764338763</v>
      </c>
      <c r="E77" s="39">
        <f t="shared" si="25"/>
        <v>0.90148842402860441</v>
      </c>
      <c r="F77" s="43">
        <f t="shared" si="25"/>
        <v>1.2434858135495079</v>
      </c>
      <c r="G77" s="46">
        <f t="shared" ref="G77:Q77" si="27">$F$142/$F$125</f>
        <v>1.2434858135495079</v>
      </c>
      <c r="H77" s="46">
        <f t="shared" si="27"/>
        <v>1.2434858135495079</v>
      </c>
      <c r="I77" s="46">
        <f t="shared" si="27"/>
        <v>1.2434858135495079</v>
      </c>
      <c r="J77" s="46">
        <f t="shared" si="27"/>
        <v>1.2434858135495079</v>
      </c>
      <c r="K77" s="46">
        <f t="shared" si="27"/>
        <v>1.2434858135495079</v>
      </c>
      <c r="L77" s="46">
        <f t="shared" si="27"/>
        <v>1.2434858135495079</v>
      </c>
      <c r="M77" s="46">
        <f t="shared" si="27"/>
        <v>1.2434858135495079</v>
      </c>
      <c r="N77" s="46">
        <f t="shared" si="27"/>
        <v>1.2434858135495079</v>
      </c>
      <c r="O77" s="46">
        <f t="shared" si="27"/>
        <v>1.2434858135495079</v>
      </c>
      <c r="P77" s="46">
        <f t="shared" si="27"/>
        <v>1.2434858135495079</v>
      </c>
      <c r="Q77" s="46">
        <f t="shared" si="27"/>
        <v>1.2434858135495079</v>
      </c>
    </row>
    <row r="78" spans="2:17" ht="15.75" customHeight="1" x14ac:dyDescent="0.25">
      <c r="B78" s="36" t="s">
        <v>103</v>
      </c>
      <c r="C78" s="39">
        <f>C143/C124</f>
        <v>0.10325351944894082</v>
      </c>
      <c r="D78" s="39">
        <f>D143/D124</f>
        <v>0.16237204790749057</v>
      </c>
      <c r="E78" s="39">
        <f>E143/E124</f>
        <v>0.18517984046249453</v>
      </c>
      <c r="F78" s="43">
        <f>F143/F124</f>
        <v>0.21962426836658763</v>
      </c>
      <c r="G78" s="46">
        <f t="shared" ref="G78:Q78" si="28">$F$143/$F$124</f>
        <v>0.21962426836658763</v>
      </c>
      <c r="H78" s="46">
        <f t="shared" si="28"/>
        <v>0.21962426836658763</v>
      </c>
      <c r="I78" s="46">
        <f t="shared" si="28"/>
        <v>0.21962426836658763</v>
      </c>
      <c r="J78" s="46">
        <f t="shared" si="28"/>
        <v>0.21962426836658763</v>
      </c>
      <c r="K78" s="46">
        <f t="shared" si="28"/>
        <v>0.21962426836658763</v>
      </c>
      <c r="L78" s="46">
        <f t="shared" si="28"/>
        <v>0.21962426836658763</v>
      </c>
      <c r="M78" s="46">
        <f t="shared" si="28"/>
        <v>0.21962426836658763</v>
      </c>
      <c r="N78" s="46">
        <f t="shared" si="28"/>
        <v>0.21962426836658763</v>
      </c>
      <c r="O78" s="46">
        <f t="shared" si="28"/>
        <v>0.21962426836658763</v>
      </c>
      <c r="P78" s="46">
        <f t="shared" si="28"/>
        <v>0.21962426836658763</v>
      </c>
      <c r="Q78" s="46">
        <f t="shared" si="28"/>
        <v>0.21962426836658763</v>
      </c>
    </row>
    <row r="79" spans="2:17" ht="15.75" customHeight="1" x14ac:dyDescent="0.25">
      <c r="B79" s="36" t="s">
        <v>104</v>
      </c>
      <c r="C79" s="39">
        <f>C144/C124</f>
        <v>5.3255972026599943E-3</v>
      </c>
      <c r="D79" s="39">
        <f>D144/D124</f>
        <v>7.5782218432134466E-3</v>
      </c>
      <c r="E79" s="39">
        <f>E144/E124</f>
        <v>5.9055074407173653E-3</v>
      </c>
      <c r="F79" s="43">
        <f>F144/F124</f>
        <v>2.2553103353048116E-3</v>
      </c>
      <c r="G79" s="46">
        <f t="shared" ref="G79:Q79" si="29">$F$144/$F$124</f>
        <v>2.2553103353048116E-3</v>
      </c>
      <c r="H79" s="46">
        <f t="shared" si="29"/>
        <v>2.2553103353048116E-3</v>
      </c>
      <c r="I79" s="46">
        <f t="shared" si="29"/>
        <v>2.2553103353048116E-3</v>
      </c>
      <c r="J79" s="46">
        <f t="shared" si="29"/>
        <v>2.2553103353048116E-3</v>
      </c>
      <c r="K79" s="46">
        <f t="shared" si="29"/>
        <v>2.2553103353048116E-3</v>
      </c>
      <c r="L79" s="46">
        <f t="shared" si="29"/>
        <v>2.2553103353048116E-3</v>
      </c>
      <c r="M79" s="46">
        <f t="shared" si="29"/>
        <v>2.2553103353048116E-3</v>
      </c>
      <c r="N79" s="46">
        <f t="shared" si="29"/>
        <v>2.2553103353048116E-3</v>
      </c>
      <c r="O79" s="46">
        <f t="shared" si="29"/>
        <v>2.2553103353048116E-3</v>
      </c>
      <c r="P79" s="46">
        <f t="shared" si="29"/>
        <v>2.2553103353048116E-3</v>
      </c>
      <c r="Q79" s="46">
        <f t="shared" si="29"/>
        <v>2.2553103353048116E-3</v>
      </c>
    </row>
    <row r="80" spans="2:17" ht="15.75" customHeight="1" x14ac:dyDescent="0.25">
      <c r="B80" s="36" t="s">
        <v>105</v>
      </c>
      <c r="C80" s="39">
        <f>(C154+C155)/C125</f>
        <v>0.51761742435669256</v>
      </c>
      <c r="D80" s="39">
        <f>(D154+D155)/D125</f>
        <v>1.3418570500691873</v>
      </c>
      <c r="E80" s="39">
        <f>(E154+E155)/E125</f>
        <v>0.99141156765617766</v>
      </c>
      <c r="F80" s="43">
        <f>(F154+F155)/F125</f>
        <v>0.63459033005211352</v>
      </c>
      <c r="G80" s="46">
        <f t="shared" ref="G80:Q80" si="30">$F$155/$F$125</f>
        <v>0.48666401273885351</v>
      </c>
      <c r="H80" s="46">
        <f t="shared" si="30"/>
        <v>0.48666401273885351</v>
      </c>
      <c r="I80" s="46">
        <f t="shared" si="30"/>
        <v>0.48666401273885351</v>
      </c>
      <c r="J80" s="46">
        <f t="shared" si="30"/>
        <v>0.48666401273885351</v>
      </c>
      <c r="K80" s="46">
        <f t="shared" si="30"/>
        <v>0.48666401273885351</v>
      </c>
      <c r="L80" s="46">
        <f t="shared" si="30"/>
        <v>0.48666401273885351</v>
      </c>
      <c r="M80" s="46">
        <f t="shared" si="30"/>
        <v>0.48666401273885351</v>
      </c>
      <c r="N80" s="46">
        <f t="shared" si="30"/>
        <v>0.48666401273885351</v>
      </c>
      <c r="O80" s="46">
        <f t="shared" si="30"/>
        <v>0.48666401273885351</v>
      </c>
      <c r="P80" s="46">
        <f t="shared" si="30"/>
        <v>0.48666401273885351</v>
      </c>
      <c r="Q80" s="46">
        <f t="shared" si="30"/>
        <v>0.48666401273885351</v>
      </c>
    </row>
    <row r="81" spans="2:17" ht="15.75" customHeight="1" x14ac:dyDescent="0.25">
      <c r="B81" s="36" t="s">
        <v>106</v>
      </c>
      <c r="C81" s="39">
        <f>C156/C124</f>
        <v>3.7132025759072776E-2</v>
      </c>
      <c r="D81" s="39">
        <f>D156/D124</f>
        <v>4.8364645514460451E-2</v>
      </c>
      <c r="E81" s="39">
        <f>E156/E124</f>
        <v>4.6489220228805125E-2</v>
      </c>
      <c r="F81" s="43">
        <f>F156/F124</f>
        <v>3.6437837049992705E-2</v>
      </c>
      <c r="G81" s="46">
        <f t="shared" ref="G81:Q81" si="31">$F$156/$F$124</f>
        <v>3.6437837049992705E-2</v>
      </c>
      <c r="H81" s="46">
        <f t="shared" si="31"/>
        <v>3.6437837049992705E-2</v>
      </c>
      <c r="I81" s="46">
        <f t="shared" si="31"/>
        <v>3.6437837049992705E-2</v>
      </c>
      <c r="J81" s="46">
        <f t="shared" si="31"/>
        <v>3.6437837049992705E-2</v>
      </c>
      <c r="K81" s="46">
        <f t="shared" si="31"/>
        <v>3.6437837049992705E-2</v>
      </c>
      <c r="L81" s="46">
        <f t="shared" si="31"/>
        <v>3.6437837049992705E-2</v>
      </c>
      <c r="M81" s="46">
        <f t="shared" si="31"/>
        <v>3.6437837049992705E-2</v>
      </c>
      <c r="N81" s="46">
        <f t="shared" si="31"/>
        <v>3.6437837049992705E-2</v>
      </c>
      <c r="O81" s="46">
        <f t="shared" si="31"/>
        <v>3.6437837049992705E-2</v>
      </c>
      <c r="P81" s="46">
        <f t="shared" si="31"/>
        <v>3.6437837049992705E-2</v>
      </c>
      <c r="Q81" s="46">
        <f t="shared" si="31"/>
        <v>3.6437837049992705E-2</v>
      </c>
    </row>
    <row r="82" spans="2:17" ht="15.75" customHeight="1" x14ac:dyDescent="0.25">
      <c r="B82" s="36" t="s">
        <v>107</v>
      </c>
      <c r="C82" s="39">
        <f>C157/C124</f>
        <v>0.30776696307819512</v>
      </c>
      <c r="D82" s="39">
        <f>D157/D124</f>
        <v>0.34254383265785759</v>
      </c>
      <c r="E82" s="39">
        <f>E157/E124</f>
        <v>0.2561791366858559</v>
      </c>
      <c r="F82" s="43">
        <f>F157/F124</f>
        <v>0.26667894046440982</v>
      </c>
      <c r="G82" s="46">
        <f t="shared" ref="G82:Q82" si="32">$F$157/$F$124</f>
        <v>0.26667894046440982</v>
      </c>
      <c r="H82" s="46">
        <f t="shared" si="32"/>
        <v>0.26667894046440982</v>
      </c>
      <c r="I82" s="46">
        <f t="shared" si="32"/>
        <v>0.26667894046440982</v>
      </c>
      <c r="J82" s="46">
        <f t="shared" si="32"/>
        <v>0.26667894046440982</v>
      </c>
      <c r="K82" s="46">
        <f t="shared" si="32"/>
        <v>0.26667894046440982</v>
      </c>
      <c r="L82" s="46">
        <f t="shared" si="32"/>
        <v>0.26667894046440982</v>
      </c>
      <c r="M82" s="46">
        <f t="shared" si="32"/>
        <v>0.26667894046440982</v>
      </c>
      <c r="N82" s="46">
        <f t="shared" si="32"/>
        <v>0.26667894046440982</v>
      </c>
      <c r="O82" s="46">
        <f t="shared" si="32"/>
        <v>0.26667894046440982</v>
      </c>
      <c r="P82" s="46">
        <f t="shared" si="32"/>
        <v>0.26667894046440982</v>
      </c>
      <c r="Q82" s="46">
        <f t="shared" si="32"/>
        <v>0.26667894046440982</v>
      </c>
    </row>
    <row r="83" spans="2:17" ht="15.75" customHeight="1" x14ac:dyDescent="0.25">
      <c r="B83" s="36" t="s">
        <v>108</v>
      </c>
      <c r="C83" s="39">
        <f>C158/C124</f>
        <v>0.13533323523022694</v>
      </c>
      <c r="D83" s="39">
        <f>D158/D124</f>
        <v>0.13042102209289033</v>
      </c>
      <c r="E83" s="39">
        <f>E158/E124</f>
        <v>0.14202079360251499</v>
      </c>
      <c r="F83" s="43">
        <f>F158/F124</f>
        <v>0.12974938439233194</v>
      </c>
      <c r="G83" s="46">
        <f t="shared" ref="G83:Q83" si="33">$F$158/$F$124</f>
        <v>0.12974938439233194</v>
      </c>
      <c r="H83" s="46">
        <f t="shared" si="33"/>
        <v>0.12974938439233194</v>
      </c>
      <c r="I83" s="46">
        <f t="shared" si="33"/>
        <v>0.12974938439233194</v>
      </c>
      <c r="J83" s="46">
        <f t="shared" si="33"/>
        <v>0.12974938439233194</v>
      </c>
      <c r="K83" s="46">
        <f t="shared" si="33"/>
        <v>0.12974938439233194</v>
      </c>
      <c r="L83" s="46">
        <f t="shared" si="33"/>
        <v>0.12974938439233194</v>
      </c>
      <c r="M83" s="46">
        <f t="shared" si="33"/>
        <v>0.12974938439233194</v>
      </c>
      <c r="N83" s="46">
        <f t="shared" si="33"/>
        <v>0.12974938439233194</v>
      </c>
      <c r="O83" s="46">
        <f t="shared" si="33"/>
        <v>0.12974938439233194</v>
      </c>
      <c r="P83" s="46">
        <f t="shared" si="33"/>
        <v>0.12974938439233194</v>
      </c>
      <c r="Q83" s="46">
        <f t="shared" si="33"/>
        <v>0.12974938439233194</v>
      </c>
    </row>
    <row r="84" spans="2:17" ht="15.75" customHeight="1" x14ac:dyDescent="0.25">
      <c r="B84" s="31" t="s">
        <v>109</v>
      </c>
      <c r="C84" s="39"/>
      <c r="D84" s="39"/>
      <c r="E84" s="39"/>
      <c r="F84" s="43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</row>
    <row r="85" spans="2:17" ht="15.75" customHeight="1" x14ac:dyDescent="0.25">
      <c r="B85" s="36" t="s">
        <v>110</v>
      </c>
      <c r="C85" s="39">
        <f>C170/C124</f>
        <v>5.3343564085854223E-2</v>
      </c>
      <c r="D85" s="39">
        <f>D170/D124</f>
        <v>4.4748432925703525E-2</v>
      </c>
      <c r="E85" s="39">
        <f>E170/E124</f>
        <v>3.9229442284765353E-2</v>
      </c>
      <c r="F85" s="43">
        <f>F170/F124</f>
        <v>3.0638467616351764E-2</v>
      </c>
      <c r="G85" s="46">
        <f>AVERAGE(C85:F85)</f>
        <v>4.1989976728168718E-2</v>
      </c>
      <c r="H85" s="46">
        <v>4.1989976728168697E-2</v>
      </c>
      <c r="I85" s="46">
        <v>4.1989976728168697E-2</v>
      </c>
      <c r="J85" s="46">
        <v>4.1989976728168697E-2</v>
      </c>
      <c r="K85" s="46">
        <v>4.1989976728168697E-2</v>
      </c>
      <c r="L85" s="46">
        <v>4.1989976728168697E-2</v>
      </c>
      <c r="M85" s="46">
        <v>4.1989976728168697E-2</v>
      </c>
      <c r="N85" s="46">
        <v>4.1989976728168697E-2</v>
      </c>
      <c r="O85" s="46">
        <v>4.1989976728168697E-2</v>
      </c>
      <c r="P85" s="46">
        <v>4.1989976728168697E-2</v>
      </c>
      <c r="Q85" s="46">
        <v>4.1989976728168697E-2</v>
      </c>
    </row>
    <row r="86" spans="2:17" ht="15.75" customHeight="1" x14ac:dyDescent="0.25">
      <c r="B86" s="1" t="s">
        <v>111</v>
      </c>
      <c r="C86" s="39">
        <f>C172/C124</f>
        <v>1.3002165275704764E-2</v>
      </c>
      <c r="D86" s="39">
        <f>D172/D124</f>
        <v>1.8432720569919788E-2</v>
      </c>
      <c r="E86" s="39">
        <f>E172/E124</f>
        <v>1.4341946641742173E-2</v>
      </c>
      <c r="F86" s="43">
        <f>F172/F124</f>
        <v>9.6042467340191305E-3</v>
      </c>
      <c r="G86" s="46">
        <f>AVERAGE(C86:F86)</f>
        <v>1.3845269805346463E-2</v>
      </c>
      <c r="H86" s="46">
        <v>1.38452698053465E-2</v>
      </c>
      <c r="I86" s="46">
        <v>1.38452698053465E-2</v>
      </c>
      <c r="J86" s="46">
        <v>1.38452698053465E-2</v>
      </c>
      <c r="K86" s="46">
        <v>1.38452698053465E-2</v>
      </c>
      <c r="L86" s="46">
        <v>1.38452698053465E-2</v>
      </c>
      <c r="M86" s="46">
        <v>1.38452698053465E-2</v>
      </c>
      <c r="N86" s="46">
        <v>1.38452698053465E-2</v>
      </c>
      <c r="O86" s="46">
        <v>1.38452698053465E-2</v>
      </c>
      <c r="P86" s="46">
        <v>1.38452698053465E-2</v>
      </c>
      <c r="Q86" s="46">
        <v>1.38452698053465E-2</v>
      </c>
    </row>
    <row r="87" spans="2:17" ht="15.75" customHeight="1" x14ac:dyDescent="0.25">
      <c r="B87" s="1" t="s">
        <v>112</v>
      </c>
      <c r="C87" s="39">
        <f>C182/C124</f>
        <v>-6.4968782190081759E-2</v>
      </c>
      <c r="D87" s="39">
        <f>D182/D124</f>
        <v>-0.10104295790951262</v>
      </c>
      <c r="E87" s="39">
        <f>E182/E124</f>
        <v>-0.11229344599679862</v>
      </c>
      <c r="F87" s="43">
        <f>F182/F124</f>
        <v>-0.12029856013010225</v>
      </c>
      <c r="G87" s="46">
        <f>AVERAGE(C87:F87)</f>
        <v>-9.9650936556623812E-2</v>
      </c>
      <c r="H87" s="46">
        <v>-9.9650936556623798E-2</v>
      </c>
      <c r="I87" s="46">
        <v>-9.9650936556623798E-2</v>
      </c>
      <c r="J87" s="46">
        <v>-9.9650936556623798E-2</v>
      </c>
      <c r="K87" s="46">
        <v>-9.9650936556623798E-2</v>
      </c>
      <c r="L87" s="46">
        <v>-9.9650936556623798E-2</v>
      </c>
      <c r="M87" s="46">
        <v>-9.9650936556623798E-2</v>
      </c>
      <c r="N87" s="46">
        <v>-9.9650936556623798E-2</v>
      </c>
      <c r="O87" s="46">
        <v>-9.9650936556623798E-2</v>
      </c>
      <c r="P87" s="46">
        <v>-9.9650936556623798E-2</v>
      </c>
      <c r="Q87" s="46">
        <v>-9.9650936556623798E-2</v>
      </c>
    </row>
    <row r="88" spans="2:17" ht="15.75" customHeight="1" x14ac:dyDescent="0.25">
      <c r="B88" s="1" t="s">
        <v>113</v>
      </c>
      <c r="C88" s="39">
        <f>C191/C134</f>
        <v>-0.56619907763259036</v>
      </c>
      <c r="D88" s="39">
        <f>D191/D134</f>
        <v>-0.81406049935979508</v>
      </c>
      <c r="E88" s="39">
        <f>E191/E134</f>
        <v>-0.44193051870178196</v>
      </c>
      <c r="F88" s="43">
        <f>F191/F134</f>
        <v>-0.2608463942249461</v>
      </c>
      <c r="G88" s="46">
        <f>AVERAGE(C88:F88)</f>
        <v>-0.5207591224797784</v>
      </c>
      <c r="H88" s="46">
        <v>-0.52075912247977796</v>
      </c>
      <c r="I88" s="46">
        <v>-0.52075912247977796</v>
      </c>
      <c r="J88" s="46">
        <v>-0.52075912247977796</v>
      </c>
      <c r="K88" s="46">
        <v>-0.52075912247977796</v>
      </c>
      <c r="L88" s="46">
        <v>-0.52075912247977796</v>
      </c>
      <c r="M88" s="46">
        <v>-0.52075912247977796</v>
      </c>
      <c r="N88" s="46">
        <v>-0.52075912247977796</v>
      </c>
      <c r="O88" s="46">
        <v>-0.52075912247977796</v>
      </c>
      <c r="P88" s="46">
        <v>-0.52075912247977796</v>
      </c>
      <c r="Q88" s="46">
        <v>-0.52075912247977796</v>
      </c>
    </row>
    <row r="89" spans="2:17" ht="15.75" customHeight="1" x14ac:dyDescent="0.25">
      <c r="B89" s="1" t="s">
        <v>114</v>
      </c>
      <c r="C89" s="39">
        <f>C154/(C159+C163)</f>
        <v>3.8773686276940875E-2</v>
      </c>
      <c r="D89" s="39">
        <f>D154/(D159+D163)</f>
        <v>0.12992401576136658</v>
      </c>
      <c r="E89" s="39">
        <f>E154/(E159+E163)</f>
        <v>7.9403503871638498E-2</v>
      </c>
      <c r="F89" s="43">
        <f>F154/(F159+F163)</f>
        <v>1.9024679722134952E-2</v>
      </c>
      <c r="G89" s="46">
        <v>0.02</v>
      </c>
      <c r="H89" s="46">
        <v>0.02</v>
      </c>
      <c r="I89" s="46">
        <v>0.02</v>
      </c>
      <c r="J89" s="46">
        <v>0.02</v>
      </c>
      <c r="K89" s="46">
        <v>0.02</v>
      </c>
      <c r="L89" s="46">
        <v>0.02</v>
      </c>
      <c r="M89" s="46">
        <v>0.02</v>
      </c>
      <c r="N89" s="46">
        <v>0.02</v>
      </c>
      <c r="O89" s="46">
        <v>0.02</v>
      </c>
      <c r="P89" s="46">
        <v>0.02</v>
      </c>
      <c r="Q89" s="46">
        <v>0.02</v>
      </c>
    </row>
    <row r="90" spans="2:17" ht="15.75" customHeight="1" x14ac:dyDescent="0.25">
      <c r="B90" s="1" t="s">
        <v>115</v>
      </c>
      <c r="C90" s="39"/>
      <c r="D90" s="39">
        <f>(D193)/(-D182+D129)</f>
        <v>0.54623471950109004</v>
      </c>
      <c r="E90" s="39">
        <f>(E193)/(-E182+E129)</f>
        <v>1.3692075218267294</v>
      </c>
      <c r="F90" s="43">
        <f>(F193)/(-F182+F129)</f>
        <v>1.2247802427794057</v>
      </c>
      <c r="G90" s="44">
        <v>1</v>
      </c>
      <c r="H90" s="44">
        <v>0.8</v>
      </c>
      <c r="I90" s="44">
        <v>0.6</v>
      </c>
      <c r="J90" s="44">
        <v>0.4</v>
      </c>
      <c r="K90" s="44">
        <v>0.2</v>
      </c>
      <c r="L90" s="44">
        <v>0</v>
      </c>
      <c r="M90" s="44">
        <v>0</v>
      </c>
      <c r="N90" s="44">
        <v>0</v>
      </c>
      <c r="O90" s="44">
        <v>0</v>
      </c>
      <c r="P90" s="44">
        <v>0</v>
      </c>
      <c r="Q90" s="44">
        <v>0</v>
      </c>
    </row>
    <row r="91" spans="2:17" ht="15.75" customHeight="1" x14ac:dyDescent="0.25">
      <c r="B91" s="1" t="s">
        <v>116</v>
      </c>
      <c r="C91" s="39">
        <f>C195/C124</f>
        <v>-5.2555235552565735E-2</v>
      </c>
      <c r="D91" s="39">
        <f>D195/D124</f>
        <v>-2.1978601633449668E-2</v>
      </c>
      <c r="E91" s="39">
        <f>E195/E124</f>
        <v>-5.5502889480426365E-2</v>
      </c>
      <c r="F91" s="43">
        <f>F195/F124</f>
        <v>-6.3025951411103176E-2</v>
      </c>
      <c r="G91" s="46">
        <f>AVERAGE(C91:F91)</f>
        <v>-4.826566951938624E-2</v>
      </c>
      <c r="H91" s="46">
        <v>-4.8265669519386198E-2</v>
      </c>
      <c r="I91" s="46">
        <v>-4.8265669519386198E-2</v>
      </c>
      <c r="J91" s="46">
        <v>-4.8265669519386198E-2</v>
      </c>
      <c r="K91" s="46">
        <v>-4.8265669519386198E-2</v>
      </c>
      <c r="L91" s="46">
        <v>-4.8265669519386198E-2</v>
      </c>
      <c r="M91" s="46">
        <v>-4.8265669519386198E-2</v>
      </c>
      <c r="N91" s="46">
        <v>-4.8265669519386198E-2</v>
      </c>
      <c r="O91" s="46">
        <v>-4.8265669519386198E-2</v>
      </c>
      <c r="P91" s="46">
        <v>-4.8265669519386198E-2</v>
      </c>
      <c r="Q91" s="46">
        <v>-4.8265669519386198E-2</v>
      </c>
    </row>
    <row r="92" spans="2:17" ht="15.75" customHeight="1" x14ac:dyDescent="0.25">
      <c r="B92" s="47" t="s">
        <v>117</v>
      </c>
      <c r="F92" s="48"/>
      <c r="G92" s="49">
        <v>0</v>
      </c>
      <c r="H92" s="49">
        <v>0</v>
      </c>
      <c r="I92" s="49">
        <v>0</v>
      </c>
      <c r="J92" s="49">
        <v>0</v>
      </c>
      <c r="K92" s="49">
        <v>0</v>
      </c>
      <c r="L92" s="49">
        <v>0.05</v>
      </c>
      <c r="M92" s="49">
        <v>0.05</v>
      </c>
      <c r="N92" s="49">
        <v>0.05</v>
      </c>
      <c r="O92" s="49">
        <v>0.05</v>
      </c>
      <c r="P92" s="49">
        <v>0.05</v>
      </c>
      <c r="Q92" s="49">
        <v>0.05</v>
      </c>
    </row>
    <row r="93" spans="2:17" ht="15.75" customHeight="1" x14ac:dyDescent="0.25">
      <c r="B93" s="47" t="s">
        <v>118</v>
      </c>
      <c r="F93" s="48"/>
      <c r="G93" s="50">
        <f t="shared" ref="G93:Q93" si="34">$F$131/($F$154+$F$160)</f>
        <v>1.3434345810883938E-2</v>
      </c>
      <c r="H93" s="50">
        <f t="shared" si="34"/>
        <v>1.3434345810883938E-2</v>
      </c>
      <c r="I93" s="50">
        <f t="shared" si="34"/>
        <v>1.3434345810883938E-2</v>
      </c>
      <c r="J93" s="50">
        <f t="shared" si="34"/>
        <v>1.3434345810883938E-2</v>
      </c>
      <c r="K93" s="50">
        <f t="shared" si="34"/>
        <v>1.3434345810883938E-2</v>
      </c>
      <c r="L93" s="50">
        <f t="shared" si="34"/>
        <v>1.3434345810883938E-2</v>
      </c>
      <c r="M93" s="50">
        <f t="shared" si="34"/>
        <v>1.3434345810883938E-2</v>
      </c>
      <c r="N93" s="50">
        <f t="shared" si="34"/>
        <v>1.3434345810883938E-2</v>
      </c>
      <c r="O93" s="50">
        <f t="shared" si="34"/>
        <v>1.3434345810883938E-2</v>
      </c>
      <c r="P93" s="50">
        <f t="shared" si="34"/>
        <v>1.3434345810883938E-2</v>
      </c>
      <c r="Q93" s="50">
        <f t="shared" si="34"/>
        <v>1.3434345810883938E-2</v>
      </c>
    </row>
    <row r="94" spans="2:17" ht="15.75" customHeight="1" x14ac:dyDescent="0.25">
      <c r="F94" s="48"/>
    </row>
    <row r="95" spans="2:17" ht="15.75" customHeight="1" x14ac:dyDescent="0.25">
      <c r="F95" s="48"/>
    </row>
    <row r="96" spans="2:17" ht="16.5" customHeight="1" x14ac:dyDescent="0.25">
      <c r="B96" s="51" t="s">
        <v>119</v>
      </c>
      <c r="C96" s="23" t="s">
        <v>120</v>
      </c>
      <c r="D96" s="23" t="s">
        <v>121</v>
      </c>
      <c r="E96" s="23" t="s">
        <v>122</v>
      </c>
      <c r="F96" s="40" t="s">
        <v>123</v>
      </c>
      <c r="G96" s="23" t="s">
        <v>124</v>
      </c>
      <c r="H96" s="23" t="s">
        <v>125</v>
      </c>
      <c r="I96" s="23" t="s">
        <v>126</v>
      </c>
      <c r="J96" s="23" t="s">
        <v>127</v>
      </c>
      <c r="K96" s="23" t="s">
        <v>128</v>
      </c>
      <c r="L96" s="23" t="s">
        <v>129</v>
      </c>
      <c r="M96" s="23" t="s">
        <v>130</v>
      </c>
      <c r="N96" s="23" t="s">
        <v>131</v>
      </c>
      <c r="O96" s="23" t="s">
        <v>132</v>
      </c>
      <c r="P96" s="23" t="s">
        <v>133</v>
      </c>
      <c r="Q96" s="23" t="s">
        <v>134</v>
      </c>
    </row>
    <row r="97" spans="2:17" ht="15" customHeight="1" x14ac:dyDescent="0.25">
      <c r="B97" s="52" t="s">
        <v>58</v>
      </c>
      <c r="C97" s="27">
        <f t="shared" ref="C97:C123" si="35">SUM(C5:F5)</f>
        <v>13812.7</v>
      </c>
      <c r="D97" s="27">
        <f t="shared" ref="D97:D123" si="36">SUM(G5:J5)</f>
        <v>18459.800000000003</v>
      </c>
      <c r="E97" s="27">
        <f t="shared" ref="E97:E123" si="37">SUM(K5:N5)</f>
        <v>29452.299999999996</v>
      </c>
      <c r="F97" s="53">
        <f t="shared" ref="F97:F123" si="38">SUM(O5:R5)</f>
        <v>47910.900000000009</v>
      </c>
      <c r="G97" s="27">
        <f t="shared" ref="G97:Q97" si="39">F97*(1+G64)</f>
        <v>67075.260000000009</v>
      </c>
      <c r="H97" s="27">
        <f t="shared" si="39"/>
        <v>89994.876342000003</v>
      </c>
      <c r="I97" s="27">
        <f t="shared" si="39"/>
        <v>115490.42480968861</v>
      </c>
      <c r="J97" s="27">
        <f t="shared" si="39"/>
        <v>141475.77039186857</v>
      </c>
      <c r="K97" s="27">
        <f t="shared" si="39"/>
        <v>165059.78131619308</v>
      </c>
      <c r="L97" s="27">
        <f t="shared" si="39"/>
        <v>182935.75563273681</v>
      </c>
      <c r="M97" s="27">
        <f t="shared" si="39"/>
        <v>192082.54341437365</v>
      </c>
      <c r="N97" s="27">
        <f t="shared" si="39"/>
        <v>201686.67058509233</v>
      </c>
      <c r="O97" s="27">
        <f t="shared" si="39"/>
        <v>211771.00411434696</v>
      </c>
      <c r="P97" s="27">
        <f t="shared" si="39"/>
        <v>222359.55432006432</v>
      </c>
      <c r="Q97" s="27">
        <f t="shared" si="39"/>
        <v>233477.53203606754</v>
      </c>
    </row>
    <row r="98" spans="2:17" ht="15" hidden="1" customHeight="1" x14ac:dyDescent="0.25">
      <c r="B98" s="1" t="s">
        <v>7</v>
      </c>
      <c r="C98" s="27">
        <f t="shared" si="35"/>
        <v>466.5</v>
      </c>
      <c r="D98" s="27">
        <f t="shared" si="36"/>
        <v>5163.1000000000004</v>
      </c>
      <c r="E98" s="27">
        <f t="shared" si="37"/>
        <v>11540</v>
      </c>
      <c r="F98" s="53">
        <f t="shared" si="38"/>
        <v>22965</v>
      </c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spans="2:17" ht="15" hidden="1" customHeight="1" x14ac:dyDescent="0.25">
      <c r="B99" s="1" t="s">
        <v>9</v>
      </c>
      <c r="C99" s="27">
        <f t="shared" si="35"/>
        <v>0</v>
      </c>
      <c r="D99" s="27">
        <f t="shared" si="36"/>
        <v>175.8</v>
      </c>
      <c r="E99" s="27">
        <f t="shared" si="37"/>
        <v>4925.3999999999996</v>
      </c>
      <c r="F99" s="53">
        <f t="shared" si="38"/>
        <v>13542.4</v>
      </c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</row>
    <row r="100" spans="2:17" ht="15" hidden="1" customHeight="1" x14ac:dyDescent="0.25">
      <c r="B100" s="1" t="s">
        <v>11</v>
      </c>
      <c r="C100" s="27">
        <f t="shared" si="35"/>
        <v>7439.8</v>
      </c>
      <c r="D100" s="27">
        <f t="shared" si="36"/>
        <v>7132.5</v>
      </c>
      <c r="E100" s="27">
        <f t="shared" si="37"/>
        <v>5253.5</v>
      </c>
      <c r="F100" s="53">
        <f t="shared" si="38"/>
        <v>4276</v>
      </c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</row>
    <row r="101" spans="2:17" ht="15" hidden="1" customHeight="1" x14ac:dyDescent="0.25">
      <c r="B101" s="28" t="s">
        <v>13</v>
      </c>
      <c r="C101" s="27">
        <f t="shared" si="35"/>
        <v>0</v>
      </c>
      <c r="D101" s="27">
        <f t="shared" si="36"/>
        <v>0</v>
      </c>
      <c r="E101" s="27">
        <f t="shared" si="37"/>
        <v>0</v>
      </c>
      <c r="F101" s="53">
        <f t="shared" si="38"/>
        <v>0</v>
      </c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</row>
    <row r="102" spans="2:17" ht="15" hidden="1" customHeight="1" x14ac:dyDescent="0.25">
      <c r="B102" s="28" t="s">
        <v>16</v>
      </c>
      <c r="C102" s="27">
        <f t="shared" si="35"/>
        <v>0</v>
      </c>
      <c r="D102" s="27">
        <f t="shared" si="36"/>
        <v>0</v>
      </c>
      <c r="E102" s="27">
        <f t="shared" si="37"/>
        <v>0</v>
      </c>
      <c r="F102" s="53">
        <f t="shared" si="38"/>
        <v>0</v>
      </c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</row>
    <row r="103" spans="2:17" ht="15" hidden="1" customHeight="1" x14ac:dyDescent="0.25">
      <c r="B103" s="1" t="s">
        <v>18</v>
      </c>
      <c r="C103" s="27">
        <f t="shared" si="35"/>
        <v>760.40000000000009</v>
      </c>
      <c r="D103" s="27">
        <f t="shared" si="36"/>
        <v>728.3</v>
      </c>
      <c r="E103" s="27">
        <f t="shared" si="37"/>
        <v>676.9</v>
      </c>
      <c r="F103" s="53">
        <f t="shared" si="38"/>
        <v>657.7</v>
      </c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</row>
    <row r="104" spans="2:17" ht="15" hidden="1" customHeight="1" x14ac:dyDescent="0.25">
      <c r="B104" s="1" t="s">
        <v>19</v>
      </c>
      <c r="C104" s="27">
        <f t="shared" si="35"/>
        <v>2060.6000000000004</v>
      </c>
      <c r="D104" s="27">
        <f t="shared" si="36"/>
        <v>1663.2999999999997</v>
      </c>
      <c r="E104" s="27">
        <f t="shared" si="37"/>
        <v>2324.8000000000002</v>
      </c>
      <c r="F104" s="53">
        <f t="shared" si="38"/>
        <v>2233.5</v>
      </c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</row>
    <row r="105" spans="2:17" ht="15" hidden="1" customHeight="1" x14ac:dyDescent="0.25">
      <c r="B105" s="1" t="s">
        <v>59</v>
      </c>
      <c r="C105" s="27">
        <f t="shared" si="35"/>
        <v>1019.4000000000001</v>
      </c>
      <c r="D105" s="27">
        <f t="shared" si="36"/>
        <v>852.10000000000014</v>
      </c>
      <c r="E105" s="27">
        <f t="shared" si="37"/>
        <v>917.2</v>
      </c>
      <c r="F105" s="53">
        <f t="shared" si="38"/>
        <v>805.3</v>
      </c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</row>
    <row r="106" spans="2:17" ht="15" hidden="1" customHeight="1" x14ac:dyDescent="0.25">
      <c r="B106" s="1" t="s">
        <v>21</v>
      </c>
      <c r="C106" s="27">
        <f t="shared" si="35"/>
        <v>2066</v>
      </c>
      <c r="D106" s="27">
        <f t="shared" si="36"/>
        <v>2744.7</v>
      </c>
      <c r="E106" s="27">
        <f t="shared" si="37"/>
        <v>3814.5</v>
      </c>
      <c r="F106" s="53">
        <f t="shared" si="38"/>
        <v>3431</v>
      </c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</row>
    <row r="107" spans="2:17" ht="15.75" customHeight="1" x14ac:dyDescent="0.25">
      <c r="B107" s="52" t="s">
        <v>60</v>
      </c>
      <c r="C107" s="27">
        <f t="shared" si="35"/>
        <v>4221.5</v>
      </c>
      <c r="D107" s="27">
        <f t="shared" si="36"/>
        <v>6081.5</v>
      </c>
      <c r="E107" s="27">
        <f t="shared" si="37"/>
        <v>8134.7</v>
      </c>
      <c r="F107" s="53">
        <f t="shared" si="38"/>
        <v>8965.4000000000015</v>
      </c>
      <c r="G107" s="27">
        <f t="shared" ref="G107:Q107" si="40">F107*(1+G65)</f>
        <v>11206.750000000002</v>
      </c>
      <c r="H107" s="27">
        <f t="shared" si="40"/>
        <v>13635.252725</v>
      </c>
      <c r="I107" s="27">
        <f t="shared" si="40"/>
        <v>16134.5945494925</v>
      </c>
      <c r="J107" s="27">
        <f t="shared" si="40"/>
        <v>18554.783731916374</v>
      </c>
      <c r="K107" s="27">
        <f t="shared" si="40"/>
        <v>20720.126993431015</v>
      </c>
      <c r="L107" s="27">
        <f t="shared" si="40"/>
        <v>22446.113571983817</v>
      </c>
      <c r="M107" s="27">
        <f t="shared" si="40"/>
        <v>23568.419250583007</v>
      </c>
      <c r="N107" s="27">
        <f t="shared" si="40"/>
        <v>24746.840213112158</v>
      </c>
      <c r="O107" s="27">
        <f t="shared" si="40"/>
        <v>25984.182223767766</v>
      </c>
      <c r="P107" s="27">
        <f t="shared" si="40"/>
        <v>27283.391334956155</v>
      </c>
      <c r="Q107" s="27">
        <f t="shared" si="40"/>
        <v>28647.560901703964</v>
      </c>
    </row>
    <row r="108" spans="2:17" ht="15.75" hidden="1" customHeight="1" x14ac:dyDescent="0.25">
      <c r="B108" s="1" t="s">
        <v>23</v>
      </c>
      <c r="C108" s="27">
        <f t="shared" si="35"/>
        <v>2483.6000000000004</v>
      </c>
      <c r="D108" s="27">
        <f t="shared" si="36"/>
        <v>3863.2999999999997</v>
      </c>
      <c r="E108" s="27">
        <f t="shared" si="37"/>
        <v>5306.5</v>
      </c>
      <c r="F108" s="53">
        <f t="shared" si="38"/>
        <v>5722.4</v>
      </c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</row>
    <row r="109" spans="2:17" ht="15.75" hidden="1" customHeight="1" x14ac:dyDescent="0.25">
      <c r="B109" s="1" t="s">
        <v>24</v>
      </c>
      <c r="C109" s="27">
        <f t="shared" si="35"/>
        <v>971.5</v>
      </c>
      <c r="D109" s="27">
        <f t="shared" si="36"/>
        <v>974.80000000000007</v>
      </c>
      <c r="E109" s="27">
        <f t="shared" si="37"/>
        <v>973.4</v>
      </c>
      <c r="F109" s="53">
        <f t="shared" si="38"/>
        <v>982.7</v>
      </c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</row>
    <row r="110" spans="2:17" ht="15.75" hidden="1" customHeight="1" x14ac:dyDescent="0.25">
      <c r="B110" s="1" t="s">
        <v>25</v>
      </c>
      <c r="C110" s="27">
        <f t="shared" si="35"/>
        <v>408.4</v>
      </c>
      <c r="D110" s="27">
        <f t="shared" si="36"/>
        <v>596.5</v>
      </c>
      <c r="E110" s="27">
        <f t="shared" si="37"/>
        <v>627.4</v>
      </c>
      <c r="F110" s="53">
        <f t="shared" si="38"/>
        <v>706.3</v>
      </c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</row>
    <row r="111" spans="2:17" ht="15.75" hidden="1" customHeight="1" x14ac:dyDescent="0.25">
      <c r="B111" s="1" t="s">
        <v>27</v>
      </c>
      <c r="C111" s="27">
        <f t="shared" si="35"/>
        <v>64.599999999999994</v>
      </c>
      <c r="D111" s="27">
        <f t="shared" si="36"/>
        <v>253.60000000000002</v>
      </c>
      <c r="E111" s="27">
        <f t="shared" si="37"/>
        <v>364.4</v>
      </c>
      <c r="F111" s="53">
        <f t="shared" si="38"/>
        <v>445.3</v>
      </c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</row>
    <row r="112" spans="2:17" ht="15.75" hidden="1" customHeight="1" x14ac:dyDescent="0.25">
      <c r="B112" s="1" t="s">
        <v>28</v>
      </c>
      <c r="C112" s="27">
        <f t="shared" si="35"/>
        <v>293.39999999999998</v>
      </c>
      <c r="D112" s="27">
        <f t="shared" si="36"/>
        <v>393.29999999999995</v>
      </c>
      <c r="E112" s="27">
        <f t="shared" si="37"/>
        <v>525.9</v>
      </c>
      <c r="F112" s="53">
        <f t="shared" si="38"/>
        <v>552.6</v>
      </c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</row>
    <row r="113" spans="2:17" ht="15.75" hidden="1" customHeight="1" x14ac:dyDescent="0.25">
      <c r="B113" s="1" t="s">
        <v>30</v>
      </c>
      <c r="C113" s="27">
        <f t="shared" si="35"/>
        <v>0</v>
      </c>
      <c r="D113" s="27">
        <f t="shared" si="36"/>
        <v>0</v>
      </c>
      <c r="E113" s="27">
        <f t="shared" si="37"/>
        <v>337.1</v>
      </c>
      <c r="F113" s="53">
        <f t="shared" si="38"/>
        <v>511.1</v>
      </c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</row>
    <row r="114" spans="2:17" ht="15.75" hidden="1" customHeight="1" x14ac:dyDescent="0.25">
      <c r="B114" s="1" t="s">
        <v>31</v>
      </c>
      <c r="C114" s="27">
        <f t="shared" si="35"/>
        <v>0</v>
      </c>
      <c r="D114" s="27">
        <f t="shared" si="36"/>
        <v>0</v>
      </c>
      <c r="E114" s="27">
        <f t="shared" si="37"/>
        <v>0</v>
      </c>
      <c r="F114" s="53">
        <f t="shared" si="38"/>
        <v>45</v>
      </c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</row>
    <row r="115" spans="2:17" ht="15.75" customHeight="1" x14ac:dyDescent="0.25">
      <c r="B115" s="52" t="s">
        <v>61</v>
      </c>
      <c r="C115" s="27">
        <f t="shared" si="35"/>
        <v>3312.5</v>
      </c>
      <c r="D115" s="27">
        <f t="shared" si="36"/>
        <v>3682.3999999999996</v>
      </c>
      <c r="E115" s="27">
        <f t="shared" si="37"/>
        <v>4393</v>
      </c>
      <c r="F115" s="53">
        <f t="shared" si="38"/>
        <v>5241.6000000000004</v>
      </c>
      <c r="G115" s="27">
        <f t="shared" ref="G115:Q115" si="41">F115*(1+G66)</f>
        <v>6027.84</v>
      </c>
      <c r="H115" s="27">
        <f t="shared" si="41"/>
        <v>6831.3510720000004</v>
      </c>
      <c r="I115" s="27">
        <f t="shared" si="41"/>
        <v>7628.5697421024006</v>
      </c>
      <c r="J115" s="27">
        <f t="shared" si="41"/>
        <v>8391.4267163126406</v>
      </c>
      <c r="K115" s="27">
        <f t="shared" si="41"/>
        <v>9090.4325617814829</v>
      </c>
      <c r="L115" s="27">
        <f t="shared" si="41"/>
        <v>9696.7644136523086</v>
      </c>
      <c r="M115" s="27">
        <f t="shared" si="41"/>
        <v>10181.602634334924</v>
      </c>
      <c r="N115" s="27">
        <f t="shared" si="41"/>
        <v>10690.68276605167</v>
      </c>
      <c r="O115" s="27">
        <f t="shared" si="41"/>
        <v>11225.216904354254</v>
      </c>
      <c r="P115" s="27">
        <f t="shared" si="41"/>
        <v>11786.477749571968</v>
      </c>
      <c r="Q115" s="27">
        <f t="shared" si="41"/>
        <v>12375.801637050567</v>
      </c>
    </row>
    <row r="116" spans="2:17" ht="15.75" hidden="1" customHeight="1" x14ac:dyDescent="0.25">
      <c r="B116" s="1" t="s">
        <v>32</v>
      </c>
      <c r="C116" s="27">
        <f t="shared" si="35"/>
        <v>0</v>
      </c>
      <c r="D116" s="27">
        <f t="shared" si="36"/>
        <v>0</v>
      </c>
      <c r="E116" s="27">
        <f t="shared" si="37"/>
        <v>42.7</v>
      </c>
      <c r="F116" s="53">
        <f t="shared" si="38"/>
        <v>406.20000000000005</v>
      </c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</row>
    <row r="117" spans="2:17" ht="15.75" hidden="1" customHeight="1" x14ac:dyDescent="0.25">
      <c r="B117" s="1" t="s">
        <v>33</v>
      </c>
      <c r="C117" s="27">
        <f t="shared" si="35"/>
        <v>830.5</v>
      </c>
      <c r="D117" s="27">
        <f t="shared" si="36"/>
        <v>922.7</v>
      </c>
      <c r="E117" s="27">
        <f t="shared" si="37"/>
        <v>957.50000000000011</v>
      </c>
      <c r="F117" s="53">
        <f t="shared" si="38"/>
        <v>1005.6</v>
      </c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</row>
    <row r="118" spans="2:17" ht="15.75" hidden="1" customHeight="1" x14ac:dyDescent="0.25">
      <c r="B118" s="1" t="s">
        <v>34</v>
      </c>
      <c r="C118" s="27">
        <f t="shared" si="35"/>
        <v>0</v>
      </c>
      <c r="D118" s="27">
        <f t="shared" si="36"/>
        <v>0</v>
      </c>
      <c r="E118" s="27">
        <f t="shared" si="37"/>
        <v>132.4</v>
      </c>
      <c r="F118" s="53">
        <f t="shared" si="38"/>
        <v>266.8</v>
      </c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</row>
    <row r="119" spans="2:17" ht="15.75" hidden="1" customHeight="1" x14ac:dyDescent="0.25">
      <c r="B119" s="1" t="s">
        <v>35</v>
      </c>
      <c r="C119" s="27">
        <f t="shared" si="35"/>
        <v>2482</v>
      </c>
      <c r="D119" s="27">
        <f t="shared" si="36"/>
        <v>2759.7000000000003</v>
      </c>
      <c r="E119" s="27">
        <f t="shared" si="37"/>
        <v>3260.4</v>
      </c>
      <c r="F119" s="53">
        <f t="shared" si="38"/>
        <v>3563</v>
      </c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</row>
    <row r="120" spans="2:17" ht="15.75" customHeight="1" x14ac:dyDescent="0.25">
      <c r="B120" s="52" t="s">
        <v>62</v>
      </c>
      <c r="C120" s="27">
        <f t="shared" si="35"/>
        <v>650.9</v>
      </c>
      <c r="D120" s="27">
        <f t="shared" si="36"/>
        <v>678.2</v>
      </c>
      <c r="E120" s="27">
        <f t="shared" si="37"/>
        <v>879.7</v>
      </c>
      <c r="F120" s="53">
        <f t="shared" si="38"/>
        <v>1012.08</v>
      </c>
      <c r="G120" s="27">
        <f t="shared" ref="G120:Q120" si="42">F120*(1+G67)</f>
        <v>1315.7040000000002</v>
      </c>
      <c r="H120" s="27">
        <f t="shared" si="42"/>
        <v>1662.1288632000003</v>
      </c>
      <c r="I120" s="27">
        <f t="shared" si="42"/>
        <v>2038.9334764874407</v>
      </c>
      <c r="J120" s="27">
        <f t="shared" si="42"/>
        <v>2426.3308370200543</v>
      </c>
      <c r="K120" s="27">
        <f t="shared" si="42"/>
        <v>2798.2873543352284</v>
      </c>
      <c r="L120" s="27">
        <f t="shared" si="42"/>
        <v>3124.8474885861497</v>
      </c>
      <c r="M120" s="27">
        <f t="shared" si="42"/>
        <v>3374.8352876730419</v>
      </c>
      <c r="N120" s="27">
        <f t="shared" si="42"/>
        <v>3644.8221106868855</v>
      </c>
      <c r="O120" s="27">
        <f t="shared" si="42"/>
        <v>3936.4078795418368</v>
      </c>
      <c r="P120" s="27">
        <f t="shared" si="42"/>
        <v>4251.3205099051838</v>
      </c>
      <c r="Q120" s="27">
        <f t="shared" si="42"/>
        <v>4591.426150697599</v>
      </c>
    </row>
    <row r="121" spans="2:17" ht="15.75" hidden="1" customHeight="1" x14ac:dyDescent="0.25">
      <c r="B121" s="1" t="s">
        <v>36</v>
      </c>
      <c r="C121" s="27">
        <f t="shared" si="35"/>
        <v>650.9</v>
      </c>
      <c r="D121" s="27">
        <f t="shared" si="36"/>
        <v>678.2</v>
      </c>
      <c r="E121" s="27">
        <f t="shared" si="37"/>
        <v>870.40000000000009</v>
      </c>
      <c r="F121" s="53">
        <f t="shared" si="38"/>
        <v>776.18000000000006</v>
      </c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</row>
    <row r="122" spans="2:17" ht="15.75" hidden="1" customHeight="1" x14ac:dyDescent="0.25">
      <c r="B122" s="1" t="s">
        <v>37</v>
      </c>
      <c r="C122" s="27">
        <f t="shared" si="35"/>
        <v>0</v>
      </c>
      <c r="D122" s="27">
        <f t="shared" si="36"/>
        <v>0</v>
      </c>
      <c r="E122" s="27">
        <f t="shared" si="37"/>
        <v>9.3000000000000007</v>
      </c>
      <c r="F122" s="53">
        <f t="shared" si="38"/>
        <v>235.9</v>
      </c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</row>
    <row r="123" spans="2:17" ht="15.75" customHeight="1" x14ac:dyDescent="0.25">
      <c r="B123" s="1" t="s">
        <v>135</v>
      </c>
      <c r="C123" s="27">
        <f t="shared" si="35"/>
        <v>6543.800000000002</v>
      </c>
      <c r="D123" s="27">
        <f t="shared" si="36"/>
        <v>5222.2</v>
      </c>
      <c r="E123" s="27">
        <f t="shared" si="37"/>
        <v>2182.9999999999991</v>
      </c>
      <c r="F123" s="53">
        <f t="shared" si="38"/>
        <v>2049.5199999999986</v>
      </c>
      <c r="G123" s="27">
        <f t="shared" ref="G123:Q123" si="43">F123*(1+G68)</f>
        <v>2008.5295999999987</v>
      </c>
      <c r="H123" s="27">
        <f t="shared" si="43"/>
        <v>1968.3590079999988</v>
      </c>
      <c r="I123" s="27">
        <f t="shared" si="43"/>
        <v>1928.9918278399987</v>
      </c>
      <c r="J123" s="27">
        <f t="shared" si="43"/>
        <v>1890.4119912831986</v>
      </c>
      <c r="K123" s="27">
        <f t="shared" si="43"/>
        <v>1852.6037514575346</v>
      </c>
      <c r="L123" s="27">
        <f t="shared" si="43"/>
        <v>1815.5516764283839</v>
      </c>
      <c r="M123" s="27">
        <f t="shared" si="43"/>
        <v>1779.2406428998161</v>
      </c>
      <c r="N123" s="27">
        <f t="shared" si="43"/>
        <v>1743.6558300418196</v>
      </c>
      <c r="O123" s="27">
        <f t="shared" si="43"/>
        <v>1708.7827134409831</v>
      </c>
      <c r="P123" s="27">
        <f t="shared" si="43"/>
        <v>1674.6070591721634</v>
      </c>
      <c r="Q123" s="27">
        <f t="shared" si="43"/>
        <v>1641.1149179887202</v>
      </c>
    </row>
    <row r="124" spans="2:17" ht="15.75" customHeight="1" x14ac:dyDescent="0.25">
      <c r="B124" s="31" t="s">
        <v>64</v>
      </c>
      <c r="C124" s="32">
        <f t="shared" ref="C124:Q124" si="44">C97+C107+C115+C120+C123</f>
        <v>28541.400000000005</v>
      </c>
      <c r="D124" s="32">
        <f t="shared" si="44"/>
        <v>34124.100000000006</v>
      </c>
      <c r="E124" s="32">
        <f t="shared" si="44"/>
        <v>45042.69999999999</v>
      </c>
      <c r="F124" s="54">
        <f t="shared" si="44"/>
        <v>65179.500000000007</v>
      </c>
      <c r="G124" s="32">
        <f t="shared" si="44"/>
        <v>87634.083599999998</v>
      </c>
      <c r="H124" s="32">
        <f t="shared" si="44"/>
        <v>114091.96801020001</v>
      </c>
      <c r="I124" s="32">
        <f t="shared" si="44"/>
        <v>143221.51440561094</v>
      </c>
      <c r="J124" s="32">
        <f t="shared" si="44"/>
        <v>172738.72366840087</v>
      </c>
      <c r="K124" s="32">
        <f t="shared" si="44"/>
        <v>199521.23197719833</v>
      </c>
      <c r="L124" s="32">
        <f t="shared" si="44"/>
        <v>220019.03278338746</v>
      </c>
      <c r="M124" s="32">
        <f t="shared" si="44"/>
        <v>230986.64122986447</v>
      </c>
      <c r="N124" s="32">
        <f t="shared" si="44"/>
        <v>242512.67150498487</v>
      </c>
      <c r="O124" s="32">
        <f t="shared" si="44"/>
        <v>254625.59383545179</v>
      </c>
      <c r="P124" s="32">
        <f t="shared" si="44"/>
        <v>267355.35097366979</v>
      </c>
      <c r="Q124" s="32">
        <f t="shared" si="44"/>
        <v>280733.43564350833</v>
      </c>
    </row>
    <row r="125" spans="2:17" ht="15.75" customHeight="1" x14ac:dyDescent="0.25">
      <c r="B125" s="1" t="s">
        <v>65</v>
      </c>
      <c r="C125" s="27">
        <f t="shared" ref="C125:C134" si="45">SUM(C33:F33)</f>
        <v>6629.7999999999993</v>
      </c>
      <c r="D125" s="27">
        <f t="shared" ref="D125:D134" si="46">SUM(G33:J33)</f>
        <v>7082.2000000000007</v>
      </c>
      <c r="E125" s="27">
        <f t="shared" ref="E125:E134" si="47">SUM(K33:N33)</f>
        <v>8418.2999999999993</v>
      </c>
      <c r="F125" s="53">
        <f t="shared" ref="F125:F134" si="48">SUM(O33:R33)</f>
        <v>11052.8</v>
      </c>
      <c r="G125" s="27">
        <f t="shared" ref="G125:Q125" si="49">G124*(1-$G$69)</f>
        <v>17110.341989433731</v>
      </c>
      <c r="H125" s="27">
        <f t="shared" si="49"/>
        <v>22276.179663297757</v>
      </c>
      <c r="I125" s="27">
        <f t="shared" si="49"/>
        <v>27963.652851213395</v>
      </c>
      <c r="J125" s="27">
        <f t="shared" si="49"/>
        <v>33726.816272483164</v>
      </c>
      <c r="K125" s="27">
        <f t="shared" si="49"/>
        <v>38956.035974146995</v>
      </c>
      <c r="L125" s="27">
        <f t="shared" si="49"/>
        <v>42958.181799349484</v>
      </c>
      <c r="M125" s="27">
        <f t="shared" si="49"/>
        <v>45099.580711923081</v>
      </c>
      <c r="N125" s="27">
        <f t="shared" si="49"/>
        <v>47350.01013032208</v>
      </c>
      <c r="O125" s="27">
        <f t="shared" si="49"/>
        <v>49715.028797165738</v>
      </c>
      <c r="P125" s="27">
        <f t="shared" si="49"/>
        <v>52200.482962140253</v>
      </c>
      <c r="Q125" s="27">
        <f t="shared" si="49"/>
        <v>54812.521503096003</v>
      </c>
    </row>
    <row r="126" spans="2:17" ht="15.75" customHeight="1" x14ac:dyDescent="0.25">
      <c r="B126" s="31" t="s">
        <v>66</v>
      </c>
      <c r="C126" s="32">
        <f t="shared" si="45"/>
        <v>21911.599999999999</v>
      </c>
      <c r="D126" s="32">
        <f t="shared" si="46"/>
        <v>27041.9</v>
      </c>
      <c r="E126" s="32">
        <f t="shared" si="47"/>
        <v>36624.399999999994</v>
      </c>
      <c r="F126" s="54">
        <f t="shared" si="48"/>
        <v>54126.7</v>
      </c>
      <c r="G126" s="32">
        <f t="shared" ref="G126:Q126" si="50">G124*($G$69)</f>
        <v>70523.741610566271</v>
      </c>
      <c r="H126" s="32">
        <f t="shared" si="50"/>
        <v>91815.788346902264</v>
      </c>
      <c r="I126" s="32">
        <f t="shared" si="50"/>
        <v>115257.86155439755</v>
      </c>
      <c r="J126" s="32">
        <f t="shared" si="50"/>
        <v>139011.90739591772</v>
      </c>
      <c r="K126" s="32">
        <f t="shared" si="50"/>
        <v>160565.19600305133</v>
      </c>
      <c r="L126" s="32">
        <f t="shared" si="50"/>
        <v>177060.85098403797</v>
      </c>
      <c r="M126" s="32">
        <f t="shared" si="50"/>
        <v>185887.0605179414</v>
      </c>
      <c r="N126" s="32">
        <f t="shared" si="50"/>
        <v>195162.6613746628</v>
      </c>
      <c r="O126" s="32">
        <f t="shared" si="50"/>
        <v>204910.56503828606</v>
      </c>
      <c r="P126" s="32">
        <f t="shared" si="50"/>
        <v>215154.86801152953</v>
      </c>
      <c r="Q126" s="32">
        <f t="shared" si="50"/>
        <v>225920.91414041232</v>
      </c>
    </row>
    <row r="127" spans="2:17" ht="15.75" customHeight="1" x14ac:dyDescent="0.25">
      <c r="B127" s="1" t="s">
        <v>67</v>
      </c>
      <c r="C127" s="27">
        <f t="shared" si="45"/>
        <v>7190.7999999999993</v>
      </c>
      <c r="D127" s="27">
        <f t="shared" si="46"/>
        <v>9313.4000000000015</v>
      </c>
      <c r="E127" s="27">
        <f t="shared" si="47"/>
        <v>10990.6</v>
      </c>
      <c r="F127" s="53">
        <f t="shared" si="48"/>
        <v>13337.3</v>
      </c>
      <c r="G127" s="27">
        <f t="shared" ref="G127:Q127" si="51">G$124*G70</f>
        <v>20773.410124291451</v>
      </c>
      <c r="H127" s="27">
        <f t="shared" si="51"/>
        <v>27045.176328670201</v>
      </c>
      <c r="I127" s="27">
        <f t="shared" si="51"/>
        <v>33950.252403505161</v>
      </c>
      <c r="J127" s="27">
        <f t="shared" si="51"/>
        <v>40947.222857823574</v>
      </c>
      <c r="K127" s="27">
        <f t="shared" si="51"/>
        <v>47295.940233535293</v>
      </c>
      <c r="L127" s="27">
        <f t="shared" si="51"/>
        <v>52154.885581062139</v>
      </c>
      <c r="M127" s="27">
        <f t="shared" si="51"/>
        <v>54754.725951177104</v>
      </c>
      <c r="N127" s="27">
        <f t="shared" si="51"/>
        <v>57486.938626589574</v>
      </c>
      <c r="O127" s="27">
        <f t="shared" si="51"/>
        <v>60358.27239351764</v>
      </c>
      <c r="P127" s="27">
        <f t="shared" si="51"/>
        <v>63375.825096206361</v>
      </c>
      <c r="Q127" s="27">
        <f t="shared" si="51"/>
        <v>66547.061995225551</v>
      </c>
    </row>
    <row r="128" spans="2:17" ht="15.75" customHeight="1" x14ac:dyDescent="0.25">
      <c r="B128" s="1" t="s">
        <v>68</v>
      </c>
      <c r="C128" s="27">
        <f t="shared" si="45"/>
        <v>6440.4</v>
      </c>
      <c r="D128" s="27">
        <f t="shared" si="46"/>
        <v>7403.1</v>
      </c>
      <c r="E128" s="27">
        <f t="shared" si="47"/>
        <v>8593.7999999999993</v>
      </c>
      <c r="F128" s="53">
        <f t="shared" si="48"/>
        <v>11093.1</v>
      </c>
      <c r="G128" s="27">
        <f t="shared" ref="G128:Q128" si="52">G$124*G71</f>
        <v>17260.155724164855</v>
      </c>
      <c r="H128" s="27">
        <f t="shared" si="52"/>
        <v>22471.224138327008</v>
      </c>
      <c r="I128" s="27">
        <f t="shared" si="52"/>
        <v>28208.495372359492</v>
      </c>
      <c r="J128" s="27">
        <f t="shared" si="52"/>
        <v>34022.119563877997</v>
      </c>
      <c r="K128" s="27">
        <f t="shared" si="52"/>
        <v>39297.124962503331</v>
      </c>
      <c r="L128" s="27">
        <f t="shared" si="52"/>
        <v>43334.312542767315</v>
      </c>
      <c r="M128" s="27">
        <f t="shared" si="52"/>
        <v>45494.460991080174</v>
      </c>
      <c r="N128" s="27">
        <f t="shared" si="52"/>
        <v>47764.594588164044</v>
      </c>
      <c r="O128" s="27">
        <f t="shared" si="52"/>
        <v>50150.320747552702</v>
      </c>
      <c r="P128" s="27">
        <f t="shared" si="52"/>
        <v>52657.536907184476</v>
      </c>
      <c r="Q128" s="27">
        <f t="shared" si="52"/>
        <v>55292.445782895891</v>
      </c>
    </row>
    <row r="129" spans="2:90" ht="15.75" customHeight="1" x14ac:dyDescent="0.25">
      <c r="B129" s="1" t="s">
        <v>69</v>
      </c>
      <c r="C129" s="27">
        <f t="shared" si="45"/>
        <v>908.5</v>
      </c>
      <c r="D129" s="27">
        <f t="shared" si="46"/>
        <v>3799.7999999999997</v>
      </c>
      <c r="E129" s="27">
        <f t="shared" si="47"/>
        <v>3280.4</v>
      </c>
      <c r="F129" s="53">
        <f t="shared" si="48"/>
        <v>2909.5</v>
      </c>
      <c r="G129" s="27">
        <f t="shared" ref="G129:Q129" si="53">G$124*G72</f>
        <v>5711.5180372693967</v>
      </c>
      <c r="H129" s="27">
        <f t="shared" si="53"/>
        <v>7435.9005814698839</v>
      </c>
      <c r="I129" s="27">
        <f t="shared" si="53"/>
        <v>9334.4076784832796</v>
      </c>
      <c r="J129" s="27">
        <f t="shared" si="53"/>
        <v>11258.180555298984</v>
      </c>
      <c r="K129" s="27">
        <f t="shared" si="53"/>
        <v>13003.720338509705</v>
      </c>
      <c r="L129" s="27">
        <f t="shared" si="53"/>
        <v>14339.656702759019</v>
      </c>
      <c r="M129" s="27">
        <f t="shared" si="53"/>
        <v>15054.466408006643</v>
      </c>
      <c r="N129" s="27">
        <f t="shared" si="53"/>
        <v>15805.671043350869</v>
      </c>
      <c r="O129" s="27">
        <f t="shared" si="53"/>
        <v>16595.12614497876</v>
      </c>
      <c r="P129" s="27">
        <f t="shared" si="53"/>
        <v>17424.783220379395</v>
      </c>
      <c r="Q129" s="27">
        <f t="shared" si="53"/>
        <v>18296.694795842028</v>
      </c>
    </row>
    <row r="130" spans="2:90" ht="15.75" customHeight="1" x14ac:dyDescent="0.25">
      <c r="B130" s="1" t="s">
        <v>70</v>
      </c>
      <c r="C130" s="27">
        <f t="shared" si="45"/>
        <v>244.6</v>
      </c>
      <c r="D130" s="27">
        <f t="shared" si="46"/>
        <v>67.7</v>
      </c>
      <c r="E130" s="27">
        <f t="shared" si="47"/>
        <v>860.6</v>
      </c>
      <c r="F130" s="53">
        <f t="shared" si="48"/>
        <v>484</v>
      </c>
      <c r="G130" s="27">
        <f t="shared" ref="G130:Q130" si="54">AVERAGE(C130:F130)</f>
        <v>414.22500000000002</v>
      </c>
      <c r="H130" s="27">
        <f t="shared" si="54"/>
        <v>456.63125000000002</v>
      </c>
      <c r="I130" s="27">
        <f t="shared" si="54"/>
        <v>553.86406249999993</v>
      </c>
      <c r="J130" s="27">
        <f t="shared" si="54"/>
        <v>477.18007812500002</v>
      </c>
      <c r="K130" s="27">
        <f t="shared" si="54"/>
        <v>475.47509765625</v>
      </c>
      <c r="L130" s="27">
        <f t="shared" si="54"/>
        <v>490.78762207031252</v>
      </c>
      <c r="M130" s="27">
        <f t="shared" si="54"/>
        <v>499.32671508789065</v>
      </c>
      <c r="N130" s="27">
        <f t="shared" si="54"/>
        <v>485.69237823486333</v>
      </c>
      <c r="O130" s="27">
        <f t="shared" si="54"/>
        <v>487.82045326232912</v>
      </c>
      <c r="P130" s="27">
        <f t="shared" si="54"/>
        <v>490.90679216384888</v>
      </c>
      <c r="Q130" s="27">
        <f t="shared" si="54"/>
        <v>490.93658468723299</v>
      </c>
    </row>
    <row r="131" spans="2:90" ht="15.75" customHeight="1" x14ac:dyDescent="0.25">
      <c r="B131" s="1" t="s">
        <v>71</v>
      </c>
      <c r="C131" s="27">
        <f t="shared" si="45"/>
        <v>98.899999999999977</v>
      </c>
      <c r="D131" s="27">
        <f t="shared" si="46"/>
        <v>145.29999999999998</v>
      </c>
      <c r="E131" s="27">
        <f t="shared" si="47"/>
        <v>218.7</v>
      </c>
      <c r="F131" s="53">
        <f t="shared" si="48"/>
        <v>571</v>
      </c>
      <c r="G131" s="27">
        <f t="shared" ref="G131:Q131" si="55">(F154+F160)*G93</f>
        <v>571</v>
      </c>
      <c r="H131" s="27">
        <f t="shared" si="55"/>
        <v>766.17627898379146</v>
      </c>
      <c r="I131" s="27">
        <f t="shared" si="55"/>
        <v>975.59270347918562</v>
      </c>
      <c r="J131" s="27">
        <f t="shared" si="55"/>
        <v>1173.8169754080386</v>
      </c>
      <c r="K131" s="27">
        <f t="shared" si="55"/>
        <v>1334.9128491612373</v>
      </c>
      <c r="L131" s="27">
        <f t="shared" si="55"/>
        <v>1430.6822835433795</v>
      </c>
      <c r="M131" s="27">
        <f t="shared" si="55"/>
        <v>1367.5544877656507</v>
      </c>
      <c r="N131" s="27">
        <f t="shared" si="55"/>
        <v>1303.7994445524605</v>
      </c>
      <c r="O131" s="27">
        <f t="shared" si="55"/>
        <v>1241.9501218794317</v>
      </c>
      <c r="P131" s="27">
        <f t="shared" si="55"/>
        <v>1183.3246092179304</v>
      </c>
      <c r="Q131" s="27">
        <f t="shared" si="55"/>
        <v>1127.797981901758</v>
      </c>
    </row>
    <row r="132" spans="2:90" ht="15.75" customHeight="1" x14ac:dyDescent="0.25">
      <c r="B132" s="1" t="s">
        <v>72</v>
      </c>
      <c r="C132" s="27">
        <f t="shared" si="45"/>
        <v>6806.4</v>
      </c>
      <c r="D132" s="27">
        <f t="shared" si="46"/>
        <v>6312.6</v>
      </c>
      <c r="E132" s="27">
        <f t="shared" si="47"/>
        <v>12680.3</v>
      </c>
      <c r="F132" s="53">
        <f t="shared" si="48"/>
        <v>25731.800000000003</v>
      </c>
      <c r="G132" s="27">
        <f t="shared" ref="G132:Q132" si="56">G126-SUM(G127:G131)</f>
        <v>25793.432724840575</v>
      </c>
      <c r="H132" s="27">
        <f t="shared" si="56"/>
        <v>33640.679769451388</v>
      </c>
      <c r="I132" s="27">
        <f t="shared" si="56"/>
        <v>42235.249334070439</v>
      </c>
      <c r="J132" s="27">
        <f t="shared" si="56"/>
        <v>51133.387365384115</v>
      </c>
      <c r="K132" s="27">
        <f t="shared" si="56"/>
        <v>59158.022521685503</v>
      </c>
      <c r="L132" s="27">
        <f t="shared" si="56"/>
        <v>65310.526251835792</v>
      </c>
      <c r="M132" s="27">
        <f t="shared" si="56"/>
        <v>68716.52596482393</v>
      </c>
      <c r="N132" s="27">
        <f t="shared" si="56"/>
        <v>72315.965293770991</v>
      </c>
      <c r="O132" s="27">
        <f t="shared" si="56"/>
        <v>76077.075177095205</v>
      </c>
      <c r="P132" s="27">
        <f t="shared" si="56"/>
        <v>80022.491386377515</v>
      </c>
      <c r="Q132" s="27">
        <f t="shared" si="56"/>
        <v>84165.976999859849</v>
      </c>
    </row>
    <row r="133" spans="2:90" ht="15.75" customHeight="1" x14ac:dyDescent="0.25">
      <c r="B133" s="1" t="s">
        <v>73</v>
      </c>
      <c r="C133" s="27">
        <f t="shared" si="45"/>
        <v>561.6</v>
      </c>
      <c r="D133" s="27">
        <f t="shared" si="46"/>
        <v>1314.2</v>
      </c>
      <c r="E133" s="27">
        <f t="shared" si="47"/>
        <v>2090.4</v>
      </c>
      <c r="F133" s="53">
        <f t="shared" si="48"/>
        <v>5091.3</v>
      </c>
      <c r="G133" s="27">
        <f t="shared" ref="G133:Q133" si="57">G132*G73</f>
        <v>5158.6865449681154</v>
      </c>
      <c r="H133" s="27">
        <f t="shared" si="57"/>
        <v>6728.135953890278</v>
      </c>
      <c r="I133" s="27">
        <f t="shared" si="57"/>
        <v>8447.0498668140881</v>
      </c>
      <c r="J133" s="27">
        <f t="shared" si="57"/>
        <v>10226.677473076823</v>
      </c>
      <c r="K133" s="27">
        <f t="shared" si="57"/>
        <v>11831.604504337101</v>
      </c>
      <c r="L133" s="27">
        <f t="shared" si="57"/>
        <v>13062.10525036716</v>
      </c>
      <c r="M133" s="27">
        <f t="shared" si="57"/>
        <v>13743.305192964786</v>
      </c>
      <c r="N133" s="27">
        <f t="shared" si="57"/>
        <v>14463.193058754199</v>
      </c>
      <c r="O133" s="27">
        <f t="shared" si="57"/>
        <v>15215.415035419042</v>
      </c>
      <c r="P133" s="27">
        <f t="shared" si="57"/>
        <v>16004.498277275503</v>
      </c>
      <c r="Q133" s="27">
        <f t="shared" si="57"/>
        <v>16833.19539997197</v>
      </c>
    </row>
    <row r="134" spans="2:90" ht="15.75" customHeight="1" x14ac:dyDescent="0.25">
      <c r="B134" s="31" t="s">
        <v>74</v>
      </c>
      <c r="C134" s="32">
        <f t="shared" si="45"/>
        <v>6244.8</v>
      </c>
      <c r="D134" s="32">
        <f t="shared" si="46"/>
        <v>4998.4000000000005</v>
      </c>
      <c r="E134" s="32">
        <f t="shared" si="47"/>
        <v>10589.899999999998</v>
      </c>
      <c r="F134" s="54">
        <f t="shared" si="48"/>
        <v>20640.5</v>
      </c>
      <c r="G134" s="32">
        <f t="shared" ref="G134:Q134" si="58">G132-G133</f>
        <v>20634.746179872462</v>
      </c>
      <c r="H134" s="32">
        <f t="shared" si="58"/>
        <v>26912.543815561112</v>
      </c>
      <c r="I134" s="32">
        <f t="shared" si="58"/>
        <v>33788.199467256352</v>
      </c>
      <c r="J134" s="32">
        <f t="shared" si="58"/>
        <v>40906.709892307292</v>
      </c>
      <c r="K134" s="32">
        <f t="shared" si="58"/>
        <v>47326.418017348406</v>
      </c>
      <c r="L134" s="32">
        <f t="shared" si="58"/>
        <v>52248.421001468632</v>
      </c>
      <c r="M134" s="32">
        <f t="shared" si="58"/>
        <v>54973.220771859145</v>
      </c>
      <c r="N134" s="32">
        <f t="shared" si="58"/>
        <v>57852.77223501679</v>
      </c>
      <c r="O134" s="32">
        <f t="shared" si="58"/>
        <v>60861.660141676162</v>
      </c>
      <c r="P134" s="32">
        <f t="shared" si="58"/>
        <v>64017.993109102012</v>
      </c>
      <c r="Q134" s="32">
        <f t="shared" si="58"/>
        <v>67332.78159988788</v>
      </c>
      <c r="R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</row>
    <row r="135" spans="2:90" ht="15.75" customHeight="1" x14ac:dyDescent="0.25">
      <c r="B135" s="1" t="s">
        <v>75</v>
      </c>
      <c r="C135" s="7">
        <f t="shared" ref="C135:Q135" si="59">C134/C136</f>
        <v>6.9178516197928897</v>
      </c>
      <c r="D135" s="7">
        <f t="shared" si="59"/>
        <v>5.5428460536164792</v>
      </c>
      <c r="E135" s="7">
        <f t="shared" si="59"/>
        <v>11.711252419131874</v>
      </c>
      <c r="F135" s="55">
        <f t="shared" si="59"/>
        <v>22.951740242410764</v>
      </c>
      <c r="G135" s="7">
        <f t="shared" si="59"/>
        <v>23.061109260121519</v>
      </c>
      <c r="H135" s="7">
        <f t="shared" si="59"/>
        <v>29.971093953517581</v>
      </c>
      <c r="I135" s="7">
        <f t="shared" si="59"/>
        <v>37.628152421912525</v>
      </c>
      <c r="J135" s="7">
        <f t="shared" si="59"/>
        <v>45.555665563012738</v>
      </c>
      <c r="K135" s="7">
        <f t="shared" si="59"/>
        <v>52.70495909276508</v>
      </c>
      <c r="L135" s="7">
        <f t="shared" si="59"/>
        <v>58.186336657351333</v>
      </c>
      <c r="M135" s="7">
        <f t="shared" si="59"/>
        <v>61.152701231279984</v>
      </c>
      <c r="N135" s="7">
        <f t="shared" si="59"/>
        <v>64.284429396096215</v>
      </c>
      <c r="O135" s="7">
        <f t="shared" si="59"/>
        <v>67.552761131778851</v>
      </c>
      <c r="P135" s="7">
        <f t="shared" si="59"/>
        <v>70.97731926282168</v>
      </c>
      <c r="Q135" s="7">
        <f t="shared" si="59"/>
        <v>74.569778614417046</v>
      </c>
      <c r="R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</row>
    <row r="136" spans="2:90" ht="15.75" customHeight="1" x14ac:dyDescent="0.25">
      <c r="B136" s="1" t="s">
        <v>8</v>
      </c>
      <c r="C136" s="12">
        <f>AVERAGE(F44:I44)</f>
        <v>902.70800000000008</v>
      </c>
      <c r="D136" s="12">
        <f>AVERAGE(G44:J44)</f>
        <v>901.77499999999998</v>
      </c>
      <c r="E136" s="12">
        <f>AVERAGE(K44:N44)</f>
        <v>904.25</v>
      </c>
      <c r="F136" s="56">
        <f>AVERAGE(O44:R44)</f>
        <v>899.3</v>
      </c>
      <c r="G136" s="12">
        <f>AVERAGE(S44:T44)</f>
        <v>894.78549999999996</v>
      </c>
      <c r="H136" s="12">
        <v>897.95</v>
      </c>
      <c r="I136" s="12">
        <v>897.95</v>
      </c>
      <c r="J136" s="12">
        <v>897.95</v>
      </c>
      <c r="K136" s="12">
        <v>897.95</v>
      </c>
      <c r="L136" s="12">
        <v>897.95</v>
      </c>
      <c r="M136" s="12">
        <v>898.95</v>
      </c>
      <c r="N136" s="12">
        <v>899.95</v>
      </c>
      <c r="O136" s="12">
        <v>900.95</v>
      </c>
      <c r="P136" s="12">
        <v>901.95</v>
      </c>
      <c r="Q136" s="12">
        <v>902.95</v>
      </c>
    </row>
    <row r="137" spans="2:90" ht="15.75" customHeight="1" x14ac:dyDescent="0.25">
      <c r="F137" s="48"/>
    </row>
    <row r="138" spans="2:90" ht="16.5" customHeight="1" x14ac:dyDescent="0.25">
      <c r="B138" s="57" t="s">
        <v>136</v>
      </c>
      <c r="C138" s="58" t="s">
        <v>120</v>
      </c>
      <c r="D138" s="58" t="s">
        <v>121</v>
      </c>
      <c r="E138" s="58" t="s">
        <v>122</v>
      </c>
      <c r="F138" s="59" t="s">
        <v>123</v>
      </c>
      <c r="G138" s="58" t="s">
        <v>124</v>
      </c>
      <c r="H138" s="58" t="s">
        <v>125</v>
      </c>
      <c r="I138" s="58" t="s">
        <v>126</v>
      </c>
      <c r="J138" s="58" t="s">
        <v>127</v>
      </c>
      <c r="K138" s="58" t="s">
        <v>128</v>
      </c>
      <c r="L138" s="58" t="s">
        <v>129</v>
      </c>
      <c r="M138" s="58" t="s">
        <v>130</v>
      </c>
      <c r="N138" s="58" t="s">
        <v>131</v>
      </c>
      <c r="O138" s="58" t="s">
        <v>132</v>
      </c>
      <c r="P138" s="58" t="s">
        <v>133</v>
      </c>
      <c r="Q138" s="58" t="s">
        <v>134</v>
      </c>
    </row>
    <row r="139" spans="2:90" ht="15.75" customHeight="1" x14ac:dyDescent="0.25">
      <c r="B139" s="60" t="s">
        <v>137</v>
      </c>
      <c r="C139" s="61">
        <v>2067</v>
      </c>
      <c r="D139" s="61">
        <v>2818.6</v>
      </c>
      <c r="E139" s="61">
        <v>3268</v>
      </c>
      <c r="F139" s="62">
        <v>7268</v>
      </c>
      <c r="G139" s="61">
        <f t="shared" ref="G139:Q139" si="60">G202</f>
        <v>14581.700693774201</v>
      </c>
      <c r="H139" s="61">
        <f t="shared" si="60"/>
        <v>23809.272608289852</v>
      </c>
      <c r="I139" s="61">
        <f t="shared" si="60"/>
        <v>32159.311997256089</v>
      </c>
      <c r="J139" s="61">
        <f t="shared" si="60"/>
        <v>38343.788875923754</v>
      </c>
      <c r="K139" s="61">
        <f t="shared" si="60"/>
        <v>40948.786105848587</v>
      </c>
      <c r="L139" s="61">
        <f t="shared" si="60"/>
        <v>33743.519886339433</v>
      </c>
      <c r="M139" s="61">
        <f t="shared" si="60"/>
        <v>29131.952665518431</v>
      </c>
      <c r="N139" s="61">
        <f t="shared" si="60"/>
        <v>24843.532019142491</v>
      </c>
      <c r="O139" s="61">
        <f t="shared" si="60"/>
        <v>20977.309058564162</v>
      </c>
      <c r="P139" s="61">
        <f t="shared" si="60"/>
        <v>17530.481556622894</v>
      </c>
      <c r="Q139" s="61">
        <f t="shared" si="60"/>
        <v>14500.688145699576</v>
      </c>
    </row>
    <row r="140" spans="2:90" ht="15.75" customHeight="1" x14ac:dyDescent="0.25">
      <c r="B140" s="60" t="s">
        <v>138</v>
      </c>
      <c r="C140" s="61">
        <v>6896</v>
      </c>
      <c r="D140" s="61">
        <v>9090.5</v>
      </c>
      <c r="E140" s="61">
        <v>11006</v>
      </c>
      <c r="F140" s="62">
        <v>17760</v>
      </c>
      <c r="G140" s="61">
        <f t="shared" ref="G140:Q140" si="61">G$124*G75</f>
        <v>23878.386988792485</v>
      </c>
      <c r="H140" s="61">
        <f t="shared" si="61"/>
        <v>31087.586616361768</v>
      </c>
      <c r="I140" s="61">
        <f t="shared" si="61"/>
        <v>39024.756186280196</v>
      </c>
      <c r="J140" s="61">
        <f t="shared" si="61"/>
        <v>47067.555479112278</v>
      </c>
      <c r="K140" s="61">
        <f t="shared" si="61"/>
        <v>54365.208077923911</v>
      </c>
      <c r="L140" s="61">
        <f t="shared" si="61"/>
        <v>59950.414198221231</v>
      </c>
      <c r="M140" s="61">
        <f t="shared" si="61"/>
        <v>62938.849611340869</v>
      </c>
      <c r="N140" s="61">
        <f t="shared" si="61"/>
        <v>66079.442860539435</v>
      </c>
      <c r="O140" s="61">
        <f t="shared" si="61"/>
        <v>69379.951465071426</v>
      </c>
      <c r="P140" s="61">
        <f t="shared" si="61"/>
        <v>72848.534175505716</v>
      </c>
      <c r="Q140" s="61">
        <f t="shared" si="61"/>
        <v>76493.772076016336</v>
      </c>
    </row>
    <row r="141" spans="2:90" ht="15.75" customHeight="1" x14ac:dyDescent="0.25">
      <c r="B141" s="60" t="s">
        <v>139</v>
      </c>
      <c r="C141" s="61">
        <v>1663</v>
      </c>
      <c r="D141" s="61">
        <v>2245.6999999999998</v>
      </c>
      <c r="E141" s="61">
        <v>2270</v>
      </c>
      <c r="F141" s="62">
        <v>2395</v>
      </c>
      <c r="G141" s="61">
        <f t="shared" ref="G141:Q141" si="62">G$124*G76</f>
        <v>3220.0865336800675</v>
      </c>
      <c r="H141" s="61">
        <f t="shared" si="62"/>
        <v>4192.2730825555427</v>
      </c>
      <c r="I141" s="61">
        <f t="shared" si="62"/>
        <v>5262.629001471907</v>
      </c>
      <c r="J141" s="61">
        <f t="shared" si="62"/>
        <v>6347.2294691708285</v>
      </c>
      <c r="K141" s="61">
        <f t="shared" si="62"/>
        <v>7331.3442199677802</v>
      </c>
      <c r="L141" s="61">
        <f t="shared" si="62"/>
        <v>8084.5293921587754</v>
      </c>
      <c r="M141" s="61">
        <f t="shared" si="62"/>
        <v>8487.5306767545826</v>
      </c>
      <c r="N141" s="61">
        <f t="shared" si="62"/>
        <v>8911.0509938621599</v>
      </c>
      <c r="O141" s="61">
        <f t="shared" si="62"/>
        <v>9356.1364729079996</v>
      </c>
      <c r="P141" s="61">
        <f t="shared" si="62"/>
        <v>9823.8873508072174</v>
      </c>
      <c r="Q141" s="61">
        <f t="shared" si="62"/>
        <v>10315.46081768351</v>
      </c>
    </row>
    <row r="142" spans="2:90" ht="15.75" customHeight="1" x14ac:dyDescent="0.25">
      <c r="B142" s="60" t="s">
        <v>140</v>
      </c>
      <c r="C142" s="61">
        <v>4310</v>
      </c>
      <c r="D142" s="61">
        <v>5772.8</v>
      </c>
      <c r="E142" s="61">
        <v>7589</v>
      </c>
      <c r="F142" s="62">
        <v>13744</v>
      </c>
      <c r="G142" s="61">
        <f t="shared" ref="G142:Q142" si="63">G$125*G77</f>
        <v>21276.467528841309</v>
      </c>
      <c r="H142" s="61">
        <f t="shared" si="63"/>
        <v>27700.113391390816</v>
      </c>
      <c r="I142" s="61">
        <f t="shared" si="63"/>
        <v>34772.405615507108</v>
      </c>
      <c r="J142" s="61">
        <f t="shared" si="63"/>
        <v>41938.817571023508</v>
      </c>
      <c r="K142" s="61">
        <f t="shared" si="63"/>
        <v>48441.278085976075</v>
      </c>
      <c r="L142" s="61">
        <f t="shared" si="63"/>
        <v>53417.88964337176</v>
      </c>
      <c r="M142" s="61">
        <f t="shared" si="63"/>
        <v>56080.688812307366</v>
      </c>
      <c r="N142" s="61">
        <f t="shared" si="63"/>
        <v>58879.065868480997</v>
      </c>
      <c r="O142" s="61">
        <f t="shared" si="63"/>
        <v>61819.933029480853</v>
      </c>
      <c r="P142" s="61">
        <f t="shared" si="63"/>
        <v>64910.560023854203</v>
      </c>
      <c r="Q142" s="61">
        <f t="shared" si="63"/>
        <v>68158.592893977228</v>
      </c>
    </row>
    <row r="143" spans="2:90" ht="15.75" customHeight="1" x14ac:dyDescent="0.25">
      <c r="B143" s="60" t="s">
        <v>141</v>
      </c>
      <c r="C143" s="61">
        <v>2947</v>
      </c>
      <c r="D143" s="61">
        <v>5540.8</v>
      </c>
      <c r="E143" s="61">
        <v>8341</v>
      </c>
      <c r="F143" s="62">
        <v>14315</v>
      </c>
      <c r="G143" s="61">
        <f t="shared" ref="G143:Q143" si="64">G$124*G78</f>
        <v>19246.571494626376</v>
      </c>
      <c r="H143" s="61">
        <f t="shared" si="64"/>
        <v>25057.365000744299</v>
      </c>
      <c r="I143" s="61">
        <f t="shared" si="64"/>
        <v>31454.920315686995</v>
      </c>
      <c r="J143" s="61">
        <f t="shared" si="64"/>
        <v>37937.615804250694</v>
      </c>
      <c r="K143" s="61">
        <f t="shared" si="64"/>
        <v>43819.70459659239</v>
      </c>
      <c r="L143" s="61">
        <f t="shared" si="64"/>
        <v>48321.519101775732</v>
      </c>
      <c r="M143" s="61">
        <f t="shared" si="64"/>
        <v>50730.27208256445</v>
      </c>
      <c r="N143" s="61">
        <f t="shared" si="64"/>
        <v>53261.668048908905</v>
      </c>
      <c r="O143" s="61">
        <f t="shared" si="64"/>
        <v>55921.959753519004</v>
      </c>
      <c r="P143" s="61">
        <f t="shared" si="64"/>
        <v>58717.723351484477</v>
      </c>
      <c r="Q143" s="61">
        <f t="shared" si="64"/>
        <v>61655.875409244029</v>
      </c>
    </row>
    <row r="144" spans="2:90" ht="15.75" customHeight="1" x14ac:dyDescent="0.25">
      <c r="B144" s="60" t="s">
        <v>142</v>
      </c>
      <c r="C144" s="61">
        <v>152</v>
      </c>
      <c r="D144" s="61">
        <v>258.60000000000002</v>
      </c>
      <c r="E144" s="61">
        <v>266</v>
      </c>
      <c r="F144" s="62">
        <v>147</v>
      </c>
      <c r="G144" s="61">
        <f t="shared" ref="G144:Q144" si="65">G$124*G79</f>
        <v>197.6420544680459</v>
      </c>
      <c r="H144" s="61">
        <f t="shared" si="65"/>
        <v>257.31279462867002</v>
      </c>
      <c r="I144" s="61">
        <f t="shared" si="65"/>
        <v>323.0089616769813</v>
      </c>
      <c r="J144" s="61">
        <f t="shared" si="65"/>
        <v>389.57942879670634</v>
      </c>
      <c r="K144" s="61">
        <f t="shared" si="65"/>
        <v>449.98229659092425</v>
      </c>
      <c r="L144" s="61">
        <f t="shared" si="65"/>
        <v>496.21119860014193</v>
      </c>
      <c r="M144" s="61">
        <f t="shared" si="65"/>
        <v>520.94655928305792</v>
      </c>
      <c r="N144" s="61">
        <f t="shared" si="65"/>
        <v>546.94133448757304</v>
      </c>
      <c r="O144" s="61">
        <f t="shared" si="65"/>
        <v>574.2597334102195</v>
      </c>
      <c r="P144" s="61">
        <f t="shared" si="65"/>
        <v>602.96928624996281</v>
      </c>
      <c r="Q144" s="61">
        <f t="shared" si="65"/>
        <v>633.14101887243248</v>
      </c>
    </row>
    <row r="145" spans="2:17" ht="15.75" customHeight="1" x14ac:dyDescent="0.25">
      <c r="B145" s="63" t="s">
        <v>143</v>
      </c>
      <c r="C145" s="64">
        <v>18035</v>
      </c>
      <c r="D145" s="64">
        <v>25727</v>
      </c>
      <c r="E145" s="64">
        <v>32740</v>
      </c>
      <c r="F145" s="65">
        <v>55629</v>
      </c>
      <c r="G145" s="64">
        <f t="shared" ref="G145:Q145" si="66">SUM(G139:G144)</f>
        <v>82400.855294182489</v>
      </c>
      <c r="H145" s="64">
        <f t="shared" si="66"/>
        <v>112103.92349397094</v>
      </c>
      <c r="I145" s="64">
        <f t="shared" si="66"/>
        <v>142997.03207787927</v>
      </c>
      <c r="J145" s="64">
        <f t="shared" si="66"/>
        <v>172024.58662827779</v>
      </c>
      <c r="K145" s="64">
        <f t="shared" si="66"/>
        <v>195356.30338289967</v>
      </c>
      <c r="L145" s="64">
        <f t="shared" si="66"/>
        <v>204014.08342046707</v>
      </c>
      <c r="M145" s="64">
        <f t="shared" si="66"/>
        <v>207890.24040776875</v>
      </c>
      <c r="N145" s="64">
        <f t="shared" si="66"/>
        <v>212521.70112542156</v>
      </c>
      <c r="O145" s="64">
        <f t="shared" si="66"/>
        <v>218029.54951295367</v>
      </c>
      <c r="P145" s="64">
        <f t="shared" si="66"/>
        <v>224434.15574452447</v>
      </c>
      <c r="Q145" s="64">
        <f t="shared" si="66"/>
        <v>231757.53036149312</v>
      </c>
    </row>
    <row r="146" spans="2:17" ht="15.75" customHeight="1" x14ac:dyDescent="0.25">
      <c r="B146" s="60" t="s">
        <v>144</v>
      </c>
      <c r="C146" s="61">
        <v>2902</v>
      </c>
      <c r="D146" s="61">
        <v>3052.2</v>
      </c>
      <c r="E146" s="61">
        <v>3216</v>
      </c>
      <c r="F146" s="62">
        <v>2802</v>
      </c>
      <c r="G146" s="61">
        <f t="shared" ref="G146:Q146" si="67">F146</f>
        <v>2802</v>
      </c>
      <c r="H146" s="61">
        <f t="shared" si="67"/>
        <v>2802</v>
      </c>
      <c r="I146" s="61">
        <f t="shared" si="67"/>
        <v>2802</v>
      </c>
      <c r="J146" s="61">
        <f t="shared" si="67"/>
        <v>2802</v>
      </c>
      <c r="K146" s="61">
        <f t="shared" si="67"/>
        <v>2802</v>
      </c>
      <c r="L146" s="61">
        <f t="shared" si="67"/>
        <v>2802</v>
      </c>
      <c r="M146" s="61">
        <f t="shared" si="67"/>
        <v>2802</v>
      </c>
      <c r="N146" s="61">
        <f t="shared" si="67"/>
        <v>2802</v>
      </c>
      <c r="O146" s="61">
        <f t="shared" si="67"/>
        <v>2802</v>
      </c>
      <c r="P146" s="61">
        <f t="shared" si="67"/>
        <v>2802</v>
      </c>
      <c r="Q146" s="61">
        <f t="shared" si="67"/>
        <v>2802</v>
      </c>
    </row>
    <row r="147" spans="2:17" ht="15.75" customHeight="1" x14ac:dyDescent="0.25">
      <c r="B147" s="60" t="s">
        <v>145</v>
      </c>
      <c r="C147" s="61">
        <v>4073</v>
      </c>
      <c r="D147" s="61">
        <v>4939.7</v>
      </c>
      <c r="E147" s="61">
        <v>5770</v>
      </c>
      <c r="F147" s="62">
        <v>5898</v>
      </c>
      <c r="G147" s="61">
        <f t="shared" ref="G147:Q147" si="68">F147</f>
        <v>5898</v>
      </c>
      <c r="H147" s="61">
        <f t="shared" si="68"/>
        <v>5898</v>
      </c>
      <c r="I147" s="61">
        <f t="shared" si="68"/>
        <v>5898</v>
      </c>
      <c r="J147" s="61">
        <f t="shared" si="68"/>
        <v>5898</v>
      </c>
      <c r="K147" s="61">
        <f t="shared" si="68"/>
        <v>5898</v>
      </c>
      <c r="L147" s="61">
        <f t="shared" si="68"/>
        <v>5898</v>
      </c>
      <c r="M147" s="61">
        <f t="shared" si="68"/>
        <v>5898</v>
      </c>
      <c r="N147" s="61">
        <f t="shared" si="68"/>
        <v>5898</v>
      </c>
      <c r="O147" s="61">
        <f t="shared" si="68"/>
        <v>5898</v>
      </c>
      <c r="P147" s="61">
        <f t="shared" si="68"/>
        <v>5898</v>
      </c>
      <c r="Q147" s="61">
        <f t="shared" si="68"/>
        <v>5898</v>
      </c>
    </row>
    <row r="148" spans="2:17" ht="15.75" customHeight="1" x14ac:dyDescent="0.25">
      <c r="B148" s="60" t="s">
        <v>146</v>
      </c>
      <c r="C148" s="61">
        <v>7207</v>
      </c>
      <c r="D148" s="61">
        <v>6906.6</v>
      </c>
      <c r="E148" s="61">
        <v>6166</v>
      </c>
      <c r="F148" s="62">
        <v>6521</v>
      </c>
      <c r="G148" s="61">
        <f t="shared" ref="G148:Q148" si="69">F148</f>
        <v>6521</v>
      </c>
      <c r="H148" s="61">
        <f t="shared" si="69"/>
        <v>6521</v>
      </c>
      <c r="I148" s="61">
        <f t="shared" si="69"/>
        <v>6521</v>
      </c>
      <c r="J148" s="61">
        <f t="shared" si="69"/>
        <v>6521</v>
      </c>
      <c r="K148" s="61">
        <f t="shared" si="69"/>
        <v>6521</v>
      </c>
      <c r="L148" s="61">
        <f t="shared" si="69"/>
        <v>6521</v>
      </c>
      <c r="M148" s="61">
        <f t="shared" si="69"/>
        <v>6521</v>
      </c>
      <c r="N148" s="61">
        <f t="shared" si="69"/>
        <v>6521</v>
      </c>
      <c r="O148" s="61">
        <f t="shared" si="69"/>
        <v>6521</v>
      </c>
      <c r="P148" s="61">
        <f t="shared" si="69"/>
        <v>6521</v>
      </c>
      <c r="Q148" s="61">
        <f t="shared" si="69"/>
        <v>6521</v>
      </c>
    </row>
    <row r="149" spans="2:17" ht="15.75" customHeight="1" x14ac:dyDescent="0.25">
      <c r="B149" s="60" t="s">
        <v>147</v>
      </c>
      <c r="C149" s="61">
        <v>2793</v>
      </c>
      <c r="D149" s="61">
        <v>5477.3</v>
      </c>
      <c r="E149" s="61">
        <v>8001</v>
      </c>
      <c r="F149" s="62">
        <v>9959</v>
      </c>
      <c r="G149" s="61">
        <f t="shared" ref="G149:Q149" si="70">F149-G171</f>
        <v>12202.666666666666</v>
      </c>
      <c r="H149" s="61">
        <f t="shared" si="70"/>
        <v>14446.333333333332</v>
      </c>
      <c r="I149" s="61">
        <f t="shared" si="70"/>
        <v>16690</v>
      </c>
      <c r="J149" s="61">
        <f t="shared" si="70"/>
        <v>18933.666666666668</v>
      </c>
      <c r="K149" s="61">
        <f t="shared" si="70"/>
        <v>21177.333333333336</v>
      </c>
      <c r="L149" s="61">
        <f t="shared" si="70"/>
        <v>23421.000000000004</v>
      </c>
      <c r="M149" s="61">
        <f t="shared" si="70"/>
        <v>25664.666666666672</v>
      </c>
      <c r="N149" s="61">
        <f t="shared" si="70"/>
        <v>27908.333333333339</v>
      </c>
      <c r="O149" s="61">
        <f t="shared" si="70"/>
        <v>30152.000000000007</v>
      </c>
      <c r="P149" s="61">
        <f t="shared" si="70"/>
        <v>32395.666666666675</v>
      </c>
      <c r="Q149" s="61">
        <f t="shared" si="70"/>
        <v>34639.333333333343</v>
      </c>
    </row>
    <row r="150" spans="2:17" ht="15.75" customHeight="1" x14ac:dyDescent="0.25">
      <c r="B150" s="60" t="s">
        <v>148</v>
      </c>
      <c r="C150" s="61">
        <v>10144</v>
      </c>
      <c r="D150" s="61">
        <v>12913.6</v>
      </c>
      <c r="E150" s="61">
        <v>17102</v>
      </c>
      <c r="F150" s="62">
        <v>24675</v>
      </c>
      <c r="G150" s="61">
        <f t="shared" ref="G150:Q150" si="71">F150-G182-G170</f>
        <v>29728.065374063073</v>
      </c>
      <c r="H150" s="61">
        <f t="shared" si="71"/>
        <v>36306.717758248597</v>
      </c>
      <c r="I150" s="61">
        <f t="shared" si="71"/>
        <v>44565.007746961033</v>
      </c>
      <c r="J150" s="61">
        <f t="shared" si="71"/>
        <v>54525.28835322331</v>
      </c>
      <c r="K150" s="61">
        <f t="shared" si="71"/>
        <v>66029.874095184423</v>
      </c>
      <c r="L150" s="61">
        <f t="shared" si="71"/>
        <v>78716.382706002871</v>
      </c>
      <c r="M150" s="61">
        <f t="shared" si="71"/>
        <v>92035.294146867862</v>
      </c>
      <c r="N150" s="61">
        <f t="shared" si="71"/>
        <v>106018.80755640814</v>
      </c>
      <c r="O150" s="61">
        <f t="shared" si="71"/>
        <v>120700.76369385065</v>
      </c>
      <c r="P150" s="61">
        <f t="shared" si="71"/>
        <v>136116.72984626595</v>
      </c>
      <c r="Q150" s="61">
        <f t="shared" si="71"/>
        <v>152304.08920141048</v>
      </c>
    </row>
    <row r="151" spans="2:17" ht="15.75" customHeight="1" x14ac:dyDescent="0.25">
      <c r="B151" s="60" t="s">
        <v>149</v>
      </c>
      <c r="C151" s="61">
        <v>4337</v>
      </c>
      <c r="D151" s="61">
        <v>4989.8999999999996</v>
      </c>
      <c r="E151" s="61">
        <v>5720</v>
      </c>
      <c r="F151" s="62">
        <v>6992</v>
      </c>
      <c r="G151" s="61">
        <f t="shared" ref="G151:Q151" si="72">F151</f>
        <v>6992</v>
      </c>
      <c r="H151" s="61">
        <f t="shared" si="72"/>
        <v>6992</v>
      </c>
      <c r="I151" s="61">
        <f t="shared" si="72"/>
        <v>6992</v>
      </c>
      <c r="J151" s="61">
        <f t="shared" si="72"/>
        <v>6992</v>
      </c>
      <c r="K151" s="61">
        <f t="shared" si="72"/>
        <v>6992</v>
      </c>
      <c r="L151" s="61">
        <f t="shared" si="72"/>
        <v>6992</v>
      </c>
      <c r="M151" s="61">
        <f t="shared" si="72"/>
        <v>6992</v>
      </c>
      <c r="N151" s="61">
        <f t="shared" si="72"/>
        <v>6992</v>
      </c>
      <c r="O151" s="61">
        <f t="shared" si="72"/>
        <v>6992</v>
      </c>
      <c r="P151" s="61">
        <f t="shared" si="72"/>
        <v>6992</v>
      </c>
      <c r="Q151" s="61">
        <f t="shared" si="72"/>
        <v>6992</v>
      </c>
    </row>
    <row r="152" spans="2:17" ht="15.75" customHeight="1" x14ac:dyDescent="0.25">
      <c r="B152" s="63" t="s">
        <v>150</v>
      </c>
      <c r="C152" s="64">
        <v>49489.8</v>
      </c>
      <c r="D152" s="64">
        <v>64006.3</v>
      </c>
      <c r="E152" s="64">
        <v>78715</v>
      </c>
      <c r="F152" s="65">
        <v>112476</v>
      </c>
      <c r="G152" s="64">
        <f t="shared" ref="G152:Q152" si="73">G145+SUM(G146:G151)</f>
        <v>146544.58733491221</v>
      </c>
      <c r="H152" s="64">
        <f t="shared" si="73"/>
        <v>185069.97458555287</v>
      </c>
      <c r="I152" s="64">
        <f t="shared" si="73"/>
        <v>226465.03982484029</v>
      </c>
      <c r="J152" s="64">
        <f t="shared" si="73"/>
        <v>267696.54164816777</v>
      </c>
      <c r="K152" s="64">
        <f t="shared" si="73"/>
        <v>304776.51081141742</v>
      </c>
      <c r="L152" s="64">
        <f t="shared" si="73"/>
        <v>328364.46612646995</v>
      </c>
      <c r="M152" s="64">
        <f t="shared" si="73"/>
        <v>347803.20122130332</v>
      </c>
      <c r="N152" s="64">
        <f t="shared" si="73"/>
        <v>368661.84201516304</v>
      </c>
      <c r="O152" s="64">
        <f t="shared" si="73"/>
        <v>391095.31320680433</v>
      </c>
      <c r="P152" s="64">
        <f t="shared" si="73"/>
        <v>415159.55225745705</v>
      </c>
      <c r="Q152" s="64">
        <f t="shared" si="73"/>
        <v>440913.95289623691</v>
      </c>
    </row>
    <row r="153" spans="2:17" ht="15.75" customHeight="1" x14ac:dyDescent="0.25">
      <c r="F153" s="48"/>
    </row>
    <row r="154" spans="2:17" ht="15.75" customHeight="1" x14ac:dyDescent="0.25">
      <c r="B154" s="60" t="s">
        <v>151</v>
      </c>
      <c r="C154" s="61">
        <v>1501.1</v>
      </c>
      <c r="D154" s="61">
        <v>6904.5</v>
      </c>
      <c r="E154" s="61">
        <v>5117</v>
      </c>
      <c r="F154" s="62">
        <v>1635</v>
      </c>
      <c r="G154" s="61">
        <f t="shared" ref="G154:Q154" si="74">F154+G192</f>
        <v>1718.82</v>
      </c>
      <c r="H154" s="61">
        <f t="shared" si="74"/>
        <v>2262.7394730869742</v>
      </c>
      <c r="I154" s="61">
        <f t="shared" si="74"/>
        <v>2853.8372186718184</v>
      </c>
      <c r="J154" s="61">
        <f t="shared" si="74"/>
        <v>3456.4796316770676</v>
      </c>
      <c r="K154" s="61">
        <f t="shared" si="74"/>
        <v>4007.9410355337141</v>
      </c>
      <c r="L154" s="61">
        <f t="shared" si="74"/>
        <v>4433.2773479101061</v>
      </c>
      <c r="M154" s="61">
        <f t="shared" si="74"/>
        <v>4555.7077326773715</v>
      </c>
      <c r="N154" s="61">
        <f t="shared" si="74"/>
        <v>4576.5871937123729</v>
      </c>
      <c r="O154" s="61">
        <f t="shared" si="74"/>
        <v>4606.1994047102526</v>
      </c>
      <c r="P154" s="61">
        <f t="shared" si="74"/>
        <v>4646.807214615209</v>
      </c>
      <c r="Q154" s="61">
        <f t="shared" si="74"/>
        <v>4698.5407726584954</v>
      </c>
    </row>
    <row r="155" spans="2:17" ht="15.75" customHeight="1" x14ac:dyDescent="0.25">
      <c r="B155" s="60" t="s">
        <v>152</v>
      </c>
      <c r="C155" s="61">
        <v>1930.6</v>
      </c>
      <c r="D155" s="61">
        <v>2598.8000000000002</v>
      </c>
      <c r="E155" s="61">
        <v>3229</v>
      </c>
      <c r="F155" s="62">
        <v>5379</v>
      </c>
      <c r="G155" s="61">
        <f t="shared" ref="G155:Q155" si="75">G$125*G80</f>
        <v>8326.9876919119179</v>
      </c>
      <c r="H155" s="61">
        <f t="shared" si="75"/>
        <v>10841.014983432129</v>
      </c>
      <c r="I155" s="61">
        <f t="shared" si="75"/>
        <v>13608.903507407793</v>
      </c>
      <c r="J155" s="61">
        <f t="shared" si="75"/>
        <v>16413.627744072717</v>
      </c>
      <c r="K155" s="61">
        <f t="shared" si="75"/>
        <v>18958.500787577508</v>
      </c>
      <c r="L155" s="61">
        <f t="shared" si="75"/>
        <v>20906.201134436604</v>
      </c>
      <c r="M155" s="61">
        <f t="shared" si="75"/>
        <v>21948.342922104286</v>
      </c>
      <c r="N155" s="61">
        <f t="shared" si="75"/>
        <v>23043.545933247908</v>
      </c>
      <c r="O155" s="61">
        <f t="shared" si="75"/>
        <v>24194.515407856336</v>
      </c>
      <c r="P155" s="61">
        <f t="shared" si="75"/>
        <v>25404.096505261328</v>
      </c>
      <c r="Q155" s="61">
        <f t="shared" si="75"/>
        <v>26675.281663031394</v>
      </c>
    </row>
    <row r="156" spans="2:17" ht="15.75" customHeight="1" x14ac:dyDescent="0.25">
      <c r="B156" s="60" t="s">
        <v>153</v>
      </c>
      <c r="C156" s="61">
        <v>1059.8</v>
      </c>
      <c r="D156" s="61">
        <v>1650.4</v>
      </c>
      <c r="E156" s="61">
        <v>2094</v>
      </c>
      <c r="F156" s="62">
        <v>2375</v>
      </c>
      <c r="G156" s="61">
        <f t="shared" ref="G156:Q156" si="76">G$124*G81</f>
        <v>3193.1964582422379</v>
      </c>
      <c r="H156" s="61">
        <f t="shared" si="76"/>
        <v>4157.2645390686484</v>
      </c>
      <c r="I156" s="61">
        <f t="shared" si="76"/>
        <v>5218.6822039648341</v>
      </c>
      <c r="J156" s="61">
        <f t="shared" si="76"/>
        <v>6294.2254652529091</v>
      </c>
      <c r="K156" s="61">
        <f t="shared" si="76"/>
        <v>7270.1221387989463</v>
      </c>
      <c r="L156" s="61">
        <f t="shared" si="76"/>
        <v>8017.0176644580752</v>
      </c>
      <c r="M156" s="61">
        <f t="shared" si="76"/>
        <v>8416.6535938589277</v>
      </c>
      <c r="N156" s="61">
        <f t="shared" si="76"/>
        <v>8836.6372068570472</v>
      </c>
      <c r="O156" s="61">
        <f t="shared" si="76"/>
        <v>9278.0058969338188</v>
      </c>
      <c r="P156" s="61">
        <f t="shared" si="76"/>
        <v>9741.8507132221876</v>
      </c>
      <c r="Q156" s="61">
        <f t="shared" si="76"/>
        <v>10229.31918246277</v>
      </c>
    </row>
    <row r="157" spans="2:17" ht="15.75" customHeight="1" x14ac:dyDescent="0.25">
      <c r="B157" s="60" t="s">
        <v>154</v>
      </c>
      <c r="C157" s="61">
        <v>8784.1</v>
      </c>
      <c r="D157" s="61">
        <v>11689</v>
      </c>
      <c r="E157" s="61">
        <v>11539</v>
      </c>
      <c r="F157" s="62">
        <v>17382</v>
      </c>
      <c r="G157" s="61">
        <f t="shared" ref="G157:Q157" si="77">G$124*G82</f>
        <v>23370.164563017512</v>
      </c>
      <c r="H157" s="61">
        <f t="shared" si="77"/>
        <v>30425.925144459477</v>
      </c>
      <c r="I157" s="61">
        <f t="shared" si="77"/>
        <v>38194.161713396534</v>
      </c>
      <c r="J157" s="61">
        <f t="shared" si="77"/>
        <v>46065.779805063612</v>
      </c>
      <c r="K157" s="61">
        <f t="shared" si="77"/>
        <v>53208.110743832971</v>
      </c>
      <c r="L157" s="61">
        <f t="shared" si="77"/>
        <v>58674.442544678015</v>
      </c>
      <c r="M157" s="61">
        <f t="shared" si="77"/>
        <v>61599.272744613016</v>
      </c>
      <c r="N157" s="61">
        <f t="shared" si="77"/>
        <v>64673.022286142834</v>
      </c>
      <c r="O157" s="61">
        <f t="shared" si="77"/>
        <v>67903.283579159441</v>
      </c>
      <c r="P157" s="61">
        <f t="shared" si="77"/>
        <v>71298.04172514868</v>
      </c>
      <c r="Q157" s="61">
        <f t="shared" si="77"/>
        <v>74865.695170344377</v>
      </c>
    </row>
    <row r="158" spans="2:17" ht="15.75" customHeight="1" x14ac:dyDescent="0.25">
      <c r="B158" s="60" t="s">
        <v>155</v>
      </c>
      <c r="C158" s="61">
        <v>3862.6</v>
      </c>
      <c r="D158" s="61">
        <v>4450.5</v>
      </c>
      <c r="E158" s="61">
        <v>6397</v>
      </c>
      <c r="F158" s="62">
        <v>8457</v>
      </c>
      <c r="G158" s="61">
        <f t="shared" ref="G158:Q158" si="78">G$124*G83</f>
        <v>11370.468398886152</v>
      </c>
      <c r="H158" s="61">
        <f t="shared" si="78"/>
        <v>14803.362613433081</v>
      </c>
      <c r="I158" s="61">
        <f t="shared" si="78"/>
        <v>18582.903325865522</v>
      </c>
      <c r="J158" s="61">
        <f t="shared" si="78"/>
        <v>22412.74305669215</v>
      </c>
      <c r="K158" s="61">
        <f t="shared" si="78"/>
        <v>25887.757022241138</v>
      </c>
      <c r="L158" s="61">
        <f t="shared" si="78"/>
        <v>28547.334058240824</v>
      </c>
      <c r="M158" s="61">
        <f t="shared" si="78"/>
        <v>29970.374502427356</v>
      </c>
      <c r="N158" s="61">
        <f t="shared" si="78"/>
        <v>31465.869835111607</v>
      </c>
      <c r="O158" s="61">
        <f t="shared" si="78"/>
        <v>33037.514050681821</v>
      </c>
      <c r="P158" s="61">
        <f t="shared" si="78"/>
        <v>34689.192202829501</v>
      </c>
      <c r="Q158" s="61">
        <f t="shared" si="78"/>
        <v>36424.990453089544</v>
      </c>
    </row>
    <row r="159" spans="2:17" ht="15.75" customHeight="1" x14ac:dyDescent="0.25">
      <c r="B159" s="63" t="s">
        <v>156</v>
      </c>
      <c r="C159" s="64">
        <v>17138.2</v>
      </c>
      <c r="D159" s="64">
        <v>27293.200000000001</v>
      </c>
      <c r="E159" s="64">
        <v>28376</v>
      </c>
      <c r="F159" s="65">
        <v>35228</v>
      </c>
      <c r="G159" s="64">
        <f t="shared" ref="G159:Q159" si="79">SUM(G154:G158)</f>
        <v>47979.637112057819</v>
      </c>
      <c r="H159" s="64">
        <f t="shared" si="79"/>
        <v>62490.306753480312</v>
      </c>
      <c r="I159" s="64">
        <f t="shared" si="79"/>
        <v>78458.487969306501</v>
      </c>
      <c r="J159" s="64">
        <f t="shared" si="79"/>
        <v>94642.855702758461</v>
      </c>
      <c r="K159" s="64">
        <f t="shared" si="79"/>
        <v>109332.43172798428</v>
      </c>
      <c r="L159" s="64">
        <f t="shared" si="79"/>
        <v>120578.27274972362</v>
      </c>
      <c r="M159" s="64">
        <f t="shared" si="79"/>
        <v>126490.35149568095</v>
      </c>
      <c r="N159" s="64">
        <f t="shared" si="79"/>
        <v>132595.66245507178</v>
      </c>
      <c r="O159" s="64">
        <f t="shared" si="79"/>
        <v>139019.51833934165</v>
      </c>
      <c r="P159" s="64">
        <f t="shared" si="79"/>
        <v>145779.98836107689</v>
      </c>
      <c r="Q159" s="64">
        <f t="shared" si="79"/>
        <v>152893.82724158658</v>
      </c>
    </row>
    <row r="160" spans="2:17" ht="15.75" customHeight="1" x14ac:dyDescent="0.25">
      <c r="B160" s="60" t="s">
        <v>157</v>
      </c>
      <c r="C160" s="61">
        <v>14737.5</v>
      </c>
      <c r="D160" s="61">
        <v>18320.8</v>
      </c>
      <c r="E160" s="61">
        <v>28527</v>
      </c>
      <c r="F160" s="62">
        <v>40868</v>
      </c>
      <c r="G160" s="61">
        <f t="shared" ref="G160:Q160" si="80">F160+G193+G194</f>
        <v>55312.336542290868</v>
      </c>
      <c r="H160" s="61">
        <f t="shared" si="80"/>
        <v>70356.554180110616</v>
      </c>
      <c r="I160" s="61">
        <f t="shared" si="80"/>
        <v>84520.493614546853</v>
      </c>
      <c r="J160" s="61">
        <f t="shared" si="80"/>
        <v>95909.196073927247</v>
      </c>
      <c r="K160" s="61">
        <f t="shared" si="80"/>
        <v>102486.43566752103</v>
      </c>
      <c r="L160" s="61">
        <f t="shared" si="80"/>
        <v>97362.113884144972</v>
      </c>
      <c r="M160" s="61">
        <f t="shared" si="80"/>
        <v>92494.008189937726</v>
      </c>
      <c r="N160" s="61">
        <f t="shared" si="80"/>
        <v>87869.307780440839</v>
      </c>
      <c r="O160" s="61">
        <f t="shared" si="80"/>
        <v>83475.842391418802</v>
      </c>
      <c r="P160" s="61">
        <f t="shared" si="80"/>
        <v>79302.050271847867</v>
      </c>
      <c r="Q160" s="61">
        <f t="shared" si="80"/>
        <v>75336.947758255468</v>
      </c>
    </row>
    <row r="161" spans="2:17" ht="15.75" customHeight="1" x14ac:dyDescent="0.25">
      <c r="B161" s="60" t="s">
        <v>158</v>
      </c>
      <c r="C161" s="61">
        <v>3796.9</v>
      </c>
      <c r="D161" s="61">
        <v>3849.2</v>
      </c>
      <c r="E161" s="61">
        <v>4061</v>
      </c>
      <c r="F161" s="62">
        <v>5875</v>
      </c>
      <c r="G161" s="61">
        <f t="shared" ref="G161:Q161" si="81">F161</f>
        <v>5875</v>
      </c>
      <c r="H161" s="61">
        <f t="shared" si="81"/>
        <v>5875</v>
      </c>
      <c r="I161" s="61">
        <f t="shared" si="81"/>
        <v>5875</v>
      </c>
      <c r="J161" s="61">
        <f t="shared" si="81"/>
        <v>5875</v>
      </c>
      <c r="K161" s="61">
        <f t="shared" si="81"/>
        <v>5875</v>
      </c>
      <c r="L161" s="61">
        <f t="shared" si="81"/>
        <v>5875</v>
      </c>
      <c r="M161" s="61">
        <f t="shared" si="81"/>
        <v>5875</v>
      </c>
      <c r="N161" s="61">
        <f t="shared" si="81"/>
        <v>5875</v>
      </c>
      <c r="O161" s="61">
        <f t="shared" si="81"/>
        <v>5875</v>
      </c>
      <c r="P161" s="61">
        <f t="shared" si="81"/>
        <v>5875</v>
      </c>
      <c r="Q161" s="61">
        <f t="shared" si="81"/>
        <v>5875</v>
      </c>
    </row>
    <row r="162" spans="2:17" ht="15.75" customHeight="1" x14ac:dyDescent="0.25">
      <c r="B162" s="60" t="s">
        <v>159</v>
      </c>
      <c r="C162" s="61">
        <v>3041.8</v>
      </c>
      <c r="D162" s="61">
        <v>3679.4</v>
      </c>
      <c r="E162" s="61">
        <v>3479</v>
      </c>
      <c r="F162" s="62">
        <v>3970</v>
      </c>
      <c r="G162" s="61">
        <f t="shared" ref="G162:Q162" si="82">F162</f>
        <v>3970</v>
      </c>
      <c r="H162" s="61">
        <f t="shared" si="82"/>
        <v>3970</v>
      </c>
      <c r="I162" s="61">
        <f t="shared" si="82"/>
        <v>3970</v>
      </c>
      <c r="J162" s="61">
        <f t="shared" si="82"/>
        <v>3970</v>
      </c>
      <c r="K162" s="61">
        <f t="shared" si="82"/>
        <v>3970</v>
      </c>
      <c r="L162" s="61">
        <f t="shared" si="82"/>
        <v>3970</v>
      </c>
      <c r="M162" s="61">
        <f t="shared" si="82"/>
        <v>3970</v>
      </c>
      <c r="N162" s="61">
        <f t="shared" si="82"/>
        <v>3970</v>
      </c>
      <c r="O162" s="61">
        <f t="shared" si="82"/>
        <v>3970</v>
      </c>
      <c r="P162" s="61">
        <f t="shared" si="82"/>
        <v>3970</v>
      </c>
      <c r="Q162" s="61">
        <f t="shared" si="82"/>
        <v>3970</v>
      </c>
    </row>
    <row r="163" spans="2:17" ht="15.75" customHeight="1" x14ac:dyDescent="0.25">
      <c r="B163" s="63" t="s">
        <v>160</v>
      </c>
      <c r="C163" s="64">
        <v>21576.2</v>
      </c>
      <c r="D163" s="64">
        <v>25849.4</v>
      </c>
      <c r="E163" s="64">
        <v>36067</v>
      </c>
      <c r="F163" s="65">
        <v>50713</v>
      </c>
      <c r="G163" s="64">
        <f t="shared" ref="G163:Q163" si="83">SUM(G160:G162)</f>
        <v>65157.336542290868</v>
      </c>
      <c r="H163" s="64">
        <f t="shared" si="83"/>
        <v>80201.554180110616</v>
      </c>
      <c r="I163" s="64">
        <f t="shared" si="83"/>
        <v>94365.493614546853</v>
      </c>
      <c r="J163" s="64">
        <f t="shared" si="83"/>
        <v>105754.19607392725</v>
      </c>
      <c r="K163" s="64">
        <f t="shared" si="83"/>
        <v>112331.43566752103</v>
      </c>
      <c r="L163" s="64">
        <f t="shared" si="83"/>
        <v>107207.11388414497</v>
      </c>
      <c r="M163" s="64">
        <f t="shared" si="83"/>
        <v>102339.00818993773</v>
      </c>
      <c r="N163" s="64">
        <f t="shared" si="83"/>
        <v>97714.307780440839</v>
      </c>
      <c r="O163" s="64">
        <f t="shared" si="83"/>
        <v>93320.842391418802</v>
      </c>
      <c r="P163" s="64">
        <f t="shared" si="83"/>
        <v>89147.050271847867</v>
      </c>
      <c r="Q163" s="64">
        <f t="shared" si="83"/>
        <v>85181.947758255468</v>
      </c>
    </row>
    <row r="164" spans="2:17" ht="15.75" customHeight="1" x14ac:dyDescent="0.25">
      <c r="B164" s="63" t="s">
        <v>161</v>
      </c>
      <c r="C164" s="64">
        <v>10775.4</v>
      </c>
      <c r="D164" s="64">
        <v>10863.7</v>
      </c>
      <c r="E164" s="64">
        <v>14272</v>
      </c>
      <c r="F164" s="65">
        <v>26535</v>
      </c>
      <c r="G164" s="64">
        <f t="shared" ref="G164:Q164" si="84">F164+G134+G172+G191+G195</f>
        <v>33407.613680563547</v>
      </c>
      <c r="H164" s="64">
        <f t="shared" si="84"/>
        <v>42378.113651961961</v>
      </c>
      <c r="I164" s="64">
        <f t="shared" si="84"/>
        <v>53641.058240986968</v>
      </c>
      <c r="J164" s="64">
        <f t="shared" si="84"/>
        <v>67299.489871482045</v>
      </c>
      <c r="K164" s="64">
        <f t="shared" si="84"/>
        <v>83112.643415912142</v>
      </c>
      <c r="L164" s="64">
        <f t="shared" si="84"/>
        <v>100579.07949260139</v>
      </c>
      <c r="M164" s="64">
        <f t="shared" si="84"/>
        <v>118973.84153568464</v>
      </c>
      <c r="N164" s="64">
        <f t="shared" si="84"/>
        <v>138351.87177965045</v>
      </c>
      <c r="O164" s="64">
        <f t="shared" si="84"/>
        <v>158754.95247604392</v>
      </c>
      <c r="P164" s="64">
        <f t="shared" si="84"/>
        <v>180232.51362453241</v>
      </c>
      <c r="Q164" s="64">
        <f t="shared" si="84"/>
        <v>202838.17789639495</v>
      </c>
    </row>
    <row r="165" spans="2:17" ht="15.75" customHeight="1" x14ac:dyDescent="0.25">
      <c r="B165" s="63" t="s">
        <v>162</v>
      </c>
      <c r="C165" s="64">
        <v>49489.8</v>
      </c>
      <c r="D165" s="64">
        <v>64006.3</v>
      </c>
      <c r="E165" s="64">
        <v>78715</v>
      </c>
      <c r="F165" s="65">
        <v>112476</v>
      </c>
      <c r="G165" s="64">
        <f t="shared" ref="G165:Q165" si="85">G159+G163+G164</f>
        <v>146544.58733491224</v>
      </c>
      <c r="H165" s="64">
        <f t="shared" si="85"/>
        <v>185069.97458555287</v>
      </c>
      <c r="I165" s="64">
        <f t="shared" si="85"/>
        <v>226465.03982484032</v>
      </c>
      <c r="J165" s="64">
        <f t="shared" si="85"/>
        <v>267696.54164816777</v>
      </c>
      <c r="K165" s="64">
        <f t="shared" si="85"/>
        <v>304776.51081141748</v>
      </c>
      <c r="L165" s="64">
        <f t="shared" si="85"/>
        <v>328364.46612647001</v>
      </c>
      <c r="M165" s="64">
        <f t="shared" si="85"/>
        <v>347803.20122130332</v>
      </c>
      <c r="N165" s="64">
        <f t="shared" si="85"/>
        <v>368661.84201516304</v>
      </c>
      <c r="O165" s="64">
        <f t="shared" si="85"/>
        <v>391095.31320680433</v>
      </c>
      <c r="P165" s="64">
        <f t="shared" si="85"/>
        <v>415159.55225745717</v>
      </c>
      <c r="Q165" s="64">
        <f t="shared" si="85"/>
        <v>440913.95289623702</v>
      </c>
    </row>
    <row r="166" spans="2:17" ht="15.75" customHeight="1" x14ac:dyDescent="0.25">
      <c r="B166" s="66" t="s">
        <v>163</v>
      </c>
      <c r="C166" s="67">
        <v>0</v>
      </c>
      <c r="D166" s="67">
        <v>0</v>
      </c>
      <c r="E166" s="67">
        <v>0</v>
      </c>
      <c r="F166" s="68">
        <v>0</v>
      </c>
      <c r="G166" s="67">
        <f t="shared" ref="G166:Q166" si="86">G152-G165</f>
        <v>0</v>
      </c>
      <c r="H166" s="67">
        <f t="shared" si="86"/>
        <v>0</v>
      </c>
      <c r="I166" s="67">
        <f t="shared" si="86"/>
        <v>0</v>
      </c>
      <c r="J166" s="67">
        <f t="shared" si="86"/>
        <v>0</v>
      </c>
      <c r="K166" s="67">
        <f t="shared" si="86"/>
        <v>0</v>
      </c>
      <c r="L166" s="67">
        <f t="shared" si="86"/>
        <v>0</v>
      </c>
      <c r="M166" s="67">
        <f t="shared" si="86"/>
        <v>0</v>
      </c>
      <c r="N166" s="67">
        <f t="shared" si="86"/>
        <v>0</v>
      </c>
      <c r="O166" s="67">
        <f t="shared" si="86"/>
        <v>0</v>
      </c>
      <c r="P166" s="67">
        <f t="shared" si="86"/>
        <v>0</v>
      </c>
      <c r="Q166" s="67">
        <f t="shared" si="86"/>
        <v>0</v>
      </c>
    </row>
    <row r="167" spans="2:17" ht="15.75" customHeight="1" x14ac:dyDescent="0.25">
      <c r="F167" s="48"/>
    </row>
    <row r="168" spans="2:17" ht="16.5" customHeight="1" x14ac:dyDescent="0.25">
      <c r="B168" s="57" t="s">
        <v>164</v>
      </c>
      <c r="C168" s="57"/>
      <c r="D168" s="58" t="s">
        <v>121</v>
      </c>
      <c r="E168" s="58" t="s">
        <v>122</v>
      </c>
      <c r="F168" s="59" t="s">
        <v>123</v>
      </c>
      <c r="G168" s="58" t="s">
        <v>124</v>
      </c>
      <c r="H168" s="58" t="s">
        <v>125</v>
      </c>
      <c r="I168" s="58" t="s">
        <v>126</v>
      </c>
      <c r="J168" s="58" t="s">
        <v>127</v>
      </c>
      <c r="K168" s="58" t="s">
        <v>128</v>
      </c>
      <c r="L168" s="58" t="s">
        <v>129</v>
      </c>
      <c r="M168" s="58" t="s">
        <v>130</v>
      </c>
      <c r="N168" s="58" t="s">
        <v>131</v>
      </c>
      <c r="O168" s="58" t="s">
        <v>132</v>
      </c>
      <c r="P168" s="58" t="s">
        <v>133</v>
      </c>
      <c r="Q168" s="58" t="s">
        <v>134</v>
      </c>
    </row>
    <row r="169" spans="2:17" ht="15.75" customHeight="1" x14ac:dyDescent="0.25">
      <c r="B169" s="60" t="s">
        <v>165</v>
      </c>
      <c r="C169" s="61">
        <v>6244.8</v>
      </c>
      <c r="D169" s="61">
        <v>5240</v>
      </c>
      <c r="E169" s="61">
        <v>10590</v>
      </c>
      <c r="F169" s="62">
        <v>20640</v>
      </c>
      <c r="G169" s="61">
        <f t="shared" ref="G169:Q169" si="87">G134</f>
        <v>20634.746179872462</v>
      </c>
      <c r="H169" s="61">
        <f t="shared" si="87"/>
        <v>26912.543815561112</v>
      </c>
      <c r="I169" s="61">
        <f t="shared" si="87"/>
        <v>33788.199467256352</v>
      </c>
      <c r="J169" s="61">
        <f t="shared" si="87"/>
        <v>40906.709892307292</v>
      </c>
      <c r="K169" s="61">
        <f t="shared" si="87"/>
        <v>47326.418017348406</v>
      </c>
      <c r="L169" s="61">
        <f t="shared" si="87"/>
        <v>52248.421001468632</v>
      </c>
      <c r="M169" s="61">
        <f t="shared" si="87"/>
        <v>54973.220771859145</v>
      </c>
      <c r="N169" s="61">
        <f t="shared" si="87"/>
        <v>57852.77223501679</v>
      </c>
      <c r="O169" s="61">
        <f t="shared" si="87"/>
        <v>60861.660141676162</v>
      </c>
      <c r="P169" s="61">
        <f t="shared" si="87"/>
        <v>64017.993109102012</v>
      </c>
      <c r="Q169" s="61">
        <f t="shared" si="87"/>
        <v>67332.78159988788</v>
      </c>
    </row>
    <row r="170" spans="2:17" ht="15.75" customHeight="1" x14ac:dyDescent="0.25">
      <c r="B170" s="60" t="s">
        <v>166</v>
      </c>
      <c r="C170" s="61">
        <v>1522.5</v>
      </c>
      <c r="D170" s="61">
        <v>1527</v>
      </c>
      <c r="E170" s="61">
        <v>1767</v>
      </c>
      <c r="F170" s="62">
        <v>1997</v>
      </c>
      <c r="G170" s="61">
        <f t="shared" ref="G170:Q170" si="88">G$124*G85</f>
        <v>3679.7531309583919</v>
      </c>
      <c r="H170" s="61">
        <f t="shared" si="88"/>
        <v>4790.719081619266</v>
      </c>
      <c r="I170" s="61">
        <f t="shared" si="88"/>
        <v>6013.8680568646814</v>
      </c>
      <c r="J170" s="61">
        <f t="shared" si="88"/>
        <v>7253.2949868897158</v>
      </c>
      <c r="K170" s="61">
        <f t="shared" si="88"/>
        <v>8377.8918874981064</v>
      </c>
      <c r="L170" s="61">
        <f t="shared" si="88"/>
        <v>9238.5940663286256</v>
      </c>
      <c r="M170" s="61">
        <f t="shared" si="88"/>
        <v>9699.123689759861</v>
      </c>
      <c r="N170" s="61">
        <f t="shared" si="88"/>
        <v>10183.101432780335</v>
      </c>
      <c r="O170" s="61">
        <f t="shared" si="88"/>
        <v>10691.722759546756</v>
      </c>
      <c r="P170" s="61">
        <f t="shared" si="88"/>
        <v>11226.244965535769</v>
      </c>
      <c r="Q170" s="61">
        <f t="shared" si="88"/>
        <v>11787.990429489759</v>
      </c>
    </row>
    <row r="171" spans="2:17" ht="15.75" customHeight="1" x14ac:dyDescent="0.25">
      <c r="B171" s="60" t="s">
        <v>167</v>
      </c>
      <c r="C171" s="61">
        <v>-2185.1999999999998</v>
      </c>
      <c r="D171" s="61">
        <v>-2341</v>
      </c>
      <c r="E171" s="61">
        <v>-2683</v>
      </c>
      <c r="F171" s="62">
        <v>-1707</v>
      </c>
      <c r="G171" s="61">
        <f t="shared" ref="G171:Q171" si="89">AVERAGE($D$171:$F$171)</f>
        <v>-2243.6666666666665</v>
      </c>
      <c r="H171" s="61">
        <f t="shared" si="89"/>
        <v>-2243.6666666666665</v>
      </c>
      <c r="I171" s="61">
        <f t="shared" si="89"/>
        <v>-2243.6666666666665</v>
      </c>
      <c r="J171" s="61">
        <f t="shared" si="89"/>
        <v>-2243.6666666666665</v>
      </c>
      <c r="K171" s="61">
        <f t="shared" si="89"/>
        <v>-2243.6666666666665</v>
      </c>
      <c r="L171" s="61">
        <f t="shared" si="89"/>
        <v>-2243.6666666666665</v>
      </c>
      <c r="M171" s="61">
        <f t="shared" si="89"/>
        <v>-2243.6666666666665</v>
      </c>
      <c r="N171" s="61">
        <f t="shared" si="89"/>
        <v>-2243.6666666666665</v>
      </c>
      <c r="O171" s="61">
        <f t="shared" si="89"/>
        <v>-2243.6666666666665</v>
      </c>
      <c r="P171" s="61">
        <f t="shared" si="89"/>
        <v>-2243.6666666666665</v>
      </c>
      <c r="Q171" s="61">
        <f t="shared" si="89"/>
        <v>-2243.6666666666665</v>
      </c>
    </row>
    <row r="172" spans="2:17" ht="15.75" customHeight="1" x14ac:dyDescent="0.25">
      <c r="B172" s="60" t="s">
        <v>168</v>
      </c>
      <c r="C172" s="61">
        <v>371.1</v>
      </c>
      <c r="D172" s="61">
        <v>629</v>
      </c>
      <c r="E172" s="61">
        <v>646</v>
      </c>
      <c r="F172" s="62">
        <v>626</v>
      </c>
      <c r="G172" s="61">
        <f t="shared" ref="G172:Q172" si="90">G$124*G86</f>
        <v>1213.3175315862877</v>
      </c>
      <c r="H172" s="61">
        <f t="shared" si="90"/>
        <v>1579.634079724181</v>
      </c>
      <c r="I172" s="61">
        <f t="shared" si="90"/>
        <v>1982.9405088760038</v>
      </c>
      <c r="J172" s="61">
        <f t="shared" si="90"/>
        <v>2391.6142350202035</v>
      </c>
      <c r="K172" s="61">
        <f t="shared" si="90"/>
        <v>2762.4252886194386</v>
      </c>
      <c r="L172" s="61">
        <f t="shared" si="90"/>
        <v>3046.2228711973762</v>
      </c>
      <c r="M172" s="61">
        <f t="shared" si="90"/>
        <v>3198.0723692582474</v>
      </c>
      <c r="N172" s="61">
        <f t="shared" si="90"/>
        <v>3357.6533682018817</v>
      </c>
      <c r="O172" s="61">
        <f t="shared" si="90"/>
        <v>3525.3600459984027</v>
      </c>
      <c r="P172" s="61">
        <f t="shared" si="90"/>
        <v>3701.6069681335662</v>
      </c>
      <c r="Q172" s="61">
        <f t="shared" si="90"/>
        <v>3886.8301598662506</v>
      </c>
    </row>
    <row r="173" spans="2:17" ht="15.75" customHeight="1" x14ac:dyDescent="0.25">
      <c r="B173" s="60" t="s">
        <v>169</v>
      </c>
      <c r="C173" s="61">
        <v>0</v>
      </c>
      <c r="D173" s="61">
        <v>-1879</v>
      </c>
      <c r="E173" s="61">
        <v>-224</v>
      </c>
      <c r="F173" s="62">
        <v>-180</v>
      </c>
      <c r="G173" s="61">
        <v>0</v>
      </c>
      <c r="H173" s="61">
        <v>0</v>
      </c>
      <c r="I173" s="61">
        <v>0</v>
      </c>
      <c r="J173" s="61">
        <v>0</v>
      </c>
      <c r="K173" s="61">
        <v>0</v>
      </c>
      <c r="L173" s="61">
        <v>0</v>
      </c>
      <c r="M173" s="61">
        <v>0</v>
      </c>
      <c r="N173" s="61">
        <v>0</v>
      </c>
      <c r="O173" s="61">
        <v>0</v>
      </c>
      <c r="P173" s="61">
        <v>0</v>
      </c>
      <c r="Q173" s="61">
        <v>0</v>
      </c>
    </row>
    <row r="174" spans="2:17" ht="15.75" customHeight="1" x14ac:dyDescent="0.25">
      <c r="B174" s="60" t="s">
        <v>170</v>
      </c>
      <c r="C174" s="61">
        <v>420.9</v>
      </c>
      <c r="D174" s="61">
        <v>3800</v>
      </c>
      <c r="E174" s="61">
        <v>3280</v>
      </c>
      <c r="F174" s="62">
        <v>2910</v>
      </c>
      <c r="G174" s="61">
        <f t="shared" ref="G174:Q174" si="91">G129</f>
        <v>5711.5180372693967</v>
      </c>
      <c r="H174" s="61">
        <f t="shared" si="91"/>
        <v>7435.9005814698839</v>
      </c>
      <c r="I174" s="61">
        <f t="shared" si="91"/>
        <v>9334.4076784832796</v>
      </c>
      <c r="J174" s="61">
        <f t="shared" si="91"/>
        <v>11258.180555298984</v>
      </c>
      <c r="K174" s="61">
        <f t="shared" si="91"/>
        <v>13003.720338509705</v>
      </c>
      <c r="L174" s="61">
        <f t="shared" si="91"/>
        <v>14339.656702759019</v>
      </c>
      <c r="M174" s="61">
        <f t="shared" si="91"/>
        <v>15054.466408006643</v>
      </c>
      <c r="N174" s="61">
        <f t="shared" si="91"/>
        <v>15805.671043350869</v>
      </c>
      <c r="O174" s="61">
        <f t="shared" si="91"/>
        <v>16595.12614497876</v>
      </c>
      <c r="P174" s="61">
        <f t="shared" si="91"/>
        <v>17424.783220379395</v>
      </c>
      <c r="Q174" s="61">
        <f t="shared" si="91"/>
        <v>18296.694795842028</v>
      </c>
    </row>
    <row r="175" spans="2:17" ht="15.75" customHeight="1" x14ac:dyDescent="0.25">
      <c r="B175" s="60" t="s">
        <v>171</v>
      </c>
      <c r="C175" s="61">
        <v>304.8</v>
      </c>
      <c r="D175" s="61">
        <v>319</v>
      </c>
      <c r="E175" s="61">
        <v>826</v>
      </c>
      <c r="F175" s="62">
        <v>620</v>
      </c>
      <c r="G175" s="61">
        <v>0</v>
      </c>
      <c r="H175" s="61">
        <v>0</v>
      </c>
      <c r="I175" s="61">
        <v>0</v>
      </c>
      <c r="J175" s="61">
        <v>0</v>
      </c>
      <c r="K175" s="61">
        <v>0</v>
      </c>
      <c r="L175" s="61">
        <v>0</v>
      </c>
      <c r="M175" s="61">
        <v>0</v>
      </c>
      <c r="N175" s="61">
        <v>0</v>
      </c>
      <c r="O175" s="61">
        <v>0</v>
      </c>
      <c r="P175" s="61">
        <v>0</v>
      </c>
      <c r="Q175" s="61">
        <v>0</v>
      </c>
    </row>
    <row r="176" spans="2:17" ht="15.75" customHeight="1" x14ac:dyDescent="0.25">
      <c r="B176" s="60" t="s">
        <v>172</v>
      </c>
      <c r="C176" s="61">
        <v>-299.60000000000002</v>
      </c>
      <c r="D176" s="61">
        <v>-2451</v>
      </c>
      <c r="E176" s="61">
        <v>-2155</v>
      </c>
      <c r="F176" s="62">
        <v>-7000</v>
      </c>
      <c r="G176" s="61">
        <f t="shared" ref="G176:Q176" si="92">-(G140+G141-F140-F141)</f>
        <v>-6943.4735224725518</v>
      </c>
      <c r="H176" s="61">
        <f t="shared" si="92"/>
        <v>-8181.3861764447574</v>
      </c>
      <c r="I176" s="61">
        <f t="shared" si="92"/>
        <v>-9007.5254888347899</v>
      </c>
      <c r="J176" s="61">
        <f t="shared" si="92"/>
        <v>-9127.3997605310051</v>
      </c>
      <c r="K176" s="61">
        <f t="shared" si="92"/>
        <v>-8281.7673496085863</v>
      </c>
      <c r="L176" s="61">
        <f t="shared" si="92"/>
        <v>-6338.3912924883125</v>
      </c>
      <c r="M176" s="61">
        <f t="shared" si="92"/>
        <v>-3391.4366977154395</v>
      </c>
      <c r="N176" s="61">
        <f t="shared" si="92"/>
        <v>-3564.1135663061377</v>
      </c>
      <c r="O176" s="61">
        <f t="shared" si="92"/>
        <v>-3745.5940835778256</v>
      </c>
      <c r="P176" s="61">
        <f t="shared" si="92"/>
        <v>-3936.3335883335039</v>
      </c>
      <c r="Q176" s="61">
        <f t="shared" si="92"/>
        <v>-4136.8113673869047</v>
      </c>
    </row>
    <row r="177" spans="2:17" ht="15.75" customHeight="1" x14ac:dyDescent="0.25">
      <c r="B177" s="60" t="s">
        <v>173</v>
      </c>
      <c r="C177" s="61">
        <v>-599.70000000000005</v>
      </c>
      <c r="D177" s="61">
        <v>-1425</v>
      </c>
      <c r="E177" s="61">
        <v>-2507</v>
      </c>
      <c r="F177" s="62">
        <v>-4671</v>
      </c>
      <c r="G177" s="61">
        <f t="shared" ref="G177:Q177" si="93">-(G142-F142)</f>
        <v>-7532.4675288413091</v>
      </c>
      <c r="H177" s="61">
        <f t="shared" si="93"/>
        <v>-6423.645862549507</v>
      </c>
      <c r="I177" s="61">
        <f t="shared" si="93"/>
        <v>-7072.2922241162923</v>
      </c>
      <c r="J177" s="61">
        <f t="shared" si="93"/>
        <v>-7166.4119555163998</v>
      </c>
      <c r="K177" s="61">
        <f t="shared" si="93"/>
        <v>-6502.4605149525669</v>
      </c>
      <c r="L177" s="61">
        <f t="shared" si="93"/>
        <v>-4976.6115573956849</v>
      </c>
      <c r="M177" s="61">
        <f t="shared" si="93"/>
        <v>-2662.7991689356058</v>
      </c>
      <c r="N177" s="61">
        <f t="shared" si="93"/>
        <v>-2798.377056173631</v>
      </c>
      <c r="O177" s="61">
        <f t="shared" si="93"/>
        <v>-2940.8671609998564</v>
      </c>
      <c r="P177" s="61">
        <f t="shared" si="93"/>
        <v>-3090.6269943733496</v>
      </c>
      <c r="Q177" s="61">
        <f t="shared" si="93"/>
        <v>-3248.0328701230246</v>
      </c>
    </row>
    <row r="178" spans="2:17" ht="15.75" customHeight="1" x14ac:dyDescent="0.25">
      <c r="B178" s="60" t="s">
        <v>174</v>
      </c>
      <c r="C178" s="61">
        <v>-793.5</v>
      </c>
      <c r="D178" s="61">
        <v>-3453</v>
      </c>
      <c r="E178" s="61">
        <v>-3331</v>
      </c>
      <c r="F178" s="62">
        <v>-6609</v>
      </c>
      <c r="G178" s="61">
        <f t="shared" ref="G178:Q178" si="94">-(G143+G144-F143-F144)</f>
        <v>-4982.2135490944202</v>
      </c>
      <c r="H178" s="61">
        <f t="shared" si="94"/>
        <v>-5870.4642462785469</v>
      </c>
      <c r="I178" s="61">
        <f t="shared" si="94"/>
        <v>-6463.2514819910057</v>
      </c>
      <c r="J178" s="61">
        <f t="shared" si="94"/>
        <v>-6549.2659556834251</v>
      </c>
      <c r="K178" s="61">
        <f t="shared" si="94"/>
        <v>-5942.4916601359155</v>
      </c>
      <c r="L178" s="61">
        <f t="shared" si="94"/>
        <v>-4548.0434071925574</v>
      </c>
      <c r="M178" s="61">
        <f t="shared" si="94"/>
        <v>-2433.4883414716369</v>
      </c>
      <c r="N178" s="61">
        <f t="shared" si="94"/>
        <v>-2557.3907415489689</v>
      </c>
      <c r="O178" s="61">
        <f t="shared" si="94"/>
        <v>-2687.6101035327438</v>
      </c>
      <c r="P178" s="61">
        <f t="shared" si="94"/>
        <v>-2824.4731508052191</v>
      </c>
      <c r="Q178" s="61">
        <f t="shared" si="94"/>
        <v>-2968.3237903820213</v>
      </c>
    </row>
    <row r="179" spans="2:17" ht="15.75" customHeight="1" x14ac:dyDescent="0.25">
      <c r="B179" s="60" t="s">
        <v>175</v>
      </c>
      <c r="C179" s="61">
        <v>1678.3</v>
      </c>
      <c r="D179" s="61">
        <v>4274</v>
      </c>
      <c r="E179" s="61">
        <v>2609</v>
      </c>
      <c r="F179" s="62">
        <v>10187</v>
      </c>
      <c r="G179" s="61">
        <f t="shared" ref="G179:Q179" si="95">(G155+G156+G157+G158+G161+G162)-(F155+F156+F157+F158+F161+F162)</f>
        <v>12667.817112057819</v>
      </c>
      <c r="H179" s="61">
        <f t="shared" si="95"/>
        <v>13966.750168335522</v>
      </c>
      <c r="I179" s="61">
        <f t="shared" si="95"/>
        <v>15377.083470241341</v>
      </c>
      <c r="J179" s="61">
        <f t="shared" si="95"/>
        <v>15581.725320446712</v>
      </c>
      <c r="K179" s="61">
        <f t="shared" si="95"/>
        <v>14138.114621369154</v>
      </c>
      <c r="L179" s="61">
        <f t="shared" si="95"/>
        <v>10820.504709362969</v>
      </c>
      <c r="M179" s="61">
        <f t="shared" si="95"/>
        <v>5789.6483611900621</v>
      </c>
      <c r="N179" s="61">
        <f t="shared" si="95"/>
        <v>6084.4314983558143</v>
      </c>
      <c r="O179" s="61">
        <f t="shared" si="95"/>
        <v>6394.2436732720234</v>
      </c>
      <c r="P179" s="61">
        <f t="shared" si="95"/>
        <v>6719.8622118302737</v>
      </c>
      <c r="Q179" s="61">
        <f t="shared" si="95"/>
        <v>7062.1053224664065</v>
      </c>
    </row>
    <row r="180" spans="2:17" ht="15.75" customHeight="1" x14ac:dyDescent="0.25">
      <c r="B180" s="63" t="s">
        <v>176</v>
      </c>
      <c r="C180" s="61">
        <v>7084.4</v>
      </c>
      <c r="D180" s="64">
        <v>4240</v>
      </c>
      <c r="E180" s="64">
        <v>8818</v>
      </c>
      <c r="F180" s="65">
        <v>16813</v>
      </c>
      <c r="G180" s="64">
        <f t="shared" ref="G180:Q180" si="96">SUM(G169:G179)</f>
        <v>22205.330724669409</v>
      </c>
      <c r="H180" s="64">
        <f t="shared" si="96"/>
        <v>31966.384774770486</v>
      </c>
      <c r="I180" s="64">
        <f t="shared" si="96"/>
        <v>41709.763320112899</v>
      </c>
      <c r="J180" s="64">
        <f t="shared" si="96"/>
        <v>52304.780651565408</v>
      </c>
      <c r="K180" s="64">
        <f t="shared" si="96"/>
        <v>62638.183961981078</v>
      </c>
      <c r="L180" s="64">
        <f t="shared" si="96"/>
        <v>71586.686427373381</v>
      </c>
      <c r="M180" s="64">
        <f t="shared" si="96"/>
        <v>77983.140725284611</v>
      </c>
      <c r="N180" s="64">
        <f t="shared" si="96"/>
        <v>82120.081547010283</v>
      </c>
      <c r="O180" s="64">
        <f t="shared" si="96"/>
        <v>86450.374750694988</v>
      </c>
      <c r="P180" s="64">
        <f t="shared" si="96"/>
        <v>90995.390074802257</v>
      </c>
      <c r="Q180" s="64">
        <f t="shared" si="96"/>
        <v>95769.567612993691</v>
      </c>
    </row>
    <row r="181" spans="2:17" ht="15.75" customHeight="1" x14ac:dyDescent="0.25">
      <c r="F181" s="48"/>
    </row>
    <row r="182" spans="2:17" ht="15.75" customHeight="1" x14ac:dyDescent="0.25">
      <c r="B182" s="60" t="s">
        <v>177</v>
      </c>
      <c r="C182" s="61">
        <v>-1854.3</v>
      </c>
      <c r="D182" s="61">
        <v>-3448</v>
      </c>
      <c r="E182" s="61">
        <v>-5058</v>
      </c>
      <c r="F182" s="62">
        <v>-7841</v>
      </c>
      <c r="G182" s="61">
        <f t="shared" ref="G182:Q182" si="97">G$124*G87</f>
        <v>-8732.818505021467</v>
      </c>
      <c r="H182" s="61">
        <f t="shared" si="97"/>
        <v>-11369.371465804794</v>
      </c>
      <c r="I182" s="61">
        <f t="shared" si="97"/>
        <v>-14272.158045577118</v>
      </c>
      <c r="J182" s="61">
        <f t="shared" si="97"/>
        <v>-17213.575593151985</v>
      </c>
      <c r="K182" s="61">
        <f t="shared" si="97"/>
        <v>-19882.477629459212</v>
      </c>
      <c r="L182" s="61">
        <f t="shared" si="97"/>
        <v>-21925.102677147075</v>
      </c>
      <c r="M182" s="61">
        <f t="shared" si="97"/>
        <v>-23018.035130624849</v>
      </c>
      <c r="N182" s="61">
        <f t="shared" si="97"/>
        <v>-24166.614842320596</v>
      </c>
      <c r="O182" s="61">
        <f t="shared" si="97"/>
        <v>-25373.678896989266</v>
      </c>
      <c r="P182" s="61">
        <f t="shared" si="97"/>
        <v>-26642.211117951058</v>
      </c>
      <c r="Q182" s="61">
        <f t="shared" si="97"/>
        <v>-27975.34978463428</v>
      </c>
    </row>
    <row r="183" spans="2:17" ht="15.75" customHeight="1" x14ac:dyDescent="0.25">
      <c r="B183" s="60" t="s">
        <v>178</v>
      </c>
      <c r="C183" s="61">
        <v>342.2</v>
      </c>
      <c r="D183" s="61">
        <v>508</v>
      </c>
      <c r="E183" s="61">
        <v>374</v>
      </c>
      <c r="F183" s="62">
        <v>964</v>
      </c>
      <c r="G183" s="61">
        <v>0</v>
      </c>
      <c r="H183" s="61">
        <v>0</v>
      </c>
      <c r="I183" s="61">
        <v>0</v>
      </c>
      <c r="J183" s="61">
        <v>0</v>
      </c>
      <c r="K183" s="61">
        <v>0</v>
      </c>
      <c r="L183" s="61">
        <v>0</v>
      </c>
      <c r="M183" s="61">
        <v>0</v>
      </c>
      <c r="N183" s="61">
        <v>0</v>
      </c>
      <c r="O183" s="61">
        <v>0</v>
      </c>
      <c r="P183" s="61">
        <v>0</v>
      </c>
      <c r="Q183" s="61">
        <v>0</v>
      </c>
    </row>
    <row r="184" spans="2:17" ht="15.75" customHeight="1" x14ac:dyDescent="0.25">
      <c r="B184" s="60" t="s">
        <v>179</v>
      </c>
      <c r="C184" s="61">
        <v>-600.20000000000005</v>
      </c>
      <c r="D184" s="61">
        <v>-731</v>
      </c>
      <c r="E184" s="61">
        <v>-677</v>
      </c>
      <c r="F184" s="62">
        <v>-645</v>
      </c>
      <c r="G184" s="61">
        <v>0</v>
      </c>
      <c r="H184" s="61">
        <v>0</v>
      </c>
      <c r="I184" s="61">
        <v>0</v>
      </c>
      <c r="J184" s="61">
        <v>0</v>
      </c>
      <c r="K184" s="61">
        <v>0</v>
      </c>
      <c r="L184" s="61">
        <v>0</v>
      </c>
      <c r="M184" s="61">
        <v>0</v>
      </c>
      <c r="N184" s="61">
        <v>0</v>
      </c>
      <c r="O184" s="61">
        <v>0</v>
      </c>
      <c r="P184" s="61">
        <v>0</v>
      </c>
      <c r="Q184" s="61">
        <v>0</v>
      </c>
    </row>
    <row r="185" spans="2:17" ht="15.75" customHeight="1" x14ac:dyDescent="0.25">
      <c r="B185" s="60" t="s">
        <v>180</v>
      </c>
      <c r="C185" s="61">
        <v>0</v>
      </c>
      <c r="D185" s="61">
        <v>1604</v>
      </c>
      <c r="E185" s="61">
        <v>601</v>
      </c>
      <c r="F185" s="62">
        <v>218</v>
      </c>
      <c r="G185" s="61">
        <v>0</v>
      </c>
      <c r="H185" s="61">
        <v>0</v>
      </c>
      <c r="I185" s="61">
        <v>0</v>
      </c>
      <c r="J185" s="61">
        <v>0</v>
      </c>
      <c r="K185" s="61">
        <v>0</v>
      </c>
      <c r="L185" s="61">
        <v>0</v>
      </c>
      <c r="M185" s="61">
        <v>0</v>
      </c>
      <c r="N185" s="61">
        <v>0</v>
      </c>
      <c r="O185" s="61">
        <v>0</v>
      </c>
      <c r="P185" s="61">
        <v>0</v>
      </c>
      <c r="Q185" s="61">
        <v>0</v>
      </c>
    </row>
    <row r="186" spans="2:17" ht="15.75" customHeight="1" x14ac:dyDescent="0.25">
      <c r="B186" s="60" t="s">
        <v>181</v>
      </c>
      <c r="C186" s="61">
        <v>-629.70000000000005</v>
      </c>
      <c r="D186" s="61">
        <v>-3944</v>
      </c>
      <c r="E186" s="61">
        <v>-3346</v>
      </c>
      <c r="F186" s="62">
        <v>-3008</v>
      </c>
      <c r="G186" s="61">
        <f t="shared" ref="G186:Q186" si="98">-G174</f>
        <v>-5711.5180372693967</v>
      </c>
      <c r="H186" s="61">
        <f t="shared" si="98"/>
        <v>-7435.9005814698839</v>
      </c>
      <c r="I186" s="61">
        <f t="shared" si="98"/>
        <v>-9334.4076784832796</v>
      </c>
      <c r="J186" s="61">
        <f t="shared" si="98"/>
        <v>-11258.180555298984</v>
      </c>
      <c r="K186" s="61">
        <f t="shared" si="98"/>
        <v>-13003.720338509705</v>
      </c>
      <c r="L186" s="61">
        <f t="shared" si="98"/>
        <v>-14339.656702759019</v>
      </c>
      <c r="M186" s="61">
        <f t="shared" si="98"/>
        <v>-15054.466408006643</v>
      </c>
      <c r="N186" s="61">
        <f t="shared" si="98"/>
        <v>-15805.671043350869</v>
      </c>
      <c r="O186" s="61">
        <f t="shared" si="98"/>
        <v>-16595.12614497876</v>
      </c>
      <c r="P186" s="61">
        <f t="shared" si="98"/>
        <v>-17424.783220379395</v>
      </c>
      <c r="Q186" s="61">
        <f t="shared" si="98"/>
        <v>-18296.694795842028</v>
      </c>
    </row>
    <row r="187" spans="2:17" ht="15.75" customHeight="1" x14ac:dyDescent="0.25">
      <c r="B187" s="60" t="s">
        <v>182</v>
      </c>
      <c r="C187" s="61">
        <v>-327.2</v>
      </c>
      <c r="D187" s="61">
        <v>-1044</v>
      </c>
      <c r="E187" s="61">
        <v>-948</v>
      </c>
      <c r="F187" s="62">
        <v>-661</v>
      </c>
      <c r="G187" s="61">
        <v>0</v>
      </c>
      <c r="H187" s="61">
        <v>0</v>
      </c>
      <c r="I187" s="61">
        <v>0</v>
      </c>
      <c r="J187" s="61">
        <v>0</v>
      </c>
      <c r="K187" s="61">
        <v>0</v>
      </c>
      <c r="L187" s="61">
        <v>0</v>
      </c>
      <c r="M187" s="61">
        <v>0</v>
      </c>
      <c r="N187" s="61">
        <v>0</v>
      </c>
      <c r="O187" s="61">
        <v>0</v>
      </c>
      <c r="P187" s="61">
        <v>0</v>
      </c>
      <c r="Q187" s="61">
        <v>0</v>
      </c>
    </row>
    <row r="188" spans="2:17" ht="15.75" customHeight="1" x14ac:dyDescent="0.25">
      <c r="B188" s="60" t="s">
        <v>183</v>
      </c>
      <c r="C188" s="61">
        <v>-206.4</v>
      </c>
      <c r="D188" s="61">
        <v>-98</v>
      </c>
      <c r="E188" s="61">
        <v>-248</v>
      </c>
      <c r="F188" s="62">
        <v>1</v>
      </c>
      <c r="G188" s="61">
        <v>0</v>
      </c>
      <c r="H188" s="61">
        <v>0</v>
      </c>
      <c r="I188" s="61">
        <v>0</v>
      </c>
      <c r="J188" s="61">
        <v>0</v>
      </c>
      <c r="K188" s="61">
        <v>0</v>
      </c>
      <c r="L188" s="61">
        <v>0</v>
      </c>
      <c r="M188" s="61">
        <v>0</v>
      </c>
      <c r="N188" s="61">
        <v>0</v>
      </c>
      <c r="O188" s="61">
        <v>0</v>
      </c>
      <c r="P188" s="61">
        <v>0</v>
      </c>
      <c r="Q188" s="61">
        <v>0</v>
      </c>
    </row>
    <row r="189" spans="2:17" ht="15.75" customHeight="1" x14ac:dyDescent="0.25">
      <c r="B189" s="63" t="s">
        <v>184</v>
      </c>
      <c r="C189" s="64">
        <v>-3261.6</v>
      </c>
      <c r="D189" s="64">
        <v>-7153</v>
      </c>
      <c r="E189" s="64">
        <v>-9302</v>
      </c>
      <c r="F189" s="65">
        <v>-10972</v>
      </c>
      <c r="G189" s="64">
        <f t="shared" ref="G189:Q189" si="99">SUM(G182:G188)</f>
        <v>-14444.336542290865</v>
      </c>
      <c r="H189" s="64">
        <f t="shared" si="99"/>
        <v>-18805.272047274677</v>
      </c>
      <c r="I189" s="64">
        <f t="shared" si="99"/>
        <v>-23606.565724060398</v>
      </c>
      <c r="J189" s="64">
        <f t="shared" si="99"/>
        <v>-28471.756148450972</v>
      </c>
      <c r="K189" s="64">
        <f t="shared" si="99"/>
        <v>-32886.197967968918</v>
      </c>
      <c r="L189" s="64">
        <f t="shared" si="99"/>
        <v>-36264.759379906092</v>
      </c>
      <c r="M189" s="64">
        <f t="shared" si="99"/>
        <v>-38072.501538631492</v>
      </c>
      <c r="N189" s="64">
        <f t="shared" si="99"/>
        <v>-39972.285885671467</v>
      </c>
      <c r="O189" s="64">
        <f t="shared" si="99"/>
        <v>-41968.805041968022</v>
      </c>
      <c r="P189" s="64">
        <f t="shared" si="99"/>
        <v>-44066.994338330449</v>
      </c>
      <c r="Q189" s="64">
        <f t="shared" si="99"/>
        <v>-46272.044580476308</v>
      </c>
    </row>
    <row r="190" spans="2:17" ht="15.75" customHeight="1" x14ac:dyDescent="0.25">
      <c r="F190" s="48"/>
    </row>
    <row r="191" spans="2:17" ht="15.75" customHeight="1" x14ac:dyDescent="0.25">
      <c r="B191" s="60" t="s">
        <v>185</v>
      </c>
      <c r="C191" s="61">
        <v>-3535.8</v>
      </c>
      <c r="D191" s="61">
        <v>-4069</v>
      </c>
      <c r="E191" s="61">
        <v>-4680</v>
      </c>
      <c r="F191" s="62">
        <v>-5384</v>
      </c>
      <c r="G191" s="61">
        <f t="shared" ref="G191:Q191" si="100">G$134*G88</f>
        <v>-10745.732313223343</v>
      </c>
      <c r="H191" s="61">
        <f t="shared" si="100"/>
        <v>-14014.95270109018</v>
      </c>
      <c r="I191" s="61">
        <f t="shared" si="100"/>
        <v>-17595.513104740119</v>
      </c>
      <c r="J191" s="61">
        <f t="shared" si="100"/>
        <v>-21302.542347052797</v>
      </c>
      <c r="K191" s="61">
        <f t="shared" si="100"/>
        <v>-24645.66391682551</v>
      </c>
      <c r="L191" s="61">
        <f t="shared" si="100"/>
        <v>-27208.841871678807</v>
      </c>
      <c r="M191" s="61">
        <f t="shared" si="100"/>
        <v>-28627.806209040471</v>
      </c>
      <c r="N191" s="61">
        <f t="shared" si="100"/>
        <v>-30127.358902129807</v>
      </c>
      <c r="O191" s="61">
        <f t="shared" si="100"/>
        <v>-31694.264728041759</v>
      </c>
      <c r="P191" s="61">
        <f t="shared" si="100"/>
        <v>-33337.953914412436</v>
      </c>
      <c r="Q191" s="61">
        <f t="shared" si="100"/>
        <v>-35064.160260080149</v>
      </c>
    </row>
    <row r="192" spans="2:17" ht="15.75" customHeight="1" x14ac:dyDescent="0.25">
      <c r="B192" s="60" t="s">
        <v>186</v>
      </c>
      <c r="C192" s="61">
        <v>1498</v>
      </c>
      <c r="D192" s="61">
        <v>4691</v>
      </c>
      <c r="E192" s="61">
        <v>-1852</v>
      </c>
      <c r="F192" s="62">
        <v>-4338</v>
      </c>
      <c r="G192" s="71">
        <f t="shared" ref="G192:Q192" si="101">(F159+F163)*G89-F154</f>
        <v>83.819999999999936</v>
      </c>
      <c r="H192" s="61">
        <f t="shared" si="101"/>
        <v>543.91947308697422</v>
      </c>
      <c r="I192" s="61">
        <f t="shared" si="101"/>
        <v>591.09774558484423</v>
      </c>
      <c r="J192" s="61">
        <f t="shared" si="101"/>
        <v>602.64241300524918</v>
      </c>
      <c r="K192" s="61">
        <f t="shared" si="101"/>
        <v>551.46140385664648</v>
      </c>
      <c r="L192" s="61">
        <f t="shared" si="101"/>
        <v>425.33631237639202</v>
      </c>
      <c r="M192" s="61">
        <f t="shared" si="101"/>
        <v>122.43038476726542</v>
      </c>
      <c r="N192" s="61">
        <f t="shared" si="101"/>
        <v>20.879461035001441</v>
      </c>
      <c r="O192" s="61">
        <f t="shared" si="101"/>
        <v>29.612210997879629</v>
      </c>
      <c r="P192" s="61">
        <f t="shared" si="101"/>
        <v>40.607809904956412</v>
      </c>
      <c r="Q192" s="61">
        <f t="shared" si="101"/>
        <v>51.733558043286394</v>
      </c>
    </row>
    <row r="193" spans="2:17" ht="15.75" customHeight="1" x14ac:dyDescent="0.25">
      <c r="B193" s="60" t="s">
        <v>187</v>
      </c>
      <c r="C193" s="61">
        <v>0</v>
      </c>
      <c r="D193" s="61">
        <v>3959</v>
      </c>
      <c r="E193" s="61">
        <v>11417</v>
      </c>
      <c r="F193" s="62">
        <v>13167</v>
      </c>
      <c r="G193" s="71">
        <f t="shared" ref="G193:Q193" si="102">(-G182+G129)*G90</f>
        <v>14444.336542290865</v>
      </c>
      <c r="H193" s="61">
        <f t="shared" si="102"/>
        <v>15044.217637819742</v>
      </c>
      <c r="I193" s="61">
        <f t="shared" si="102"/>
        <v>14163.939434436239</v>
      </c>
      <c r="J193" s="61">
        <f t="shared" si="102"/>
        <v>11388.702459380389</v>
      </c>
      <c r="K193" s="61">
        <f t="shared" si="102"/>
        <v>6577.2395935937839</v>
      </c>
      <c r="L193" s="61">
        <f t="shared" si="102"/>
        <v>0</v>
      </c>
      <c r="M193" s="61">
        <f t="shared" si="102"/>
        <v>0</v>
      </c>
      <c r="N193" s="61">
        <f t="shared" si="102"/>
        <v>0</v>
      </c>
      <c r="O193" s="61">
        <f t="shared" si="102"/>
        <v>0</v>
      </c>
      <c r="P193" s="61">
        <f t="shared" si="102"/>
        <v>0</v>
      </c>
      <c r="Q193" s="61">
        <f t="shared" si="102"/>
        <v>0</v>
      </c>
    </row>
    <row r="194" spans="2:17" ht="15.75" customHeight="1" x14ac:dyDescent="0.25">
      <c r="B194" s="60" t="s">
        <v>188</v>
      </c>
      <c r="C194" s="61">
        <v>-1560</v>
      </c>
      <c r="D194" s="61">
        <v>0</v>
      </c>
      <c r="E194" s="61">
        <v>-664</v>
      </c>
      <c r="F194" s="62">
        <v>-778</v>
      </c>
      <c r="G194" s="71">
        <f t="shared" ref="G194:Q194" si="103">-F160*G92</f>
        <v>0</v>
      </c>
      <c r="H194" s="61">
        <f t="shared" si="103"/>
        <v>0</v>
      </c>
      <c r="I194" s="61">
        <f t="shared" si="103"/>
        <v>0</v>
      </c>
      <c r="J194" s="61">
        <f t="shared" si="103"/>
        <v>0</v>
      </c>
      <c r="K194" s="61">
        <f t="shared" si="103"/>
        <v>0</v>
      </c>
      <c r="L194" s="61">
        <f t="shared" si="103"/>
        <v>-5124.3217833760518</v>
      </c>
      <c r="M194" s="61">
        <f t="shared" si="103"/>
        <v>-4868.1056942072491</v>
      </c>
      <c r="N194" s="61">
        <f t="shared" si="103"/>
        <v>-4624.7004094968861</v>
      </c>
      <c r="O194" s="61">
        <f t="shared" si="103"/>
        <v>-4393.4653890220425</v>
      </c>
      <c r="P194" s="61">
        <f t="shared" si="103"/>
        <v>-4173.7921195709405</v>
      </c>
      <c r="Q194" s="61">
        <f t="shared" si="103"/>
        <v>-3965.1025135923937</v>
      </c>
    </row>
    <row r="195" spans="2:17" ht="15.75" customHeight="1" x14ac:dyDescent="0.25">
      <c r="B195" s="60" t="s">
        <v>189</v>
      </c>
      <c r="C195" s="61">
        <v>-1500</v>
      </c>
      <c r="D195" s="61">
        <v>-750</v>
      </c>
      <c r="E195" s="61">
        <v>-2500</v>
      </c>
      <c r="F195" s="62">
        <v>-4108</v>
      </c>
      <c r="G195" s="71">
        <f t="shared" ref="G195:Q195" si="104">G124*G91</f>
        <v>-4229.7177176718651</v>
      </c>
      <c r="H195" s="61">
        <f t="shared" si="104"/>
        <v>-5506.7252227966956</v>
      </c>
      <c r="I195" s="61">
        <f t="shared" si="104"/>
        <v>-6912.6822823672273</v>
      </c>
      <c r="J195" s="61">
        <f t="shared" si="104"/>
        <v>-8337.3501497796115</v>
      </c>
      <c r="K195" s="61">
        <f t="shared" si="104"/>
        <v>-9630.0258447122451</v>
      </c>
      <c r="L195" s="61">
        <f t="shared" si="104"/>
        <v>-10619.365924297977</v>
      </c>
      <c r="M195" s="61">
        <f t="shared" si="104"/>
        <v>-11148.724888993665</v>
      </c>
      <c r="N195" s="61">
        <f t="shared" si="104"/>
        <v>-11705.036457123066</v>
      </c>
      <c r="O195" s="61">
        <f t="shared" si="104"/>
        <v>-12289.674763239376</v>
      </c>
      <c r="P195" s="61">
        <f t="shared" si="104"/>
        <v>-12904.085014334652</v>
      </c>
      <c r="Q195" s="61">
        <f t="shared" si="104"/>
        <v>-13549.787227811446</v>
      </c>
    </row>
    <row r="196" spans="2:17" ht="15.75" customHeight="1" x14ac:dyDescent="0.25">
      <c r="B196" s="60" t="s">
        <v>190</v>
      </c>
      <c r="C196" s="61">
        <v>-308.89999999999998</v>
      </c>
      <c r="D196" s="61">
        <v>-335</v>
      </c>
      <c r="E196" s="61">
        <v>-491</v>
      </c>
      <c r="F196" s="62">
        <v>-772</v>
      </c>
      <c r="G196" s="71">
        <v>0</v>
      </c>
      <c r="H196" s="61">
        <v>0</v>
      </c>
      <c r="I196" s="61">
        <v>0</v>
      </c>
      <c r="J196" s="61">
        <v>0</v>
      </c>
      <c r="K196" s="61">
        <v>0</v>
      </c>
      <c r="L196" s="61">
        <v>0</v>
      </c>
      <c r="M196" s="61">
        <v>0</v>
      </c>
      <c r="N196" s="61">
        <v>0</v>
      </c>
      <c r="O196" s="61">
        <v>0</v>
      </c>
      <c r="P196" s="61">
        <v>0</v>
      </c>
      <c r="Q196" s="61">
        <v>0</v>
      </c>
    </row>
    <row r="197" spans="2:17" ht="15.75" customHeight="1" x14ac:dyDescent="0.25">
      <c r="B197" s="63" t="s">
        <v>191</v>
      </c>
      <c r="C197" s="64">
        <v>-5406.7</v>
      </c>
      <c r="D197" s="64">
        <v>3496</v>
      </c>
      <c r="E197" s="64">
        <v>1230</v>
      </c>
      <c r="F197" s="65">
        <v>-2213</v>
      </c>
      <c r="G197" s="64">
        <f t="shared" ref="G197:Q197" si="105">SUM(G191:G196)</f>
        <v>-447.29348860434402</v>
      </c>
      <c r="H197" s="64">
        <f t="shared" si="105"/>
        <v>-3933.540812980159</v>
      </c>
      <c r="I197" s="64">
        <f t="shared" si="105"/>
        <v>-9753.1582070862642</v>
      </c>
      <c r="J197" s="64">
        <f t="shared" si="105"/>
        <v>-17648.547624446772</v>
      </c>
      <c r="K197" s="64">
        <f t="shared" si="105"/>
        <v>-27146.988764087328</v>
      </c>
      <c r="L197" s="64">
        <f t="shared" si="105"/>
        <v>-42527.193266976443</v>
      </c>
      <c r="M197" s="64">
        <f t="shared" si="105"/>
        <v>-44522.206407474121</v>
      </c>
      <c r="N197" s="64">
        <f t="shared" si="105"/>
        <v>-46436.216307714756</v>
      </c>
      <c r="O197" s="64">
        <f t="shared" si="105"/>
        <v>-48347.792669305294</v>
      </c>
      <c r="P197" s="64">
        <f t="shared" si="105"/>
        <v>-50375.223238413077</v>
      </c>
      <c r="Q197" s="64">
        <f t="shared" si="105"/>
        <v>-52527.316443440701</v>
      </c>
    </row>
    <row r="198" spans="2:17" ht="15.75" customHeight="1" x14ac:dyDescent="0.25">
      <c r="F198" s="48"/>
    </row>
    <row r="199" spans="2:17" ht="15.75" customHeight="1" x14ac:dyDescent="0.25">
      <c r="B199" s="60" t="s">
        <v>192</v>
      </c>
      <c r="C199" s="61">
        <v>-167.6</v>
      </c>
      <c r="D199" s="61">
        <v>169</v>
      </c>
      <c r="E199" s="61">
        <v>-297</v>
      </c>
      <c r="F199" s="62">
        <v>372</v>
      </c>
      <c r="G199" s="61">
        <v>0</v>
      </c>
      <c r="H199" s="61">
        <v>0</v>
      </c>
      <c r="I199" s="61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  <c r="P199" s="61">
        <v>0</v>
      </c>
      <c r="Q199" s="61">
        <v>0</v>
      </c>
    </row>
    <row r="200" spans="2:17" ht="15.75" customHeight="1" x14ac:dyDescent="0.25">
      <c r="B200" s="63" t="s">
        <v>193</v>
      </c>
      <c r="C200" s="64">
        <v>-1751.5</v>
      </c>
      <c r="D200" s="64">
        <v>752</v>
      </c>
      <c r="E200" s="64">
        <v>449</v>
      </c>
      <c r="F200" s="65">
        <v>4000</v>
      </c>
      <c r="G200" s="64">
        <f t="shared" ref="G200:Q200" si="106">G180+G189+G197+G199</f>
        <v>7313.7006937742008</v>
      </c>
      <c r="H200" s="64">
        <f t="shared" si="106"/>
        <v>9227.5719145156509</v>
      </c>
      <c r="I200" s="64">
        <f t="shared" si="106"/>
        <v>8350.0393889662373</v>
      </c>
      <c r="J200" s="64">
        <f t="shared" si="106"/>
        <v>6184.476878667665</v>
      </c>
      <c r="K200" s="64">
        <f t="shared" si="106"/>
        <v>2604.9972299248329</v>
      </c>
      <c r="L200" s="64">
        <f t="shared" si="106"/>
        <v>-7205.2662195091543</v>
      </c>
      <c r="M200" s="64">
        <f t="shared" si="106"/>
        <v>-4611.5672208210017</v>
      </c>
      <c r="N200" s="64">
        <f t="shared" si="106"/>
        <v>-4288.4206463759401</v>
      </c>
      <c r="O200" s="64">
        <f t="shared" si="106"/>
        <v>-3866.2229605783286</v>
      </c>
      <c r="P200" s="64">
        <f t="shared" si="106"/>
        <v>-3446.8275019412686</v>
      </c>
      <c r="Q200" s="64">
        <f t="shared" si="106"/>
        <v>-3029.7934109233174</v>
      </c>
    </row>
    <row r="201" spans="2:17" ht="15.75" customHeight="1" x14ac:dyDescent="0.25">
      <c r="B201" s="60" t="s">
        <v>194</v>
      </c>
      <c r="C201" s="61">
        <v>3818.5</v>
      </c>
      <c r="D201" s="61">
        <v>2067</v>
      </c>
      <c r="E201" s="61">
        <v>2818.6</v>
      </c>
      <c r="F201" s="62">
        <v>3268</v>
      </c>
      <c r="G201" s="61">
        <f t="shared" ref="G201:Q201" si="107">F139</f>
        <v>7268</v>
      </c>
      <c r="H201" s="61">
        <f t="shared" si="107"/>
        <v>14581.700693774201</v>
      </c>
      <c r="I201" s="61">
        <f t="shared" si="107"/>
        <v>23809.272608289852</v>
      </c>
      <c r="J201" s="61">
        <f t="shared" si="107"/>
        <v>32159.311997256089</v>
      </c>
      <c r="K201" s="61">
        <f t="shared" si="107"/>
        <v>38343.788875923754</v>
      </c>
      <c r="L201" s="61">
        <f t="shared" si="107"/>
        <v>40948.786105848587</v>
      </c>
      <c r="M201" s="61">
        <f t="shared" si="107"/>
        <v>33743.519886339433</v>
      </c>
      <c r="N201" s="61">
        <f t="shared" si="107"/>
        <v>29131.952665518431</v>
      </c>
      <c r="O201" s="61">
        <f t="shared" si="107"/>
        <v>24843.532019142491</v>
      </c>
      <c r="P201" s="61">
        <f t="shared" si="107"/>
        <v>20977.309058564162</v>
      </c>
      <c r="Q201" s="61">
        <f t="shared" si="107"/>
        <v>17530.481556622894</v>
      </c>
    </row>
    <row r="202" spans="2:17" ht="15.75" customHeight="1" x14ac:dyDescent="0.25">
      <c r="B202" s="63" t="s">
        <v>195</v>
      </c>
      <c r="C202" s="64">
        <v>2067</v>
      </c>
      <c r="D202" s="64">
        <v>2819</v>
      </c>
      <c r="E202" s="64">
        <v>3267.6</v>
      </c>
      <c r="F202" s="65">
        <v>7268</v>
      </c>
      <c r="G202" s="64">
        <f t="shared" ref="G202:Q202" si="108">G201+G200</f>
        <v>14581.700693774201</v>
      </c>
      <c r="H202" s="64">
        <f t="shared" si="108"/>
        <v>23809.272608289852</v>
      </c>
      <c r="I202" s="64">
        <f t="shared" si="108"/>
        <v>32159.311997256089</v>
      </c>
      <c r="J202" s="64">
        <f t="shared" si="108"/>
        <v>38343.788875923754</v>
      </c>
      <c r="K202" s="64">
        <f t="shared" si="108"/>
        <v>40948.786105848587</v>
      </c>
      <c r="L202" s="64">
        <f t="shared" si="108"/>
        <v>33743.519886339433</v>
      </c>
      <c r="M202" s="64">
        <f t="shared" si="108"/>
        <v>29131.952665518431</v>
      </c>
      <c r="N202" s="64">
        <f t="shared" si="108"/>
        <v>24843.532019142491</v>
      </c>
      <c r="O202" s="64">
        <f t="shared" si="108"/>
        <v>20977.309058564162</v>
      </c>
      <c r="P202" s="64">
        <f t="shared" si="108"/>
        <v>17530.481556622894</v>
      </c>
      <c r="Q202" s="64">
        <f t="shared" si="108"/>
        <v>14500.688145699576</v>
      </c>
    </row>
    <row r="203" spans="2:17" ht="15.75" customHeight="1" x14ac:dyDescent="0.25">
      <c r="F203" s="48"/>
    </row>
    <row r="240" spans="2:8" ht="15.75" customHeight="1" x14ac:dyDescent="0.25">
      <c r="B240" s="69"/>
      <c r="C240" s="69"/>
      <c r="D240" s="70"/>
      <c r="E240" s="70"/>
      <c r="F240" s="70"/>
      <c r="G240" s="70"/>
      <c r="H240" s="70"/>
    </row>
    <row r="269" spans="2:3" ht="15.75" customHeight="1" x14ac:dyDescent="0.25">
      <c r="B269" s="66"/>
      <c r="C269" s="66"/>
    </row>
    <row r="270" spans="2:3" ht="15.75" customHeight="1" x14ac:dyDescent="0.25">
      <c r="B270" s="66"/>
      <c r="C270" s="66"/>
    </row>
    <row r="271" spans="2:3" ht="15.75" customHeight="1" x14ac:dyDescent="0.25">
      <c r="B271" s="66"/>
      <c r="C271" s="66"/>
    </row>
    <row r="272" spans="2:3" ht="15.75" customHeight="1" x14ac:dyDescent="0.25">
      <c r="B272" s="66"/>
      <c r="C272" s="66"/>
    </row>
    <row r="273" spans="2:3" ht="15.75" customHeight="1" x14ac:dyDescent="0.25">
      <c r="B273" s="66"/>
      <c r="C273" s="66"/>
    </row>
    <row r="274" spans="2:3" ht="15.75" customHeight="1" x14ac:dyDescent="0.25">
      <c r="B274" s="66"/>
      <c r="C274" s="66"/>
    </row>
    <row r="275" spans="2:3" ht="15.75" customHeight="1" x14ac:dyDescent="0.25">
      <c r="B275" s="66"/>
      <c r="C275" s="66"/>
    </row>
    <row r="276" spans="2:3" ht="15.75" customHeight="1" x14ac:dyDescent="0.25">
      <c r="B276" s="66"/>
      <c r="C276" s="66"/>
    </row>
    <row r="277" spans="2:3" ht="15.75" customHeight="1" x14ac:dyDescent="0.25">
      <c r="B277" s="66"/>
      <c r="C277" s="6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7</v>
      </c>
    </row>
    <row r="3" spans="2:3" ht="15.75" customHeight="1" x14ac:dyDescent="0.25">
      <c r="B3" s="31" t="s">
        <v>197</v>
      </c>
      <c r="C3" s="1" t="s">
        <v>198</v>
      </c>
    </row>
    <row r="4" spans="2:3" ht="15.75" customHeight="1" x14ac:dyDescent="0.25">
      <c r="B4" s="31" t="s">
        <v>2</v>
      </c>
      <c r="C4" s="1" t="s">
        <v>199</v>
      </c>
    </row>
    <row r="5" spans="2:3" ht="15.75" customHeight="1" x14ac:dyDescent="0.25">
      <c r="B5" s="31" t="s">
        <v>200</v>
      </c>
      <c r="C5" s="1" t="s">
        <v>201</v>
      </c>
    </row>
    <row r="6" spans="2:3" ht="15.75" customHeight="1" x14ac:dyDescent="0.25">
      <c r="B6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9</v>
      </c>
    </row>
    <row r="3" spans="2:3" ht="15.75" customHeight="1" x14ac:dyDescent="0.25">
      <c r="B3" s="31" t="s">
        <v>197</v>
      </c>
      <c r="C3" s="1" t="s">
        <v>202</v>
      </c>
    </row>
    <row r="4" spans="2:3" ht="15.75" customHeight="1" x14ac:dyDescent="0.25">
      <c r="B4" s="31" t="s">
        <v>2</v>
      </c>
      <c r="C4" s="1" t="s">
        <v>203</v>
      </c>
    </row>
    <row r="5" spans="2:3" ht="15.75" customHeight="1" x14ac:dyDescent="0.25">
      <c r="B5" s="31" t="s">
        <v>200</v>
      </c>
      <c r="C5" s="1" t="s">
        <v>201</v>
      </c>
    </row>
    <row r="6" spans="2:3" ht="15.75" customHeight="1" x14ac:dyDescent="0.25">
      <c r="B6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11</v>
      </c>
    </row>
    <row r="3" spans="2:3" ht="15.75" customHeight="1" x14ac:dyDescent="0.25">
      <c r="B3" s="31" t="s">
        <v>197</v>
      </c>
      <c r="C3" s="1" t="s">
        <v>204</v>
      </c>
    </row>
    <row r="4" spans="2:3" ht="15.75" customHeight="1" x14ac:dyDescent="0.25">
      <c r="B4" s="31" t="s">
        <v>2</v>
      </c>
      <c r="C4" s="1" t="s">
        <v>205</v>
      </c>
    </row>
    <row r="5" spans="2:3" ht="15.75" customHeight="1" x14ac:dyDescent="0.25">
      <c r="B5" s="31" t="s">
        <v>200</v>
      </c>
      <c r="C5" s="1" t="s">
        <v>206</v>
      </c>
    </row>
    <row r="6" spans="2:3" ht="15.75" customHeight="1" x14ac:dyDescent="0.25">
      <c r="B6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style="1" customWidth="1"/>
    <col min="3" max="3" width="39.5" style="1" customWidth="1"/>
  </cols>
  <sheetData>
    <row r="2" spans="2:3" ht="15.75" customHeight="1" x14ac:dyDescent="0.25">
      <c r="B2" s="31" t="s">
        <v>196</v>
      </c>
      <c r="C2" s="1" t="s">
        <v>207</v>
      </c>
    </row>
    <row r="3" spans="2:3" ht="15.75" customHeight="1" x14ac:dyDescent="0.25">
      <c r="B3" s="31" t="s">
        <v>197</v>
      </c>
      <c r="C3" s="1" t="s">
        <v>13</v>
      </c>
    </row>
    <row r="4" spans="2:3" ht="15.75" customHeight="1" x14ac:dyDescent="0.25">
      <c r="B4" s="31" t="s">
        <v>2</v>
      </c>
      <c r="C4" s="1" t="s">
        <v>208</v>
      </c>
    </row>
    <row r="5" spans="2:3" ht="15.75" customHeight="1" x14ac:dyDescent="0.25">
      <c r="B5" s="31" t="s">
        <v>200</v>
      </c>
      <c r="C5" s="1" t="s">
        <v>209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6" style="1" customWidth="1"/>
  </cols>
  <sheetData>
    <row r="2" spans="2:3" ht="15.75" customHeight="1" x14ac:dyDescent="0.25">
      <c r="B2" s="31" t="s">
        <v>196</v>
      </c>
      <c r="C2" s="1" t="s">
        <v>16</v>
      </c>
    </row>
    <row r="3" spans="2:3" ht="15.75" customHeight="1" x14ac:dyDescent="0.25">
      <c r="B3" s="31" t="s">
        <v>197</v>
      </c>
      <c r="C3" s="1" t="s">
        <v>210</v>
      </c>
    </row>
    <row r="4" spans="2:3" ht="15.75" customHeight="1" x14ac:dyDescent="0.25">
      <c r="B4" s="31" t="s">
        <v>2</v>
      </c>
      <c r="C4" s="1" t="s">
        <v>211</v>
      </c>
    </row>
    <row r="5" spans="2:3" ht="15.75" customHeight="1" x14ac:dyDescent="0.25">
      <c r="B5" s="31" t="s">
        <v>200</v>
      </c>
      <c r="C5" s="1" t="s">
        <v>212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18</v>
      </c>
    </row>
    <row r="3" spans="2:3" ht="15.75" customHeight="1" x14ac:dyDescent="0.25">
      <c r="B3" s="31" t="s">
        <v>197</v>
      </c>
      <c r="C3" s="1" t="s">
        <v>213</v>
      </c>
    </row>
    <row r="4" spans="2:3" ht="15.75" customHeight="1" x14ac:dyDescent="0.25">
      <c r="B4" s="31" t="s">
        <v>2</v>
      </c>
      <c r="C4" s="1" t="s">
        <v>214</v>
      </c>
    </row>
    <row r="5" spans="2:3" ht="15.75" customHeight="1" x14ac:dyDescent="0.25">
      <c r="B5" s="31" t="s">
        <v>200</v>
      </c>
      <c r="C5" s="1" t="s">
        <v>215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19</v>
      </c>
    </row>
    <row r="3" spans="2:3" ht="15.75" customHeight="1" x14ac:dyDescent="0.25">
      <c r="B3" s="31" t="s">
        <v>197</v>
      </c>
      <c r="C3" s="1" t="s">
        <v>216</v>
      </c>
    </row>
    <row r="4" spans="2:3" ht="15.75" customHeight="1" x14ac:dyDescent="0.25">
      <c r="B4" s="31" t="s">
        <v>2</v>
      </c>
      <c r="C4" s="1" t="s">
        <v>214</v>
      </c>
    </row>
    <row r="5" spans="2:3" ht="15.75" customHeight="1" x14ac:dyDescent="0.25">
      <c r="B5" s="31" t="s">
        <v>200</v>
      </c>
      <c r="C5" s="1" t="s">
        <v>217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20</v>
      </c>
    </row>
    <row r="3" spans="2:3" ht="15.75" customHeight="1" x14ac:dyDescent="0.25">
      <c r="B3" s="31" t="s">
        <v>197</v>
      </c>
      <c r="C3" s="1" t="s">
        <v>218</v>
      </c>
    </row>
    <row r="4" spans="2:3" ht="15.75" customHeight="1" x14ac:dyDescent="0.25">
      <c r="B4" s="31" t="s">
        <v>2</v>
      </c>
      <c r="C4" s="1" t="s">
        <v>214</v>
      </c>
    </row>
    <row r="5" spans="2:3" ht="15.75" customHeight="1" x14ac:dyDescent="0.25">
      <c r="B5" s="31" t="s">
        <v>200</v>
      </c>
      <c r="C5" s="1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21</v>
      </c>
    </row>
    <row r="3" spans="2:3" ht="15.75" customHeight="1" x14ac:dyDescent="0.25">
      <c r="B3" s="31" t="s">
        <v>197</v>
      </c>
      <c r="C3" s="1" t="s">
        <v>220</v>
      </c>
    </row>
    <row r="4" spans="2:3" ht="15.75" customHeight="1" x14ac:dyDescent="0.25">
      <c r="B4" s="31" t="s">
        <v>2</v>
      </c>
      <c r="C4" s="1" t="s">
        <v>221</v>
      </c>
    </row>
    <row r="5" spans="2:3" ht="15.75" customHeight="1" x14ac:dyDescent="0.25">
      <c r="B5" s="31" t="s">
        <v>200</v>
      </c>
      <c r="C5" s="1" t="s">
        <v>222</v>
      </c>
    </row>
    <row r="6" spans="2:3" ht="15.75" customHeight="1" x14ac:dyDescent="0.25">
      <c r="B6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23</v>
      </c>
    </row>
    <row r="3" spans="2:3" ht="15.75" customHeight="1" x14ac:dyDescent="0.25">
      <c r="B3" s="31" t="s">
        <v>197</v>
      </c>
      <c r="C3" s="1" t="s">
        <v>223</v>
      </c>
    </row>
    <row r="4" spans="2:3" ht="15.75" customHeight="1" x14ac:dyDescent="0.25">
      <c r="B4" s="31" t="s">
        <v>2</v>
      </c>
      <c r="C4" s="1" t="s">
        <v>224</v>
      </c>
    </row>
    <row r="5" spans="2:3" ht="15.75" customHeight="1" x14ac:dyDescent="0.25">
      <c r="B5" s="31" t="s">
        <v>200</v>
      </c>
      <c r="C5" s="1" t="s">
        <v>225</v>
      </c>
    </row>
    <row r="6" spans="2:3" ht="15.75" customHeight="1" x14ac:dyDescent="0.25">
      <c r="B6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24</v>
      </c>
    </row>
    <row r="3" spans="2:3" ht="15.75" customHeight="1" x14ac:dyDescent="0.25">
      <c r="B3" s="31" t="s">
        <v>197</v>
      </c>
      <c r="C3" s="1" t="s">
        <v>226</v>
      </c>
    </row>
    <row r="4" spans="2:3" ht="15.75" customHeight="1" x14ac:dyDescent="0.25">
      <c r="B4" s="31" t="s">
        <v>2</v>
      </c>
      <c r="C4" s="1" t="s">
        <v>227</v>
      </c>
    </row>
    <row r="5" spans="2:3" ht="15.75" customHeight="1" x14ac:dyDescent="0.25">
      <c r="B5" s="31" t="s">
        <v>200</v>
      </c>
      <c r="C5" s="1" t="s">
        <v>228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25</v>
      </c>
    </row>
    <row r="3" spans="2:3" ht="15.75" customHeight="1" x14ac:dyDescent="0.25">
      <c r="B3" s="31" t="s">
        <v>197</v>
      </c>
      <c r="C3" s="1" t="s">
        <v>229</v>
      </c>
    </row>
    <row r="4" spans="2:3" ht="15.75" customHeight="1" x14ac:dyDescent="0.25">
      <c r="B4" s="31" t="s">
        <v>2</v>
      </c>
      <c r="C4" s="1" t="s">
        <v>230</v>
      </c>
    </row>
    <row r="5" spans="2:3" ht="15.75" customHeight="1" x14ac:dyDescent="0.25">
      <c r="B5" s="31" t="s">
        <v>200</v>
      </c>
      <c r="C5" s="1" t="s">
        <v>231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27</v>
      </c>
    </row>
    <row r="3" spans="2:3" ht="15.75" customHeight="1" x14ac:dyDescent="0.25">
      <c r="B3" s="31" t="s">
        <v>197</v>
      </c>
      <c r="C3" s="1" t="s">
        <v>232</v>
      </c>
    </row>
    <row r="4" spans="2:3" ht="15.75" customHeight="1" x14ac:dyDescent="0.25">
      <c r="B4" s="31" t="s">
        <v>2</v>
      </c>
      <c r="C4" s="1" t="s">
        <v>233</v>
      </c>
    </row>
    <row r="5" spans="2:3" ht="15.75" customHeight="1" x14ac:dyDescent="0.25">
      <c r="B5" s="31" t="s">
        <v>200</v>
      </c>
      <c r="C5" s="1" t="s">
        <v>234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28</v>
      </c>
    </row>
    <row r="3" spans="2:3" ht="15.75" customHeight="1" x14ac:dyDescent="0.25">
      <c r="B3" s="31" t="s">
        <v>197</v>
      </c>
      <c r="C3" s="1" t="s">
        <v>235</v>
      </c>
    </row>
    <row r="4" spans="2:3" ht="15.75" customHeight="1" x14ac:dyDescent="0.25">
      <c r="B4" s="31" t="s">
        <v>2</v>
      </c>
      <c r="C4" s="1" t="s">
        <v>236</v>
      </c>
    </row>
    <row r="5" spans="2:3" ht="15.75" customHeight="1" x14ac:dyDescent="0.25">
      <c r="B5" s="31" t="s">
        <v>200</v>
      </c>
      <c r="C5" s="1" t="s">
        <v>237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30</v>
      </c>
    </row>
    <row r="3" spans="2:3" ht="15.75" customHeight="1" x14ac:dyDescent="0.25">
      <c r="B3" s="31" t="s">
        <v>197</v>
      </c>
      <c r="C3" s="1" t="s">
        <v>238</v>
      </c>
    </row>
    <row r="4" spans="2:3" ht="15.75" customHeight="1" x14ac:dyDescent="0.25">
      <c r="B4" s="31" t="s">
        <v>2</v>
      </c>
      <c r="C4" s="1" t="s">
        <v>239</v>
      </c>
    </row>
    <row r="5" spans="2:3" ht="15.75" customHeight="1" x14ac:dyDescent="0.25">
      <c r="B5" s="31" t="s">
        <v>200</v>
      </c>
      <c r="C5" s="1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3" sqref="C3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1" t="s">
        <v>196</v>
      </c>
      <c r="C2" s="1" t="s">
        <v>31</v>
      </c>
    </row>
    <row r="3" spans="2:3" ht="15.75" customHeight="1" x14ac:dyDescent="0.25">
      <c r="B3" s="31" t="s">
        <v>197</v>
      </c>
      <c r="C3" s="1" t="s">
        <v>241</v>
      </c>
    </row>
    <row r="4" spans="2:3" ht="15.75" customHeight="1" x14ac:dyDescent="0.25">
      <c r="B4" s="31" t="s">
        <v>2</v>
      </c>
      <c r="C4" s="1" t="s">
        <v>224</v>
      </c>
    </row>
    <row r="5" spans="2:3" ht="15.75" customHeight="1" x14ac:dyDescent="0.25">
      <c r="B5" s="31" t="s">
        <v>200</v>
      </c>
      <c r="C5" s="1" t="s">
        <v>242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1" t="s">
        <v>196</v>
      </c>
      <c r="C2" s="1" t="s">
        <v>32</v>
      </c>
    </row>
    <row r="3" spans="2:3" ht="15.75" customHeight="1" x14ac:dyDescent="0.25">
      <c r="B3" s="31" t="s">
        <v>197</v>
      </c>
      <c r="C3" s="1" t="s">
        <v>243</v>
      </c>
    </row>
    <row r="4" spans="2:3" ht="15.75" customHeight="1" x14ac:dyDescent="0.25">
      <c r="B4" s="31" t="s">
        <v>2</v>
      </c>
      <c r="C4" s="1" t="s">
        <v>244</v>
      </c>
    </row>
    <row r="5" spans="2:3" ht="15.75" customHeight="1" x14ac:dyDescent="0.25">
      <c r="B5" s="31" t="s">
        <v>200</v>
      </c>
      <c r="C5" s="1" t="s">
        <v>245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1" t="s">
        <v>196</v>
      </c>
      <c r="C2" s="1" t="s">
        <v>33</v>
      </c>
    </row>
    <row r="3" spans="2:3" ht="15.75" customHeight="1" x14ac:dyDescent="0.25">
      <c r="B3" s="31" t="s">
        <v>197</v>
      </c>
      <c r="C3" s="1" t="s">
        <v>246</v>
      </c>
    </row>
    <row r="4" spans="2:3" ht="15.75" customHeight="1" x14ac:dyDescent="0.25">
      <c r="B4" s="31" t="s">
        <v>2</v>
      </c>
      <c r="C4" s="1" t="s">
        <v>247</v>
      </c>
    </row>
    <row r="5" spans="2:3" ht="15.75" customHeight="1" x14ac:dyDescent="0.25">
      <c r="B5" s="31" t="s">
        <v>200</v>
      </c>
      <c r="C5" s="1" t="s">
        <v>248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30.625" style="1" customWidth="1"/>
  </cols>
  <sheetData>
    <row r="2" spans="2:3" ht="15.75" customHeight="1" x14ac:dyDescent="0.25">
      <c r="B2" s="31" t="s">
        <v>196</v>
      </c>
      <c r="C2" s="1" t="s">
        <v>34</v>
      </c>
    </row>
    <row r="3" spans="2:3" ht="15.75" customHeight="1" x14ac:dyDescent="0.25">
      <c r="B3" s="31" t="s">
        <v>197</v>
      </c>
      <c r="C3" s="1" t="s">
        <v>249</v>
      </c>
    </row>
    <row r="4" spans="2:3" ht="15.75" customHeight="1" x14ac:dyDescent="0.25">
      <c r="B4" s="31" t="s">
        <v>2</v>
      </c>
      <c r="C4" s="1" t="s">
        <v>250</v>
      </c>
    </row>
    <row r="5" spans="2:3" ht="15.75" customHeight="1" x14ac:dyDescent="0.25">
      <c r="B5" s="31" t="s">
        <v>200</v>
      </c>
      <c r="C5" s="1" t="s">
        <v>251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1" t="s">
        <v>196</v>
      </c>
      <c r="C2" s="1" t="s">
        <v>35</v>
      </c>
    </row>
    <row r="3" spans="2:3" ht="15.75" customHeight="1" x14ac:dyDescent="0.25">
      <c r="B3" s="31" t="s">
        <v>197</v>
      </c>
      <c r="C3" s="1" t="s">
        <v>252</v>
      </c>
    </row>
    <row r="4" spans="2:3" ht="15.75" customHeight="1" x14ac:dyDescent="0.25">
      <c r="B4" s="31" t="s">
        <v>2</v>
      </c>
      <c r="C4" s="1" t="s">
        <v>253</v>
      </c>
    </row>
    <row r="5" spans="2:3" ht="15.75" customHeight="1" x14ac:dyDescent="0.25">
      <c r="B5" s="31" t="s">
        <v>200</v>
      </c>
      <c r="C5" s="1" t="s">
        <v>254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1" t="s">
        <v>196</v>
      </c>
      <c r="C2" s="1" t="s">
        <v>36</v>
      </c>
    </row>
    <row r="3" spans="2:3" ht="15.75" customHeight="1" x14ac:dyDescent="0.25">
      <c r="B3" s="31" t="s">
        <v>197</v>
      </c>
      <c r="C3" s="1" t="s">
        <v>255</v>
      </c>
    </row>
    <row r="4" spans="2:3" ht="15.75" customHeight="1" x14ac:dyDescent="0.25">
      <c r="B4" s="31" t="s">
        <v>2</v>
      </c>
      <c r="C4" s="1" t="s">
        <v>256</v>
      </c>
    </row>
    <row r="5" spans="2:3" ht="15.75" customHeight="1" x14ac:dyDescent="0.25">
      <c r="B5" s="31" t="s">
        <v>200</v>
      </c>
      <c r="C5" s="1" t="s">
        <v>257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1" t="s">
        <v>196</v>
      </c>
      <c r="C2" s="1" t="s">
        <v>37</v>
      </c>
    </row>
    <row r="3" spans="2:3" ht="15.75" customHeight="1" x14ac:dyDescent="0.25">
      <c r="B3" s="31" t="s">
        <v>197</v>
      </c>
      <c r="C3" s="1" t="s">
        <v>258</v>
      </c>
    </row>
    <row r="4" spans="2:3" ht="15.75" customHeight="1" x14ac:dyDescent="0.25">
      <c r="B4" s="31" t="s">
        <v>2</v>
      </c>
      <c r="C4" s="1" t="s">
        <v>259</v>
      </c>
    </row>
    <row r="5" spans="2:3" ht="15.75" customHeight="1" x14ac:dyDescent="0.25">
      <c r="B5" s="31" t="s">
        <v>200</v>
      </c>
      <c r="C5" s="1" t="s">
        <v>260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3 STMT 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2026-08-07T18:55:33Z</dcterms:modified>
  <dc:language>en-US</dc:language>
</cp:coreProperties>
</file>
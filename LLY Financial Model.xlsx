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13_ncr:1_{BFF9A9CC-9371-40AD-B7D9-A511CAE0ADA9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Main" sheetId="1" r:id="rId1"/>
    <sheet name="10QIS" sheetId="2" r:id="rId2"/>
    <sheet name="IS" sheetId="3" r:id="rId3"/>
    <sheet name="BS" sheetId="4" r:id="rId4"/>
    <sheet name="CFS" sheetId="5" r:id="rId5"/>
    <sheet name="DCF" sheetId="6" r:id="rId6"/>
    <sheet name="Mounjaro" sheetId="7" r:id="rId7"/>
    <sheet name="Zepbound" sheetId="8" r:id="rId8"/>
    <sheet name="Trulicity" sheetId="9" r:id="rId9"/>
    <sheet name="Retatrutide" sheetId="10" r:id="rId10"/>
    <sheet name="Foundayo" sheetId="11" r:id="rId11"/>
    <sheet name="Basaglar" sheetId="12" r:id="rId12"/>
    <sheet name="Humalog" sheetId="13" r:id="rId13"/>
    <sheet name="Humulin" sheetId="14" r:id="rId14"/>
    <sheet name="Jardiance" sheetId="15" r:id="rId15"/>
    <sheet name="Verzenio" sheetId="16" r:id="rId16"/>
    <sheet name="Cyramza" sheetId="17" r:id="rId17"/>
    <sheet name="Erbitux" sheetId="18" r:id="rId18"/>
    <sheet name="Retevmo" sheetId="19" r:id="rId19"/>
    <sheet name="Tyvyt" sheetId="20" r:id="rId20"/>
    <sheet name="Jaypirca" sheetId="21" r:id="rId21"/>
    <sheet name="Inluriyo" sheetId="22" r:id="rId22"/>
    <sheet name="Ebglyss" sheetId="23" r:id="rId23"/>
    <sheet name="Olumiant" sheetId="24" r:id="rId24"/>
    <sheet name="Omvoh" sheetId="25" r:id="rId25"/>
    <sheet name="Taltz" sheetId="26" r:id="rId26"/>
    <sheet name="Emgality" sheetId="27" r:id="rId27"/>
    <sheet name="Kisunla" sheetId="28" r:id="rId2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94" i="6" l="1"/>
  <c r="M93" i="6"/>
  <c r="M92" i="6"/>
  <c r="H92" i="6"/>
  <c r="M80" i="6"/>
  <c r="H79" i="6"/>
  <c r="L68" i="6"/>
  <c r="K68" i="6"/>
  <c r="J68" i="6"/>
  <c r="I68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C53" i="6"/>
  <c r="J51" i="6"/>
  <c r="H77" i="6" s="1"/>
  <c r="H78" i="6" s="1"/>
  <c r="E50" i="6"/>
  <c r="E52" i="6" s="1"/>
  <c r="E60" i="6" s="1"/>
  <c r="D50" i="6"/>
  <c r="D52" i="6" s="1"/>
  <c r="D60" i="6" s="1"/>
  <c r="C50" i="6"/>
  <c r="C52" i="6" s="1"/>
  <c r="E49" i="6"/>
  <c r="D49" i="6"/>
  <c r="C49" i="6"/>
  <c r="K48" i="6"/>
  <c r="L48" i="6" s="1"/>
  <c r="M48" i="6" s="1"/>
  <c r="N48" i="6" s="1"/>
  <c r="D47" i="6"/>
  <c r="C47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I30" i="6"/>
  <c r="H30" i="6"/>
  <c r="G30" i="6"/>
  <c r="F30" i="6"/>
  <c r="I28" i="6"/>
  <c r="H28" i="6"/>
  <c r="G28" i="6"/>
  <c r="F28" i="6"/>
  <c r="I26" i="6"/>
  <c r="H26" i="6"/>
  <c r="G26" i="6"/>
  <c r="F26" i="6"/>
  <c r="I25" i="6"/>
  <c r="H25" i="6"/>
  <c r="G25" i="6"/>
  <c r="F25" i="6"/>
  <c r="I23" i="6"/>
  <c r="H23" i="6"/>
  <c r="G23" i="6"/>
  <c r="F23" i="6"/>
  <c r="I22" i="6"/>
  <c r="H22" i="6"/>
  <c r="G22" i="6"/>
  <c r="F22" i="6"/>
  <c r="I21" i="6"/>
  <c r="H21" i="6"/>
  <c r="G21" i="6"/>
  <c r="F21" i="6"/>
  <c r="D20" i="6"/>
  <c r="C20" i="6"/>
  <c r="L16" i="6"/>
  <c r="M16" i="6" s="1"/>
  <c r="N16" i="6" s="1"/>
  <c r="I15" i="6"/>
  <c r="H15" i="6"/>
  <c r="G15" i="6"/>
  <c r="F15" i="6"/>
  <c r="D10" i="6"/>
  <c r="C10" i="6"/>
  <c r="H6" i="6"/>
  <c r="H5" i="6"/>
  <c r="H74" i="6" s="1"/>
  <c r="H4" i="6"/>
  <c r="G46" i="5"/>
  <c r="G41" i="5"/>
  <c r="G39" i="5"/>
  <c r="G37" i="5"/>
  <c r="G32" i="5"/>
  <c r="G29" i="5"/>
  <c r="G28" i="5"/>
  <c r="G20" i="5"/>
  <c r="G18" i="5"/>
  <c r="G16" i="5"/>
  <c r="F7" i="5"/>
  <c r="E7" i="5"/>
  <c r="D7" i="5"/>
  <c r="C7" i="5"/>
  <c r="G37" i="4"/>
  <c r="G36" i="4"/>
  <c r="G29" i="4"/>
  <c r="G26" i="4"/>
  <c r="G24" i="4"/>
  <c r="G23" i="4"/>
  <c r="G22" i="4"/>
  <c r="G21" i="4"/>
  <c r="G54" i="3"/>
  <c r="F54" i="3"/>
  <c r="E54" i="3"/>
  <c r="D54" i="3"/>
  <c r="C54" i="3"/>
  <c r="F51" i="3"/>
  <c r="E51" i="3"/>
  <c r="D51" i="3"/>
  <c r="C51" i="3"/>
  <c r="C50" i="3"/>
  <c r="K49" i="3"/>
  <c r="J49" i="3"/>
  <c r="I49" i="3"/>
  <c r="F49" i="3"/>
  <c r="G11" i="5" s="1"/>
  <c r="G49" i="3" s="1"/>
  <c r="E49" i="3"/>
  <c r="D49" i="3"/>
  <c r="C49" i="3"/>
  <c r="F48" i="3"/>
  <c r="E48" i="3"/>
  <c r="D48" i="3"/>
  <c r="C48" i="3"/>
  <c r="G48" i="3" s="1"/>
  <c r="F47" i="3"/>
  <c r="F8" i="5" s="1"/>
  <c r="E47" i="3"/>
  <c r="E8" i="5" s="1"/>
  <c r="D47" i="3"/>
  <c r="D8" i="5" s="1"/>
  <c r="C47" i="3"/>
  <c r="F46" i="3"/>
  <c r="E46" i="3"/>
  <c r="D46" i="3"/>
  <c r="C46" i="3"/>
  <c r="F45" i="3"/>
  <c r="E45" i="3"/>
  <c r="D45" i="3"/>
  <c r="C45" i="3"/>
  <c r="F43" i="3"/>
  <c r="E43" i="3"/>
  <c r="D43" i="3"/>
  <c r="C43" i="3"/>
  <c r="E40" i="3"/>
  <c r="D40" i="3"/>
  <c r="C40" i="3"/>
  <c r="E39" i="3"/>
  <c r="D39" i="3"/>
  <c r="C39" i="3"/>
  <c r="E37" i="3"/>
  <c r="D37" i="3"/>
  <c r="C37" i="3"/>
  <c r="E36" i="3"/>
  <c r="D36" i="3"/>
  <c r="C36" i="3"/>
  <c r="E35" i="3"/>
  <c r="D35" i="3"/>
  <c r="C35" i="3"/>
  <c r="E34" i="3"/>
  <c r="D34" i="3"/>
  <c r="C34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C28" i="3"/>
  <c r="E27" i="3"/>
  <c r="D27" i="3"/>
  <c r="C27" i="3"/>
  <c r="F26" i="3"/>
  <c r="E26" i="3"/>
  <c r="D26" i="3"/>
  <c r="C26" i="3"/>
  <c r="E24" i="3"/>
  <c r="D24" i="3"/>
  <c r="C24" i="3"/>
  <c r="E23" i="3"/>
  <c r="C23" i="3"/>
  <c r="E22" i="3"/>
  <c r="D22" i="3"/>
  <c r="C22" i="3"/>
  <c r="E21" i="3"/>
  <c r="C21" i="3"/>
  <c r="F20" i="3"/>
  <c r="E20" i="3"/>
  <c r="D20" i="3"/>
  <c r="C20" i="3"/>
  <c r="F19" i="3"/>
  <c r="E19" i="3"/>
  <c r="D19" i="3"/>
  <c r="C19" i="3"/>
  <c r="E18" i="3"/>
  <c r="D18" i="3"/>
  <c r="C18" i="3"/>
  <c r="F17" i="3"/>
  <c r="E17" i="3"/>
  <c r="D17" i="3"/>
  <c r="C17" i="3"/>
  <c r="F16" i="3"/>
  <c r="E16" i="3"/>
  <c r="D16" i="3"/>
  <c r="C16" i="3"/>
  <c r="H12" i="3"/>
  <c r="C12" i="3"/>
  <c r="F51" i="6" s="1"/>
  <c r="H11" i="3"/>
  <c r="I11" i="3" s="1"/>
  <c r="J11" i="3" s="1"/>
  <c r="K11" i="3" s="1"/>
  <c r="K2" i="3"/>
  <c r="J2" i="3"/>
  <c r="I2" i="3"/>
  <c r="H2" i="3"/>
  <c r="G2" i="3"/>
  <c r="F2" i="3"/>
  <c r="E2" i="3"/>
  <c r="D2" i="3"/>
  <c r="C2" i="3"/>
  <c r="F56" i="2"/>
  <c r="E56" i="2"/>
  <c r="D56" i="2"/>
  <c r="C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F42" i="2"/>
  <c r="E42" i="2"/>
  <c r="D42" i="2"/>
  <c r="C42" i="2"/>
  <c r="C52" i="3" s="1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F52" i="2" s="1"/>
  <c r="E34" i="2"/>
  <c r="E52" i="2" s="1"/>
  <c r="D34" i="2"/>
  <c r="D52" i="2" s="1"/>
  <c r="C34" i="2"/>
  <c r="R30" i="2"/>
  <c r="F40" i="3" s="1"/>
  <c r="S29" i="2"/>
  <c r="R29" i="2"/>
  <c r="F39" i="3" s="1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38" i="3" s="1"/>
  <c r="R27" i="2"/>
  <c r="F37" i="3" s="1"/>
  <c r="R26" i="2"/>
  <c r="F36" i="3" s="1"/>
  <c r="S25" i="2"/>
  <c r="R25" i="2"/>
  <c r="F35" i="3" s="1"/>
  <c r="R24" i="2"/>
  <c r="F34" i="3" s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33" i="3" s="1"/>
  <c r="R22" i="2"/>
  <c r="Q22" i="2"/>
  <c r="P22" i="2"/>
  <c r="F32" i="3" s="1"/>
  <c r="R21" i="2"/>
  <c r="F31" i="3" s="1"/>
  <c r="S20" i="2"/>
  <c r="R20" i="2"/>
  <c r="F30" i="3" s="1"/>
  <c r="R19" i="2"/>
  <c r="S18" i="2"/>
  <c r="R18" i="2"/>
  <c r="F28" i="3" s="1"/>
  <c r="J18" i="2"/>
  <c r="D28" i="3" s="1"/>
  <c r="S17" i="2"/>
  <c r="R17" i="2"/>
  <c r="F27" i="3" s="1"/>
  <c r="T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25" i="3" s="1"/>
  <c r="R14" i="2"/>
  <c r="F24" i="3" s="1"/>
  <c r="S13" i="2"/>
  <c r="R13" i="2"/>
  <c r="F23" i="3" s="1"/>
  <c r="J13" i="2"/>
  <c r="D23" i="3" s="1"/>
  <c r="R12" i="2"/>
  <c r="S11" i="2"/>
  <c r="R11" i="2"/>
  <c r="F21" i="3" s="1"/>
  <c r="J11" i="2"/>
  <c r="D21" i="3" s="1"/>
  <c r="R8" i="2"/>
  <c r="F18" i="3" s="1"/>
  <c r="T5" i="2"/>
  <c r="R5" i="2"/>
  <c r="Q5" i="2"/>
  <c r="P5" i="2"/>
  <c r="O5" i="2"/>
  <c r="N5" i="2"/>
  <c r="M5" i="2"/>
  <c r="L5" i="2"/>
  <c r="K5" i="2"/>
  <c r="J5" i="2"/>
  <c r="I5" i="2"/>
  <c r="H5" i="2"/>
  <c r="G5" i="2"/>
  <c r="F5" i="2"/>
  <c r="F31" i="2" s="1"/>
  <c r="E5" i="2"/>
  <c r="E31" i="2" s="1"/>
  <c r="D5" i="2"/>
  <c r="D31" i="2" s="1"/>
  <c r="C5" i="2"/>
  <c r="G24" i="1"/>
  <c r="F24" i="1"/>
  <c r="I23" i="1"/>
  <c r="G23" i="1"/>
  <c r="F23" i="1"/>
  <c r="G22" i="1"/>
  <c r="F22" i="1"/>
  <c r="G21" i="1"/>
  <c r="F21" i="1"/>
  <c r="I20" i="1"/>
  <c r="G20" i="1"/>
  <c r="F20" i="1"/>
  <c r="G19" i="1"/>
  <c r="F19" i="1"/>
  <c r="G18" i="1"/>
  <c r="F18" i="1"/>
  <c r="G17" i="1"/>
  <c r="F17" i="1"/>
  <c r="G16" i="1"/>
  <c r="F16" i="1"/>
  <c r="I15" i="1"/>
  <c r="G15" i="1"/>
  <c r="F15" i="1"/>
  <c r="I14" i="1"/>
  <c r="G14" i="1"/>
  <c r="F14" i="1"/>
  <c r="I13" i="1"/>
  <c r="G13" i="1"/>
  <c r="F13" i="1"/>
  <c r="G12" i="1"/>
  <c r="F12" i="1"/>
  <c r="G11" i="1"/>
  <c r="F11" i="1"/>
  <c r="I10" i="1"/>
  <c r="G10" i="1"/>
  <c r="F10" i="1"/>
  <c r="G9" i="1"/>
  <c r="F9" i="1"/>
  <c r="I8" i="1"/>
  <c r="G8" i="1"/>
  <c r="F8" i="1"/>
  <c r="G7" i="1"/>
  <c r="F7" i="1"/>
  <c r="C7" i="1"/>
  <c r="H81" i="6" s="1"/>
  <c r="G6" i="1"/>
  <c r="F6" i="1"/>
  <c r="G5" i="1"/>
  <c r="F5" i="1"/>
  <c r="C5" i="1"/>
  <c r="G4" i="1"/>
  <c r="F4" i="1"/>
  <c r="G3" i="1"/>
  <c r="F3" i="1"/>
  <c r="H82" i="6" l="1"/>
  <c r="C8" i="1"/>
  <c r="H83" i="6"/>
  <c r="H85" i="6" s="1"/>
  <c r="C15" i="3"/>
  <c r="C31" i="2"/>
  <c r="C41" i="3" s="1"/>
  <c r="D15" i="3"/>
  <c r="G47" i="2"/>
  <c r="G31" i="2"/>
  <c r="H47" i="2"/>
  <c r="H31" i="2"/>
  <c r="H51" i="2" s="1"/>
  <c r="I47" i="2"/>
  <c r="I31" i="2"/>
  <c r="I51" i="2" s="1"/>
  <c r="J47" i="2"/>
  <c r="J31" i="2"/>
  <c r="J51" i="2" s="1"/>
  <c r="E15" i="3"/>
  <c r="K47" i="2"/>
  <c r="K31" i="2"/>
  <c r="L47" i="2"/>
  <c r="L31" i="2"/>
  <c r="L51" i="2" s="1"/>
  <c r="M47" i="2"/>
  <c r="M31" i="2"/>
  <c r="M51" i="2" s="1"/>
  <c r="N47" i="2"/>
  <c r="N31" i="2"/>
  <c r="N51" i="2" s="1"/>
  <c r="F15" i="3"/>
  <c r="O47" i="2"/>
  <c r="O31" i="2"/>
  <c r="P47" i="2"/>
  <c r="P31" i="2"/>
  <c r="P51" i="2" s="1"/>
  <c r="Q47" i="2"/>
  <c r="Q31" i="2"/>
  <c r="Q51" i="2" s="1"/>
  <c r="R47" i="2"/>
  <c r="R31" i="2"/>
  <c r="R51" i="2" s="1"/>
  <c r="T47" i="2"/>
  <c r="F22" i="3"/>
  <c r="S12" i="2"/>
  <c r="S5" i="2" s="1"/>
  <c r="D25" i="3"/>
  <c r="D4" i="3" s="1"/>
  <c r="G48" i="2"/>
  <c r="H48" i="2"/>
  <c r="I48" i="2"/>
  <c r="J48" i="2"/>
  <c r="E25" i="3"/>
  <c r="E4" i="3" s="1"/>
  <c r="K48" i="2"/>
  <c r="L48" i="2"/>
  <c r="M48" i="2"/>
  <c r="N48" i="2"/>
  <c r="F25" i="3"/>
  <c r="O48" i="2"/>
  <c r="P48" i="2"/>
  <c r="Q48" i="2"/>
  <c r="R48" i="2"/>
  <c r="T48" i="2"/>
  <c r="F29" i="3"/>
  <c r="S19" i="2"/>
  <c r="S15" i="2" s="1"/>
  <c r="S48" i="2" s="1"/>
  <c r="D33" i="3"/>
  <c r="D5" i="3" s="1"/>
  <c r="G49" i="2"/>
  <c r="H49" i="2"/>
  <c r="I49" i="2"/>
  <c r="J49" i="2"/>
  <c r="E33" i="3"/>
  <c r="E5" i="3" s="1"/>
  <c r="K49" i="2"/>
  <c r="L49" i="2"/>
  <c r="M49" i="2"/>
  <c r="N49" i="2"/>
  <c r="F33" i="3"/>
  <c r="O49" i="2"/>
  <c r="P49" i="2"/>
  <c r="Q49" i="2"/>
  <c r="R49" i="2"/>
  <c r="S49" i="2"/>
  <c r="T49" i="2"/>
  <c r="D38" i="3"/>
  <c r="D6" i="3" s="1"/>
  <c r="G50" i="2"/>
  <c r="H50" i="2"/>
  <c r="I50" i="2"/>
  <c r="J50" i="2"/>
  <c r="E38" i="3"/>
  <c r="E6" i="3" s="1"/>
  <c r="K50" i="2"/>
  <c r="L50" i="2"/>
  <c r="M50" i="2"/>
  <c r="N50" i="2"/>
  <c r="F38" i="3"/>
  <c r="O50" i="2"/>
  <c r="P50" i="2"/>
  <c r="Q50" i="2"/>
  <c r="R50" i="2"/>
  <c r="S50" i="2"/>
  <c r="T50" i="2"/>
  <c r="T31" i="2"/>
  <c r="T51" i="2" s="1"/>
  <c r="C44" i="3"/>
  <c r="C52" i="2"/>
  <c r="D44" i="3"/>
  <c r="G52" i="2"/>
  <c r="G40" i="2"/>
  <c r="H52" i="2"/>
  <c r="H40" i="2"/>
  <c r="I52" i="2"/>
  <c r="I40" i="2"/>
  <c r="J52" i="2"/>
  <c r="J40" i="2"/>
  <c r="E44" i="3"/>
  <c r="K52" i="2"/>
  <c r="K40" i="2"/>
  <c r="L52" i="2"/>
  <c r="L40" i="2"/>
  <c r="M52" i="2"/>
  <c r="M40" i="2"/>
  <c r="N52" i="2"/>
  <c r="N40" i="2"/>
  <c r="F44" i="3"/>
  <c r="O52" i="2"/>
  <c r="O40" i="2"/>
  <c r="P52" i="2"/>
  <c r="P40" i="2"/>
  <c r="Q52" i="2"/>
  <c r="Q40" i="2"/>
  <c r="R52" i="2"/>
  <c r="R40" i="2"/>
  <c r="S52" i="2"/>
  <c r="S40" i="2"/>
  <c r="T52" i="2"/>
  <c r="T40" i="2"/>
  <c r="C6" i="5"/>
  <c r="C53" i="3"/>
  <c r="K9" i="3"/>
  <c r="J9" i="3"/>
  <c r="I9" i="3"/>
  <c r="H9" i="3"/>
  <c r="G9" i="3"/>
  <c r="K10" i="3"/>
  <c r="J10" i="3"/>
  <c r="I10" i="3"/>
  <c r="H10" i="3"/>
  <c r="G10" i="3"/>
  <c r="K51" i="6"/>
  <c r="I12" i="3"/>
  <c r="C8" i="4"/>
  <c r="C5" i="4"/>
  <c r="D8" i="4"/>
  <c r="D5" i="4"/>
  <c r="E8" i="4"/>
  <c r="E5" i="4"/>
  <c r="F8" i="4"/>
  <c r="F5" i="4"/>
  <c r="H48" i="3"/>
  <c r="I48" i="3"/>
  <c r="J48" i="3"/>
  <c r="F13" i="6"/>
  <c r="F50" i="6" s="1"/>
  <c r="F52" i="6" s="1"/>
  <c r="H94" i="6"/>
  <c r="H75" i="6"/>
  <c r="F53" i="6"/>
  <c r="G53" i="6"/>
  <c r="H53" i="6"/>
  <c r="I53" i="6"/>
  <c r="J15" i="6"/>
  <c r="F54" i="6"/>
  <c r="G54" i="6"/>
  <c r="G38" i="6"/>
  <c r="H54" i="6"/>
  <c r="H38" i="6"/>
  <c r="I54" i="6"/>
  <c r="I38" i="6"/>
  <c r="F55" i="6"/>
  <c r="G55" i="6"/>
  <c r="G39" i="6"/>
  <c r="H55" i="6"/>
  <c r="H39" i="6"/>
  <c r="I55" i="6"/>
  <c r="I39" i="6"/>
  <c r="F56" i="6"/>
  <c r="G56" i="6"/>
  <c r="G40" i="6"/>
  <c r="H56" i="6"/>
  <c r="H40" i="6"/>
  <c r="I56" i="6"/>
  <c r="I40" i="6"/>
  <c r="F57" i="6"/>
  <c r="G57" i="6"/>
  <c r="G41" i="6"/>
  <c r="H57" i="6"/>
  <c r="H41" i="6"/>
  <c r="I57" i="6"/>
  <c r="I41" i="6"/>
  <c r="F58" i="6"/>
  <c r="G58" i="6"/>
  <c r="G42" i="6"/>
  <c r="H58" i="6"/>
  <c r="H42" i="6"/>
  <c r="I58" i="6"/>
  <c r="I42" i="6"/>
  <c r="F59" i="6"/>
  <c r="G59" i="6"/>
  <c r="G43" i="6"/>
  <c r="H59" i="6"/>
  <c r="H43" i="6"/>
  <c r="I59" i="6"/>
  <c r="I43" i="6"/>
  <c r="J53" i="6" l="1"/>
  <c r="K15" i="6"/>
  <c r="F60" i="6"/>
  <c r="K48" i="3"/>
  <c r="L51" i="6"/>
  <c r="J12" i="3"/>
  <c r="T56" i="2"/>
  <c r="T42" i="2"/>
  <c r="T43" i="2" s="1"/>
  <c r="S56" i="2"/>
  <c r="S42" i="2"/>
  <c r="S43" i="2" s="1"/>
  <c r="R56" i="2"/>
  <c r="R42" i="2"/>
  <c r="R43" i="2" s="1"/>
  <c r="Q56" i="2"/>
  <c r="Q42" i="2"/>
  <c r="Q43" i="2" s="1"/>
  <c r="P56" i="2"/>
  <c r="P42" i="2"/>
  <c r="P43" i="2" s="1"/>
  <c r="F50" i="3"/>
  <c r="O56" i="2"/>
  <c r="O42" i="2"/>
  <c r="N56" i="2"/>
  <c r="N42" i="2"/>
  <c r="N43" i="2" s="1"/>
  <c r="M56" i="2"/>
  <c r="M42" i="2"/>
  <c r="M43" i="2" s="1"/>
  <c r="L56" i="2"/>
  <c r="L42" i="2"/>
  <c r="L43" i="2" s="1"/>
  <c r="E50" i="3"/>
  <c r="K56" i="2"/>
  <c r="K42" i="2"/>
  <c r="J56" i="2"/>
  <c r="J42" i="2"/>
  <c r="J43" i="2" s="1"/>
  <c r="I56" i="2"/>
  <c r="I42" i="2"/>
  <c r="I43" i="2" s="1"/>
  <c r="H56" i="2"/>
  <c r="H42" i="2"/>
  <c r="H43" i="2" s="1"/>
  <c r="D50" i="3"/>
  <c r="G56" i="2"/>
  <c r="G42" i="2"/>
  <c r="G38" i="3"/>
  <c r="H38" i="3" s="1"/>
  <c r="I38" i="3" s="1"/>
  <c r="J38" i="3" s="1"/>
  <c r="K38" i="3" s="1"/>
  <c r="F6" i="3"/>
  <c r="G33" i="3"/>
  <c r="H33" i="3" s="1"/>
  <c r="I33" i="3" s="1"/>
  <c r="J33" i="3" s="1"/>
  <c r="K33" i="3" s="1"/>
  <c r="F5" i="3"/>
  <c r="G25" i="3"/>
  <c r="H25" i="3" s="1"/>
  <c r="I25" i="3" s="1"/>
  <c r="J25" i="3" s="1"/>
  <c r="K25" i="3" s="1"/>
  <c r="F4" i="3"/>
  <c r="S47" i="2"/>
  <c r="S31" i="2"/>
  <c r="S51" i="2" s="1"/>
  <c r="F41" i="3"/>
  <c r="O51" i="2"/>
  <c r="F42" i="3"/>
  <c r="G15" i="3"/>
  <c r="F3" i="3"/>
  <c r="E41" i="3"/>
  <c r="K51" i="2"/>
  <c r="E42" i="3"/>
  <c r="E3" i="3"/>
  <c r="D41" i="3"/>
  <c r="D7" i="3" s="1"/>
  <c r="G51" i="2"/>
  <c r="D42" i="3"/>
  <c r="D3" i="3"/>
  <c r="C42" i="3"/>
  <c r="H86" i="6"/>
  <c r="H88" i="6" s="1"/>
  <c r="F68" i="6" l="1"/>
  <c r="N61" i="6"/>
  <c r="M61" i="6"/>
  <c r="L61" i="6"/>
  <c r="K61" i="6"/>
  <c r="J61" i="6"/>
  <c r="F11" i="6"/>
  <c r="C9" i="5"/>
  <c r="C5" i="5"/>
  <c r="C4" i="5"/>
  <c r="C3" i="5"/>
  <c r="C11" i="4"/>
  <c r="C10" i="4"/>
  <c r="C9" i="4"/>
  <c r="C7" i="4"/>
  <c r="C6" i="4"/>
  <c r="C4" i="4"/>
  <c r="C3" i="4"/>
  <c r="C11" i="3"/>
  <c r="C10" i="3"/>
  <c r="C9" i="3"/>
  <c r="C8" i="3"/>
  <c r="G11" i="6"/>
  <c r="D9" i="5"/>
  <c r="D5" i="5"/>
  <c r="D4" i="5"/>
  <c r="D3" i="5"/>
  <c r="D11" i="4"/>
  <c r="D10" i="4"/>
  <c r="D9" i="4"/>
  <c r="D7" i="4"/>
  <c r="D6" i="4"/>
  <c r="D4" i="4"/>
  <c r="D3" i="4"/>
  <c r="D11" i="3"/>
  <c r="D10" i="3"/>
  <c r="D9" i="3"/>
  <c r="D8" i="3"/>
  <c r="H11" i="6"/>
  <c r="E9" i="5"/>
  <c r="E5" i="5"/>
  <c r="E4" i="5"/>
  <c r="E3" i="5"/>
  <c r="E11" i="4"/>
  <c r="E10" i="4"/>
  <c r="E9" i="4"/>
  <c r="E7" i="4"/>
  <c r="E6" i="4"/>
  <c r="E4" i="4"/>
  <c r="E3" i="4"/>
  <c r="E11" i="3"/>
  <c r="E10" i="3"/>
  <c r="E9" i="3"/>
  <c r="E8" i="3"/>
  <c r="E7" i="3"/>
  <c r="H15" i="3"/>
  <c r="I11" i="6"/>
  <c r="F9" i="5"/>
  <c r="F5" i="5"/>
  <c r="F4" i="5"/>
  <c r="G4" i="5" s="1"/>
  <c r="F3" i="5"/>
  <c r="G11" i="4"/>
  <c r="F11" i="4"/>
  <c r="G10" i="4"/>
  <c r="F10" i="4"/>
  <c r="G9" i="4"/>
  <c r="F9" i="4"/>
  <c r="G7" i="4"/>
  <c r="F7" i="4"/>
  <c r="F6" i="4"/>
  <c r="G4" i="4"/>
  <c r="F4" i="4"/>
  <c r="F3" i="4"/>
  <c r="F11" i="3"/>
  <c r="F10" i="3"/>
  <c r="F9" i="3"/>
  <c r="F8" i="3"/>
  <c r="G41" i="3"/>
  <c r="F7" i="3"/>
  <c r="D52" i="3"/>
  <c r="G43" i="2"/>
  <c r="G13" i="6"/>
  <c r="G50" i="6" s="1"/>
  <c r="D12" i="3"/>
  <c r="G51" i="6" s="1"/>
  <c r="E52" i="3"/>
  <c r="K43" i="2"/>
  <c r="H13" i="6"/>
  <c r="H50" i="6" s="1"/>
  <c r="E12" i="3"/>
  <c r="H51" i="6" s="1"/>
  <c r="F52" i="3"/>
  <c r="O43" i="2"/>
  <c r="I13" i="6"/>
  <c r="I50" i="6" s="1"/>
  <c r="F12" i="3"/>
  <c r="I51" i="6" s="1"/>
  <c r="M51" i="6"/>
  <c r="K12" i="3"/>
  <c r="N51" i="6" s="1"/>
  <c r="K53" i="6"/>
  <c r="L15" i="6"/>
  <c r="L53" i="6" l="1"/>
  <c r="M15" i="6"/>
  <c r="I52" i="6"/>
  <c r="I60" i="6" s="1"/>
  <c r="F6" i="5"/>
  <c r="F53" i="3"/>
  <c r="H52" i="6"/>
  <c r="H60" i="6" s="1"/>
  <c r="E6" i="5"/>
  <c r="E53" i="3"/>
  <c r="G52" i="6"/>
  <c r="G60" i="6" s="1"/>
  <c r="D6" i="5"/>
  <c r="D53" i="3"/>
  <c r="H41" i="3"/>
  <c r="I41" i="3" s="1"/>
  <c r="J41" i="3" s="1"/>
  <c r="K41" i="3" s="1"/>
  <c r="G42" i="3"/>
  <c r="I49" i="6"/>
  <c r="I16" i="6"/>
  <c r="I32" i="6"/>
  <c r="I33" i="6"/>
  <c r="I34" i="6"/>
  <c r="I35" i="6"/>
  <c r="I36" i="6"/>
  <c r="I37" i="6"/>
  <c r="H42" i="3"/>
  <c r="I15" i="3"/>
  <c r="H49" i="6"/>
  <c r="H16" i="6"/>
  <c r="H32" i="6"/>
  <c r="H33" i="6"/>
  <c r="H34" i="6"/>
  <c r="H35" i="6"/>
  <c r="H36" i="6"/>
  <c r="H37" i="6"/>
  <c r="G49" i="6"/>
  <c r="G16" i="6"/>
  <c r="G32" i="6"/>
  <c r="G33" i="6"/>
  <c r="G34" i="6"/>
  <c r="G35" i="6"/>
  <c r="G36" i="6"/>
  <c r="G37" i="6"/>
  <c r="G5" i="5"/>
  <c r="G9" i="5"/>
  <c r="F49" i="6"/>
  <c r="F16" i="6"/>
  <c r="F32" i="6"/>
  <c r="F33" i="6"/>
  <c r="F34" i="6"/>
  <c r="F35" i="6"/>
  <c r="F36" i="6"/>
  <c r="F37" i="6"/>
  <c r="Q37" i="6" l="1"/>
  <c r="P37" i="6"/>
  <c r="Q36" i="6"/>
  <c r="P36" i="6"/>
  <c r="Q35" i="6"/>
  <c r="P35" i="6"/>
  <c r="Q34" i="6"/>
  <c r="P34" i="6"/>
  <c r="Q33" i="6"/>
  <c r="P33" i="6"/>
  <c r="Q32" i="6"/>
  <c r="P32" i="6"/>
  <c r="Q16" i="6"/>
  <c r="P16" i="6"/>
  <c r="I42" i="3"/>
  <c r="J15" i="3"/>
  <c r="K11" i="6"/>
  <c r="K49" i="6" s="1"/>
  <c r="H47" i="3"/>
  <c r="H46" i="3"/>
  <c r="H45" i="3"/>
  <c r="H44" i="3"/>
  <c r="H43" i="3"/>
  <c r="J11" i="6"/>
  <c r="J49" i="6" s="1"/>
  <c r="G40" i="5"/>
  <c r="G27" i="5"/>
  <c r="G17" i="5"/>
  <c r="G15" i="5"/>
  <c r="G33" i="4"/>
  <c r="G32" i="4"/>
  <c r="G31" i="4"/>
  <c r="G19" i="4"/>
  <c r="G18" i="4"/>
  <c r="G23" i="5" s="1"/>
  <c r="G16" i="4"/>
  <c r="G15" i="4"/>
  <c r="G21" i="5" s="1"/>
  <c r="G47" i="3"/>
  <c r="G19" i="5" s="1"/>
  <c r="G31" i="5" s="1"/>
  <c r="G46" i="3"/>
  <c r="G45" i="3"/>
  <c r="G44" i="3"/>
  <c r="G50" i="3" s="1"/>
  <c r="G43" i="3"/>
  <c r="M53" i="6"/>
  <c r="N15" i="6"/>
  <c r="N53" i="6" s="1"/>
  <c r="G30" i="4" l="1"/>
  <c r="G17" i="4"/>
  <c r="G22" i="5" s="1"/>
  <c r="J13" i="6"/>
  <c r="J50" i="6" s="1"/>
  <c r="J52" i="6" s="1"/>
  <c r="G51" i="3"/>
  <c r="G52" i="3" s="1"/>
  <c r="G38" i="5"/>
  <c r="G35" i="4" s="1"/>
  <c r="G34" i="5"/>
  <c r="G25" i="4"/>
  <c r="J42" i="3"/>
  <c r="K15" i="3"/>
  <c r="K42" i="3" s="1"/>
  <c r="L11" i="6"/>
  <c r="L49" i="6" s="1"/>
  <c r="I47" i="3"/>
  <c r="I46" i="3"/>
  <c r="I45" i="3"/>
  <c r="I44" i="3"/>
  <c r="I50" i="3" s="1"/>
  <c r="I43" i="3"/>
  <c r="N32" i="6"/>
  <c r="M32" i="6"/>
  <c r="L32" i="6"/>
  <c r="L21" i="6" s="1"/>
  <c r="K32" i="6"/>
  <c r="K21" i="6" s="1"/>
  <c r="J32" i="6"/>
  <c r="J21" i="6" s="1"/>
  <c r="J54" i="6" s="1"/>
  <c r="N33" i="6"/>
  <c r="M33" i="6"/>
  <c r="L33" i="6"/>
  <c r="L22" i="6" s="1"/>
  <c r="K33" i="6"/>
  <c r="K22" i="6" s="1"/>
  <c r="J33" i="6"/>
  <c r="J22" i="6" s="1"/>
  <c r="J55" i="6" s="1"/>
  <c r="N34" i="6"/>
  <c r="M34" i="6"/>
  <c r="L34" i="6"/>
  <c r="L23" i="6" s="1"/>
  <c r="K34" i="6"/>
  <c r="K23" i="6" s="1"/>
  <c r="J34" i="6"/>
  <c r="J23" i="6" s="1"/>
  <c r="J56" i="6" s="1"/>
  <c r="N35" i="6"/>
  <c r="M35" i="6"/>
  <c r="L35" i="6"/>
  <c r="L25" i="6" s="1"/>
  <c r="K35" i="6"/>
  <c r="K25" i="6" s="1"/>
  <c r="J35" i="6"/>
  <c r="J25" i="6" s="1"/>
  <c r="J57" i="6" s="1"/>
  <c r="N36" i="6"/>
  <c r="M36" i="6"/>
  <c r="L36" i="6"/>
  <c r="L26" i="6" s="1"/>
  <c r="K36" i="6"/>
  <c r="K26" i="6" s="1"/>
  <c r="J36" i="6"/>
  <c r="J26" i="6" s="1"/>
  <c r="J58" i="6" s="1"/>
  <c r="N37" i="6"/>
  <c r="M37" i="6"/>
  <c r="L37" i="6"/>
  <c r="L30" i="6" s="1"/>
  <c r="L59" i="6" s="1"/>
  <c r="K37" i="6"/>
  <c r="K30" i="6" s="1"/>
  <c r="K59" i="6" s="1"/>
  <c r="J37" i="6"/>
  <c r="J30" i="6" s="1"/>
  <c r="J59" i="6" s="1"/>
  <c r="K58" i="6" l="1"/>
  <c r="L58" i="6"/>
  <c r="K57" i="6"/>
  <c r="L57" i="6"/>
  <c r="K56" i="6"/>
  <c r="L56" i="6"/>
  <c r="K55" i="6"/>
  <c r="L55" i="6"/>
  <c r="K54" i="6"/>
  <c r="L54" i="6"/>
  <c r="L13" i="6"/>
  <c r="L50" i="6" s="1"/>
  <c r="L52" i="6" s="1"/>
  <c r="L60" i="6" s="1"/>
  <c r="I51" i="3"/>
  <c r="I52" i="3" s="1"/>
  <c r="I53" i="3" s="1"/>
  <c r="N11" i="6"/>
  <c r="K47" i="3"/>
  <c r="K46" i="3"/>
  <c r="K45" i="3"/>
  <c r="K44" i="3"/>
  <c r="K50" i="3" s="1"/>
  <c r="K43" i="3"/>
  <c r="M11" i="6"/>
  <c r="J47" i="3"/>
  <c r="J46" i="3"/>
  <c r="J45" i="3"/>
  <c r="J44" i="3"/>
  <c r="J50" i="3" s="1"/>
  <c r="J43" i="3"/>
  <c r="G38" i="4"/>
  <c r="H49" i="3"/>
  <c r="H50" i="3" s="1"/>
  <c r="G36" i="5"/>
  <c r="G42" i="5" s="1"/>
  <c r="G14" i="5"/>
  <c r="G39" i="4"/>
  <c r="G53" i="3"/>
  <c r="J60" i="6"/>
  <c r="G24" i="5"/>
  <c r="G34" i="4"/>
  <c r="G40" i="4" s="1"/>
  <c r="J63" i="6" l="1"/>
  <c r="J62" i="6"/>
  <c r="G25" i="5"/>
  <c r="G45" i="5" s="1"/>
  <c r="G47" i="5" s="1"/>
  <c r="G14" i="4" s="1"/>
  <c r="G20" i="4" s="1"/>
  <c r="G27" i="4" s="1"/>
  <c r="G41" i="4" s="1"/>
  <c r="K13" i="6"/>
  <c r="K50" i="6" s="1"/>
  <c r="K52" i="6" s="1"/>
  <c r="K60" i="6" s="1"/>
  <c r="H51" i="3"/>
  <c r="H52" i="3" s="1"/>
  <c r="H53" i="3" s="1"/>
  <c r="M13" i="6"/>
  <c r="M50" i="6" s="1"/>
  <c r="M52" i="6" s="1"/>
  <c r="J51" i="3"/>
  <c r="J52" i="3" s="1"/>
  <c r="J53" i="3" s="1"/>
  <c r="M49" i="6"/>
  <c r="M30" i="6"/>
  <c r="M59" i="6" s="1"/>
  <c r="M26" i="6"/>
  <c r="M58" i="6" s="1"/>
  <c r="M25" i="6"/>
  <c r="M57" i="6" s="1"/>
  <c r="M23" i="6"/>
  <c r="M56" i="6" s="1"/>
  <c r="M22" i="6"/>
  <c r="M55" i="6" s="1"/>
  <c r="M21" i="6"/>
  <c r="M54" i="6" s="1"/>
  <c r="N13" i="6"/>
  <c r="N50" i="6" s="1"/>
  <c r="N52" i="6" s="1"/>
  <c r="K51" i="3"/>
  <c r="K52" i="3" s="1"/>
  <c r="K53" i="3" s="1"/>
  <c r="N49" i="6"/>
  <c r="N30" i="6"/>
  <c r="N59" i="6" s="1"/>
  <c r="N26" i="6"/>
  <c r="N58" i="6" s="1"/>
  <c r="N25" i="6"/>
  <c r="N57" i="6" s="1"/>
  <c r="N23" i="6"/>
  <c r="N56" i="6" s="1"/>
  <c r="N22" i="6"/>
  <c r="N55" i="6" s="1"/>
  <c r="N21" i="6"/>
  <c r="N54" i="6" s="1"/>
  <c r="J69" i="6"/>
  <c r="L63" i="6"/>
  <c r="L62" i="6"/>
  <c r="N60" i="6" l="1"/>
  <c r="M60" i="6"/>
  <c r="I69" i="6"/>
  <c r="K63" i="6"/>
  <c r="K62" i="6"/>
  <c r="K69" i="6" l="1"/>
  <c r="M63" i="6"/>
  <c r="M62" i="6"/>
  <c r="L69" i="6"/>
  <c r="F69" i="6"/>
  <c r="F70" i="6" s="1"/>
  <c r="F71" i="6" s="1"/>
  <c r="N63" i="6"/>
  <c r="N62" i="6"/>
  <c r="F63" i="6" l="1"/>
  <c r="H91" i="6" s="1"/>
  <c r="H93" i="6" s="1"/>
  <c r="H95" i="6" s="1"/>
  <c r="H96" i="6" s="1"/>
</calcChain>
</file>

<file path=xl/sharedStrings.xml><?xml version="1.0" encoding="utf-8"?>
<sst xmlns="http://schemas.openxmlformats.org/spreadsheetml/2006/main" count="574" uniqueCount="342">
  <si>
    <t>LLY</t>
  </si>
  <si>
    <t>as of 6/30/26</t>
  </si>
  <si>
    <t>Name</t>
  </si>
  <si>
    <t>Indication</t>
  </si>
  <si>
    <t>Mechanism</t>
  </si>
  <si>
    <t>Economics</t>
  </si>
  <si>
    <t>Approved</t>
  </si>
  <si>
    <t xml:space="preserve">Price </t>
  </si>
  <si>
    <t>Mounjaro</t>
  </si>
  <si>
    <t>Shares</t>
  </si>
  <si>
    <t>Zepbound</t>
  </si>
  <si>
    <t>Market Cap</t>
  </si>
  <si>
    <t>Trulicity</t>
  </si>
  <si>
    <t>Cash</t>
  </si>
  <si>
    <t>Retatrutide</t>
  </si>
  <si>
    <t>TBD</t>
  </si>
  <si>
    <t>Debt</t>
  </si>
  <si>
    <t>Foundayo</t>
  </si>
  <si>
    <t>EV</t>
  </si>
  <si>
    <t>Basaglar</t>
  </si>
  <si>
    <t>Humalog</t>
  </si>
  <si>
    <t xml:space="preserve">CEO: </t>
  </si>
  <si>
    <t>David Ricks</t>
  </si>
  <si>
    <t>Humulin</t>
  </si>
  <si>
    <t xml:space="preserve">CFO: </t>
  </si>
  <si>
    <t>Jardiance</t>
  </si>
  <si>
    <t>Royalty only</t>
  </si>
  <si>
    <t>Verzenio</t>
  </si>
  <si>
    <t>Cyramza</t>
  </si>
  <si>
    <t>Erbitux</t>
  </si>
  <si>
    <t>Royalty / share</t>
  </si>
  <si>
    <t>Retevmo</t>
  </si>
  <si>
    <t>Tyvyt</t>
  </si>
  <si>
    <t>Not FDA approved</t>
  </si>
  <si>
    <t>Jaypirca</t>
  </si>
  <si>
    <t>Inluriyo</t>
  </si>
  <si>
    <t>Ebglyss</t>
  </si>
  <si>
    <t>Olumiant</t>
  </si>
  <si>
    <t>Omvoh</t>
  </si>
  <si>
    <t>Taltz</t>
  </si>
  <si>
    <t>Emgality</t>
  </si>
  <si>
    <t>Kisunla</t>
  </si>
  <si>
    <t>Eli Lilly and Company (LLY)</t>
  </si>
  <si>
    <t>Historic Quarterly IS by Product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</si>
  <si>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</si>
  <si>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</si>
  <si>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</si>
  <si>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</si>
  <si>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</si>
  <si>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</si>
  <si>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</si>
  <si>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</si>
  <si>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</si>
  <si>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</si>
  <si>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</si>
  <si>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</si>
  <si>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</si>
  <si>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</si>
  <si>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</si>
  <si>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</si>
  <si>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</si>
  <si>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</si>
  <si>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Diabetes</t>
  </si>
  <si>
    <t xml:space="preserve">Humulin </t>
  </si>
  <si>
    <t xml:space="preserve">Oncology </t>
  </si>
  <si>
    <t>Immunology</t>
  </si>
  <si>
    <t xml:space="preserve">Neuroscience </t>
  </si>
  <si>
    <t>Other / Misc</t>
  </si>
  <si>
    <t>Total Revenue</t>
  </si>
  <si>
    <t>COGS</t>
  </si>
  <si>
    <t>Gross Margin</t>
  </si>
  <si>
    <t>R&amp;D</t>
  </si>
  <si>
    <t>SG&amp;A</t>
  </si>
  <si>
    <t>IPR&amp;D</t>
  </si>
  <si>
    <t>Asset Impairement/Resturcturing</t>
  </si>
  <si>
    <t>Other expenses</t>
  </si>
  <si>
    <t>Pre Tax Income</t>
  </si>
  <si>
    <t>Taxes</t>
  </si>
  <si>
    <t>Net Income</t>
  </si>
  <si>
    <t>EPS</t>
  </si>
  <si>
    <t>Historic Drivers</t>
  </si>
  <si>
    <t>Historic Diabetes Revenue Growth Rate</t>
  </si>
  <si>
    <t>Historic Oncology Revenue Growth Rate</t>
  </si>
  <si>
    <t>Historic Immunology Revenue Growth Rate</t>
  </si>
  <si>
    <t>Historic Neuroscience Revenue Growth Rate</t>
  </si>
  <si>
    <t>Historic Other Revenue Growth Rate</t>
  </si>
  <si>
    <t>Historic Gross Margin %</t>
  </si>
  <si>
    <t>Historic R&amp;D %</t>
  </si>
  <si>
    <t>Historic SG&amp;A %</t>
  </si>
  <si>
    <t>Historic IPR&amp;D &amp;</t>
  </si>
  <si>
    <t>Historic Tax rate</t>
  </si>
  <si>
    <t xml:space="preserve"> IS Assumptions</t>
  </si>
  <si>
    <t>Diabetes Revenue Growth Rate</t>
  </si>
  <si>
    <t>Oncology Revenue Growth Rate</t>
  </si>
  <si>
    <t>Immunology Revenue Growth Rate</t>
  </si>
  <si>
    <t>Neuroscience Revenue Growth Rate</t>
  </si>
  <si>
    <t>Other Revenue Growth Rate</t>
  </si>
  <si>
    <t>Gross Margin %</t>
  </si>
  <si>
    <t>R&amp;D %</t>
  </si>
  <si>
    <t>SG&amp;A %</t>
  </si>
  <si>
    <t>IPR&amp;D &amp;</t>
  </si>
  <si>
    <t>Tax rate</t>
  </si>
  <si>
    <t>Annual Income Statement</t>
  </si>
  <si>
    <t>FY'22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</si>
  <si>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</si>
  <si>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</si>
  <si>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</si>
  <si>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</si>
  <si>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</si>
  <si>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</si>
  <si>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</si>
  <si>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</si>
  <si>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Other</t>
  </si>
  <si>
    <t xml:space="preserve"> BS Assumptions</t>
  </si>
  <si>
    <t>Accounts Receivable % of Revenue</t>
  </si>
  <si>
    <t>Other Receivables % of Revenue</t>
  </si>
  <si>
    <t>Inventories % of COGS</t>
  </si>
  <si>
    <t>Prepaid Expenses % of Revenue</t>
  </si>
  <si>
    <t>Other Current Assets % of Revenue</t>
  </si>
  <si>
    <t>Accounts Payable % of COGS</t>
  </si>
  <si>
    <t>Employee Compensation % of Revenue</t>
  </si>
  <si>
    <t>Sales Rebates and Discounts % of Revenue</t>
  </si>
  <si>
    <t>Other Current Liabilities % of Revenue</t>
  </si>
  <si>
    <t>Balance Sheet</t>
  </si>
  <si>
    <t>Cash and cash equivalents</t>
  </si>
  <si>
    <t>Accounts receivable</t>
  </si>
  <si>
    <t>Other receivables</t>
  </si>
  <si>
    <t>Inventories</t>
  </si>
  <si>
    <t>Prepaid expenses</t>
  </si>
  <si>
    <t>Other current assets</t>
  </si>
  <si>
    <t>Total current assets</t>
  </si>
  <si>
    <t>Investments</t>
  </si>
  <si>
    <t>Goodwill</t>
  </si>
  <si>
    <t>Other intangibles, net</t>
  </si>
  <si>
    <t>Deferred tax assets</t>
  </si>
  <si>
    <t>Property and equipment, net</t>
  </si>
  <si>
    <t>Other noncurrent assets</t>
  </si>
  <si>
    <t>Total assets</t>
  </si>
  <si>
    <t>Short-term borrowings and current maturities</t>
  </si>
  <si>
    <t>Accounts payable</t>
  </si>
  <si>
    <t>Employee compensation</t>
  </si>
  <si>
    <t>Sales rebates and discounts</t>
  </si>
  <si>
    <t>Other current liabilities</t>
  </si>
  <si>
    <t>Total current liabilities</t>
  </si>
  <si>
    <t>Long-term debt</t>
  </si>
  <si>
    <t>Long-term income taxes payable</t>
  </si>
  <si>
    <t>Other noncurrent liabilities</t>
  </si>
  <si>
    <t>Total noncurrent liabilities</t>
  </si>
  <si>
    <t>Total equity</t>
  </si>
  <si>
    <t>Total liabilities and equity</t>
  </si>
  <si>
    <t>Check (Assets less Liab. &amp; Equity)</t>
  </si>
  <si>
    <t xml:space="preserve"> CFS Assumptions</t>
  </si>
  <si>
    <t>D&amp;A % of Revenue</t>
  </si>
  <si>
    <t>Stock-Based Compensation % of Revenue</t>
  </si>
  <si>
    <t>Capital Expenditures % of Revenue</t>
  </si>
  <si>
    <t>Dividend Payout Ratio (or Dividends per Share)</t>
  </si>
  <si>
    <t>Net Change in Short-Term Borrowings (assumption)</t>
  </si>
  <si>
    <t>Proceeds from Issuance of Long-Term Debt (assumption)</t>
  </si>
  <si>
    <t>Share Buybacks (% of Revenue or $ amount)</t>
  </si>
  <si>
    <t>LT Debt Repayment % of Prior LT Debt</t>
  </si>
  <si>
    <t>Net Interest/Other Exp % of Prior Total Debt</t>
  </si>
  <si>
    <t>Cash Flow Statement</t>
  </si>
  <si>
    <t>Net income</t>
  </si>
  <si>
    <t>Depreciation and amortization</t>
  </si>
  <si>
    <t>Change in deferred income taxes</t>
  </si>
  <si>
    <t>Stock-based compensation expense</t>
  </si>
  <si>
    <t>Gains on sale of product rights</t>
  </si>
  <si>
    <t>Acquired in-process research and development</t>
  </si>
  <si>
    <t>Other operating activities, net</t>
  </si>
  <si>
    <t>Receivables - (increase) decrease</t>
  </si>
  <si>
    <t>Inventories - (increase) decrease</t>
  </si>
  <si>
    <t>Prepaid exp. and other assets - (incr.) decr.</t>
  </si>
  <si>
    <t>Accounts payable and other liab. - incr. (decr.)</t>
  </si>
  <si>
    <t>Net Cash Provided by Operating Activities</t>
  </si>
  <si>
    <t>Purchases of property and equipment</t>
  </si>
  <si>
    <t>Proceeds from sales of noncurrent investments</t>
  </si>
  <si>
    <t>Purchases of noncurrent investments</t>
  </si>
  <si>
    <t>Proceeds from sale of product rights</t>
  </si>
  <si>
    <t>Purchases of in-process research and development</t>
  </si>
  <si>
    <t>Cash paid for acquisitions, net of cash acquired</t>
  </si>
  <si>
    <t>Other investing activities, net</t>
  </si>
  <si>
    <t>Net Cash Used for Investing Activities</t>
  </si>
  <si>
    <t>Dividends paid</t>
  </si>
  <si>
    <t>Net change in short-term borrowings</t>
  </si>
  <si>
    <t>Proceeds from issuance of long-term debt</t>
  </si>
  <si>
    <t>Repayments of long-term debt</t>
  </si>
  <si>
    <t>Purchases of common stock</t>
  </si>
  <si>
    <t>Other financing activities, net</t>
  </si>
  <si>
    <t>Net Cash Provided by (Used for) Financing Activities</t>
  </si>
  <si>
    <t>Effect of exchange rate changes on cash</t>
  </si>
  <si>
    <t>Net Increase (Decrease) in Cash</t>
  </si>
  <si>
    <t>Cash and cash equivalents at beginning of year</t>
  </si>
  <si>
    <t>Cash and Cash Equivalents at End of Year</t>
  </si>
  <si>
    <t>Valuation Date:</t>
  </si>
  <si>
    <t>Share Price on Valuation Date:</t>
  </si>
  <si>
    <t>Diluted Shares Outstanding</t>
  </si>
  <si>
    <t>Select Operating Data</t>
  </si>
  <si>
    <t>Projected Annual Forecast</t>
  </si>
  <si>
    <t>Revenue</t>
  </si>
  <si>
    <t>EBIT</t>
  </si>
  <si>
    <t xml:space="preserve">Depreciation &amp; Amortization </t>
  </si>
  <si>
    <t>Trend</t>
  </si>
  <si>
    <t>Arithmetic Avg</t>
  </si>
  <si>
    <t>Geometric Avg</t>
  </si>
  <si>
    <t>Select Balance Sheet And Other Data</t>
  </si>
  <si>
    <t>Accounts Receivable</t>
  </si>
  <si>
    <t>Prepaid Expenses</t>
  </si>
  <si>
    <t>Accounts Payable and Accruals</t>
  </si>
  <si>
    <t>Accrued Expenses</t>
  </si>
  <si>
    <t>Capital Expenditures</t>
  </si>
  <si>
    <t>Arithmetic Mean</t>
  </si>
  <si>
    <t>Geometric Mean</t>
  </si>
  <si>
    <t>Accounts Receivable as a % of revenue</t>
  </si>
  <si>
    <t>Inventories as a % of revenue</t>
  </si>
  <si>
    <t>Prepaid Expenses as a % of revenue</t>
  </si>
  <si>
    <t>Accounts Payable/Accruals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</si>
  <si>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</si>
  <si>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</si>
  <si>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</si>
  <si>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</si>
  <si>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</si>
  <si>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Accounts Payable/Accruals Growth (%)</t>
  </si>
  <si>
    <t>Accrued Expenses Growth (%)</t>
  </si>
  <si>
    <t>Capital Expenditures Growth (%)</t>
  </si>
  <si>
    <t>Free Cash Flow Buildup</t>
  </si>
  <si>
    <t>$mm</t>
  </si>
  <si>
    <t>Period</t>
  </si>
  <si>
    <t>Total Revenues</t>
  </si>
  <si>
    <t>Effective Tax rate</t>
  </si>
  <si>
    <t>EBIAT = EBIT(1-T) = NOPAT</t>
  </si>
  <si>
    <t>Depreciation &amp; Amortization</t>
  </si>
  <si>
    <t>Chg in Accounts receivable</t>
  </si>
  <si>
    <t>Chg in Inventories</t>
  </si>
  <si>
    <t>Chg in Prepaid expenses</t>
  </si>
  <si>
    <t>Chg in Accounts payable</t>
  </si>
  <si>
    <t>Chg in Accrued expenses</t>
  </si>
  <si>
    <t>Capital expenditures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</si>
  <si>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</si>
  <si>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</si>
  <si>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</si>
  <si>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</si>
  <si>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</si>
  <si>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</si>
  <si>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</si>
  <si>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Unlevered Free Cash Flow Growth Rates</t>
  </si>
  <si>
    <t>WACC</t>
  </si>
  <si>
    <t>Free cash flow (t+1)</t>
  </si>
  <si>
    <t>Present Value of Terminal Value</t>
  </si>
  <si>
    <t>Share Price</t>
  </si>
  <si>
    <t>Cost of Debt</t>
  </si>
  <si>
    <t>ERP</t>
  </si>
  <si>
    <t xml:space="preserve">Damadorian </t>
  </si>
  <si>
    <t>Tax Rate</t>
  </si>
  <si>
    <t>RFR</t>
  </si>
  <si>
    <t>10 year treasury yield as of 8/11/26</t>
  </si>
  <si>
    <t>After-tax Cost of Debt</t>
  </si>
  <si>
    <t>Beta</t>
  </si>
  <si>
    <t>5 year weekly adjusted Bloomberg</t>
  </si>
  <si>
    <t>Cost of Equity</t>
  </si>
  <si>
    <t xml:space="preserve">capm 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</si>
  <si>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</si>
  <si>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</si>
  <si>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</si>
  <si>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</si>
  <si>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</si>
  <si>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</si>
  <si>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</si>
  <si>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</si>
  <si>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</si>
  <si>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</si>
  <si>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</si>
  <si>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ST Debt</t>
  </si>
  <si>
    <t>Equity Value</t>
  </si>
  <si>
    <t>LT Debt</t>
  </si>
  <si>
    <t>Equity Value Per Share</t>
  </si>
  <si>
    <t>Upside</t>
  </si>
  <si>
    <t>.</t>
  </si>
  <si>
    <t xml:space="preserve">Brand </t>
  </si>
  <si>
    <t>Generic</t>
  </si>
  <si>
    <t>TIRZEPATIDE</t>
  </si>
  <si>
    <t>Type 2 Diabetes</t>
  </si>
  <si>
    <t>MOA</t>
  </si>
  <si>
    <t>Dual GIP/GLP-1 Receptor Agonist</t>
  </si>
  <si>
    <t>Tirzepatide</t>
  </si>
  <si>
    <t>Obesity &amp; Obstructive Sleep Apnea</t>
  </si>
  <si>
    <t>dulaglutide</t>
  </si>
  <si>
    <t>Type-2 Diabetes</t>
  </si>
  <si>
    <t>GLP-1 Agonist</t>
  </si>
  <si>
    <t>None</t>
  </si>
  <si>
    <t xml:space="preserve">Obesity &amp; Type 2 Diabetes </t>
  </si>
  <si>
    <t>GIP / GLP-1 / Glucagon Triple Receptor Agonist</t>
  </si>
  <si>
    <t>Orforglipron</t>
  </si>
  <si>
    <t>Obesity / Chronic Weight Management</t>
  </si>
  <si>
    <t>GLP-1 Receptor Agonist (oral, nonpeptide)</t>
  </si>
  <si>
    <t>Insulin Glargine</t>
  </si>
  <si>
    <t>Type 1 and Type 2 Diabetes</t>
  </si>
  <si>
    <t>Long-Acting Insulin</t>
  </si>
  <si>
    <t>Insulin Lispro</t>
  </si>
  <si>
    <t>Rapid-Acting Insulin</t>
  </si>
  <si>
    <t>Human Insulin</t>
  </si>
  <si>
    <t>Insulin (short- and intermediate-acting)</t>
  </si>
  <si>
    <t>empagliflozin</t>
  </si>
  <si>
    <t>Type 2 Diabetes &amp; Heart Failure</t>
  </si>
  <si>
    <t>SGLT2 Inhibitors</t>
  </si>
  <si>
    <t>abemaciclib</t>
  </si>
  <si>
    <t>Breast Cancer</t>
  </si>
  <si>
    <t>CDK4/6 inhibitors</t>
  </si>
  <si>
    <t>Ramucirumab</t>
  </si>
  <si>
    <t>Gastric, NSCLC, and Colorectal Cancer</t>
  </si>
  <si>
    <t>VEGFR2 Antagonist (Monoclonal Antibody)</t>
  </si>
  <si>
    <t>Cetuximab</t>
  </si>
  <si>
    <t>Colorectal and Head &amp; Neck Cancer</t>
  </si>
  <si>
    <t>EGFR Inhibitor (Monoclonal Antibody)</t>
  </si>
  <si>
    <t>Selpercatinib</t>
  </si>
  <si>
    <t>RET-Altered NSCLC and Thyroid Cancer</t>
  </si>
  <si>
    <t>RET Kinase Inhibitor</t>
  </si>
  <si>
    <t>Sintilimab</t>
  </si>
  <si>
    <t>Hodgkin Lymphoma, NSCLC &amp; other cancers (approved in China; not FDA-approved)</t>
  </si>
  <si>
    <t>PD-1 Inhibitor (Monoclonal Antibody)</t>
  </si>
  <si>
    <t>Pirtobrutinib</t>
  </si>
  <si>
    <t>Non-Hodgkin Lymphoma</t>
  </si>
  <si>
    <t>Bruton’s tyrosine kinase (BTK) inhibitor</t>
  </si>
  <si>
    <t>Imlunestrant</t>
  </si>
  <si>
    <t>Estrogen Antagonist</t>
  </si>
  <si>
    <t>Lebrikizumab</t>
  </si>
  <si>
    <t>Eczema</t>
  </si>
  <si>
    <t>interleukin-13 antagonist</t>
  </si>
  <si>
    <t>Baricitinib</t>
  </si>
  <si>
    <t>Rheumatoid Arthritis, Alopecia Areata, COVID-19</t>
  </si>
  <si>
    <t>JAK (Janus Kinase) Inhibitor</t>
  </si>
  <si>
    <t>Mirikizumab-Mrkz</t>
  </si>
  <si>
    <t>Crohn's Disease &amp; Ulcerative Colitis</t>
  </si>
  <si>
    <t>interleukin-23 antagonist</t>
  </si>
  <si>
    <t>Ixekizumab</t>
  </si>
  <si>
    <t>Plaque Psoriasis &amp; Psoriatic Arthritis</t>
  </si>
  <si>
    <t>interleukin antagonist</t>
  </si>
  <si>
    <t>Galcanezumab</t>
  </si>
  <si>
    <t>Migraine Prevention and Cluster Headache</t>
  </si>
  <si>
    <t>CGRP Antagonist (Monoclonal Antibody)</t>
  </si>
  <si>
    <t>donanemab-azbt</t>
  </si>
  <si>
    <t>Alzheimer's Disease</t>
  </si>
  <si>
    <t>amyloid beta-directed 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</si>
</sst>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(\$* #,##0.00_);_(\$* \(#,##0.00\);_(\$* \-??_);_(@_)"/>
    <numFmt numFmtId="165" formatCode="_(* #,##0.00_);_(* \(#,##0.00\);_(* \-??_);_(@_)"/>
    <numFmt numFmtId="166" formatCode="_(\$* #,##0_);_(\$* \(#,##0\);_(\$* \-??_);_(@_)"/>
    <numFmt numFmtId="167" formatCode="0.0%"/>
    <numFmt numFmtId="168" formatCode="#,##0.00_);\(#,##0.00\);@_)"/>
    <numFmt numFmtId="169" formatCode="yyyy\A"/>
    <numFmt numFmtId="170" formatCode="yyyy\P"/>
    <numFmt numFmtId="171" formatCode="\$#,##0.0"/>
    <numFmt numFmtId="172" formatCode="\$#,##0.0_);&quot;($&quot;#,##0.0\)"/>
    <numFmt numFmtId="173" formatCode="\$#,##0.00_);&quot;($&quot;#,##0.00\)"/>
    <numFmt numFmtId="174" formatCode="\$#,##0.0_);&quot;($&quot;#,##0.0\);@_)"/>
    <numFmt numFmtId="175" formatCode="0.0"/>
    <numFmt numFmtId="176" formatCode="#,##0.0_);\(#,##0.0\)"/>
    <numFmt numFmtId="177" formatCode="#,##0.0_);\(#,##0.0\);@_)"/>
    <numFmt numFmtId="178" formatCode="0.000%"/>
    <numFmt numFmtId="179" formatCode="_(\$* #,##0.0_);_(\$* \(#,##0.0\);_(\$* \-??_);_(@_)"/>
    <numFmt numFmtId="180" formatCode="\$#,##0.00_);&quot;($&quot;#,##0.00\);@_)"/>
    <numFmt numFmtId="181" formatCode="0.0%_);\(0.0%\);@_)"/>
    <numFmt numFmtId="182" formatCode="_(* #,##0.0_);_(* \(#,##0.0\);_(* \-?_);_(@_)"/>
    <numFmt numFmtId="183" formatCode="\$#,##0.00_);[Red]&quot;($&quot;#,##0.00\)"/>
    <numFmt numFmtId="184" formatCode="\$#,##0.00"/>
  </numFmts>
  <fonts count="29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b/>
      <sz val="10"/>
      <name val="Arial"/>
      <family val="2"/>
      <charset val="1"/>
    </font>
    <font>
      <b/>
      <sz val="18"/>
      <color theme="1"/>
      <name val="Aptos Narrow"/>
      <family val="2"/>
      <charset val="1"/>
    </font>
    <font>
      <sz val="12"/>
      <name val="Aptos Narrow"/>
      <family val="2"/>
      <charset val="1"/>
    </font>
    <font>
      <i/>
      <sz val="12"/>
      <name val="Aptos Narrow"/>
      <family val="2"/>
      <charset val="1"/>
    </font>
    <font>
      <i/>
      <sz val="12"/>
      <color rgb="FF0000FF"/>
      <name val="Aptos Narrow"/>
      <family val="2"/>
      <charset val="1"/>
    </font>
    <font>
      <sz val="12"/>
      <color rgb="FF0000FF"/>
      <name val="Aptos Narrow"/>
      <family val="2"/>
      <charset val="1"/>
    </font>
    <font>
      <b/>
      <sz val="12"/>
      <name val="Aptos Narrow"/>
      <family val="2"/>
      <charset val="1"/>
    </font>
    <font>
      <sz val="18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8000"/>
      <name val="Calibri"/>
      <family val="2"/>
      <charset val="1"/>
    </font>
    <font>
      <sz val="14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4"/>
      <color rgb="FF000000"/>
      <name val="Aptos Narrow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</font>
    <font>
      <sz val="12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4" tint="0.79979857783745845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5" fontId="28" fillId="0" borderId="0"/>
    <xf numFmtId="164" fontId="28" fillId="0" borderId="0"/>
    <xf numFmtId="9" fontId="28" fillId="0" borderId="0"/>
  </cellStyleXfs>
  <cellXfs count="207">
    <xf numFmtId="0" fontId="0" fillId="0" borderId="0" xfId="0"/>
    <xf numFmtId="0" fontId="25" fillId="0" borderId="0" xfId="0" applyFont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0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2" borderId="0" xfId="0" applyNumberFormat="1" applyFont="1" applyFill="1"/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14" fontId="0" fillId="0" borderId="5" xfId="0" applyNumberFormat="1" applyFont="1" applyBorder="1" applyAlignment="1">
      <alignment horizontal="center"/>
    </xf>
    <xf numFmtId="165" fontId="0" fillId="2" borderId="0" xfId="0" applyNumberFormat="1" applyFont="1" applyFill="1"/>
    <xf numFmtId="164" fontId="0" fillId="0" borderId="0" xfId="0" applyNumberFormat="1" applyFont="1"/>
    <xf numFmtId="14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9" fontId="0" fillId="0" borderId="7" xfId="0" applyNumberFormat="1" applyFont="1" applyBorder="1" applyAlignment="1">
      <alignment horizontal="center"/>
    </xf>
    <xf numFmtId="14" fontId="0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9" xfId="0" applyFont="1" applyBorder="1"/>
    <xf numFmtId="0" fontId="0" fillId="0" borderId="9" xfId="0" applyFont="1" applyBorder="1" applyAlignment="1">
      <alignment horizontal="center"/>
    </xf>
    <xf numFmtId="0" fontId="0" fillId="0" borderId="7" xfId="0" applyFont="1" applyBorder="1"/>
    <xf numFmtId="166" fontId="0" fillId="0" borderId="10" xfId="0" applyNumberFormat="1" applyFont="1" applyBorder="1" applyAlignment="1">
      <alignment horizontal="center"/>
    </xf>
    <xf numFmtId="166" fontId="0" fillId="3" borderId="0" xfId="0" applyNumberFormat="1" applyFont="1" applyFill="1"/>
    <xf numFmtId="166" fontId="0" fillId="0" borderId="0" xfId="0" applyNumberFormat="1" applyFont="1"/>
    <xf numFmtId="0" fontId="0" fillId="4" borderId="0" xfId="0" applyFont="1" applyFill="1"/>
    <xf numFmtId="0" fontId="0" fillId="0" borderId="3" xfId="0" applyFont="1" applyBorder="1"/>
    <xf numFmtId="166" fontId="0" fillId="0" borderId="3" xfId="0" applyNumberFormat="1" applyFont="1" applyBorder="1"/>
    <xf numFmtId="0" fontId="1" fillId="0" borderId="0" xfId="0" applyFont="1"/>
    <xf numFmtId="166" fontId="1" fillId="0" borderId="0" xfId="0" applyNumberFormat="1" applyFont="1"/>
    <xf numFmtId="0" fontId="1" fillId="0" borderId="11" xfId="0" applyFont="1" applyBorder="1"/>
    <xf numFmtId="166" fontId="1" fillId="0" borderId="11" xfId="0" applyNumberFormat="1" applyFont="1" applyBorder="1"/>
    <xf numFmtId="2" fontId="0" fillId="0" borderId="0" xfId="0" applyNumberFormat="1" applyFont="1"/>
    <xf numFmtId="165" fontId="0" fillId="0" borderId="0" xfId="0" applyNumberFormat="1" applyFont="1"/>
    <xf numFmtId="0" fontId="2" fillId="0" borderId="0" xfId="0" applyFont="1"/>
    <xf numFmtId="9" fontId="2" fillId="3" borderId="0" xfId="0" applyNumberFormat="1" applyFont="1" applyFill="1"/>
    <xf numFmtId="9" fontId="2" fillId="0" borderId="0" xfId="0" applyNumberFormat="1" applyFont="1"/>
    <xf numFmtId="9" fontId="0" fillId="0" borderId="0" xfId="0" applyNumberFormat="1" applyFont="1"/>
    <xf numFmtId="167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0" fillId="0" borderId="12" xfId="0" applyFont="1" applyBorder="1" applyAlignment="1">
      <alignment horizontal="center"/>
    </xf>
    <xf numFmtId="0" fontId="2" fillId="3" borderId="0" xfId="0" applyFont="1" applyFill="1"/>
    <xf numFmtId="9" fontId="0" fillId="0" borderId="5" xfId="0" applyNumberFormat="1" applyFont="1" applyBorder="1"/>
    <xf numFmtId="9" fontId="7" fillId="0" borderId="0" xfId="0" applyNumberFormat="1" applyFont="1"/>
    <xf numFmtId="0" fontId="0" fillId="0" borderId="5" xfId="0" applyFont="1" applyBorder="1"/>
    <xf numFmtId="0" fontId="0" fillId="0" borderId="9" xfId="0" applyFont="1" applyBorder="1"/>
    <xf numFmtId="0" fontId="1" fillId="0" borderId="10" xfId="0" applyFont="1" applyBorder="1"/>
    <xf numFmtId="166" fontId="0" fillId="0" borderId="10" xfId="0" applyNumberFormat="1" applyFont="1" applyBorder="1"/>
    <xf numFmtId="166" fontId="0" fillId="0" borderId="13" xfId="0" applyNumberFormat="1" applyFont="1" applyBorder="1"/>
    <xf numFmtId="166" fontId="0" fillId="0" borderId="5" xfId="0" applyNumberFormat="1" applyFont="1" applyBorder="1"/>
    <xf numFmtId="0" fontId="1" fillId="0" borderId="7" xfId="0" applyFont="1" applyBorder="1"/>
    <xf numFmtId="166" fontId="0" fillId="0" borderId="7" xfId="0" applyNumberFormat="1" applyFont="1" applyBorder="1"/>
    <xf numFmtId="166" fontId="0" fillId="0" borderId="8" xfId="0" applyNumberFormat="1" applyFont="1" applyBorder="1"/>
    <xf numFmtId="166" fontId="1" fillId="0" borderId="5" xfId="0" applyNumberFormat="1" applyFont="1" applyBorder="1"/>
    <xf numFmtId="164" fontId="0" fillId="0" borderId="5" xfId="0" applyNumberFormat="1" applyFont="1" applyBorder="1"/>
    <xf numFmtId="165" fontId="0" fillId="0" borderId="5" xfId="0" applyNumberFormat="1" applyFont="1" applyBorder="1"/>
    <xf numFmtId="9" fontId="8" fillId="0" borderId="0" xfId="0" applyNumberFormat="1" applyFont="1"/>
    <xf numFmtId="167" fontId="0" fillId="0" borderId="0" xfId="0" applyNumberFormat="1" applyFont="1"/>
    <xf numFmtId="167" fontId="0" fillId="0" borderId="5" xfId="0" applyNumberFormat="1" applyFont="1" applyBorder="1"/>
    <xf numFmtId="167" fontId="8" fillId="0" borderId="0" xfId="0" applyNumberFormat="1" applyFont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/>
    <xf numFmtId="166" fontId="5" fillId="0" borderId="0" xfId="0" applyNumberFormat="1" applyFont="1"/>
    <xf numFmtId="166" fontId="5" fillId="0" borderId="5" xfId="0" applyNumberFormat="1" applyFont="1" applyBorder="1"/>
    <xf numFmtId="0" fontId="9" fillId="0" borderId="0" xfId="0" applyFont="1"/>
    <xf numFmtId="166" fontId="9" fillId="0" borderId="0" xfId="0" applyNumberFormat="1" applyFont="1"/>
    <xf numFmtId="166" fontId="9" fillId="0" borderId="5" xfId="0" applyNumberFormat="1" applyFont="1" applyBorder="1"/>
    <xf numFmtId="166" fontId="6" fillId="0" borderId="0" xfId="0" applyNumberFormat="1" applyFont="1"/>
    <xf numFmtId="166" fontId="6" fillId="0" borderId="5" xfId="0" applyNumberFormat="1" applyFont="1" applyBorder="1"/>
    <xf numFmtId="167" fontId="7" fillId="0" borderId="0" xfId="0" applyNumberFormat="1" applyFont="1"/>
    <xf numFmtId="10" fontId="0" fillId="0" borderId="0" xfId="0" applyNumberFormat="1" applyFont="1"/>
    <xf numFmtId="0" fontId="4" fillId="0" borderId="7" xfId="0" applyFont="1" applyBorder="1"/>
    <xf numFmtId="0" fontId="10" fillId="0" borderId="7" xfId="0" applyFont="1" applyBorder="1"/>
    <xf numFmtId="0" fontId="10" fillId="0" borderId="0" xfId="0" applyFont="1"/>
    <xf numFmtId="0" fontId="11" fillId="0" borderId="0" xfId="0" applyFont="1" applyAlignment="1">
      <alignment horizontal="left" vertical="top" readingOrder="1"/>
    </xf>
    <xf numFmtId="15" fontId="11" fillId="0" borderId="0" xfId="0" applyNumberFormat="1" applyFont="1" applyAlignment="1">
      <alignment horizontal="right" vertical="top" readingOrder="1"/>
    </xf>
    <xf numFmtId="14" fontId="12" fillId="2" borderId="0" xfId="0" applyNumberFormat="1" applyFont="1" applyFill="1" applyAlignment="1">
      <alignment horizontal="right" vertical="top" readingOrder="1"/>
    </xf>
    <xf numFmtId="0" fontId="13" fillId="0" borderId="0" xfId="0" applyFont="1" applyAlignment="1">
      <alignment horizontal="left" readingOrder="1"/>
    </xf>
    <xf numFmtId="164" fontId="12" fillId="2" borderId="0" xfId="2" applyFont="1" applyFill="1" applyAlignment="1">
      <alignment horizontal="right" vertical="top" readingOrder="1"/>
    </xf>
    <xf numFmtId="168" fontId="12" fillId="2" borderId="0" xfId="0" applyNumberFormat="1" applyFont="1" applyFill="1" applyAlignment="1">
      <alignment horizontal="right" vertical="top" readingOrder="1"/>
    </xf>
    <xf numFmtId="14" fontId="14" fillId="0" borderId="0" xfId="0" applyNumberFormat="1" applyFont="1" applyAlignment="1">
      <alignment horizontal="right" vertical="top" readingOrder="1"/>
    </xf>
    <xf numFmtId="0" fontId="15" fillId="4" borderId="0" xfId="0" applyFont="1" applyFill="1"/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9" fontId="16" fillId="0" borderId="1" xfId="0" applyNumberFormat="1" applyFont="1" applyBorder="1"/>
    <xf numFmtId="169" fontId="16" fillId="0" borderId="2" xfId="0" applyNumberFormat="1" applyFont="1" applyBorder="1"/>
    <xf numFmtId="169" fontId="16" fillId="0" borderId="3" xfId="0" applyNumberFormat="1" applyFont="1" applyBorder="1"/>
    <xf numFmtId="170" fontId="16" fillId="0" borderId="3" xfId="0" applyNumberFormat="1" applyFont="1" applyBorder="1"/>
    <xf numFmtId="170" fontId="16" fillId="0" borderId="2" xfId="0" applyNumberFormat="1" applyFont="1" applyBorder="1"/>
    <xf numFmtId="10" fontId="13" fillId="0" borderId="0" xfId="0" applyNumberFormat="1" applyFont="1" applyAlignment="1">
      <alignment horizontal="left" readingOrder="1"/>
    </xf>
    <xf numFmtId="171" fontId="17" fillId="5" borderId="0" xfId="0" applyNumberFormat="1" applyFont="1" applyFill="1" applyAlignment="1">
      <alignment horizontal="right" vertical="top" readingOrder="1"/>
    </xf>
    <xf numFmtId="172" fontId="17" fillId="5" borderId="0" xfId="0" applyNumberFormat="1" applyFont="1" applyFill="1"/>
    <xf numFmtId="172" fontId="17" fillId="2" borderId="0" xfId="0" applyNumberFormat="1" applyFont="1" applyFill="1"/>
    <xf numFmtId="173" fontId="13" fillId="0" borderId="0" xfId="0" applyNumberFormat="1" applyFont="1" applyAlignment="1">
      <alignment horizontal="right" readingOrder="1"/>
    </xf>
    <xf numFmtId="174" fontId="13" fillId="0" borderId="0" xfId="0" applyNumberFormat="1" applyFont="1" applyAlignment="1">
      <alignment horizontal="left" readingOrder="1"/>
    </xf>
    <xf numFmtId="0" fontId="11" fillId="0" borderId="0" xfId="0" applyFont="1" applyAlignment="1">
      <alignment horizontal="right" vertical="top" readingOrder="1"/>
    </xf>
    <xf numFmtId="0" fontId="13" fillId="0" borderId="0" xfId="0" applyFont="1" applyAlignment="1">
      <alignment horizontal="right" readingOrder="1"/>
    </xf>
    <xf numFmtId="174" fontId="17" fillId="5" borderId="0" xfId="0" applyNumberFormat="1" applyFont="1" applyFill="1"/>
    <xf numFmtId="174" fontId="17" fillId="2" borderId="0" xfId="0" applyNumberFormat="1" applyFont="1" applyFill="1"/>
    <xf numFmtId="0" fontId="13" fillId="0" borderId="0" xfId="0" applyFont="1" applyAlignment="1">
      <alignment horizontal="center" readingOrder="1"/>
    </xf>
    <xf numFmtId="10" fontId="11" fillId="0" borderId="0" xfId="0" applyNumberFormat="1" applyFont="1" applyAlignment="1">
      <alignment horizontal="right" vertical="top" readingOrder="1"/>
    </xf>
    <xf numFmtId="10" fontId="17" fillId="2" borderId="0" xfId="3" applyNumberFormat="1" applyFont="1" applyFill="1"/>
    <xf numFmtId="10" fontId="13" fillId="0" borderId="0" xfId="0" applyNumberFormat="1" applyFont="1" applyAlignment="1">
      <alignment horizontal="center" readingOrder="1"/>
    </xf>
    <xf numFmtId="0" fontId="18" fillId="4" borderId="0" xfId="0" applyFont="1" applyFill="1"/>
    <xf numFmtId="170" fontId="16" fillId="0" borderId="7" xfId="0" applyNumberFormat="1" applyFont="1" applyBorder="1"/>
    <xf numFmtId="170" fontId="16" fillId="0" borderId="8" xfId="0" applyNumberFormat="1" applyFont="1" applyBorder="1"/>
    <xf numFmtId="0" fontId="13" fillId="0" borderId="0" xfId="0" applyFont="1" applyAlignment="1">
      <alignment horizontal="left"/>
    </xf>
    <xf numFmtId="175" fontId="17" fillId="5" borderId="0" xfId="0" applyNumberFormat="1" applyFont="1" applyFill="1" applyAlignment="1">
      <alignment horizontal="right" vertical="center"/>
    </xf>
    <xf numFmtId="171" fontId="13" fillId="0" borderId="0" xfId="0" applyNumberFormat="1" applyFont="1" applyAlignment="1">
      <alignment horizontal="right" readingOrder="1"/>
    </xf>
    <xf numFmtId="175" fontId="11" fillId="0" borderId="0" xfId="0" applyNumberFormat="1" applyFont="1" applyAlignment="1">
      <alignment horizontal="right" vertical="center"/>
    </xf>
    <xf numFmtId="171" fontId="17" fillId="5" borderId="0" xfId="0" applyNumberFormat="1" applyFont="1" applyFill="1" applyAlignment="1">
      <alignment horizontal="right" vertical="center"/>
    </xf>
    <xf numFmtId="171" fontId="17" fillId="2" borderId="0" xfId="0" applyNumberFormat="1" applyFont="1" applyFill="1" applyAlignment="1">
      <alignment horizontal="right" vertical="center"/>
    </xf>
    <xf numFmtId="173" fontId="17" fillId="2" borderId="0" xfId="0" applyNumberFormat="1" applyFont="1" applyFill="1" applyAlignment="1">
      <alignment horizontal="right" readingOrder="1"/>
    </xf>
    <xf numFmtId="0" fontId="13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0" fontId="19" fillId="0" borderId="0" xfId="0" applyNumberFormat="1" applyFont="1" applyAlignment="1">
      <alignment horizontal="right"/>
    </xf>
    <xf numFmtId="10" fontId="17" fillId="2" borderId="0" xfId="1" applyNumberFormat="1" applyFont="1" applyFill="1" applyAlignment="1">
      <alignment horizontal="right" readingOrder="1"/>
    </xf>
    <xf numFmtId="9" fontId="13" fillId="0" borderId="0" xfId="3" applyFont="1" applyAlignment="1">
      <alignment horizontal="center" readingOrder="1"/>
    </xf>
    <xf numFmtId="0" fontId="20" fillId="0" borderId="0" xfId="0" applyFont="1" applyAlignment="1">
      <alignment horizontal="left" vertical="top" readingOrder="1"/>
    </xf>
    <xf numFmtId="10" fontId="20" fillId="0" borderId="0" xfId="0" applyNumberFormat="1" applyFont="1" applyAlignment="1">
      <alignment horizontal="right" vertical="top" readingOrder="1"/>
    </xf>
    <xf numFmtId="0" fontId="20" fillId="0" borderId="0" xfId="0" applyFont="1" applyAlignment="1">
      <alignment vertical="top"/>
    </xf>
    <xf numFmtId="10" fontId="20" fillId="3" borderId="0" xfId="0" applyNumberFormat="1" applyFont="1" applyFill="1" applyAlignment="1">
      <alignment horizontal="right" vertical="top" readingOrder="1"/>
    </xf>
    <xf numFmtId="0" fontId="13" fillId="0" borderId="0" xfId="0" applyFont="1"/>
    <xf numFmtId="0" fontId="19" fillId="0" borderId="0" xfId="0" applyFont="1"/>
    <xf numFmtId="0" fontId="16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/>
    <xf numFmtId="0" fontId="16" fillId="0" borderId="7" xfId="0" applyFont="1" applyBorder="1"/>
    <xf numFmtId="0" fontId="13" fillId="0" borderId="7" xfId="0" applyFont="1" applyBorder="1"/>
    <xf numFmtId="0" fontId="13" fillId="0" borderId="3" xfId="0" applyFont="1" applyBorder="1"/>
    <xf numFmtId="171" fontId="13" fillId="0" borderId="0" xfId="0" applyNumberFormat="1" applyFont="1"/>
    <xf numFmtId="172" fontId="13" fillId="0" borderId="0" xfId="0" applyNumberFormat="1" applyFont="1"/>
    <xf numFmtId="174" fontId="13" fillId="0" borderId="0" xfId="0" applyNumberFormat="1" applyFont="1"/>
    <xf numFmtId="167" fontId="21" fillId="5" borderId="0" xfId="0" applyNumberFormat="1" applyFont="1" applyFill="1"/>
    <xf numFmtId="167" fontId="21" fillId="2" borderId="0" xfId="0" applyNumberFormat="1" applyFont="1" applyFill="1"/>
    <xf numFmtId="171" fontId="16" fillId="0" borderId="0" xfId="0" applyNumberFormat="1" applyFont="1"/>
    <xf numFmtId="174" fontId="16" fillId="0" borderId="15" xfId="0" applyNumberFormat="1" applyFont="1" applyBorder="1"/>
    <xf numFmtId="176" fontId="13" fillId="0" borderId="0" xfId="0" applyNumberFormat="1" applyFont="1" applyAlignment="1">
      <alignment horizontal="left"/>
    </xf>
    <xf numFmtId="176" fontId="13" fillId="0" borderId="0" xfId="0" applyNumberFormat="1" applyFont="1" applyAlignment="1">
      <alignment horizontal="right"/>
    </xf>
    <xf numFmtId="177" fontId="11" fillId="0" borderId="0" xfId="0" applyNumberFormat="1" applyFont="1"/>
    <xf numFmtId="176" fontId="13" fillId="0" borderId="7" xfId="0" applyNumberFormat="1" applyFont="1" applyBorder="1" applyAlignment="1">
      <alignment horizontal="left"/>
    </xf>
    <xf numFmtId="177" fontId="11" fillId="0" borderId="7" xfId="0" applyNumberFormat="1" applyFont="1" applyBorder="1"/>
    <xf numFmtId="174" fontId="16" fillId="0" borderId="0" xfId="0" applyNumberFormat="1" applyFont="1"/>
    <xf numFmtId="178" fontId="13" fillId="0" borderId="0" xfId="0" applyNumberFormat="1" applyFont="1"/>
    <xf numFmtId="10" fontId="11" fillId="0" borderId="0" xfId="0" applyNumberFormat="1" applyFont="1"/>
    <xf numFmtId="167" fontId="11" fillId="0" borderId="0" xfId="0" applyNumberFormat="1" applyFont="1"/>
    <xf numFmtId="167" fontId="19" fillId="0" borderId="0" xfId="0" applyNumberFormat="1" applyFont="1"/>
    <xf numFmtId="10" fontId="13" fillId="0" borderId="0" xfId="0" applyNumberFormat="1" applyFont="1"/>
    <xf numFmtId="179" fontId="19" fillId="0" borderId="0" xfId="0" applyNumberFormat="1" applyFont="1"/>
    <xf numFmtId="0" fontId="22" fillId="0" borderId="0" xfId="0" applyFont="1"/>
    <xf numFmtId="176" fontId="23" fillId="0" borderId="0" xfId="0" applyNumberFormat="1" applyFont="1" applyAlignment="1">
      <alignment horizontal="right"/>
    </xf>
    <xf numFmtId="176" fontId="24" fillId="0" borderId="0" xfId="0" applyNumberFormat="1" applyFont="1"/>
    <xf numFmtId="0" fontId="24" fillId="0" borderId="0" xfId="0" applyFont="1"/>
    <xf numFmtId="167" fontId="17" fillId="0" borderId="0" xfId="0" applyNumberFormat="1" applyFont="1" applyAlignment="1">
      <alignment horizontal="right"/>
    </xf>
    <xf numFmtId="10" fontId="17" fillId="2" borderId="0" xfId="0" applyNumberFormat="1" applyFont="1" applyFill="1" applyAlignment="1">
      <alignment horizontal="right"/>
    </xf>
    <xf numFmtId="3" fontId="24" fillId="0" borderId="0" xfId="0" applyNumberFormat="1" applyFont="1"/>
    <xf numFmtId="10" fontId="11" fillId="0" borderId="0" xfId="0" applyNumberFormat="1" applyFont="1" applyAlignment="1">
      <alignment horizontal="right"/>
    </xf>
    <xf numFmtId="167" fontId="24" fillId="0" borderId="0" xfId="0" applyNumberFormat="1" applyFont="1"/>
    <xf numFmtId="0" fontId="25" fillId="0" borderId="0" xfId="0" applyFont="1"/>
    <xf numFmtId="170" fontId="25" fillId="0" borderId="0" xfId="0" applyNumberFormat="1" applyFont="1"/>
    <xf numFmtId="2" fontId="24" fillId="0" borderId="0" xfId="0" applyNumberFormat="1" applyFont="1"/>
    <xf numFmtId="39" fontId="24" fillId="0" borderId="0" xfId="0" applyNumberFormat="1" applyFont="1"/>
    <xf numFmtId="174" fontId="16" fillId="0" borderId="0" xfId="0" applyNumberFormat="1" applyFont="1" applyAlignment="1">
      <alignment horizontal="right"/>
    </xf>
    <xf numFmtId="174" fontId="16" fillId="0" borderId="15" xfId="0" applyNumberFormat="1" applyFont="1" applyBorder="1" applyAlignment="1">
      <alignment horizontal="right"/>
    </xf>
    <xf numFmtId="174" fontId="24" fillId="0" borderId="0" xfId="0" applyNumberFormat="1" applyFont="1"/>
    <xf numFmtId="0" fontId="23" fillId="0" borderId="0" xfId="0" applyFont="1"/>
    <xf numFmtId="180" fontId="11" fillId="0" borderId="0" xfId="0" applyNumberFormat="1" applyFont="1"/>
    <xf numFmtId="168" fontId="11" fillId="0" borderId="0" xfId="0" applyNumberFormat="1" applyFont="1"/>
    <xf numFmtId="10" fontId="13" fillId="2" borderId="0" xfId="0" applyNumberFormat="1" applyFont="1" applyFill="1"/>
    <xf numFmtId="167" fontId="17" fillId="2" borderId="0" xfId="0" applyNumberFormat="1" applyFont="1" applyFill="1" applyAlignment="1">
      <alignment horizontal="right"/>
    </xf>
    <xf numFmtId="181" fontId="11" fillId="0" borderId="0" xfId="0" applyNumberFormat="1" applyFont="1"/>
    <xf numFmtId="0" fontId="13" fillId="2" borderId="0" xfId="0" applyFont="1" applyFill="1"/>
    <xf numFmtId="180" fontId="13" fillId="2" borderId="0" xfId="0" applyNumberFormat="1" applyFont="1" applyFill="1"/>
    <xf numFmtId="0" fontId="11" fillId="6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182" fontId="13" fillId="0" borderId="0" xfId="0" applyNumberFormat="1" applyFont="1"/>
    <xf numFmtId="181" fontId="13" fillId="0" borderId="0" xfId="0" applyNumberFormat="1" applyFont="1"/>
    <xf numFmtId="10" fontId="16" fillId="0" borderId="0" xfId="0" applyNumberFormat="1" applyFont="1"/>
    <xf numFmtId="174" fontId="13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7" fontId="13" fillId="0" borderId="0" xfId="0" applyNumberFormat="1" applyFont="1"/>
    <xf numFmtId="164" fontId="13" fillId="2" borderId="0" xfId="0" applyNumberFormat="1" applyFont="1" applyFill="1"/>
    <xf numFmtId="177" fontId="13" fillId="0" borderId="0" xfId="0" applyNumberFormat="1" applyFont="1" applyAlignment="1">
      <alignment horizontal="right"/>
    </xf>
    <xf numFmtId="0" fontId="13" fillId="0" borderId="1" xfId="0" applyFont="1" applyBorder="1"/>
    <xf numFmtId="183" fontId="16" fillId="0" borderId="2" xfId="0" applyNumberFormat="1" applyFont="1" applyBorder="1" applyAlignment="1">
      <alignment horizontal="right"/>
    </xf>
    <xf numFmtId="0" fontId="13" fillId="0" borderId="4" xfId="0" applyFont="1" applyBorder="1" applyAlignment="1">
      <alignment horizontal="left"/>
    </xf>
    <xf numFmtId="175" fontId="13" fillId="0" borderId="0" xfId="0" applyNumberFormat="1" applyFont="1" applyAlignment="1">
      <alignment horizontal="right"/>
    </xf>
    <xf numFmtId="10" fontId="13" fillId="0" borderId="15" xfId="0" applyNumberFormat="1" applyFont="1" applyBorder="1"/>
    <xf numFmtId="164" fontId="26" fillId="0" borderId="0" xfId="0" applyNumberFormat="1" applyFont="1"/>
    <xf numFmtId="0" fontId="27" fillId="0" borderId="0" xfId="0" applyFont="1"/>
    <xf numFmtId="184" fontId="27" fillId="0" borderId="0" xfId="0" applyNumberFormat="1" applyFont="1"/>
    <xf numFmtId="0" fontId="26" fillId="0" borderId="0" xfId="0" applyFont="1"/>
    <xf numFmtId="175" fontId="27" fillId="0" borderId="0" xfId="0" applyNumberFormat="1" applyFont="1"/>
    <xf numFmtId="10" fontId="27" fillId="0" borderId="0" xfId="0" applyNumberFormat="1" applyFont="1"/>
    <xf numFmtId="171" fontId="27" fillId="0" borderId="0" xfId="0" applyNumberFormat="1" applyFont="1"/>
    <xf numFmtId="174" fontId="27" fillId="0" borderId="0" xfId="0" applyNumberFormat="1" applyFont="1"/>
    <xf numFmtId="173" fontId="27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Normal="100" workbookViewId="0">
      <selection activeCell="C22" sqref="C22"/>
    </sheetView>
  </sheetViews>
  <sheetFormatPr defaultColWidth="11" defaultRowHeight="15.75" x14ac:dyDescent="0.25"/>
  <cols>
    <col min="1" max="1" width="1.875" style="3" customWidth="1"/>
    <col min="3" max="3" width="22.125" style="3" customWidth="1"/>
    <col min="4" max="4" width="2.875" style="3" customWidth="1"/>
    <col min="5" max="5" width="20.5" style="3" customWidth="1"/>
    <col min="6" max="6" width="69.625" style="3" customWidth="1"/>
    <col min="7" max="7" width="38.875" style="3" customWidth="1"/>
    <col min="8" max="8" width="13.5" style="3" customWidth="1"/>
    <col min="9" max="9" width="16.125" style="3" customWidth="1"/>
    <col min="10" max="10" width="14" style="3" customWidth="1"/>
  </cols>
  <sheetData>
    <row r="1" spans="2:9" ht="9" customHeight="1" x14ac:dyDescent="0.25"/>
    <row r="2" spans="2:9" ht="15.75" customHeight="1" x14ac:dyDescent="0.25">
      <c r="B2" s="4" t="s">
        <v>0</v>
      </c>
      <c r="C2" s="5" t="s">
        <v>1</v>
      </c>
      <c r="E2" s="6" t="s">
        <v>2</v>
      </c>
      <c r="F2" s="7" t="s">
        <v>3</v>
      </c>
      <c r="G2" s="7" t="s">
        <v>4</v>
      </c>
      <c r="H2" s="7" t="s">
        <v>5</v>
      </c>
      <c r="I2" s="8" t="s">
        <v>6</v>
      </c>
    </row>
    <row r="3" spans="2:9" ht="15.75" customHeight="1" x14ac:dyDescent="0.25">
      <c r="B3" s="3" t="s">
        <v>7</v>
      </c>
      <c r="C3" s="9">
        <v>1215.02</v>
      </c>
      <c r="E3" s="10" t="s">
        <v>8</v>
      </c>
      <c r="F3" s="11" t="str">
        <f>Mounjaro!C4</f>
        <v>Type 2 Diabetes</v>
      </c>
      <c r="G3" s="11" t="str">
        <f>Mounjaro!C5</f>
        <v>Dual GIP/GLP-1 Receptor Agonist</v>
      </c>
      <c r="H3" s="12">
        <v>1</v>
      </c>
      <c r="I3" s="13">
        <v>44694</v>
      </c>
    </row>
    <row r="4" spans="2:9" ht="15.75" customHeight="1" x14ac:dyDescent="0.25">
      <c r="B4" s="3" t="s">
        <v>9</v>
      </c>
      <c r="C4" s="14">
        <v>893.7</v>
      </c>
      <c r="E4" s="10" t="s">
        <v>10</v>
      </c>
      <c r="F4" s="11" t="str">
        <f>Zepbound!C4</f>
        <v>Obesity &amp; Obstructive Sleep Apnea</v>
      </c>
      <c r="G4" s="11" t="str">
        <f>Zepbound!C5</f>
        <v>Dual GIP/GLP-1 Receptor Agonist</v>
      </c>
      <c r="H4" s="12">
        <v>1</v>
      </c>
      <c r="I4" s="13">
        <v>45238</v>
      </c>
    </row>
    <row r="5" spans="2:9" ht="15.75" customHeight="1" x14ac:dyDescent="0.25">
      <c r="B5" s="3" t="s">
        <v>11</v>
      </c>
      <c r="C5" s="15">
        <f>C3*C4</f>
        <v>1085863.3740000001</v>
      </c>
      <c r="E5" s="10" t="s">
        <v>12</v>
      </c>
      <c r="F5" s="11" t="str">
        <f>Trulicity!C4</f>
        <v>Type-2 Diabetes</v>
      </c>
      <c r="G5" s="11" t="str">
        <f>Trulicity!C5</f>
        <v>GLP-1 Agonist</v>
      </c>
      <c r="H5" s="12">
        <v>1</v>
      </c>
      <c r="I5" s="13">
        <v>41900</v>
      </c>
    </row>
    <row r="6" spans="2:9" ht="15.75" customHeight="1" x14ac:dyDescent="0.25">
      <c r="B6" s="3" t="s">
        <v>13</v>
      </c>
      <c r="C6" s="9">
        <v>8950</v>
      </c>
      <c r="E6" s="10" t="s">
        <v>14</v>
      </c>
      <c r="F6" s="11" t="str">
        <f>Retatrutide!C4</f>
        <v xml:space="preserve">Obesity &amp; Type 2 Diabetes </v>
      </c>
      <c r="G6" s="11" t="str">
        <f>Retatrutide!C5</f>
        <v>GIP / GLP-1 / Glucagon Triple Receptor Agonist</v>
      </c>
      <c r="H6" s="12">
        <v>1</v>
      </c>
      <c r="I6" s="16" t="s">
        <v>15</v>
      </c>
    </row>
    <row r="7" spans="2:9" ht="15.75" customHeight="1" x14ac:dyDescent="0.25">
      <c r="B7" s="3" t="s">
        <v>16</v>
      </c>
      <c r="C7" s="9">
        <f>7050+47858</f>
        <v>54908</v>
      </c>
      <c r="E7" s="10" t="s">
        <v>17</v>
      </c>
      <c r="F7" s="11" t="str">
        <f>Foundayo!C4</f>
        <v>Obesity / Chronic Weight Management</v>
      </c>
      <c r="G7" s="11" t="str">
        <f>Foundayo!C5</f>
        <v>GLP-1 Receptor Agonist (oral, nonpeptide)</v>
      </c>
      <c r="H7" s="12">
        <v>1</v>
      </c>
      <c r="I7" s="13">
        <v>46113</v>
      </c>
    </row>
    <row r="8" spans="2:9" ht="15.75" customHeight="1" x14ac:dyDescent="0.25">
      <c r="B8" s="3" t="s">
        <v>18</v>
      </c>
      <c r="C8" s="15">
        <f>C5+C7-C6</f>
        <v>1131821.3740000001</v>
      </c>
      <c r="E8" s="10" t="s">
        <v>19</v>
      </c>
      <c r="F8" s="11" t="str">
        <f>Basaglar!C4</f>
        <v>Type 1 and Type 2 Diabetes</v>
      </c>
      <c r="G8" s="11" t="str">
        <f>Basaglar!C5</f>
        <v>Long-Acting Insulin</v>
      </c>
      <c r="H8" s="12">
        <v>1</v>
      </c>
      <c r="I8" s="13">
        <f>DATE(2015,12,16)</f>
        <v>42354</v>
      </c>
    </row>
    <row r="9" spans="2:9" ht="15.75" customHeight="1" x14ac:dyDescent="0.25">
      <c r="E9" s="10" t="s">
        <v>20</v>
      </c>
      <c r="F9" s="11" t="str">
        <f>Humalog!C4</f>
        <v>Type 1 and Type 2 Diabetes</v>
      </c>
      <c r="G9" s="11" t="str">
        <f>Humalog!C5</f>
        <v>Rapid-Acting Insulin</v>
      </c>
      <c r="H9" s="12">
        <v>1</v>
      </c>
      <c r="I9" s="13">
        <v>35230</v>
      </c>
    </row>
    <row r="10" spans="2:9" ht="15.75" customHeight="1" x14ac:dyDescent="0.25">
      <c r="B10" s="3" t="s">
        <v>21</v>
      </c>
      <c r="C10" s="3" t="s">
        <v>22</v>
      </c>
      <c r="E10" s="10" t="s">
        <v>23</v>
      </c>
      <c r="F10" s="11" t="str">
        <f>Humulin!C4</f>
        <v>Type 1 and Type 2 Diabetes</v>
      </c>
      <c r="G10" s="11" t="str">
        <f>Humulin!C5</f>
        <v>Insulin (short- and intermediate-acting)</v>
      </c>
      <c r="H10" s="12">
        <v>1</v>
      </c>
      <c r="I10" s="13">
        <f>DATE(1982,10,28)</f>
        <v>30252</v>
      </c>
    </row>
    <row r="11" spans="2:9" ht="15.75" customHeight="1" x14ac:dyDescent="0.25">
      <c r="B11" s="3" t="s">
        <v>24</v>
      </c>
      <c r="E11" s="10" t="s">
        <v>25</v>
      </c>
      <c r="F11" s="11" t="str">
        <f>Jardiance!C4</f>
        <v>Type 2 Diabetes &amp; Heart Failure</v>
      </c>
      <c r="G11" s="11" t="str">
        <f>Jardiance!C5</f>
        <v>SGLT2 Inhibitors</v>
      </c>
      <c r="H11" s="17" t="s">
        <v>26</v>
      </c>
      <c r="I11" s="13">
        <v>41852</v>
      </c>
    </row>
    <row r="12" spans="2:9" ht="15.75" customHeight="1" x14ac:dyDescent="0.25">
      <c r="E12" s="10" t="s">
        <v>27</v>
      </c>
      <c r="F12" s="11" t="str">
        <f>Verzenio!C4</f>
        <v>Breast Cancer</v>
      </c>
      <c r="G12" s="11" t="str">
        <f>Verzenio!C5</f>
        <v>CDK4/6 inhibitors</v>
      </c>
      <c r="H12" s="12">
        <v>1</v>
      </c>
      <c r="I12" s="13">
        <v>43006</v>
      </c>
    </row>
    <row r="13" spans="2:9" ht="15.75" customHeight="1" x14ac:dyDescent="0.25">
      <c r="E13" s="10" t="s">
        <v>28</v>
      </c>
      <c r="F13" s="11" t="str">
        <f>Cyramza!C4</f>
        <v>Gastric, NSCLC, and Colorectal Cancer</v>
      </c>
      <c r="G13" s="11" t="str">
        <f>Cyramza!C5</f>
        <v>VEGFR2 Antagonist (Monoclonal Antibody)</v>
      </c>
      <c r="H13" s="12">
        <v>1</v>
      </c>
      <c r="I13" s="13">
        <f>DATE(2014,4,21)</f>
        <v>41750</v>
      </c>
    </row>
    <row r="14" spans="2:9" ht="15.75" customHeight="1" x14ac:dyDescent="0.25">
      <c r="E14" s="10" t="s">
        <v>29</v>
      </c>
      <c r="F14" s="11" t="str">
        <f>Erbitux!C4</f>
        <v>Colorectal and Head &amp; Neck Cancer</v>
      </c>
      <c r="G14" s="11" t="str">
        <f>Erbitux!C5</f>
        <v>EGFR Inhibitor (Monoclonal Antibody)</v>
      </c>
      <c r="H14" s="17" t="s">
        <v>30</v>
      </c>
      <c r="I14" s="13">
        <f>DATE(2004,2,12)</f>
        <v>38029</v>
      </c>
    </row>
    <row r="15" spans="2:9" ht="15.75" customHeight="1" x14ac:dyDescent="0.25">
      <c r="E15" s="10" t="s">
        <v>31</v>
      </c>
      <c r="F15" s="11" t="str">
        <f>Retevmo!C4</f>
        <v>RET-Altered NSCLC and Thyroid Cancer</v>
      </c>
      <c r="G15" s="11" t="str">
        <f>Retevmo!C5</f>
        <v>RET Kinase Inhibitor</v>
      </c>
      <c r="H15" s="12">
        <v>1</v>
      </c>
      <c r="I15" s="13">
        <f>DATE(2020,5,8)</f>
        <v>43959</v>
      </c>
    </row>
    <row r="16" spans="2:9" ht="15.75" customHeight="1" x14ac:dyDescent="0.25">
      <c r="E16" s="10" t="s">
        <v>32</v>
      </c>
      <c r="F16" s="11" t="str">
        <f>Tyvyt!C4</f>
        <v>Hodgkin Lymphoma, NSCLC &amp; other cancers (approved in China; not FDA-approved)</v>
      </c>
      <c r="G16" s="11" t="str">
        <f>Tyvyt!C5</f>
        <v>PD-1 Inhibitor (Monoclonal Antibody)</v>
      </c>
      <c r="H16" s="17" t="s">
        <v>30</v>
      </c>
      <c r="I16" s="18" t="s">
        <v>33</v>
      </c>
    </row>
    <row r="17" spans="4:9" ht="15.75" customHeight="1" x14ac:dyDescent="0.25">
      <c r="E17" s="10" t="s">
        <v>34</v>
      </c>
      <c r="F17" s="11" t="str">
        <f>Jaypirca!C4</f>
        <v>Non-Hodgkin Lymphoma</v>
      </c>
      <c r="G17" s="11" t="str">
        <f>Jaypirca!C5</f>
        <v>Bruton’s tyrosine kinase (BTK) inhibitor</v>
      </c>
      <c r="H17" s="12">
        <v>1</v>
      </c>
      <c r="I17" s="13">
        <v>44953</v>
      </c>
    </row>
    <row r="18" spans="4:9" ht="15.75" customHeight="1" x14ac:dyDescent="0.25">
      <c r="E18" s="10" t="s">
        <v>35</v>
      </c>
      <c r="F18" s="11" t="str">
        <f>Inluriyo!C4</f>
        <v>Breast Cancer</v>
      </c>
      <c r="G18" s="11" t="str">
        <f>Inluriyo!C5</f>
        <v>Estrogen Antagonist</v>
      </c>
      <c r="H18" s="12">
        <v>1</v>
      </c>
      <c r="I18" s="13">
        <v>45925</v>
      </c>
    </row>
    <row r="19" spans="4:9" ht="15.75" customHeight="1" x14ac:dyDescent="0.25">
      <c r="E19" s="10" t="s">
        <v>36</v>
      </c>
      <c r="F19" s="11" t="str">
        <f>Ebglyss!C4</f>
        <v>Eczema</v>
      </c>
      <c r="G19" s="11" t="str">
        <f>Ebglyss!C5</f>
        <v>interleukin-13 antagonist</v>
      </c>
      <c r="H19" s="12">
        <v>1</v>
      </c>
      <c r="I19" s="13">
        <v>45548</v>
      </c>
    </row>
    <row r="20" spans="4:9" ht="15.75" customHeight="1" x14ac:dyDescent="0.25">
      <c r="E20" s="10" t="s">
        <v>37</v>
      </c>
      <c r="F20" s="11" t="str">
        <f>Olumiant!C4</f>
        <v>Rheumatoid Arthritis, Alopecia Areata, COVID-19</v>
      </c>
      <c r="G20" s="11" t="str">
        <f>Olumiant!C5</f>
        <v>JAK (Janus Kinase) Inhibitor</v>
      </c>
      <c r="H20" s="12">
        <v>1</v>
      </c>
      <c r="I20" s="13">
        <f>DATE(2018,5,31)</f>
        <v>43251</v>
      </c>
    </row>
    <row r="21" spans="4:9" ht="15.75" customHeight="1" x14ac:dyDescent="0.25">
      <c r="E21" s="10" t="s">
        <v>38</v>
      </c>
      <c r="F21" s="11" t="str">
        <f>Omvoh!C4</f>
        <v>Crohn's Disease &amp; Ulcerative Colitis</v>
      </c>
      <c r="G21" s="11" t="str">
        <f>Omvoh!C5</f>
        <v>interleukin-23 antagonist</v>
      </c>
      <c r="H21" s="12">
        <v>1</v>
      </c>
      <c r="I21" s="13">
        <v>45225</v>
      </c>
    </row>
    <row r="22" spans="4:9" ht="15.75" customHeight="1" x14ac:dyDescent="0.25">
      <c r="E22" s="10" t="s">
        <v>39</v>
      </c>
      <c r="F22" s="11" t="str">
        <f>Taltz!C4</f>
        <v>Plaque Psoriasis &amp; Psoriatic Arthritis</v>
      </c>
      <c r="G22" s="11" t="str">
        <f>Taltz!C5</f>
        <v>interleukin antagonist</v>
      </c>
      <c r="H22" s="12">
        <v>1</v>
      </c>
      <c r="I22" s="13">
        <v>42451</v>
      </c>
    </row>
    <row r="23" spans="4:9" ht="15.75" customHeight="1" x14ac:dyDescent="0.25">
      <c r="E23" s="10" t="s">
        <v>40</v>
      </c>
      <c r="F23" s="11" t="str">
        <f>Emgality!C4</f>
        <v>Migraine Prevention and Cluster Headache</v>
      </c>
      <c r="G23" s="11" t="str">
        <f>Emgality!C5</f>
        <v>CGRP Antagonist (Monoclonal Antibody)</v>
      </c>
      <c r="H23" s="12">
        <v>1</v>
      </c>
      <c r="I23" s="13">
        <f>DATE(2018,9,27)</f>
        <v>43370</v>
      </c>
    </row>
    <row r="24" spans="4:9" ht="15.75" customHeight="1" x14ac:dyDescent="0.25">
      <c r="E24" s="19" t="s">
        <v>41</v>
      </c>
      <c r="F24" s="20" t="str">
        <f>Kisunla!C4</f>
        <v>Alzheimer's Disease</v>
      </c>
      <c r="G24" s="20" t="str">
        <f>Kisunla!C5</f>
        <v>amyloid beta-directed antibody</v>
      </c>
      <c r="H24" s="21">
        <v>1</v>
      </c>
      <c r="I24" s="22">
        <v>45475</v>
      </c>
    </row>
    <row r="26" spans="4:9" ht="15.75" customHeight="1" x14ac:dyDescent="0.25">
      <c r="E26" s="23"/>
      <c r="F26" s="11"/>
      <c r="G26" s="11"/>
    </row>
    <row r="28" spans="4:9" ht="15.75" customHeight="1" x14ac:dyDescent="0.25">
      <c r="D28" s="11"/>
    </row>
    <row r="29" spans="4:9" ht="15.75" customHeight="1" x14ac:dyDescent="0.25">
      <c r="D29" s="1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255"/>
  <sheetViews>
    <sheetView zoomScale="90" zoomScaleNormal="90" workbookViewId="0">
      <pane xSplit="2" topLeftCell="C1" activePane="topRight" state="frozen"/>
      <selection activeCell="A3" sqref="A3"/>
      <selection pane="topRight" activeCell="W31" sqref="W31"/>
    </sheetView>
  </sheetViews>
  <sheetFormatPr defaultColWidth="11" defaultRowHeight="15.75" x14ac:dyDescent="0.25"/>
  <cols>
    <col min="1" max="1" width="2.375" style="3" customWidth="1"/>
    <col min="2" max="2" width="47.125" style="3" customWidth="1"/>
    <col min="3" max="21" width="13.5" style="3" customWidth="1"/>
    <col min="22" max="32" width="13.375" style="3" customWidth="1"/>
    <col min="33" max="39" width="13.125" style="3" customWidth="1"/>
    <col min="40" max="92" width="12.5" style="3" customWidth="1"/>
  </cols>
  <sheetData>
    <row r="1" spans="2:20" ht="9.75" customHeight="1" x14ac:dyDescent="0.25"/>
    <row r="2" spans="2:20" ht="34.5" customHeight="1" x14ac:dyDescent="0.4">
      <c r="B2" s="24" t="s">
        <v>42</v>
      </c>
      <c r="C2" s="24"/>
    </row>
    <row r="4" spans="2:20" ht="16.5" customHeight="1" x14ac:dyDescent="0.25">
      <c r="B4" s="25" t="s">
        <v>43</v>
      </c>
      <c r="C4" s="26" t="s">
        <v>44</v>
      </c>
      <c r="D4" s="26" t="s">
        <v>45</v>
      </c>
      <c r="E4" s="26" t="s">
        <v>46</v>
      </c>
      <c r="F4" s="26" t="s">
        <v>47</v>
      </c>
      <c r="G4" s="26" t="s">
        <v>48</v>
      </c>
      <c r="H4" s="26" t="s">
        <v>49</v>
      </c>
      <c r="I4" s="26" t="s">
        <v>50</v>
      </c>
      <c r="J4" s="26" t="s">
        <v>51</v>
      </c>
      <c r="K4" s="26" t="s">
        <v>52</v>
      </c>
      <c r="L4" s="26" t="s">
        <v>53</v>
      </c>
      <c r="M4" s="26" t="s">
        <v>54</v>
      </c>
      <c r="N4" s="26" t="s">
        <v>55</v>
      </c>
      <c r="O4" s="26" t="s">
        <v>56</v>
      </c>
      <c r="P4" s="26" t="s">
        <v>57</v>
      </c>
      <c r="Q4" s="26" t="s">
        <v>58</v>
      </c>
      <c r="R4" s="26" t="s">
        <v>59</v>
      </c>
      <c r="S4" s="26" t="s">
        <v>60</v>
      </c>
      <c r="T4" s="26" t="s">
        <v>61</v>
      </c>
    </row>
    <row r="5" spans="2:20" ht="15.75" customHeight="1" x14ac:dyDescent="0.25">
      <c r="B5" s="27" t="s">
        <v>62</v>
      </c>
      <c r="C5" s="28">
        <f t="shared" ref="C5:T5" si="0">SUM(C6:C14)</f>
        <v>3243.6</v>
      </c>
      <c r="D5" s="28">
        <f t="shared" si="0"/>
        <v>3268.2</v>
      </c>
      <c r="E5" s="28">
        <f t="shared" si="0"/>
        <v>3489.2</v>
      </c>
      <c r="F5" s="28">
        <f t="shared" si="0"/>
        <v>3811.7</v>
      </c>
      <c r="G5" s="28">
        <f t="shared" si="0"/>
        <v>4045.3</v>
      </c>
      <c r="H5" s="28">
        <f t="shared" si="0"/>
        <v>4260.3999999999996</v>
      </c>
      <c r="I5" s="28">
        <f t="shared" si="0"/>
        <v>4565.3999999999996</v>
      </c>
      <c r="J5" s="28">
        <f t="shared" si="0"/>
        <v>5588.7000000000007</v>
      </c>
      <c r="K5" s="28">
        <f t="shared" si="0"/>
        <v>5369.2</v>
      </c>
      <c r="L5" s="28">
        <f t="shared" si="0"/>
        <v>7858.8000000000011</v>
      </c>
      <c r="M5" s="28">
        <f t="shared" si="0"/>
        <v>7261.6</v>
      </c>
      <c r="N5" s="28">
        <f t="shared" si="0"/>
        <v>8962.6999999999989</v>
      </c>
      <c r="O5" s="28">
        <f t="shared" si="0"/>
        <v>9147</v>
      </c>
      <c r="P5" s="28">
        <f t="shared" si="0"/>
        <v>11185.800000000001</v>
      </c>
      <c r="Q5" s="28">
        <f t="shared" si="0"/>
        <v>13051.800000000001</v>
      </c>
      <c r="R5" s="28">
        <f t="shared" si="0"/>
        <v>14526.3</v>
      </c>
      <c r="S5" s="28">
        <f t="shared" si="0"/>
        <v>15790.900000000001</v>
      </c>
      <c r="T5" s="28">
        <f t="shared" si="0"/>
        <v>18126</v>
      </c>
    </row>
    <row r="6" spans="2:20" ht="15.75" customHeight="1" x14ac:dyDescent="0.25">
      <c r="B6" s="3" t="s">
        <v>8</v>
      </c>
      <c r="C6" s="29"/>
      <c r="D6" s="29"/>
      <c r="E6" s="30">
        <v>187.3</v>
      </c>
      <c r="F6" s="30">
        <v>279.2</v>
      </c>
      <c r="G6" s="30">
        <v>568.5</v>
      </c>
      <c r="H6" s="30">
        <v>979.7</v>
      </c>
      <c r="I6" s="30">
        <v>1409.3</v>
      </c>
      <c r="J6" s="30">
        <v>2205.6</v>
      </c>
      <c r="K6" s="30">
        <v>1806.5</v>
      </c>
      <c r="L6" s="30">
        <v>3090.8</v>
      </c>
      <c r="M6" s="30">
        <v>3112.7</v>
      </c>
      <c r="N6" s="30">
        <v>3530</v>
      </c>
      <c r="O6" s="30">
        <v>3842</v>
      </c>
      <c r="P6" s="30">
        <v>5198.8999999999996</v>
      </c>
      <c r="Q6" s="30">
        <v>6515.1</v>
      </c>
      <c r="R6" s="30">
        <v>7409</v>
      </c>
      <c r="S6" s="30">
        <v>8662</v>
      </c>
      <c r="T6" s="30">
        <v>9943</v>
      </c>
    </row>
    <row r="7" spans="2:20" ht="15.75" customHeight="1" x14ac:dyDescent="0.25">
      <c r="B7" s="3" t="s">
        <v>10</v>
      </c>
      <c r="C7" s="29"/>
      <c r="D7" s="29"/>
      <c r="E7" s="29"/>
      <c r="F7" s="29"/>
      <c r="G7" s="29"/>
      <c r="H7" s="29"/>
      <c r="I7" s="29"/>
      <c r="J7" s="30">
        <v>175.8</v>
      </c>
      <c r="K7" s="30">
        <v>517.4</v>
      </c>
      <c r="L7" s="30">
        <v>1243.2</v>
      </c>
      <c r="M7" s="30">
        <v>1257.8</v>
      </c>
      <c r="N7" s="30">
        <v>1907</v>
      </c>
      <c r="O7" s="30">
        <v>2312</v>
      </c>
      <c r="P7" s="30">
        <v>3381.4</v>
      </c>
      <c r="Q7" s="30">
        <v>3588</v>
      </c>
      <c r="R7" s="30">
        <v>4261</v>
      </c>
      <c r="S7" s="30">
        <v>4160</v>
      </c>
      <c r="T7" s="30">
        <v>4928</v>
      </c>
    </row>
    <row r="8" spans="2:20" ht="15.75" customHeight="1" x14ac:dyDescent="0.25">
      <c r="B8" s="3" t="s">
        <v>12</v>
      </c>
      <c r="C8" s="30">
        <v>1741.3</v>
      </c>
      <c r="D8" s="30">
        <v>1911.9</v>
      </c>
      <c r="E8" s="30">
        <v>1850.4</v>
      </c>
      <c r="F8" s="30">
        <v>1936.2</v>
      </c>
      <c r="G8" s="30">
        <v>1977.1</v>
      </c>
      <c r="H8" s="30">
        <v>1812.5</v>
      </c>
      <c r="I8" s="30">
        <v>1673.6</v>
      </c>
      <c r="J8" s="30">
        <v>1669.3</v>
      </c>
      <c r="K8" s="30">
        <v>1456.3</v>
      </c>
      <c r="L8" s="30">
        <v>1245.5999999999999</v>
      </c>
      <c r="M8" s="30">
        <v>1301.4000000000001</v>
      </c>
      <c r="N8" s="30">
        <v>1250.2</v>
      </c>
      <c r="O8" s="30">
        <v>1095</v>
      </c>
      <c r="P8" s="30">
        <v>1092.2</v>
      </c>
      <c r="Q8" s="30">
        <v>1051.8</v>
      </c>
      <c r="R8" s="30">
        <f>4276-Q8-P8-O8</f>
        <v>1037</v>
      </c>
      <c r="S8" s="30">
        <v>919</v>
      </c>
      <c r="T8" s="30">
        <v>1219</v>
      </c>
    </row>
    <row r="9" spans="2:20" ht="15.75" customHeight="1" x14ac:dyDescent="0.25">
      <c r="B9" s="31" t="s">
        <v>14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2:20" ht="15.75" customHeight="1" x14ac:dyDescent="0.25">
      <c r="B10" s="3" t="s">
        <v>17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>
        <v>98</v>
      </c>
    </row>
    <row r="11" spans="2:20" ht="15.75" customHeight="1" x14ac:dyDescent="0.25">
      <c r="B11" s="3" t="s">
        <v>19</v>
      </c>
      <c r="C11" s="30">
        <v>191.5</v>
      </c>
      <c r="D11" s="30">
        <v>174.2</v>
      </c>
      <c r="E11" s="30">
        <v>193</v>
      </c>
      <c r="F11" s="30">
        <v>201.7</v>
      </c>
      <c r="G11" s="30">
        <v>209.3</v>
      </c>
      <c r="H11" s="30">
        <v>154.19999999999999</v>
      </c>
      <c r="I11" s="30">
        <v>179.6</v>
      </c>
      <c r="J11" s="30">
        <f>728.3-I11-H11-G11</f>
        <v>185.19999999999993</v>
      </c>
      <c r="K11" s="30">
        <v>157.6</v>
      </c>
      <c r="L11" s="30">
        <v>180.8</v>
      </c>
      <c r="M11" s="30">
        <v>161.6</v>
      </c>
      <c r="N11" s="30">
        <v>176.9</v>
      </c>
      <c r="O11" s="30">
        <v>173.6</v>
      </c>
      <c r="P11" s="30">
        <v>145</v>
      </c>
      <c r="Q11" s="30">
        <v>162.19999999999999</v>
      </c>
      <c r="R11" s="30">
        <f>+N11</f>
        <v>176.9</v>
      </c>
      <c r="S11" s="30">
        <f>+O11-10</f>
        <v>163.6</v>
      </c>
      <c r="T11" s="30">
        <v>143</v>
      </c>
    </row>
    <row r="12" spans="2:20" ht="15.75" customHeight="1" x14ac:dyDescent="0.25">
      <c r="B12" s="3" t="s">
        <v>20</v>
      </c>
      <c r="C12" s="30">
        <v>618.20000000000005</v>
      </c>
      <c r="D12" s="30">
        <v>447.1</v>
      </c>
      <c r="E12" s="30">
        <v>447</v>
      </c>
      <c r="F12" s="30">
        <v>548.29999999999995</v>
      </c>
      <c r="G12" s="30">
        <v>460.9</v>
      </c>
      <c r="H12" s="30">
        <v>440.4</v>
      </c>
      <c r="I12" s="30">
        <v>395.4</v>
      </c>
      <c r="J12" s="30">
        <v>366.6</v>
      </c>
      <c r="K12" s="30">
        <v>538.70000000000005</v>
      </c>
      <c r="L12" s="30">
        <v>631.6</v>
      </c>
      <c r="M12" s="30">
        <v>534.6</v>
      </c>
      <c r="N12" s="30">
        <v>619.9</v>
      </c>
      <c r="O12" s="30">
        <v>537.20000000000005</v>
      </c>
      <c r="P12" s="30">
        <v>503.1</v>
      </c>
      <c r="Q12" s="30">
        <v>599.1</v>
      </c>
      <c r="R12" s="30">
        <f>+Q12-5</f>
        <v>594.1</v>
      </c>
      <c r="S12" s="30">
        <f>+R12--15</f>
        <v>609.1</v>
      </c>
      <c r="T12" s="30">
        <v>410</v>
      </c>
    </row>
    <row r="13" spans="2:20" ht="15.75" customHeight="1" x14ac:dyDescent="0.25">
      <c r="B13" s="3" t="s">
        <v>63</v>
      </c>
      <c r="C13" s="30">
        <v>273.2</v>
      </c>
      <c r="D13" s="30">
        <v>274</v>
      </c>
      <c r="E13" s="30">
        <v>238.2</v>
      </c>
      <c r="F13" s="30">
        <v>234</v>
      </c>
      <c r="G13" s="30">
        <v>252</v>
      </c>
      <c r="H13" s="30">
        <v>205.3</v>
      </c>
      <c r="I13" s="30">
        <v>206.7</v>
      </c>
      <c r="J13" s="30">
        <f>852.1-I13-H13-G13</f>
        <v>188.10000000000008</v>
      </c>
      <c r="K13" s="30">
        <v>206.2</v>
      </c>
      <c r="L13" s="30">
        <v>223.6</v>
      </c>
      <c r="M13" s="30">
        <v>207.1</v>
      </c>
      <c r="N13" s="30">
        <v>280.3</v>
      </c>
      <c r="O13" s="30">
        <v>173.2</v>
      </c>
      <c r="P13" s="30">
        <v>175.2</v>
      </c>
      <c r="Q13" s="30">
        <v>176.6</v>
      </c>
      <c r="R13" s="30">
        <f>+N13</f>
        <v>280.3</v>
      </c>
      <c r="S13" s="30">
        <f>+O13-10</f>
        <v>163.19999999999999</v>
      </c>
      <c r="T13" s="30">
        <v>153</v>
      </c>
    </row>
    <row r="14" spans="2:20" ht="15.75" customHeight="1" x14ac:dyDescent="0.25">
      <c r="B14" s="3" t="s">
        <v>25</v>
      </c>
      <c r="C14" s="30">
        <v>419.4</v>
      </c>
      <c r="D14" s="30">
        <v>461</v>
      </c>
      <c r="E14" s="30">
        <v>573.29999999999995</v>
      </c>
      <c r="F14" s="30">
        <v>612.29999999999995</v>
      </c>
      <c r="G14" s="30">
        <v>577.5</v>
      </c>
      <c r="H14" s="30">
        <v>668.3</v>
      </c>
      <c r="I14" s="30">
        <v>700.8</v>
      </c>
      <c r="J14" s="30">
        <v>798.1</v>
      </c>
      <c r="K14" s="30">
        <v>686.5</v>
      </c>
      <c r="L14" s="30">
        <v>1243.2</v>
      </c>
      <c r="M14" s="30">
        <v>686.4</v>
      </c>
      <c r="N14" s="30">
        <v>1198.4000000000001</v>
      </c>
      <c r="O14" s="30">
        <v>1014</v>
      </c>
      <c r="P14" s="30">
        <v>690</v>
      </c>
      <c r="Q14" s="30">
        <v>959</v>
      </c>
      <c r="R14" s="30">
        <f>3431-O14-P14-Q14</f>
        <v>768</v>
      </c>
      <c r="S14" s="30">
        <v>1114</v>
      </c>
      <c r="T14" s="30">
        <v>1232</v>
      </c>
    </row>
    <row r="15" spans="2:20" ht="15.75" customHeight="1" x14ac:dyDescent="0.25">
      <c r="B15" s="32" t="s">
        <v>64</v>
      </c>
      <c r="C15" s="33">
        <f t="shared" ref="C15:T15" si="1">SUM(C16:C22)</f>
        <v>907.90000000000009</v>
      </c>
      <c r="D15" s="33">
        <f t="shared" si="1"/>
        <v>1034.1999999999998</v>
      </c>
      <c r="E15" s="33">
        <f t="shared" si="1"/>
        <v>1071.5</v>
      </c>
      <c r="F15" s="33">
        <f t="shared" si="1"/>
        <v>1207.8999999999999</v>
      </c>
      <c r="G15" s="33">
        <f t="shared" si="1"/>
        <v>1230.0000000000002</v>
      </c>
      <c r="H15" s="33">
        <f t="shared" si="1"/>
        <v>1518.6</v>
      </c>
      <c r="I15" s="33">
        <f t="shared" si="1"/>
        <v>1596.7</v>
      </c>
      <c r="J15" s="33">
        <f t="shared" si="1"/>
        <v>1736.2</v>
      </c>
      <c r="K15" s="33">
        <f t="shared" si="1"/>
        <v>1660.7</v>
      </c>
      <c r="L15" s="33">
        <f t="shared" si="1"/>
        <v>2043.2000000000003</v>
      </c>
      <c r="M15" s="33">
        <f t="shared" si="1"/>
        <v>2102.6</v>
      </c>
      <c r="N15" s="33">
        <f t="shared" si="1"/>
        <v>2328.1999999999998</v>
      </c>
      <c r="O15" s="33">
        <f t="shared" si="1"/>
        <v>1853.3000000000002</v>
      </c>
      <c r="P15" s="33">
        <f t="shared" si="1"/>
        <v>2317.6000000000004</v>
      </c>
      <c r="Q15" s="33">
        <f t="shared" si="1"/>
        <v>2326</v>
      </c>
      <c r="R15" s="33">
        <f t="shared" si="1"/>
        <v>2468.5</v>
      </c>
      <c r="S15" s="33">
        <f t="shared" si="1"/>
        <v>2268.4</v>
      </c>
      <c r="T15" s="33">
        <f t="shared" si="1"/>
        <v>2486</v>
      </c>
    </row>
    <row r="16" spans="2:20" ht="15.75" customHeight="1" x14ac:dyDescent="0.25">
      <c r="B16" s="3" t="s">
        <v>27</v>
      </c>
      <c r="C16" s="30">
        <v>469.4</v>
      </c>
      <c r="D16" s="30">
        <v>588.5</v>
      </c>
      <c r="E16" s="30">
        <v>617.70000000000005</v>
      </c>
      <c r="F16" s="30">
        <v>808</v>
      </c>
      <c r="G16" s="30">
        <v>750.9</v>
      </c>
      <c r="H16" s="30">
        <v>926.8</v>
      </c>
      <c r="I16" s="30">
        <v>1040.2</v>
      </c>
      <c r="J16" s="30">
        <v>1145.4000000000001</v>
      </c>
      <c r="K16" s="30">
        <v>1050.3</v>
      </c>
      <c r="L16" s="30">
        <v>1331.9</v>
      </c>
      <c r="M16" s="30">
        <v>1369.3</v>
      </c>
      <c r="N16" s="30">
        <v>1555</v>
      </c>
      <c r="O16" s="30">
        <v>1158.9000000000001</v>
      </c>
      <c r="P16" s="30">
        <v>1489.3</v>
      </c>
      <c r="Q16" s="30">
        <v>1470.2</v>
      </c>
      <c r="R16" s="30">
        <v>1604</v>
      </c>
      <c r="S16" s="30">
        <v>1302</v>
      </c>
      <c r="T16" s="30">
        <v>1474</v>
      </c>
    </row>
    <row r="17" spans="2:20" ht="15.75" customHeight="1" x14ac:dyDescent="0.25">
      <c r="B17" s="3" t="s">
        <v>28</v>
      </c>
      <c r="C17" s="30">
        <v>230.3</v>
      </c>
      <c r="D17" s="30">
        <v>231.3</v>
      </c>
      <c r="E17" s="30">
        <v>232.1</v>
      </c>
      <c r="F17" s="30">
        <v>277.8</v>
      </c>
      <c r="G17" s="30">
        <v>236.8</v>
      </c>
      <c r="H17" s="30">
        <v>260.3</v>
      </c>
      <c r="I17" s="30">
        <v>224.1</v>
      </c>
      <c r="J17" s="30">
        <v>253.6</v>
      </c>
      <c r="K17" s="30">
        <v>229.9</v>
      </c>
      <c r="L17" s="30">
        <v>248.9</v>
      </c>
      <c r="M17" s="30">
        <v>236</v>
      </c>
      <c r="N17" s="30">
        <v>258.60000000000002</v>
      </c>
      <c r="O17" s="30">
        <v>224.9</v>
      </c>
      <c r="P17" s="30">
        <v>253.7</v>
      </c>
      <c r="Q17" s="30">
        <v>245.5</v>
      </c>
      <c r="R17" s="30">
        <f>+N17</f>
        <v>258.60000000000002</v>
      </c>
      <c r="S17" s="30">
        <f>+O17+34</f>
        <v>258.89999999999998</v>
      </c>
      <c r="T17" s="30">
        <v>256</v>
      </c>
    </row>
    <row r="18" spans="2:20" ht="15.75" customHeight="1" x14ac:dyDescent="0.25">
      <c r="B18" s="3" t="s">
        <v>29</v>
      </c>
      <c r="C18" s="30">
        <v>122.7</v>
      </c>
      <c r="D18" s="30">
        <v>140.80000000000001</v>
      </c>
      <c r="E18" s="30">
        <v>144.9</v>
      </c>
      <c r="F18" s="30"/>
      <c r="G18" s="30">
        <v>129.9</v>
      </c>
      <c r="H18" s="30">
        <v>162.5</v>
      </c>
      <c r="I18" s="30">
        <v>153.9</v>
      </c>
      <c r="J18" s="30">
        <f>596.5-I18-H18-G18</f>
        <v>150.20000000000002</v>
      </c>
      <c r="K18" s="30">
        <v>144.6</v>
      </c>
      <c r="L18" s="30">
        <v>155.80000000000001</v>
      </c>
      <c r="M18" s="30">
        <v>152</v>
      </c>
      <c r="N18" s="30">
        <v>175</v>
      </c>
      <c r="O18" s="30">
        <v>149</v>
      </c>
      <c r="P18" s="30">
        <v>183.7</v>
      </c>
      <c r="Q18" s="30">
        <v>198.6</v>
      </c>
      <c r="R18" s="30">
        <f>+N18</f>
        <v>175</v>
      </c>
      <c r="S18" s="30">
        <f>+O18+34</f>
        <v>183</v>
      </c>
      <c r="T18" s="30">
        <v>215</v>
      </c>
    </row>
    <row r="19" spans="2:20" ht="15.75" customHeight="1" x14ac:dyDescent="0.25">
      <c r="B19" s="3" t="s">
        <v>31</v>
      </c>
      <c r="C19" s="30"/>
      <c r="D19" s="30"/>
      <c r="E19" s="30"/>
      <c r="F19" s="30">
        <v>64.599999999999994</v>
      </c>
      <c r="G19" s="30">
        <v>51.4</v>
      </c>
      <c r="H19" s="30">
        <v>65.400000000000006</v>
      </c>
      <c r="I19" s="30">
        <v>63.4</v>
      </c>
      <c r="J19" s="30">
        <v>73.400000000000006</v>
      </c>
      <c r="K19" s="30">
        <v>69.2</v>
      </c>
      <c r="L19" s="30">
        <v>91.2</v>
      </c>
      <c r="M19" s="30">
        <v>114</v>
      </c>
      <c r="N19" s="30">
        <v>90</v>
      </c>
      <c r="O19" s="30">
        <v>91</v>
      </c>
      <c r="P19" s="30">
        <v>125.3</v>
      </c>
      <c r="Q19" s="30">
        <v>112</v>
      </c>
      <c r="R19" s="30">
        <f>+Q19+5</f>
        <v>117</v>
      </c>
      <c r="S19" s="30">
        <f>+R19+34</f>
        <v>151</v>
      </c>
      <c r="T19" s="30">
        <v>144</v>
      </c>
    </row>
    <row r="20" spans="2:20" ht="15.75" customHeight="1" x14ac:dyDescent="0.25">
      <c r="B20" s="3" t="s">
        <v>32</v>
      </c>
      <c r="C20" s="30">
        <v>85.5</v>
      </c>
      <c r="D20" s="30">
        <v>73.599999999999994</v>
      </c>
      <c r="E20" s="30">
        <v>76.8</v>
      </c>
      <c r="F20" s="30">
        <v>57.5</v>
      </c>
      <c r="G20" s="30">
        <v>61</v>
      </c>
      <c r="H20" s="30">
        <v>103.6</v>
      </c>
      <c r="I20" s="30">
        <v>115.1</v>
      </c>
      <c r="J20" s="30">
        <v>113.6</v>
      </c>
      <c r="K20" s="30">
        <v>116.7</v>
      </c>
      <c r="L20" s="30">
        <v>123</v>
      </c>
      <c r="M20" s="30">
        <v>150.19999999999999</v>
      </c>
      <c r="N20" s="30">
        <v>136</v>
      </c>
      <c r="O20" s="30">
        <v>137.5</v>
      </c>
      <c r="P20" s="30">
        <v>137.30000000000001</v>
      </c>
      <c r="Q20" s="30">
        <v>141.80000000000001</v>
      </c>
      <c r="R20" s="30">
        <f>+N20</f>
        <v>136</v>
      </c>
      <c r="S20" s="30">
        <f>+O20+34+2</f>
        <v>173.5</v>
      </c>
      <c r="T20" s="30">
        <v>130</v>
      </c>
    </row>
    <row r="21" spans="2:20" ht="15.75" customHeight="1" x14ac:dyDescent="0.25">
      <c r="B21" s="3" t="s">
        <v>34</v>
      </c>
      <c r="C21" s="29"/>
      <c r="D21" s="29"/>
      <c r="E21" s="29"/>
      <c r="F21" s="29"/>
      <c r="G21" s="29"/>
      <c r="H21" s="29"/>
      <c r="I21" s="29"/>
      <c r="J21" s="29"/>
      <c r="K21" s="30">
        <v>50</v>
      </c>
      <c r="L21" s="30">
        <v>92.4</v>
      </c>
      <c r="M21" s="30">
        <v>81.099999999999994</v>
      </c>
      <c r="N21" s="30">
        <v>113.6</v>
      </c>
      <c r="O21" s="30">
        <v>92</v>
      </c>
      <c r="P21" s="30">
        <v>123.3</v>
      </c>
      <c r="Q21" s="30">
        <v>142.9</v>
      </c>
      <c r="R21" s="30">
        <f>+Q21+10</f>
        <v>152.9</v>
      </c>
      <c r="S21" s="30">
        <v>165</v>
      </c>
      <c r="T21" s="30">
        <v>192</v>
      </c>
    </row>
    <row r="22" spans="2:20" ht="15.75" customHeight="1" x14ac:dyDescent="0.25">
      <c r="B22" s="3" t="s">
        <v>35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>
        <f>Q22-10</f>
        <v>5</v>
      </c>
      <c r="Q22" s="30">
        <f>R22-10</f>
        <v>15</v>
      </c>
      <c r="R22" s="30">
        <f>S22-10</f>
        <v>25</v>
      </c>
      <c r="S22" s="30">
        <v>35</v>
      </c>
      <c r="T22" s="30">
        <v>75</v>
      </c>
    </row>
    <row r="23" spans="2:20" ht="15.75" customHeight="1" x14ac:dyDescent="0.25">
      <c r="B23" s="32" t="s">
        <v>65</v>
      </c>
      <c r="C23" s="33">
        <f t="shared" ref="C23:T23" si="2">SUM(C24:C27)</f>
        <v>743.7</v>
      </c>
      <c r="D23" s="33">
        <f t="shared" si="2"/>
        <v>792.40000000000009</v>
      </c>
      <c r="E23" s="33">
        <f t="shared" si="2"/>
        <v>862.8</v>
      </c>
      <c r="F23" s="33">
        <f t="shared" si="2"/>
        <v>913.59999999999991</v>
      </c>
      <c r="G23" s="33">
        <f t="shared" si="2"/>
        <v>755.9</v>
      </c>
      <c r="H23" s="33">
        <f t="shared" si="2"/>
        <v>922.8</v>
      </c>
      <c r="I23" s="33">
        <f t="shared" si="2"/>
        <v>975.6</v>
      </c>
      <c r="J23" s="33">
        <f t="shared" si="2"/>
        <v>1028.0999999999999</v>
      </c>
      <c r="K23" s="33">
        <f t="shared" si="2"/>
        <v>834</v>
      </c>
      <c r="L23" s="33">
        <f t="shared" si="2"/>
        <v>1082.3000000000002</v>
      </c>
      <c r="M23" s="33">
        <f t="shared" si="2"/>
        <v>1185.8</v>
      </c>
      <c r="N23" s="33">
        <f t="shared" si="2"/>
        <v>1290.9000000000001</v>
      </c>
      <c r="O23" s="33">
        <f t="shared" si="2"/>
        <v>1088.0999999999999</v>
      </c>
      <c r="P23" s="33">
        <f t="shared" si="2"/>
        <v>1255.5999999999999</v>
      </c>
      <c r="Q23" s="33">
        <f t="shared" si="2"/>
        <v>1362.4</v>
      </c>
      <c r="R23" s="33">
        <f t="shared" si="2"/>
        <v>1535.5</v>
      </c>
      <c r="S23" s="33">
        <f t="shared" si="2"/>
        <v>1202.7</v>
      </c>
      <c r="T23" s="33">
        <f t="shared" si="2"/>
        <v>1417</v>
      </c>
    </row>
    <row r="24" spans="2:20" ht="15.75" customHeight="1" x14ac:dyDescent="0.25">
      <c r="B24" s="3" t="s">
        <v>36</v>
      </c>
      <c r="C24" s="29"/>
      <c r="D24" s="29"/>
      <c r="E24" s="29"/>
      <c r="F24" s="29"/>
      <c r="G24" s="29"/>
      <c r="H24" s="29"/>
      <c r="I24" s="29"/>
      <c r="J24" s="29"/>
      <c r="K24" s="30">
        <v>3.1</v>
      </c>
      <c r="L24" s="30">
        <v>4.3</v>
      </c>
      <c r="M24" s="30">
        <v>14.9</v>
      </c>
      <c r="N24" s="30">
        <v>20.399999999999999</v>
      </c>
      <c r="O24" s="30">
        <v>60.2</v>
      </c>
      <c r="P24" s="30">
        <v>86.8</v>
      </c>
      <c r="Q24" s="30">
        <v>127.1</v>
      </c>
      <c r="R24" s="30">
        <f>+Q24+5</f>
        <v>132.1</v>
      </c>
      <c r="S24" s="30">
        <v>145</v>
      </c>
      <c r="T24" s="30">
        <v>201</v>
      </c>
    </row>
    <row r="25" spans="2:20" ht="15.75" customHeight="1" x14ac:dyDescent="0.25">
      <c r="B25" s="3" t="s">
        <v>37</v>
      </c>
      <c r="C25" s="30">
        <v>255.6</v>
      </c>
      <c r="D25" s="30">
        <v>186.2</v>
      </c>
      <c r="E25" s="30">
        <v>182.9</v>
      </c>
      <c r="F25" s="30">
        <v>205.8</v>
      </c>
      <c r="G25" s="30">
        <v>228.9</v>
      </c>
      <c r="H25" s="30">
        <v>218.9</v>
      </c>
      <c r="I25" s="30">
        <v>231.4</v>
      </c>
      <c r="J25" s="30">
        <v>243.5</v>
      </c>
      <c r="K25" s="30">
        <v>217.4</v>
      </c>
      <c r="L25" s="30">
        <v>227.7</v>
      </c>
      <c r="M25" s="30">
        <v>250.8</v>
      </c>
      <c r="N25" s="30">
        <v>261.60000000000002</v>
      </c>
      <c r="O25" s="30">
        <v>228.7</v>
      </c>
      <c r="P25" s="30">
        <v>246.4</v>
      </c>
      <c r="Q25" s="30">
        <v>268.89999999999998</v>
      </c>
      <c r="R25" s="30">
        <f>+N25</f>
        <v>261.60000000000002</v>
      </c>
      <c r="S25" s="30">
        <f>+O25+16</f>
        <v>244.7</v>
      </c>
      <c r="T25" s="30">
        <v>258</v>
      </c>
    </row>
    <row r="26" spans="2:20" ht="15.75" customHeight="1" x14ac:dyDescent="0.25">
      <c r="B26" s="3" t="s">
        <v>38</v>
      </c>
      <c r="C26" s="29"/>
      <c r="D26" s="29"/>
      <c r="E26" s="29"/>
      <c r="F26" s="29"/>
      <c r="G26" s="29"/>
      <c r="H26" s="29"/>
      <c r="I26" s="29"/>
      <c r="J26" s="29"/>
      <c r="K26" s="30">
        <v>9.4</v>
      </c>
      <c r="L26" s="30">
        <v>25.6</v>
      </c>
      <c r="M26" s="30">
        <v>40.5</v>
      </c>
      <c r="N26" s="30">
        <v>56.9</v>
      </c>
      <c r="O26" s="30">
        <v>37.200000000000003</v>
      </c>
      <c r="P26" s="30">
        <v>74.8</v>
      </c>
      <c r="Q26" s="30">
        <v>64.900000000000006</v>
      </c>
      <c r="R26" s="30">
        <f>+Q26+25</f>
        <v>89.9</v>
      </c>
      <c r="S26" s="30">
        <v>80</v>
      </c>
      <c r="T26" s="30">
        <v>102</v>
      </c>
    </row>
    <row r="27" spans="2:20" ht="15.75" customHeight="1" x14ac:dyDescent="0.25">
      <c r="B27" s="3" t="s">
        <v>39</v>
      </c>
      <c r="C27" s="30">
        <v>488.1</v>
      </c>
      <c r="D27" s="30">
        <v>606.20000000000005</v>
      </c>
      <c r="E27" s="30">
        <v>679.9</v>
      </c>
      <c r="F27" s="30">
        <v>707.8</v>
      </c>
      <c r="G27" s="30">
        <v>527</v>
      </c>
      <c r="H27" s="30">
        <v>703.9</v>
      </c>
      <c r="I27" s="30">
        <v>744.2</v>
      </c>
      <c r="J27" s="30">
        <v>784.6</v>
      </c>
      <c r="K27" s="30">
        <v>604.1</v>
      </c>
      <c r="L27" s="30">
        <v>824.7</v>
      </c>
      <c r="M27" s="30">
        <v>879.6</v>
      </c>
      <c r="N27" s="30">
        <v>952</v>
      </c>
      <c r="O27" s="30">
        <v>762</v>
      </c>
      <c r="P27" s="30">
        <v>847.6</v>
      </c>
      <c r="Q27" s="30">
        <v>901.5</v>
      </c>
      <c r="R27" s="30">
        <f>3563-O27-P27-Q27</f>
        <v>1051.9000000000001</v>
      </c>
      <c r="S27" s="30">
        <v>733</v>
      </c>
      <c r="T27" s="30">
        <v>856</v>
      </c>
    </row>
    <row r="28" spans="2:20" ht="15.75" customHeight="1" x14ac:dyDescent="0.25">
      <c r="B28" s="32" t="s">
        <v>66</v>
      </c>
      <c r="C28" s="33">
        <f t="shared" ref="C28:T28" si="3">SUM(C29:C30)</f>
        <v>149.30000000000001</v>
      </c>
      <c r="D28" s="33">
        <f t="shared" si="3"/>
        <v>157.5</v>
      </c>
      <c r="E28" s="33">
        <f t="shared" si="3"/>
        <v>168.5</v>
      </c>
      <c r="F28" s="33">
        <f t="shared" si="3"/>
        <v>175.6</v>
      </c>
      <c r="G28" s="33">
        <f t="shared" si="3"/>
        <v>154.30000000000001</v>
      </c>
      <c r="H28" s="33">
        <f t="shared" si="3"/>
        <v>169.3</v>
      </c>
      <c r="I28" s="33">
        <f t="shared" si="3"/>
        <v>168.5</v>
      </c>
      <c r="J28" s="33">
        <f t="shared" si="3"/>
        <v>186.1</v>
      </c>
      <c r="K28" s="33">
        <f t="shared" si="3"/>
        <v>225.7</v>
      </c>
      <c r="L28" s="33">
        <f t="shared" si="3"/>
        <v>192</v>
      </c>
      <c r="M28" s="33">
        <f t="shared" si="3"/>
        <v>204.3</v>
      </c>
      <c r="N28" s="33">
        <f t="shared" si="3"/>
        <v>257.7</v>
      </c>
      <c r="O28" s="33">
        <f t="shared" si="3"/>
        <v>146.1</v>
      </c>
      <c r="P28" s="33">
        <f t="shared" si="3"/>
        <v>249.7</v>
      </c>
      <c r="Q28" s="33">
        <f t="shared" si="3"/>
        <v>246.1</v>
      </c>
      <c r="R28" s="33">
        <f t="shared" si="3"/>
        <v>370.18000000000006</v>
      </c>
      <c r="S28" s="33">
        <f t="shared" si="3"/>
        <v>261.06</v>
      </c>
      <c r="T28" s="33">
        <f t="shared" si="3"/>
        <v>358</v>
      </c>
    </row>
    <row r="29" spans="2:20" ht="15.75" customHeight="1" x14ac:dyDescent="0.25">
      <c r="B29" s="3" t="s">
        <v>40</v>
      </c>
      <c r="C29" s="30">
        <v>149.30000000000001</v>
      </c>
      <c r="D29" s="30">
        <v>157.5</v>
      </c>
      <c r="E29" s="30">
        <v>168.5</v>
      </c>
      <c r="F29" s="30">
        <v>175.6</v>
      </c>
      <c r="G29" s="30">
        <v>154.30000000000001</v>
      </c>
      <c r="H29" s="30">
        <v>169.3</v>
      </c>
      <c r="I29" s="30">
        <v>168.5</v>
      </c>
      <c r="J29" s="30">
        <v>186.1</v>
      </c>
      <c r="K29" s="30">
        <v>225.7</v>
      </c>
      <c r="L29" s="30">
        <v>192</v>
      </c>
      <c r="M29" s="30">
        <v>202.9</v>
      </c>
      <c r="N29" s="30">
        <v>249.8</v>
      </c>
      <c r="O29" s="30">
        <v>124.6</v>
      </c>
      <c r="P29" s="30">
        <v>201.1</v>
      </c>
      <c r="Q29" s="30">
        <v>175.7</v>
      </c>
      <c r="R29" s="30">
        <f>+N29*1.1</f>
        <v>274.78000000000003</v>
      </c>
      <c r="S29" s="30">
        <f>+O29*1.1</f>
        <v>137.06</v>
      </c>
      <c r="T29" s="30">
        <v>191</v>
      </c>
    </row>
    <row r="30" spans="2:20" ht="15.75" customHeight="1" x14ac:dyDescent="0.25">
      <c r="B30" s="3" t="s">
        <v>41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0">
        <v>1.4</v>
      </c>
      <c r="N30" s="30">
        <v>7.9</v>
      </c>
      <c r="O30" s="30">
        <v>21.5</v>
      </c>
      <c r="P30" s="30">
        <v>48.6</v>
      </c>
      <c r="Q30" s="30">
        <v>70.400000000000006</v>
      </c>
      <c r="R30" s="30">
        <f>+Q30+25</f>
        <v>95.4</v>
      </c>
      <c r="S30" s="30">
        <v>124</v>
      </c>
      <c r="T30" s="30">
        <v>167</v>
      </c>
    </row>
    <row r="31" spans="2:20" ht="15.75" customHeight="1" x14ac:dyDescent="0.25">
      <c r="B31" s="32" t="s">
        <v>67</v>
      </c>
      <c r="C31" s="33">
        <f t="shared" ref="C31:S31" si="4">C32-(C5+C15+C23+C28)</f>
        <v>2765.5</v>
      </c>
      <c r="D31" s="33">
        <f t="shared" si="4"/>
        <v>1235.7000000000007</v>
      </c>
      <c r="E31" s="33">
        <f t="shared" si="4"/>
        <v>1349.6000000000004</v>
      </c>
      <c r="F31" s="33">
        <f t="shared" si="4"/>
        <v>1193.0000000000009</v>
      </c>
      <c r="G31" s="33">
        <f t="shared" si="4"/>
        <v>774.5</v>
      </c>
      <c r="H31" s="33">
        <f t="shared" si="4"/>
        <v>1441</v>
      </c>
      <c r="I31" s="33">
        <f t="shared" si="4"/>
        <v>2192.4000000000005</v>
      </c>
      <c r="J31" s="33">
        <f t="shared" si="4"/>
        <v>814.29999999999927</v>
      </c>
      <c r="K31" s="33">
        <f t="shared" si="4"/>
        <v>678.40000000000055</v>
      </c>
      <c r="L31" s="33">
        <f t="shared" si="4"/>
        <v>126.49999999999636</v>
      </c>
      <c r="M31" s="33">
        <f t="shared" si="4"/>
        <v>684.80000000000109</v>
      </c>
      <c r="N31" s="33">
        <f t="shared" si="4"/>
        <v>693.30000000000109</v>
      </c>
      <c r="O31" s="33">
        <f t="shared" si="4"/>
        <v>494.5</v>
      </c>
      <c r="P31" s="33">
        <f t="shared" si="4"/>
        <v>548.99999999999818</v>
      </c>
      <c r="Q31" s="33">
        <f t="shared" si="4"/>
        <v>614.5</v>
      </c>
      <c r="R31" s="33">
        <f t="shared" si="4"/>
        <v>391.52000000000044</v>
      </c>
      <c r="S31" s="33">
        <f t="shared" si="4"/>
        <v>275.93999999999505</v>
      </c>
      <c r="T31" s="33">
        <f>T32-(T28+T23+T15+T5)</f>
        <v>587</v>
      </c>
    </row>
    <row r="32" spans="2:20" ht="15.75" customHeight="1" x14ac:dyDescent="0.25">
      <c r="B32" s="34" t="s">
        <v>68</v>
      </c>
      <c r="C32" s="35">
        <v>7810</v>
      </c>
      <c r="D32" s="35">
        <v>6488</v>
      </c>
      <c r="E32" s="35">
        <v>6941.6</v>
      </c>
      <c r="F32" s="35">
        <v>7301.8</v>
      </c>
      <c r="G32" s="35">
        <v>6960</v>
      </c>
      <c r="H32" s="35">
        <v>8312.1</v>
      </c>
      <c r="I32" s="35">
        <v>9498.6</v>
      </c>
      <c r="J32" s="35">
        <v>9353.4</v>
      </c>
      <c r="K32" s="35">
        <v>8768</v>
      </c>
      <c r="L32" s="35">
        <v>11302.8</v>
      </c>
      <c r="M32" s="35">
        <v>11439.1</v>
      </c>
      <c r="N32" s="35">
        <v>13532.8</v>
      </c>
      <c r="O32" s="35">
        <v>12729</v>
      </c>
      <c r="P32" s="35">
        <v>15557.7</v>
      </c>
      <c r="Q32" s="35">
        <v>17600.8</v>
      </c>
      <c r="R32" s="35">
        <v>19292</v>
      </c>
      <c r="S32" s="35">
        <v>19799</v>
      </c>
      <c r="T32" s="35">
        <v>22974</v>
      </c>
    </row>
    <row r="33" spans="2:37" ht="15.75" customHeight="1" x14ac:dyDescent="0.25">
      <c r="B33" s="3" t="s">
        <v>69</v>
      </c>
      <c r="C33" s="30">
        <v>2072.1</v>
      </c>
      <c r="D33" s="30">
        <v>1430.5</v>
      </c>
      <c r="E33" s="30">
        <v>1579.1</v>
      </c>
      <c r="F33" s="30">
        <v>1548.1</v>
      </c>
      <c r="G33" s="30">
        <v>1626.7</v>
      </c>
      <c r="H33" s="30">
        <v>1807.4</v>
      </c>
      <c r="I33" s="30">
        <v>1860.1</v>
      </c>
      <c r="J33" s="30">
        <v>1788</v>
      </c>
      <c r="K33" s="30">
        <v>1673.5</v>
      </c>
      <c r="L33" s="30">
        <v>2170.1999999999998</v>
      </c>
      <c r="M33" s="30">
        <v>2170.8000000000002</v>
      </c>
      <c r="N33" s="30">
        <v>2403.8000000000002</v>
      </c>
      <c r="O33" s="30">
        <v>2225</v>
      </c>
      <c r="P33" s="30">
        <v>2447.8000000000002</v>
      </c>
      <c r="Q33" s="30">
        <v>3008.3</v>
      </c>
      <c r="R33" s="30">
        <v>3371.7</v>
      </c>
      <c r="S33" s="30">
        <v>3577</v>
      </c>
      <c r="T33" s="30">
        <v>3268</v>
      </c>
    </row>
    <row r="34" spans="2:37" ht="15.75" customHeight="1" x14ac:dyDescent="0.25">
      <c r="B34" s="34" t="s">
        <v>70</v>
      </c>
      <c r="C34" s="35">
        <f t="shared" ref="C34:T34" si="5">C32-C33</f>
        <v>5737.9</v>
      </c>
      <c r="D34" s="35">
        <f t="shared" si="5"/>
        <v>5057.5</v>
      </c>
      <c r="E34" s="35">
        <f t="shared" si="5"/>
        <v>5362.5</v>
      </c>
      <c r="F34" s="35">
        <f t="shared" si="5"/>
        <v>5753.7000000000007</v>
      </c>
      <c r="G34" s="35">
        <f t="shared" si="5"/>
        <v>5333.3</v>
      </c>
      <c r="H34" s="35">
        <f t="shared" si="5"/>
        <v>6504.7000000000007</v>
      </c>
      <c r="I34" s="35">
        <f t="shared" si="5"/>
        <v>7638.5</v>
      </c>
      <c r="J34" s="35">
        <f t="shared" si="5"/>
        <v>7565.4</v>
      </c>
      <c r="K34" s="35">
        <f t="shared" si="5"/>
        <v>7094.5</v>
      </c>
      <c r="L34" s="35">
        <f t="shared" si="5"/>
        <v>9132.5999999999985</v>
      </c>
      <c r="M34" s="35">
        <f t="shared" si="5"/>
        <v>9268.2999999999993</v>
      </c>
      <c r="N34" s="35">
        <f t="shared" si="5"/>
        <v>11129</v>
      </c>
      <c r="O34" s="35">
        <f t="shared" si="5"/>
        <v>10504</v>
      </c>
      <c r="P34" s="35">
        <f t="shared" si="5"/>
        <v>13109.900000000001</v>
      </c>
      <c r="Q34" s="35">
        <f t="shared" si="5"/>
        <v>14592.5</v>
      </c>
      <c r="R34" s="35">
        <f t="shared" si="5"/>
        <v>15920.3</v>
      </c>
      <c r="S34" s="35">
        <f t="shared" si="5"/>
        <v>16222</v>
      </c>
      <c r="T34" s="35">
        <f t="shared" si="5"/>
        <v>19706</v>
      </c>
    </row>
    <row r="35" spans="2:37" ht="15.75" customHeight="1" x14ac:dyDescent="0.25">
      <c r="B35" s="3" t="s">
        <v>71</v>
      </c>
      <c r="C35" s="30">
        <v>1610.1</v>
      </c>
      <c r="D35" s="30">
        <v>1781.9</v>
      </c>
      <c r="E35" s="30">
        <v>1802.9</v>
      </c>
      <c r="F35" s="30">
        <v>1995.9</v>
      </c>
      <c r="G35" s="30">
        <v>1985.1</v>
      </c>
      <c r="H35" s="30">
        <v>2356.5</v>
      </c>
      <c r="I35" s="30">
        <v>2409.1</v>
      </c>
      <c r="J35" s="30">
        <v>2562.6999999999998</v>
      </c>
      <c r="K35" s="30">
        <v>2522.8000000000002</v>
      </c>
      <c r="L35" s="30">
        <v>2711.2</v>
      </c>
      <c r="M35" s="30">
        <v>2734.1</v>
      </c>
      <c r="N35" s="30">
        <v>3022.5</v>
      </c>
      <c r="O35" s="30">
        <v>2734</v>
      </c>
      <c r="P35" s="30">
        <v>3336.1</v>
      </c>
      <c r="Q35" s="30">
        <v>3465.7</v>
      </c>
      <c r="R35" s="30">
        <v>3801.5</v>
      </c>
      <c r="S35" s="30">
        <v>3510</v>
      </c>
      <c r="T35" s="30">
        <v>3819</v>
      </c>
    </row>
    <row r="36" spans="2:37" ht="15.75" customHeight="1" x14ac:dyDescent="0.25">
      <c r="B36" s="3" t="s">
        <v>72</v>
      </c>
      <c r="C36" s="30">
        <v>1557.9</v>
      </c>
      <c r="D36" s="30">
        <v>1625.1</v>
      </c>
      <c r="E36" s="30">
        <v>1614.2</v>
      </c>
      <c r="F36" s="30">
        <v>1643.2</v>
      </c>
      <c r="G36" s="30">
        <v>1749.2</v>
      </c>
      <c r="H36" s="30">
        <v>1925.4</v>
      </c>
      <c r="I36" s="30">
        <v>1803.9</v>
      </c>
      <c r="J36" s="30">
        <v>1924.6</v>
      </c>
      <c r="K36" s="30">
        <v>1952.2</v>
      </c>
      <c r="L36" s="30">
        <v>2117.3000000000002</v>
      </c>
      <c r="M36" s="30">
        <v>2099.8000000000002</v>
      </c>
      <c r="N36" s="30">
        <v>2424.5</v>
      </c>
      <c r="O36" s="30">
        <v>2468</v>
      </c>
      <c r="P36" s="30">
        <v>2753</v>
      </c>
      <c r="Q36" s="30">
        <v>2740.7</v>
      </c>
      <c r="R36" s="30">
        <v>3131.4</v>
      </c>
      <c r="S36" s="30">
        <v>2934</v>
      </c>
      <c r="T36" s="30">
        <v>3430</v>
      </c>
    </row>
    <row r="37" spans="2:37" ht="15.75" customHeight="1" x14ac:dyDescent="0.25">
      <c r="B37" s="3" t="s">
        <v>73</v>
      </c>
      <c r="C37" s="30">
        <v>165.6</v>
      </c>
      <c r="D37" s="30">
        <v>440.4</v>
      </c>
      <c r="E37" s="30">
        <v>62.4</v>
      </c>
      <c r="F37" s="30">
        <v>240.1</v>
      </c>
      <c r="G37" s="30">
        <v>105</v>
      </c>
      <c r="H37" s="30">
        <v>97.1</v>
      </c>
      <c r="I37" s="30">
        <v>2975.1</v>
      </c>
      <c r="J37" s="30">
        <v>622.6</v>
      </c>
      <c r="K37" s="30">
        <v>110.5</v>
      </c>
      <c r="L37" s="30">
        <v>154.30000000000001</v>
      </c>
      <c r="M37" s="30">
        <v>2826.4</v>
      </c>
      <c r="N37" s="30">
        <v>189.2</v>
      </c>
      <c r="O37" s="30">
        <v>1572</v>
      </c>
      <c r="P37" s="30">
        <v>153</v>
      </c>
      <c r="Q37" s="30">
        <v>655.7</v>
      </c>
      <c r="R37" s="30">
        <v>528.79999999999995</v>
      </c>
      <c r="S37" s="30">
        <v>584</v>
      </c>
      <c r="T37" s="30">
        <v>2776</v>
      </c>
    </row>
    <row r="38" spans="2:37" ht="15.75" customHeight="1" x14ac:dyDescent="0.25">
      <c r="B38" s="3" t="s">
        <v>74</v>
      </c>
      <c r="C38" s="30">
        <v>0</v>
      </c>
      <c r="D38" s="30">
        <v>0</v>
      </c>
      <c r="E38" s="30">
        <v>206.5</v>
      </c>
      <c r="F38" s="30">
        <v>38.1</v>
      </c>
      <c r="G38" s="30">
        <v>0</v>
      </c>
      <c r="H38" s="30">
        <v>0</v>
      </c>
      <c r="I38" s="30">
        <v>0</v>
      </c>
      <c r="J38" s="30">
        <v>67.7</v>
      </c>
      <c r="K38" s="30">
        <v>0</v>
      </c>
      <c r="L38" s="30">
        <v>435</v>
      </c>
      <c r="M38" s="30">
        <v>81.599999999999994</v>
      </c>
      <c r="N38" s="30">
        <v>344</v>
      </c>
      <c r="O38" s="30">
        <v>35</v>
      </c>
      <c r="P38" s="30">
        <v>0</v>
      </c>
      <c r="Q38" s="30">
        <v>364.9</v>
      </c>
      <c r="R38" s="30">
        <v>84.1</v>
      </c>
      <c r="S38" s="30">
        <v>279</v>
      </c>
      <c r="T38" s="30">
        <v>703</v>
      </c>
    </row>
    <row r="39" spans="2:37" ht="15.75" customHeight="1" x14ac:dyDescent="0.25">
      <c r="B39" s="3" t="s">
        <v>75</v>
      </c>
      <c r="C39" s="30">
        <v>350.7</v>
      </c>
      <c r="D39" s="30">
        <v>119.2</v>
      </c>
      <c r="E39" s="30">
        <v>-111</v>
      </c>
      <c r="F39" s="30">
        <v>-260</v>
      </c>
      <c r="G39" s="30">
        <v>-35.700000000000003</v>
      </c>
      <c r="H39" s="30">
        <v>36.799999999999997</v>
      </c>
      <c r="I39" s="30">
        <v>23.2</v>
      </c>
      <c r="J39" s="30">
        <v>121</v>
      </c>
      <c r="K39" s="30">
        <v>-27.1</v>
      </c>
      <c r="L39" s="30">
        <v>197.6</v>
      </c>
      <c r="M39" s="30">
        <v>-62</v>
      </c>
      <c r="N39" s="30">
        <v>110.2</v>
      </c>
      <c r="O39" s="30">
        <v>239</v>
      </c>
      <c r="P39" s="30">
        <v>90.6</v>
      </c>
      <c r="Q39" s="30">
        <v>133.1</v>
      </c>
      <c r="R39" s="30">
        <v>108.3</v>
      </c>
      <c r="S39" s="30">
        <v>65</v>
      </c>
      <c r="T39" s="30">
        <v>-269</v>
      </c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</row>
    <row r="40" spans="2:37" ht="15.75" customHeight="1" x14ac:dyDescent="0.25">
      <c r="B40" s="3" t="s">
        <v>76</v>
      </c>
      <c r="C40" s="30">
        <v>2053.6</v>
      </c>
      <c r="D40" s="30">
        <v>1090.9000000000001</v>
      </c>
      <c r="E40" s="30">
        <v>1565.5</v>
      </c>
      <c r="F40" s="30">
        <v>2096.4</v>
      </c>
      <c r="G40" s="30">
        <f t="shared" ref="G40:T40" si="6">G34-(SUM(G35:G39))</f>
        <v>1529.6999999999998</v>
      </c>
      <c r="H40" s="30">
        <f t="shared" si="6"/>
        <v>2088.9000000000005</v>
      </c>
      <c r="I40" s="30">
        <f t="shared" si="6"/>
        <v>427.19999999999982</v>
      </c>
      <c r="J40" s="30">
        <f t="shared" si="6"/>
        <v>2266.8000000000002</v>
      </c>
      <c r="K40" s="30">
        <f t="shared" si="6"/>
        <v>2536.1000000000004</v>
      </c>
      <c r="L40" s="30">
        <f t="shared" si="6"/>
        <v>3517.199999999998</v>
      </c>
      <c r="M40" s="30">
        <f t="shared" si="6"/>
        <v>1588.3999999999996</v>
      </c>
      <c r="N40" s="30">
        <f t="shared" si="6"/>
        <v>5038.6000000000004</v>
      </c>
      <c r="O40" s="30">
        <f t="shared" si="6"/>
        <v>3456</v>
      </c>
      <c r="P40" s="30">
        <f t="shared" si="6"/>
        <v>6777.2000000000007</v>
      </c>
      <c r="Q40" s="30">
        <f t="shared" si="6"/>
        <v>7232.4000000000005</v>
      </c>
      <c r="R40" s="30">
        <f t="shared" si="6"/>
        <v>8266.1999999999989</v>
      </c>
      <c r="S40" s="30">
        <f t="shared" si="6"/>
        <v>8850</v>
      </c>
      <c r="T40" s="30">
        <f t="shared" si="6"/>
        <v>9247</v>
      </c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</row>
    <row r="41" spans="2:37" ht="15.75" customHeight="1" x14ac:dyDescent="0.25">
      <c r="B41" s="3" t="s">
        <v>77</v>
      </c>
      <c r="C41" s="30">
        <v>150.69999999999999</v>
      </c>
      <c r="D41" s="30">
        <v>138.4</v>
      </c>
      <c r="E41" s="30">
        <v>113.8</v>
      </c>
      <c r="F41" s="30">
        <v>158.69999999999999</v>
      </c>
      <c r="G41" s="30">
        <v>184.8</v>
      </c>
      <c r="H41" s="30">
        <v>325.7</v>
      </c>
      <c r="I41" s="30">
        <v>484.6</v>
      </c>
      <c r="J41" s="30">
        <v>319.10000000000002</v>
      </c>
      <c r="K41" s="30">
        <v>293.2</v>
      </c>
      <c r="L41" s="30">
        <v>550.20000000000005</v>
      </c>
      <c r="M41" s="30">
        <v>618.1</v>
      </c>
      <c r="N41" s="30">
        <v>628.9</v>
      </c>
      <c r="O41" s="30">
        <v>697</v>
      </c>
      <c r="P41" s="30">
        <v>1115.9000000000001</v>
      </c>
      <c r="Q41" s="30">
        <v>1649.9</v>
      </c>
      <c r="R41" s="30">
        <v>1628.5</v>
      </c>
      <c r="S41" s="30">
        <v>1454</v>
      </c>
      <c r="T41" s="30">
        <v>2152</v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spans="2:37" ht="16.5" customHeight="1" x14ac:dyDescent="0.25">
      <c r="B42" s="36" t="s">
        <v>78</v>
      </c>
      <c r="C42" s="37">
        <f t="shared" ref="C42:T42" si="7">C40-C41</f>
        <v>1902.8999999999999</v>
      </c>
      <c r="D42" s="37">
        <f t="shared" si="7"/>
        <v>952.50000000000011</v>
      </c>
      <c r="E42" s="37">
        <f t="shared" si="7"/>
        <v>1451.7</v>
      </c>
      <c r="F42" s="37">
        <f t="shared" si="7"/>
        <v>1937.7</v>
      </c>
      <c r="G42" s="37">
        <f t="shared" si="7"/>
        <v>1344.8999999999999</v>
      </c>
      <c r="H42" s="37">
        <f t="shared" si="7"/>
        <v>1763.2000000000005</v>
      </c>
      <c r="I42" s="37">
        <f t="shared" si="7"/>
        <v>-57.400000000000205</v>
      </c>
      <c r="J42" s="37">
        <f t="shared" si="7"/>
        <v>1947.7000000000003</v>
      </c>
      <c r="K42" s="37">
        <f t="shared" si="7"/>
        <v>2242.9000000000005</v>
      </c>
      <c r="L42" s="37">
        <f t="shared" si="7"/>
        <v>2966.9999999999982</v>
      </c>
      <c r="M42" s="37">
        <f t="shared" si="7"/>
        <v>970.29999999999961</v>
      </c>
      <c r="N42" s="37">
        <f t="shared" si="7"/>
        <v>4409.7000000000007</v>
      </c>
      <c r="O42" s="37">
        <f t="shared" si="7"/>
        <v>2759</v>
      </c>
      <c r="P42" s="37">
        <f t="shared" si="7"/>
        <v>5661.3000000000011</v>
      </c>
      <c r="Q42" s="37">
        <f t="shared" si="7"/>
        <v>5582.5</v>
      </c>
      <c r="R42" s="37">
        <f t="shared" si="7"/>
        <v>6637.6999999999989</v>
      </c>
      <c r="S42" s="37">
        <f t="shared" si="7"/>
        <v>7396</v>
      </c>
      <c r="T42" s="37">
        <f t="shared" si="7"/>
        <v>7095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spans="2:37" ht="16.5" customHeight="1" x14ac:dyDescent="0.25">
      <c r="B43" s="3" t="s">
        <v>79</v>
      </c>
      <c r="C43" s="15">
        <v>2.1</v>
      </c>
      <c r="D43" s="15">
        <v>1.05</v>
      </c>
      <c r="E43" s="15">
        <v>1.61</v>
      </c>
      <c r="F43" s="15">
        <v>2.14</v>
      </c>
      <c r="G43" s="15">
        <f t="shared" ref="G43:T43" si="8">G42/G44</f>
        <v>1.4888741281966122</v>
      </c>
      <c r="H43" s="15">
        <f t="shared" si="8"/>
        <v>1.9526024363233672</v>
      </c>
      <c r="I43" s="15">
        <f t="shared" si="8"/>
        <v>-6.3791953767504114E-2</v>
      </c>
      <c r="J43" s="15">
        <f t="shared" si="8"/>
        <v>2.1617092119866816</v>
      </c>
      <c r="K43" s="15">
        <f t="shared" si="8"/>
        <v>2.4816331046691755</v>
      </c>
      <c r="L43" s="15">
        <f t="shared" si="8"/>
        <v>3.2813536828135348</v>
      </c>
      <c r="M43" s="15">
        <f t="shared" si="8"/>
        <v>1.0721546961325963</v>
      </c>
      <c r="N43" s="15">
        <f t="shared" si="8"/>
        <v>4.8779867256637175</v>
      </c>
      <c r="O43" s="15">
        <f t="shared" si="8"/>
        <v>3.0635132134132799</v>
      </c>
      <c r="P43" s="15">
        <f t="shared" si="8"/>
        <v>6.2917314958879764</v>
      </c>
      <c r="Q43" s="15">
        <f t="shared" si="8"/>
        <v>6.2110591900311531</v>
      </c>
      <c r="R43" s="15">
        <f t="shared" si="8"/>
        <v>7.3916481069042304</v>
      </c>
      <c r="S43" s="15">
        <f t="shared" si="8"/>
        <v>8.2553856457193877</v>
      </c>
      <c r="T43" s="15">
        <f t="shared" si="8"/>
        <v>7.9391632938743673</v>
      </c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2:37" ht="15.75" customHeight="1" x14ac:dyDescent="0.25">
      <c r="B44" s="3" t="s">
        <v>9</v>
      </c>
      <c r="C44" s="38">
        <v>906.4</v>
      </c>
      <c r="D44" s="38">
        <v>902.9</v>
      </c>
      <c r="E44" s="38">
        <v>903.8</v>
      </c>
      <c r="F44" s="38">
        <v>904.73199999999997</v>
      </c>
      <c r="G44" s="39">
        <v>903.3</v>
      </c>
      <c r="H44" s="39">
        <v>903</v>
      </c>
      <c r="I44" s="39">
        <v>899.8</v>
      </c>
      <c r="J44" s="39">
        <v>901</v>
      </c>
      <c r="K44" s="39">
        <v>903.8</v>
      </c>
      <c r="L44" s="39">
        <v>904.2</v>
      </c>
      <c r="M44" s="39">
        <v>905</v>
      </c>
      <c r="N44" s="39">
        <v>904</v>
      </c>
      <c r="O44" s="39">
        <v>900.6</v>
      </c>
      <c r="P44" s="39">
        <v>899.8</v>
      </c>
      <c r="Q44" s="39">
        <v>898.8</v>
      </c>
      <c r="R44" s="39">
        <v>898</v>
      </c>
      <c r="S44" s="39">
        <v>895.9</v>
      </c>
      <c r="T44" s="39">
        <v>893.67100000000005</v>
      </c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</row>
    <row r="45" spans="2:37" ht="15.75" customHeight="1" x14ac:dyDescent="0.25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2:37" ht="16.5" customHeight="1" x14ac:dyDescent="0.25">
      <c r="B46" s="25" t="s">
        <v>80</v>
      </c>
      <c r="C46" s="3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2:37" ht="15.75" customHeight="1" x14ac:dyDescent="0.25">
      <c r="B47" s="40" t="s">
        <v>81</v>
      </c>
      <c r="C47" s="41"/>
      <c r="D47" s="41"/>
      <c r="E47" s="41"/>
      <c r="F47" s="41"/>
      <c r="G47" s="42">
        <f t="shared" ref="G47:T47" si="9">(G5-C5)/C5</f>
        <v>0.24716364533234686</v>
      </c>
      <c r="H47" s="42">
        <f t="shared" si="9"/>
        <v>0.30359219142035365</v>
      </c>
      <c r="I47" s="42">
        <f t="shared" si="9"/>
        <v>0.30843746417516904</v>
      </c>
      <c r="J47" s="42">
        <f t="shared" si="9"/>
        <v>0.46619618542907393</v>
      </c>
      <c r="K47" s="42">
        <f t="shared" si="9"/>
        <v>0.3272686821743751</v>
      </c>
      <c r="L47" s="42">
        <f t="shared" si="9"/>
        <v>0.84461552905830484</v>
      </c>
      <c r="M47" s="42">
        <f t="shared" si="9"/>
        <v>0.59057256757348775</v>
      </c>
      <c r="N47" s="42">
        <f t="shared" si="9"/>
        <v>0.6037182171166815</v>
      </c>
      <c r="O47" s="42">
        <f t="shared" si="9"/>
        <v>0.70360575132235725</v>
      </c>
      <c r="P47" s="42">
        <f t="shared" si="9"/>
        <v>0.4233470758894487</v>
      </c>
      <c r="Q47" s="42">
        <f t="shared" si="9"/>
        <v>0.79737247989423821</v>
      </c>
      <c r="R47" s="42">
        <f t="shared" si="9"/>
        <v>0.62075044350474762</v>
      </c>
      <c r="S47" s="42">
        <f t="shared" si="9"/>
        <v>0.72634743631791865</v>
      </c>
      <c r="T47" s="42">
        <f t="shared" si="9"/>
        <v>0.62044735289384745</v>
      </c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</row>
    <row r="48" spans="2:37" ht="15.75" customHeight="1" x14ac:dyDescent="0.25">
      <c r="B48" s="40" t="s">
        <v>82</v>
      </c>
      <c r="C48" s="41"/>
      <c r="D48" s="41"/>
      <c r="E48" s="41"/>
      <c r="F48" s="41"/>
      <c r="G48" s="42">
        <f t="shared" ref="G48:T48" si="10">(G15-C15)/C15</f>
        <v>0.35477475492895705</v>
      </c>
      <c r="H48" s="42">
        <f t="shared" si="10"/>
        <v>0.46838135757106958</v>
      </c>
      <c r="I48" s="42">
        <f t="shared" si="10"/>
        <v>0.49015398973401775</v>
      </c>
      <c r="J48" s="42">
        <f t="shared" si="10"/>
        <v>0.43737064326517117</v>
      </c>
      <c r="K48" s="42">
        <f t="shared" si="10"/>
        <v>0.35016260162601603</v>
      </c>
      <c r="L48" s="42">
        <f t="shared" si="10"/>
        <v>0.34544975635453734</v>
      </c>
      <c r="M48" s="42">
        <f t="shared" si="10"/>
        <v>0.31684098453059428</v>
      </c>
      <c r="N48" s="42">
        <f t="shared" si="10"/>
        <v>0.34097454210344419</v>
      </c>
      <c r="O48" s="42">
        <f t="shared" si="10"/>
        <v>0.11597519118444037</v>
      </c>
      <c r="P48" s="42">
        <f t="shared" si="10"/>
        <v>0.13429913860610809</v>
      </c>
      <c r="Q48" s="42">
        <f t="shared" si="10"/>
        <v>0.10624940549795496</v>
      </c>
      <c r="R48" s="42">
        <f t="shared" si="10"/>
        <v>6.0261145949660762E-2</v>
      </c>
      <c r="S48" s="42">
        <f t="shared" si="10"/>
        <v>0.22397884854044131</v>
      </c>
      <c r="T48" s="42">
        <f t="shared" si="10"/>
        <v>7.2661373835001555E-2</v>
      </c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</row>
    <row r="49" spans="2:37" ht="15.75" customHeight="1" x14ac:dyDescent="0.25">
      <c r="B49" s="40" t="s">
        <v>83</v>
      </c>
      <c r="C49" s="41"/>
      <c r="D49" s="41"/>
      <c r="E49" s="41"/>
      <c r="F49" s="41"/>
      <c r="G49" s="42">
        <f t="shared" ref="G49:T49" si="11">(G23-C23)/C23</f>
        <v>1.6404464165658102E-2</v>
      </c>
      <c r="H49" s="42">
        <f t="shared" si="11"/>
        <v>0.16456335184250359</v>
      </c>
      <c r="I49" s="42">
        <f t="shared" si="11"/>
        <v>0.13073713490959674</v>
      </c>
      <c r="J49" s="42">
        <f t="shared" si="11"/>
        <v>0.12532837127845886</v>
      </c>
      <c r="K49" s="42">
        <f t="shared" si="11"/>
        <v>0.10332054504564099</v>
      </c>
      <c r="L49" s="42">
        <f t="shared" si="11"/>
        <v>0.17284351972258369</v>
      </c>
      <c r="M49" s="42">
        <f t="shared" si="11"/>
        <v>0.21545715457154563</v>
      </c>
      <c r="N49" s="42">
        <f t="shared" si="11"/>
        <v>0.25561715786402123</v>
      </c>
      <c r="O49" s="42">
        <f t="shared" si="11"/>
        <v>0.30467625899280565</v>
      </c>
      <c r="P49" s="42">
        <f t="shared" si="11"/>
        <v>0.16012196248729529</v>
      </c>
      <c r="Q49" s="42">
        <f t="shared" si="11"/>
        <v>0.14892899308483737</v>
      </c>
      <c r="R49" s="42">
        <f t="shared" si="11"/>
        <v>0.18948020760709575</v>
      </c>
      <c r="S49" s="42">
        <f t="shared" si="11"/>
        <v>0.10532120209539578</v>
      </c>
      <c r="T49" s="42">
        <f t="shared" si="11"/>
        <v>0.12854412233195292</v>
      </c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</row>
    <row r="50" spans="2:37" ht="15.75" customHeight="1" x14ac:dyDescent="0.25">
      <c r="B50" s="40" t="s">
        <v>84</v>
      </c>
      <c r="C50" s="41"/>
      <c r="D50" s="41"/>
      <c r="E50" s="41"/>
      <c r="F50" s="41"/>
      <c r="G50" s="42">
        <f t="shared" ref="G50:T50" si="12">(G28-C28)/C28</f>
        <v>3.3489618218352307E-2</v>
      </c>
      <c r="H50" s="42">
        <f t="shared" si="12"/>
        <v>7.4920634920634999E-2</v>
      </c>
      <c r="I50" s="42">
        <f t="shared" si="12"/>
        <v>0</v>
      </c>
      <c r="J50" s="42">
        <f t="shared" si="12"/>
        <v>5.9794988610478363E-2</v>
      </c>
      <c r="K50" s="42">
        <f t="shared" si="12"/>
        <v>0.46273493195074511</v>
      </c>
      <c r="L50" s="42">
        <f t="shared" si="12"/>
        <v>0.13408151210868274</v>
      </c>
      <c r="M50" s="42">
        <f t="shared" si="12"/>
        <v>0.21246290801186951</v>
      </c>
      <c r="N50" s="42">
        <f t="shared" si="12"/>
        <v>0.38473938742611496</v>
      </c>
      <c r="O50" s="42">
        <f t="shared" si="12"/>
        <v>-0.35268054940186089</v>
      </c>
      <c r="P50" s="42">
        <f t="shared" si="12"/>
        <v>0.30052083333333329</v>
      </c>
      <c r="Q50" s="42">
        <f t="shared" si="12"/>
        <v>0.20460107684777279</v>
      </c>
      <c r="R50" s="42">
        <f t="shared" si="12"/>
        <v>0.43647652308886331</v>
      </c>
      <c r="S50" s="42">
        <f t="shared" si="12"/>
        <v>0.78685831622176605</v>
      </c>
      <c r="T50" s="42">
        <f t="shared" si="12"/>
        <v>0.43372046455746904</v>
      </c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</row>
    <row r="51" spans="2:37" ht="15.75" customHeight="1" x14ac:dyDescent="0.25">
      <c r="B51" s="40" t="s">
        <v>85</v>
      </c>
      <c r="C51" s="41"/>
      <c r="D51" s="41"/>
      <c r="E51" s="41"/>
      <c r="F51" s="41"/>
      <c r="G51" s="42">
        <f t="shared" ref="G51:T51" si="13">(G31-C31)/C31</f>
        <v>-0.71994214427770742</v>
      </c>
      <c r="H51" s="42">
        <f t="shared" si="13"/>
        <v>0.16614064902484352</v>
      </c>
      <c r="I51" s="42">
        <f t="shared" si="13"/>
        <v>0.62448132780082988</v>
      </c>
      <c r="J51" s="42">
        <f t="shared" si="13"/>
        <v>-0.31743503772003467</v>
      </c>
      <c r="K51" s="42">
        <f t="shared" si="13"/>
        <v>-0.12408005164622267</v>
      </c>
      <c r="L51" s="42">
        <f t="shared" si="13"/>
        <v>-0.91221374045801784</v>
      </c>
      <c r="M51" s="42">
        <f t="shared" si="13"/>
        <v>-0.68764823937237685</v>
      </c>
      <c r="N51" s="42">
        <f t="shared" si="13"/>
        <v>-0.14859388431781689</v>
      </c>
      <c r="O51" s="42">
        <f t="shared" si="13"/>
        <v>-0.27107900943396285</v>
      </c>
      <c r="P51" s="42">
        <f t="shared" si="13"/>
        <v>3.3399209486167112</v>
      </c>
      <c r="Q51" s="42">
        <f t="shared" si="13"/>
        <v>-0.10265771028037526</v>
      </c>
      <c r="R51" s="42">
        <f t="shared" si="13"/>
        <v>-0.43528054233376628</v>
      </c>
      <c r="S51" s="42">
        <f t="shared" si="13"/>
        <v>-0.44198179979778551</v>
      </c>
      <c r="T51" s="42">
        <f t="shared" si="13"/>
        <v>6.9216757741351442E-2</v>
      </c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</row>
    <row r="52" spans="2:37" ht="15.75" customHeight="1" x14ac:dyDescent="0.25">
      <c r="B52" s="40" t="s">
        <v>86</v>
      </c>
      <c r="C52" s="42">
        <f t="shared" ref="C52:T52" si="14">C34/C32</f>
        <v>0.73468629961587706</v>
      </c>
      <c r="D52" s="42">
        <f t="shared" si="14"/>
        <v>0.77951602959309496</v>
      </c>
      <c r="E52" s="42">
        <f t="shared" si="14"/>
        <v>0.77251642272674881</v>
      </c>
      <c r="F52" s="42">
        <f t="shared" si="14"/>
        <v>0.78798378482018139</v>
      </c>
      <c r="G52" s="42">
        <f t="shared" si="14"/>
        <v>0.76627873563218396</v>
      </c>
      <c r="H52" s="42">
        <f t="shared" si="14"/>
        <v>0.78255795767615888</v>
      </c>
      <c r="I52" s="42">
        <f t="shared" si="14"/>
        <v>0.80417114101025411</v>
      </c>
      <c r="J52" s="42">
        <f t="shared" si="14"/>
        <v>0.80883956636089549</v>
      </c>
      <c r="K52" s="42">
        <f t="shared" si="14"/>
        <v>0.80913549270072993</v>
      </c>
      <c r="L52" s="42">
        <f t="shared" si="14"/>
        <v>0.80799447924408108</v>
      </c>
      <c r="M52" s="42">
        <f t="shared" si="14"/>
        <v>0.81022982577300651</v>
      </c>
      <c r="N52" s="42">
        <f t="shared" si="14"/>
        <v>0.82237231023882718</v>
      </c>
      <c r="O52" s="42">
        <f t="shared" si="14"/>
        <v>0.82520229397438916</v>
      </c>
      <c r="P52" s="42">
        <f t="shared" si="14"/>
        <v>0.8426631185843666</v>
      </c>
      <c r="Q52" s="42">
        <f t="shared" si="14"/>
        <v>0.82908163265306123</v>
      </c>
      <c r="R52" s="42">
        <f t="shared" si="14"/>
        <v>0.82522807381297947</v>
      </c>
      <c r="S52" s="42">
        <f t="shared" si="14"/>
        <v>0.81933430981362698</v>
      </c>
      <c r="T52" s="42">
        <f t="shared" si="14"/>
        <v>0.85775224166449027</v>
      </c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 spans="2:37" ht="15.75" customHeight="1" x14ac:dyDescent="0.25">
      <c r="B53" s="40" t="s">
        <v>87</v>
      </c>
      <c r="C53" s="42">
        <f t="shared" ref="C53:T53" si="15">C35/C32</f>
        <v>0.20615877080665812</v>
      </c>
      <c r="D53" s="42">
        <f t="shared" si="15"/>
        <v>0.27464549938347721</v>
      </c>
      <c r="E53" s="42">
        <f t="shared" si="15"/>
        <v>0.25972398294341364</v>
      </c>
      <c r="F53" s="42">
        <f t="shared" si="15"/>
        <v>0.27334355912240815</v>
      </c>
      <c r="G53" s="42">
        <f t="shared" si="15"/>
        <v>0.28521551724137928</v>
      </c>
      <c r="H53" s="42">
        <f t="shared" si="15"/>
        <v>0.28350236402353196</v>
      </c>
      <c r="I53" s="42">
        <f t="shared" si="15"/>
        <v>0.25362685027267173</v>
      </c>
      <c r="J53" s="42">
        <f t="shared" si="15"/>
        <v>0.27398593024996259</v>
      </c>
      <c r="K53" s="42">
        <f t="shared" si="15"/>
        <v>0.28772810218978107</v>
      </c>
      <c r="L53" s="42">
        <f t="shared" si="15"/>
        <v>0.2398697667834519</v>
      </c>
      <c r="M53" s="42">
        <f t="shared" si="15"/>
        <v>0.23901355875899327</v>
      </c>
      <c r="N53" s="42">
        <f t="shared" si="15"/>
        <v>0.22334624024592103</v>
      </c>
      <c r="O53" s="42">
        <f t="shared" si="15"/>
        <v>0.21478513630293031</v>
      </c>
      <c r="P53" s="42">
        <f t="shared" si="15"/>
        <v>0.21443401016859817</v>
      </c>
      <c r="Q53" s="42">
        <f t="shared" si="15"/>
        <v>0.19690582246261534</v>
      </c>
      <c r="R53" s="42">
        <f t="shared" si="15"/>
        <v>0.19705059091851546</v>
      </c>
      <c r="S53" s="42">
        <f t="shared" si="15"/>
        <v>0.17728168089297439</v>
      </c>
      <c r="T53" s="42">
        <f t="shared" si="15"/>
        <v>0.16623139200835726</v>
      </c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</row>
    <row r="54" spans="2:37" ht="15.75" customHeight="1" x14ac:dyDescent="0.25">
      <c r="B54" s="40" t="s">
        <v>88</v>
      </c>
      <c r="C54" s="42">
        <f t="shared" ref="C54:T54" si="16">C36/C32</f>
        <v>0.1994750320102433</v>
      </c>
      <c r="D54" s="42">
        <f t="shared" si="16"/>
        <v>0.25047780517879159</v>
      </c>
      <c r="E54" s="42">
        <f t="shared" si="16"/>
        <v>0.23254004840382619</v>
      </c>
      <c r="F54" s="42">
        <f t="shared" si="16"/>
        <v>0.22504040099701444</v>
      </c>
      <c r="G54" s="42">
        <f t="shared" si="16"/>
        <v>0.2513218390804598</v>
      </c>
      <c r="H54" s="42">
        <f t="shared" si="16"/>
        <v>0.2316382141697044</v>
      </c>
      <c r="I54" s="42">
        <f t="shared" si="16"/>
        <v>0.18991219758701283</v>
      </c>
      <c r="J54" s="42">
        <f t="shared" si="16"/>
        <v>0.20576474864755062</v>
      </c>
      <c r="K54" s="42">
        <f t="shared" si="16"/>
        <v>0.22265054744525548</v>
      </c>
      <c r="L54" s="42">
        <f t="shared" si="16"/>
        <v>0.18732526453622114</v>
      </c>
      <c r="M54" s="42">
        <f t="shared" si="16"/>
        <v>0.1835633922249128</v>
      </c>
      <c r="N54" s="42">
        <f t="shared" si="16"/>
        <v>0.17915730669188934</v>
      </c>
      <c r="O54" s="42">
        <f t="shared" si="16"/>
        <v>0.19388797234661009</v>
      </c>
      <c r="P54" s="42">
        <f t="shared" si="16"/>
        <v>0.17695417703130925</v>
      </c>
      <c r="Q54" s="42">
        <f t="shared" si="16"/>
        <v>0.15571451297668287</v>
      </c>
      <c r="R54" s="42">
        <f t="shared" si="16"/>
        <v>0.16231598590089158</v>
      </c>
      <c r="S54" s="42">
        <f t="shared" si="16"/>
        <v>0.14818930249002474</v>
      </c>
      <c r="T54" s="42">
        <f t="shared" si="16"/>
        <v>0.14929920780012187</v>
      </c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</row>
    <row r="55" spans="2:37" ht="15.75" customHeight="1" x14ac:dyDescent="0.25">
      <c r="B55" s="40" t="s">
        <v>89</v>
      </c>
      <c r="C55" s="42">
        <f t="shared" ref="C55:T55" si="17">C37/C32</f>
        <v>2.1203585147247118E-2</v>
      </c>
      <c r="D55" s="42">
        <f t="shared" si="17"/>
        <v>6.7879161528976564E-2</v>
      </c>
      <c r="E55" s="42">
        <f t="shared" si="17"/>
        <v>8.9892820099112588E-3</v>
      </c>
      <c r="F55" s="42">
        <f t="shared" si="17"/>
        <v>3.288230299378235E-2</v>
      </c>
      <c r="G55" s="42">
        <f t="shared" si="17"/>
        <v>1.5086206896551725E-2</v>
      </c>
      <c r="H55" s="42">
        <f t="shared" si="17"/>
        <v>1.1681765137570528E-2</v>
      </c>
      <c r="I55" s="42">
        <f t="shared" si="17"/>
        <v>0.31321457899058808</v>
      </c>
      <c r="J55" s="42">
        <f t="shared" si="17"/>
        <v>6.6564030192229562E-2</v>
      </c>
      <c r="K55" s="42">
        <f t="shared" si="17"/>
        <v>1.2602645985401459E-2</v>
      </c>
      <c r="L55" s="42">
        <f t="shared" si="17"/>
        <v>1.3651484587889728E-2</v>
      </c>
      <c r="M55" s="42">
        <f t="shared" si="17"/>
        <v>0.24708237536169803</v>
      </c>
      <c r="N55" s="42">
        <f t="shared" si="17"/>
        <v>1.3980846535824073E-2</v>
      </c>
      <c r="O55" s="42">
        <f t="shared" si="17"/>
        <v>0.12349752533584728</v>
      </c>
      <c r="P55" s="42">
        <f t="shared" si="17"/>
        <v>9.834358549142868E-3</v>
      </c>
      <c r="Q55" s="42">
        <f t="shared" si="17"/>
        <v>3.7253988455070226E-2</v>
      </c>
      <c r="R55" s="42">
        <f t="shared" si="17"/>
        <v>2.7410325523533067E-2</v>
      </c>
      <c r="S55" s="42">
        <f t="shared" si="17"/>
        <v>2.9496439214101722E-2</v>
      </c>
      <c r="T55" s="42">
        <f t="shared" si="17"/>
        <v>0.12083224514668756</v>
      </c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</row>
    <row r="56" spans="2:37" ht="15.75" customHeight="1" x14ac:dyDescent="0.25">
      <c r="B56" s="40" t="s">
        <v>90</v>
      </c>
      <c r="C56" s="42">
        <f t="shared" ref="C56:T56" si="18">C41/C40</f>
        <v>7.3383326840670046E-2</v>
      </c>
      <c r="D56" s="42">
        <f t="shared" si="18"/>
        <v>0.12686772389769915</v>
      </c>
      <c r="E56" s="42">
        <f t="shared" si="18"/>
        <v>7.2692430533375915E-2</v>
      </c>
      <c r="F56" s="42">
        <f t="shared" si="18"/>
        <v>7.5701202060675432E-2</v>
      </c>
      <c r="G56" s="42">
        <f t="shared" si="18"/>
        <v>0.12080800156893511</v>
      </c>
      <c r="H56" s="42">
        <f t="shared" si="18"/>
        <v>0.15591938340753503</v>
      </c>
      <c r="I56" s="42">
        <f t="shared" si="18"/>
        <v>1.1343632958801504</v>
      </c>
      <c r="J56" s="42">
        <f t="shared" si="18"/>
        <v>0.14077113110993472</v>
      </c>
      <c r="K56" s="42">
        <f t="shared" si="18"/>
        <v>0.11561058317889671</v>
      </c>
      <c r="L56" s="42">
        <f t="shared" si="18"/>
        <v>0.15643125213237813</v>
      </c>
      <c r="M56" s="42">
        <f t="shared" si="18"/>
        <v>0.38913371946612957</v>
      </c>
      <c r="N56" s="42">
        <f t="shared" si="18"/>
        <v>0.12481641725876234</v>
      </c>
      <c r="O56" s="42">
        <f t="shared" si="18"/>
        <v>0.20167824074074073</v>
      </c>
      <c r="P56" s="42">
        <f t="shared" si="18"/>
        <v>0.16465501977217731</v>
      </c>
      <c r="Q56" s="42">
        <f t="shared" si="18"/>
        <v>0.22812620983352691</v>
      </c>
      <c r="R56" s="42">
        <f t="shared" si="18"/>
        <v>0.19700708910986914</v>
      </c>
      <c r="S56" s="42">
        <f t="shared" si="18"/>
        <v>0.16429378531073446</v>
      </c>
      <c r="T56" s="42">
        <f t="shared" si="18"/>
        <v>0.2327241267438088</v>
      </c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</row>
    <row r="59" spans="2:37" ht="15.75" customHeight="1" x14ac:dyDescent="0.25">
      <c r="D59" s="11"/>
    </row>
    <row r="60" spans="2:37" ht="15.75" customHeight="1" x14ac:dyDescent="0.25">
      <c r="B60" s="34"/>
      <c r="C60" s="34"/>
      <c r="D60" s="11"/>
      <c r="G60" s="43"/>
    </row>
    <row r="61" spans="2:37" ht="15.75" customHeight="1" x14ac:dyDescent="0.25">
      <c r="B61" s="34"/>
      <c r="C61" s="34"/>
      <c r="D61" s="11"/>
    </row>
    <row r="62" spans="2:37" ht="16.5" customHeight="1" x14ac:dyDescent="0.25"/>
    <row r="63" spans="2:37" ht="15.75" customHeight="1" x14ac:dyDescent="0.25"/>
    <row r="64" spans="2:3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6.5" customHeight="1" x14ac:dyDescent="0.25"/>
    <row r="75" ht="15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.75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spans="18:87" ht="15.75" hidden="1" customHeight="1" x14ac:dyDescent="0.25"/>
    <row r="98" spans="18:87" ht="15.75" customHeight="1" x14ac:dyDescent="0.25"/>
    <row r="99" spans="18:87" ht="15.75" hidden="1" customHeight="1" x14ac:dyDescent="0.25"/>
    <row r="100" spans="18:87" ht="15.75" hidden="1" customHeight="1" x14ac:dyDescent="0.25"/>
    <row r="101" spans="18:87" ht="15.75" customHeight="1" x14ac:dyDescent="0.25"/>
    <row r="102" spans="18:87" ht="15.75" customHeight="1" x14ac:dyDescent="0.25"/>
    <row r="103" spans="18:87" ht="15.75" customHeight="1" x14ac:dyDescent="0.25"/>
    <row r="104" spans="18:87" ht="15.75" customHeight="1" x14ac:dyDescent="0.25"/>
    <row r="105" spans="18:87" ht="15.75" customHeight="1" x14ac:dyDescent="0.25"/>
    <row r="106" spans="18:87" ht="15.75" customHeight="1" x14ac:dyDescent="0.25"/>
    <row r="107" spans="18:87" ht="15.75" customHeight="1" x14ac:dyDescent="0.25"/>
    <row r="108" spans="18:87" ht="15.75" customHeight="1" x14ac:dyDescent="0.25"/>
    <row r="109" spans="18:87" ht="15.75" customHeight="1" x14ac:dyDescent="0.25"/>
    <row r="110" spans="18:87" ht="15.75" customHeight="1" x14ac:dyDescent="0.25"/>
    <row r="111" spans="18:87" ht="15.75" customHeight="1" x14ac:dyDescent="0.25"/>
    <row r="112" spans="18:87" ht="15.75" customHeight="1" x14ac:dyDescent="0.25">
      <c r="R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</row>
    <row r="113" spans="18:90" ht="15.75" customHeight="1" x14ac:dyDescent="0.25">
      <c r="R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</row>
    <row r="114" spans="18:90" ht="15.75" customHeight="1" x14ac:dyDescent="0.25"/>
    <row r="115" spans="18:90" ht="15.75" customHeight="1" x14ac:dyDescent="0.25"/>
    <row r="116" spans="18:90" ht="16.5" customHeight="1" x14ac:dyDescent="0.25"/>
    <row r="117" spans="18:90" ht="15.75" customHeight="1" x14ac:dyDescent="0.25"/>
    <row r="118" spans="18:90" ht="15.75" customHeight="1" x14ac:dyDescent="0.25"/>
    <row r="119" spans="18:90" ht="15.75" customHeight="1" x14ac:dyDescent="0.25"/>
    <row r="120" spans="18:90" ht="15.75" customHeight="1" x14ac:dyDescent="0.25"/>
    <row r="121" spans="18:90" ht="15.75" customHeight="1" x14ac:dyDescent="0.25"/>
    <row r="122" spans="18:90" ht="15.75" customHeight="1" x14ac:dyDescent="0.25"/>
    <row r="123" spans="18:90" ht="15.75" customHeight="1" x14ac:dyDescent="0.25"/>
    <row r="124" spans="18:90" ht="15.75" customHeight="1" x14ac:dyDescent="0.25"/>
    <row r="125" spans="18:90" ht="15.75" customHeight="1" x14ac:dyDescent="0.25"/>
    <row r="126" spans="18:90" ht="15.75" customHeight="1" x14ac:dyDescent="0.25"/>
    <row r="127" spans="18:90" ht="15.75" customHeight="1" x14ac:dyDescent="0.25"/>
    <row r="128" spans="18:9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6.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218" spans="2:8" ht="15.75" customHeight="1" x14ac:dyDescent="0.25">
      <c r="B218" s="44"/>
      <c r="C218" s="44"/>
      <c r="D218" s="45"/>
      <c r="E218" s="45"/>
      <c r="F218" s="45"/>
      <c r="G218" s="45"/>
      <c r="H218" s="45"/>
    </row>
    <row r="247" spans="2:3" ht="15.75" customHeight="1" x14ac:dyDescent="0.25">
      <c r="B247" s="46"/>
      <c r="C247" s="46"/>
    </row>
    <row r="248" spans="2:3" ht="15.75" customHeight="1" x14ac:dyDescent="0.25">
      <c r="B248" s="46"/>
      <c r="C248" s="46"/>
    </row>
    <row r="249" spans="2:3" ht="15.75" customHeight="1" x14ac:dyDescent="0.25">
      <c r="B249" s="46"/>
      <c r="C249" s="46"/>
    </row>
    <row r="250" spans="2:3" ht="15.75" customHeight="1" x14ac:dyDescent="0.25">
      <c r="B250" s="46"/>
      <c r="C250" s="46"/>
    </row>
    <row r="251" spans="2:3" ht="15.75" customHeight="1" x14ac:dyDescent="0.25">
      <c r="B251" s="46"/>
      <c r="C251" s="46"/>
    </row>
    <row r="252" spans="2:3" ht="15.75" customHeight="1" x14ac:dyDescent="0.25">
      <c r="B252" s="46"/>
      <c r="C252" s="46"/>
    </row>
    <row r="253" spans="2:3" ht="15.75" customHeight="1" x14ac:dyDescent="0.25">
      <c r="B253" s="46"/>
      <c r="C253" s="46"/>
    </row>
    <row r="254" spans="2:3" ht="15.75" customHeight="1" x14ac:dyDescent="0.25">
      <c r="B254" s="46"/>
      <c r="C254" s="46"/>
    </row>
    <row r="255" spans="2:3" ht="15.75" customHeight="1" x14ac:dyDescent="0.25">
      <c r="B255" s="46"/>
      <c r="C255" s="4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4"/>
  <sheetViews>
    <sheetView zoomScaleNormal="100" workbookViewId="0">
      <selection activeCell="P7" sqref="P7"/>
    </sheetView>
  </sheetViews>
  <sheetFormatPr defaultColWidth="8.5" defaultRowHeight="15.75" x14ac:dyDescent="0.25"/>
  <cols>
    <col min="1" max="1" width="1.625" style="3" customWidth="1"/>
    <col min="2" max="2" width="31.125" style="3" customWidth="1"/>
    <col min="3" max="17" width="12.125" style="3" customWidth="1"/>
  </cols>
  <sheetData>
    <row r="1" spans="2:11" ht="9" customHeight="1" x14ac:dyDescent="0.25"/>
    <row r="2" spans="2:11" ht="16.5" customHeight="1" x14ac:dyDescent="0.25">
      <c r="B2" s="25" t="s">
        <v>91</v>
      </c>
      <c r="C2" s="26" t="str">
        <f t="shared" ref="C2:K2" si="0">C14</f>
        <v>FY'22</v>
      </c>
      <c r="D2" s="26" t="str">
        <f t="shared" si="0"/>
        <v>FY'23</v>
      </c>
      <c r="E2" s="26" t="str">
        <f t="shared" si="0"/>
        <v>FY'24</v>
      </c>
      <c r="F2" s="47" t="str">
        <f t="shared" si="0"/>
        <v>FY'25</v>
      </c>
      <c r="G2" s="26" t="str">
        <f t="shared" si="0"/>
        <v>FY'26</v>
      </c>
      <c r="H2" s="26" t="str">
        <f t="shared" si="0"/>
        <v>FY'27</v>
      </c>
      <c r="I2" s="26" t="str">
        <f t="shared" si="0"/>
        <v>FY'28</v>
      </c>
      <c r="J2" s="26" t="str">
        <f t="shared" si="0"/>
        <v>FY'29</v>
      </c>
      <c r="K2" s="26" t="str">
        <f t="shared" si="0"/>
        <v>FY'30</v>
      </c>
    </row>
    <row r="3" spans="2:11" x14ac:dyDescent="0.25">
      <c r="B3" s="40" t="s">
        <v>92</v>
      </c>
      <c r="C3" s="48"/>
      <c r="D3" s="43">
        <f>(D15-C15)/C15</f>
        <v>0.33643675747681495</v>
      </c>
      <c r="E3" s="43">
        <f>(E15-D15)/D15</f>
        <v>0.59548315799737761</v>
      </c>
      <c r="F3" s="49">
        <f>(F15-E15)/E15</f>
        <v>0.62672864258479022</v>
      </c>
      <c r="G3" s="50">
        <v>0.5</v>
      </c>
      <c r="H3" s="50">
        <v>0.3</v>
      </c>
      <c r="I3" s="50">
        <v>0.2</v>
      </c>
      <c r="J3" s="50">
        <v>0.1</v>
      </c>
      <c r="K3" s="50">
        <v>0.05</v>
      </c>
    </row>
    <row r="4" spans="2:11" x14ac:dyDescent="0.25">
      <c r="B4" s="40" t="s">
        <v>93</v>
      </c>
      <c r="C4" s="48"/>
      <c r="D4" s="43">
        <f>(D25-C25)/C25</f>
        <v>0.44060168186663506</v>
      </c>
      <c r="E4" s="43">
        <f>(E25-D25)/D25</f>
        <v>0.3376140754748006</v>
      </c>
      <c r="F4" s="49">
        <f>(F25-E25)/E25</f>
        <v>0.10211808671493745</v>
      </c>
      <c r="G4" s="50">
        <v>-0.05</v>
      </c>
      <c r="H4" s="50">
        <v>-0.05</v>
      </c>
      <c r="I4" s="50">
        <v>-0.05</v>
      </c>
      <c r="J4" s="50">
        <v>-0.05</v>
      </c>
      <c r="K4" s="50">
        <v>-0.05</v>
      </c>
    </row>
    <row r="5" spans="2:11" x14ac:dyDescent="0.25">
      <c r="B5" s="40" t="s">
        <v>94</v>
      </c>
      <c r="C5" s="48"/>
      <c r="D5" s="43">
        <f>(D33-C33)/C33</f>
        <v>0.11166792452830178</v>
      </c>
      <c r="E5" s="43">
        <f>(E33-D33)/D33</f>
        <v>0.19297197479904421</v>
      </c>
      <c r="F5" s="49">
        <f>(F33-E33)/E33</f>
        <v>0.19317095379012073</v>
      </c>
      <c r="G5" s="50">
        <v>0.15</v>
      </c>
      <c r="H5" s="50">
        <v>0.1333</v>
      </c>
      <c r="I5" s="50">
        <v>0.1167</v>
      </c>
      <c r="J5" s="50">
        <v>0.1</v>
      </c>
      <c r="K5" s="50">
        <v>8.3299999999999999E-2</v>
      </c>
    </row>
    <row r="6" spans="2:11" x14ac:dyDescent="0.25">
      <c r="B6" s="40" t="s">
        <v>95</v>
      </c>
      <c r="C6" s="48"/>
      <c r="D6" s="43">
        <f>(D38-C38)/C38</f>
        <v>4.194192656322026E-2</v>
      </c>
      <c r="E6" s="43">
        <f>(E38-D38)/D38</f>
        <v>0.29710999705101737</v>
      </c>
      <c r="F6" s="49">
        <f>(F38-E38)/E38</f>
        <v>0.15048311924519722</v>
      </c>
      <c r="G6" s="50">
        <v>0.5</v>
      </c>
      <c r="H6" s="50">
        <v>0.25</v>
      </c>
      <c r="I6" s="50">
        <v>0.2</v>
      </c>
      <c r="J6" s="50">
        <v>0.19</v>
      </c>
      <c r="K6" s="50">
        <v>0.15329999999999999</v>
      </c>
    </row>
    <row r="7" spans="2:11" x14ac:dyDescent="0.25">
      <c r="B7" s="40" t="s">
        <v>96</v>
      </c>
      <c r="C7" s="48"/>
      <c r="D7" s="43">
        <f>(D41-C41)/C41</f>
        <v>-0.20196216265778322</v>
      </c>
      <c r="E7" s="43">
        <f>(E41-D41)/D41</f>
        <v>-0.58197694458274307</v>
      </c>
      <c r="F7" s="49">
        <f>(F41-E41)/E41</f>
        <v>-6.1145213009620031E-2</v>
      </c>
      <c r="G7" s="50">
        <v>-0.02</v>
      </c>
      <c r="H7" s="50">
        <v>-0.02</v>
      </c>
      <c r="I7" s="50">
        <v>-0.02</v>
      </c>
      <c r="J7" s="50">
        <v>-0.02</v>
      </c>
      <c r="K7" s="50">
        <v>-0.02</v>
      </c>
    </row>
    <row r="8" spans="2:11" x14ac:dyDescent="0.25">
      <c r="B8" s="40" t="s">
        <v>97</v>
      </c>
      <c r="C8" s="43">
        <f>C44/C42</f>
        <v>0.76771286622239954</v>
      </c>
      <c r="D8" s="43">
        <f>D44/D42</f>
        <v>0.7924575300154435</v>
      </c>
      <c r="E8" s="43">
        <f>E44/E42</f>
        <v>0.81310401019477074</v>
      </c>
      <c r="F8" s="49">
        <f>F44/F42</f>
        <v>0.83042521038056427</v>
      </c>
      <c r="G8" s="50">
        <v>0.85</v>
      </c>
      <c r="H8" s="50">
        <v>0.87</v>
      </c>
      <c r="I8" s="50">
        <v>0.87</v>
      </c>
      <c r="J8" s="50">
        <v>0.9</v>
      </c>
      <c r="K8" s="50">
        <v>0.9</v>
      </c>
    </row>
    <row r="9" spans="2:11" x14ac:dyDescent="0.25">
      <c r="B9" s="40" t="s">
        <v>98</v>
      </c>
      <c r="C9" s="43">
        <f>C45/C42</f>
        <v>0.25194279187425977</v>
      </c>
      <c r="D9" s="43">
        <f>D45/D42</f>
        <v>0.27292734460396023</v>
      </c>
      <c r="E9" s="43">
        <f>E45/E42</f>
        <v>0.2440040228494296</v>
      </c>
      <c r="F9" s="49">
        <f>F45/F42</f>
        <v>0.20462415329973377</v>
      </c>
      <c r="G9" s="50">
        <f>AVERAGE('10QIS'!$C$53:$T$53)</f>
        <v>0.2370471541542023</v>
      </c>
      <c r="H9" s="50">
        <f>AVERAGE('10QIS'!$C$53:$T$53)</f>
        <v>0.2370471541542023</v>
      </c>
      <c r="I9" s="50">
        <f>AVERAGE('10QIS'!$C$53:$T$53)</f>
        <v>0.2370471541542023</v>
      </c>
      <c r="J9" s="50">
        <f>AVERAGE('10QIS'!$C$53:$T$53)</f>
        <v>0.2370471541542023</v>
      </c>
      <c r="K9" s="50">
        <f>AVERAGE('10QIS'!$C$53:$T$53)</f>
        <v>0.2370471541542023</v>
      </c>
    </row>
    <row r="10" spans="2:11" x14ac:dyDescent="0.25">
      <c r="B10" s="40" t="s">
        <v>99</v>
      </c>
      <c r="C10" s="43">
        <f>C46/C42</f>
        <v>0.22565115936849622</v>
      </c>
      <c r="D10" s="43">
        <f>D46/D42</f>
        <v>0.21694638100345501</v>
      </c>
      <c r="E10" s="43">
        <f>E46/E42</f>
        <v>0.19079229264675521</v>
      </c>
      <c r="F10" s="49">
        <f>F46/F42</f>
        <v>0.170193082180747</v>
      </c>
      <c r="G10" s="50">
        <f>AVERAGE('10QIS'!$C$54:$T$54)</f>
        <v>0.19695710863991797</v>
      </c>
      <c r="H10" s="50">
        <f>AVERAGE('10QIS'!$C$54:$T$54)</f>
        <v>0.19695710863991797</v>
      </c>
      <c r="I10" s="50">
        <f>AVERAGE('10QIS'!$C$54:$T$54)</f>
        <v>0.19695710863991797</v>
      </c>
      <c r="J10" s="50">
        <f>AVERAGE('10QIS'!$C$54:$T$54)</f>
        <v>0.19695710863991797</v>
      </c>
      <c r="K10" s="50">
        <f>AVERAGE('10QIS'!$C$54:$T$54)</f>
        <v>0.19695710863991797</v>
      </c>
    </row>
    <row r="11" spans="2:11" x14ac:dyDescent="0.25">
      <c r="B11" s="40" t="s">
        <v>100</v>
      </c>
      <c r="C11" s="43">
        <f>C47/C42</f>
        <v>3.183095433300398E-2</v>
      </c>
      <c r="D11" s="43">
        <f>D47/D42</f>
        <v>0.1113523873157094</v>
      </c>
      <c r="E11" s="43">
        <f>E47/E42</f>
        <v>7.2828671460636263E-2</v>
      </c>
      <c r="F11" s="49">
        <f>F47/F42</f>
        <v>4.4638268167138437E-2</v>
      </c>
      <c r="G11" s="50">
        <v>0.04</v>
      </c>
      <c r="H11" s="50">
        <f t="shared" ref="H11:K12" si="1">G11</f>
        <v>0.04</v>
      </c>
      <c r="I11" s="50">
        <f t="shared" si="1"/>
        <v>0.04</v>
      </c>
      <c r="J11" s="50">
        <f t="shared" si="1"/>
        <v>0.04</v>
      </c>
      <c r="K11" s="50">
        <f t="shared" si="1"/>
        <v>0.04</v>
      </c>
    </row>
    <row r="12" spans="2:11" x14ac:dyDescent="0.25">
      <c r="B12" s="40" t="s">
        <v>101</v>
      </c>
      <c r="C12" s="43">
        <f>C51/C50</f>
        <v>8.2510578279266583E-2</v>
      </c>
      <c r="D12" s="43">
        <f>D51/D50</f>
        <v>0.20818680100117226</v>
      </c>
      <c r="E12" s="43">
        <f>E51/E50</f>
        <v>0.16485414382940469</v>
      </c>
      <c r="F12" s="49">
        <f>F51/F50</f>
        <v>0.19786023519536136</v>
      </c>
      <c r="G12" s="50">
        <v>0.19</v>
      </c>
      <c r="H12" s="50">
        <f t="shared" si="1"/>
        <v>0.19</v>
      </c>
      <c r="I12" s="50">
        <f t="shared" si="1"/>
        <v>0.19</v>
      </c>
      <c r="J12" s="50">
        <f t="shared" si="1"/>
        <v>0.19</v>
      </c>
      <c r="K12" s="50">
        <f t="shared" si="1"/>
        <v>0.19</v>
      </c>
    </row>
    <row r="13" spans="2:11" x14ac:dyDescent="0.25">
      <c r="F13" s="51"/>
    </row>
    <row r="14" spans="2:11" ht="16.5" customHeight="1" x14ac:dyDescent="0.25">
      <c r="B14" s="52" t="s">
        <v>102</v>
      </c>
      <c r="C14" s="26" t="s">
        <v>103</v>
      </c>
      <c r="D14" s="26" t="s">
        <v>104</v>
      </c>
      <c r="E14" s="26" t="s">
        <v>105</v>
      </c>
      <c r="F14" s="47" t="s">
        <v>106</v>
      </c>
      <c r="G14" s="26" t="s">
        <v>107</v>
      </c>
      <c r="H14" s="26" t="s">
        <v>108</v>
      </c>
      <c r="I14" s="26" t="s">
        <v>109</v>
      </c>
      <c r="J14" s="26" t="s">
        <v>110</v>
      </c>
      <c r="K14" s="26" t="s">
        <v>111</v>
      </c>
    </row>
    <row r="15" spans="2:11" x14ac:dyDescent="0.25">
      <c r="B15" s="53" t="s">
        <v>62</v>
      </c>
      <c r="C15" s="54">
        <f>SUM('10QIS'!C5:F5)</f>
        <v>13812.7</v>
      </c>
      <c r="D15" s="54">
        <f>SUM('10QIS'!G5:J5)</f>
        <v>18459.800000000003</v>
      </c>
      <c r="E15" s="54">
        <f>SUM('10QIS'!K5:N5)</f>
        <v>29452.299999999996</v>
      </c>
      <c r="F15" s="55">
        <f>SUM('10QIS'!O5:R5)</f>
        <v>47910.900000000009</v>
      </c>
      <c r="G15" s="54">
        <f>F15*(1+G3)</f>
        <v>71866.350000000006</v>
      </c>
      <c r="H15" s="54">
        <f>G15*(1+H3)</f>
        <v>93426.255000000005</v>
      </c>
      <c r="I15" s="54">
        <f>H15*(1+I3)</f>
        <v>112111.50600000001</v>
      </c>
      <c r="J15" s="54">
        <f>I15*(1+J3)</f>
        <v>123322.65660000002</v>
      </c>
      <c r="K15" s="54">
        <f>J15*(1+K3)</f>
        <v>129488.78943000002</v>
      </c>
    </row>
    <row r="16" spans="2:11" hidden="1" x14ac:dyDescent="0.25">
      <c r="B16" s="3" t="s">
        <v>8</v>
      </c>
      <c r="C16" s="30">
        <f>SUM('10QIS'!C6:F6)</f>
        <v>466.5</v>
      </c>
      <c r="D16" s="30">
        <f>SUM('10QIS'!G6:J6)</f>
        <v>5163.1000000000004</v>
      </c>
      <c r="E16" s="30">
        <f>SUM('10QIS'!K6:N6)</f>
        <v>11540</v>
      </c>
      <c r="F16" s="56">
        <f>SUM('10QIS'!O6:R6)</f>
        <v>22965</v>
      </c>
      <c r="G16" s="30"/>
      <c r="H16" s="30"/>
      <c r="I16" s="30"/>
      <c r="J16" s="30"/>
      <c r="K16" s="30"/>
    </row>
    <row r="17" spans="2:11" hidden="1" x14ac:dyDescent="0.25">
      <c r="B17" s="3" t="s">
        <v>10</v>
      </c>
      <c r="C17" s="30">
        <f>SUM('10QIS'!C7:F7)</f>
        <v>0</v>
      </c>
      <c r="D17" s="30">
        <f>SUM('10QIS'!G7:J7)</f>
        <v>175.8</v>
      </c>
      <c r="E17" s="30">
        <f>SUM('10QIS'!K7:N7)</f>
        <v>4925.3999999999996</v>
      </c>
      <c r="F17" s="56">
        <f>SUM('10QIS'!O7:R7)</f>
        <v>13542.4</v>
      </c>
      <c r="G17" s="30"/>
      <c r="H17" s="30"/>
      <c r="I17" s="30"/>
      <c r="J17" s="30"/>
      <c r="K17" s="30"/>
    </row>
    <row r="18" spans="2:11" hidden="1" x14ac:dyDescent="0.25">
      <c r="B18" s="3" t="s">
        <v>12</v>
      </c>
      <c r="C18" s="30">
        <f>SUM('10QIS'!C8:F8)</f>
        <v>7439.8</v>
      </c>
      <c r="D18" s="30">
        <f>SUM('10QIS'!G8:J8)</f>
        <v>7132.5</v>
      </c>
      <c r="E18" s="30">
        <f>SUM('10QIS'!K8:N8)</f>
        <v>5253.5</v>
      </c>
      <c r="F18" s="56">
        <f>SUM('10QIS'!O8:R8)</f>
        <v>4276</v>
      </c>
      <c r="G18" s="30"/>
      <c r="H18" s="30"/>
      <c r="I18" s="30"/>
      <c r="J18" s="30"/>
      <c r="K18" s="30"/>
    </row>
    <row r="19" spans="2:11" hidden="1" x14ac:dyDescent="0.25">
      <c r="B19" s="31" t="s">
        <v>14</v>
      </c>
      <c r="C19" s="30">
        <f>SUM('10QIS'!C9:F9)</f>
        <v>0</v>
      </c>
      <c r="D19" s="30">
        <f>SUM('10QIS'!G9:J9)</f>
        <v>0</v>
      </c>
      <c r="E19" s="30">
        <f>SUM('10QIS'!K9:N9)</f>
        <v>0</v>
      </c>
      <c r="F19" s="56">
        <f>SUM('10QIS'!O9:R9)</f>
        <v>0</v>
      </c>
      <c r="G19" s="30"/>
      <c r="H19" s="30"/>
      <c r="I19" s="30"/>
      <c r="J19" s="30"/>
      <c r="K19" s="30"/>
    </row>
    <row r="20" spans="2:11" hidden="1" x14ac:dyDescent="0.25">
      <c r="B20" s="31" t="s">
        <v>17</v>
      </c>
      <c r="C20" s="30">
        <f>SUM('10QIS'!C10:F10)</f>
        <v>0</v>
      </c>
      <c r="D20" s="30">
        <f>SUM('10QIS'!G10:J10)</f>
        <v>0</v>
      </c>
      <c r="E20" s="30">
        <f>SUM('10QIS'!K10:N10)</f>
        <v>0</v>
      </c>
      <c r="F20" s="56">
        <f>SUM('10QIS'!O10:R10)</f>
        <v>0</v>
      </c>
      <c r="G20" s="30"/>
      <c r="H20" s="30"/>
      <c r="I20" s="30"/>
      <c r="J20" s="30"/>
      <c r="K20" s="30"/>
    </row>
    <row r="21" spans="2:11" hidden="1" x14ac:dyDescent="0.25">
      <c r="B21" s="3" t="s">
        <v>19</v>
      </c>
      <c r="C21" s="30">
        <f>SUM('10QIS'!C11:F11)</f>
        <v>760.40000000000009</v>
      </c>
      <c r="D21" s="30">
        <f>SUM('10QIS'!G11:J11)</f>
        <v>728.3</v>
      </c>
      <c r="E21" s="30">
        <f>SUM('10QIS'!K11:N11)</f>
        <v>676.9</v>
      </c>
      <c r="F21" s="56">
        <f>SUM('10QIS'!O11:R11)</f>
        <v>657.7</v>
      </c>
      <c r="G21" s="30"/>
      <c r="H21" s="30"/>
      <c r="I21" s="30"/>
      <c r="J21" s="30"/>
      <c r="K21" s="30"/>
    </row>
    <row r="22" spans="2:11" hidden="1" x14ac:dyDescent="0.25">
      <c r="B22" s="3" t="s">
        <v>20</v>
      </c>
      <c r="C22" s="30">
        <f>SUM('10QIS'!C12:F12)</f>
        <v>2060.6000000000004</v>
      </c>
      <c r="D22" s="30">
        <f>SUM('10QIS'!G12:J12)</f>
        <v>1663.2999999999997</v>
      </c>
      <c r="E22" s="30">
        <f>SUM('10QIS'!K12:N12)</f>
        <v>2324.8000000000002</v>
      </c>
      <c r="F22" s="56">
        <f>SUM('10QIS'!O12:R12)</f>
        <v>2233.5</v>
      </c>
      <c r="G22" s="30"/>
      <c r="H22" s="30"/>
      <c r="I22" s="30"/>
      <c r="J22" s="30"/>
      <c r="K22" s="30"/>
    </row>
    <row r="23" spans="2:11" hidden="1" x14ac:dyDescent="0.25">
      <c r="B23" s="3" t="s">
        <v>63</v>
      </c>
      <c r="C23" s="30">
        <f>SUM('10QIS'!C13:F13)</f>
        <v>1019.4000000000001</v>
      </c>
      <c r="D23" s="30">
        <f>SUM('10QIS'!G13:J13)</f>
        <v>852.10000000000014</v>
      </c>
      <c r="E23" s="30">
        <f>SUM('10QIS'!K13:N13)</f>
        <v>917.2</v>
      </c>
      <c r="F23" s="56">
        <f>SUM('10QIS'!O13:R13)</f>
        <v>805.3</v>
      </c>
      <c r="G23" s="30"/>
      <c r="H23" s="30"/>
      <c r="I23" s="30"/>
      <c r="J23" s="30"/>
      <c r="K23" s="30"/>
    </row>
    <row r="24" spans="2:11" hidden="1" x14ac:dyDescent="0.25">
      <c r="B24" s="3" t="s">
        <v>25</v>
      </c>
      <c r="C24" s="30">
        <f>SUM('10QIS'!C14:F14)</f>
        <v>2066</v>
      </c>
      <c r="D24" s="30">
        <f>SUM('10QIS'!G14:J14)</f>
        <v>2744.7</v>
      </c>
      <c r="E24" s="30">
        <f>SUM('10QIS'!K14:N14)</f>
        <v>3814.5</v>
      </c>
      <c r="F24" s="56">
        <f>SUM('10QIS'!O14:R14)</f>
        <v>3431</v>
      </c>
      <c r="G24" s="30"/>
      <c r="H24" s="30"/>
      <c r="I24" s="30"/>
      <c r="J24" s="30"/>
      <c r="K24" s="30"/>
    </row>
    <row r="25" spans="2:11" x14ac:dyDescent="0.25">
      <c r="B25" s="57" t="s">
        <v>64</v>
      </c>
      <c r="C25" s="58">
        <f>SUM('10QIS'!C15:F15)</f>
        <v>4221.5</v>
      </c>
      <c r="D25" s="58">
        <f>SUM('10QIS'!G15:J15)</f>
        <v>6081.5</v>
      </c>
      <c r="E25" s="58">
        <f>SUM('10QIS'!K15:N15)</f>
        <v>8134.7</v>
      </c>
      <c r="F25" s="59">
        <f>SUM('10QIS'!O15:R15)</f>
        <v>8965.4000000000015</v>
      </c>
      <c r="G25" s="58">
        <f>F25*(1+G4)</f>
        <v>8517.130000000001</v>
      </c>
      <c r="H25" s="58">
        <f>G25*(1+H4)</f>
        <v>8091.2735000000002</v>
      </c>
      <c r="I25" s="58">
        <f>H25*(1+I4)</f>
        <v>7686.7098249999999</v>
      </c>
      <c r="J25" s="58">
        <f>I25*(1+J4)</f>
        <v>7302.37433375</v>
      </c>
      <c r="K25" s="58">
        <f>J25*(1+K4)</f>
        <v>6937.2556170624994</v>
      </c>
    </row>
    <row r="26" spans="2:11" hidden="1" x14ac:dyDescent="0.25">
      <c r="B26" s="3" t="s">
        <v>27</v>
      </c>
      <c r="C26" s="30">
        <f>SUM('10QIS'!C16:F16)</f>
        <v>2483.6000000000004</v>
      </c>
      <c r="D26" s="30">
        <f>SUM('10QIS'!G16:J16)</f>
        <v>3863.2999999999997</v>
      </c>
      <c r="E26" s="30">
        <f>SUM('10QIS'!K16:N16)</f>
        <v>5306.5</v>
      </c>
      <c r="F26" s="56">
        <f>SUM('10QIS'!O16:R16)</f>
        <v>5722.4</v>
      </c>
      <c r="G26" s="30"/>
      <c r="H26" s="30"/>
      <c r="I26" s="30"/>
      <c r="J26" s="30"/>
      <c r="K26" s="30"/>
    </row>
    <row r="27" spans="2:11" hidden="1" x14ac:dyDescent="0.25">
      <c r="B27" s="3" t="s">
        <v>28</v>
      </c>
      <c r="C27" s="30">
        <f>SUM('10QIS'!C17:F17)</f>
        <v>971.5</v>
      </c>
      <c r="D27" s="30">
        <f>SUM('10QIS'!G17:J17)</f>
        <v>974.80000000000007</v>
      </c>
      <c r="E27" s="30">
        <f>SUM('10QIS'!K17:N17)</f>
        <v>973.4</v>
      </c>
      <c r="F27" s="56">
        <f>SUM('10QIS'!O17:R17)</f>
        <v>982.7</v>
      </c>
      <c r="G27" s="30"/>
      <c r="H27" s="30"/>
      <c r="I27" s="30"/>
      <c r="J27" s="30"/>
      <c r="K27" s="30"/>
    </row>
    <row r="28" spans="2:11" hidden="1" x14ac:dyDescent="0.25">
      <c r="B28" s="3" t="s">
        <v>29</v>
      </c>
      <c r="C28" s="30">
        <f>SUM('10QIS'!C18:F18)</f>
        <v>408.4</v>
      </c>
      <c r="D28" s="30">
        <f>SUM('10QIS'!G18:J18)</f>
        <v>596.5</v>
      </c>
      <c r="E28" s="30">
        <f>SUM('10QIS'!K18:N18)</f>
        <v>627.4</v>
      </c>
      <c r="F28" s="56">
        <f>SUM('10QIS'!O18:R18)</f>
        <v>706.3</v>
      </c>
      <c r="G28" s="30"/>
      <c r="H28" s="30"/>
      <c r="I28" s="30"/>
      <c r="J28" s="30"/>
      <c r="K28" s="30"/>
    </row>
    <row r="29" spans="2:11" hidden="1" x14ac:dyDescent="0.25">
      <c r="B29" s="3" t="s">
        <v>31</v>
      </c>
      <c r="C29" s="30">
        <f>SUM('10QIS'!C19:F19)</f>
        <v>64.599999999999994</v>
      </c>
      <c r="D29" s="30">
        <f>SUM('10QIS'!G19:J19)</f>
        <v>253.60000000000002</v>
      </c>
      <c r="E29" s="30">
        <f>SUM('10QIS'!K19:N19)</f>
        <v>364.4</v>
      </c>
      <c r="F29" s="56">
        <f>SUM('10QIS'!O19:R19)</f>
        <v>445.3</v>
      </c>
      <c r="G29" s="30"/>
      <c r="H29" s="30"/>
      <c r="I29" s="30"/>
      <c r="J29" s="30"/>
      <c r="K29" s="30"/>
    </row>
    <row r="30" spans="2:11" hidden="1" x14ac:dyDescent="0.25">
      <c r="B30" s="3" t="s">
        <v>32</v>
      </c>
      <c r="C30" s="30">
        <f>SUM('10QIS'!C20:F20)</f>
        <v>293.39999999999998</v>
      </c>
      <c r="D30" s="30">
        <f>SUM('10QIS'!G20:J20)</f>
        <v>393.29999999999995</v>
      </c>
      <c r="E30" s="30">
        <f>SUM('10QIS'!K20:N20)</f>
        <v>525.9</v>
      </c>
      <c r="F30" s="56">
        <f>SUM('10QIS'!O20:R20)</f>
        <v>552.6</v>
      </c>
      <c r="G30" s="30"/>
      <c r="H30" s="30"/>
      <c r="I30" s="30"/>
      <c r="J30" s="30"/>
      <c r="K30" s="30"/>
    </row>
    <row r="31" spans="2:11" hidden="1" x14ac:dyDescent="0.25">
      <c r="B31" s="3" t="s">
        <v>34</v>
      </c>
      <c r="C31" s="30">
        <f>SUM('10QIS'!C21:F21)</f>
        <v>0</v>
      </c>
      <c r="D31" s="30">
        <f>SUM('10QIS'!G21:J21)</f>
        <v>0</v>
      </c>
      <c r="E31" s="30">
        <f>SUM('10QIS'!K21:N21)</f>
        <v>337.1</v>
      </c>
      <c r="F31" s="56">
        <f>SUM('10QIS'!O21:R21)</f>
        <v>511.1</v>
      </c>
      <c r="G31" s="30"/>
      <c r="H31" s="30"/>
      <c r="I31" s="30"/>
      <c r="J31" s="30"/>
      <c r="K31" s="30"/>
    </row>
    <row r="32" spans="2:11" hidden="1" x14ac:dyDescent="0.25">
      <c r="B32" s="3" t="s">
        <v>35</v>
      </c>
      <c r="C32" s="30">
        <f>SUM('10QIS'!C22:F22)</f>
        <v>0</v>
      </c>
      <c r="D32" s="30">
        <f>SUM('10QIS'!G22:J22)</f>
        <v>0</v>
      </c>
      <c r="E32" s="30">
        <f>SUM('10QIS'!K22:N22)</f>
        <v>0</v>
      </c>
      <c r="F32" s="56">
        <f>SUM('10QIS'!O22:R22)</f>
        <v>45</v>
      </c>
      <c r="G32" s="30"/>
      <c r="H32" s="30"/>
      <c r="I32" s="30"/>
      <c r="J32" s="30"/>
      <c r="K32" s="30"/>
    </row>
    <row r="33" spans="2:11" x14ac:dyDescent="0.25">
      <c r="B33" s="57" t="s">
        <v>65</v>
      </c>
      <c r="C33" s="58">
        <f>SUM('10QIS'!C23:F23)</f>
        <v>3312.5</v>
      </c>
      <c r="D33" s="58">
        <f>SUM('10QIS'!G23:J23)</f>
        <v>3682.3999999999996</v>
      </c>
      <c r="E33" s="58">
        <f>SUM('10QIS'!K23:N23)</f>
        <v>4393</v>
      </c>
      <c r="F33" s="59">
        <f>SUM('10QIS'!O23:R23)</f>
        <v>5241.6000000000004</v>
      </c>
      <c r="G33" s="58">
        <f>F33*(1+G5)</f>
        <v>6027.84</v>
      </c>
      <c r="H33" s="58">
        <f>G33*(1+H5)</f>
        <v>6831.3510720000004</v>
      </c>
      <c r="I33" s="58">
        <f>H33*(1+I5)</f>
        <v>7628.5697421024006</v>
      </c>
      <c r="J33" s="58">
        <f>I33*(1+J5)</f>
        <v>8391.4267163126406</v>
      </c>
      <c r="K33" s="58">
        <f>J33*(1+K5)</f>
        <v>9090.4325617814829</v>
      </c>
    </row>
    <row r="34" spans="2:11" hidden="1" x14ac:dyDescent="0.25">
      <c r="B34" s="3" t="s">
        <v>36</v>
      </c>
      <c r="C34" s="30">
        <f>SUM('10QIS'!C24:F24)</f>
        <v>0</v>
      </c>
      <c r="D34" s="30">
        <f>SUM('10QIS'!G24:J24)</f>
        <v>0</v>
      </c>
      <c r="E34" s="30">
        <f>SUM('10QIS'!K24:N24)</f>
        <v>42.7</v>
      </c>
      <c r="F34" s="56">
        <f>SUM('10QIS'!O24:R24)</f>
        <v>406.20000000000005</v>
      </c>
      <c r="G34" s="30"/>
      <c r="H34" s="30"/>
      <c r="I34" s="30"/>
      <c r="J34" s="30"/>
      <c r="K34" s="30"/>
    </row>
    <row r="35" spans="2:11" hidden="1" x14ac:dyDescent="0.25">
      <c r="B35" s="3" t="s">
        <v>37</v>
      </c>
      <c r="C35" s="30">
        <f>SUM('10QIS'!C25:F25)</f>
        <v>830.5</v>
      </c>
      <c r="D35" s="30">
        <f>SUM('10QIS'!G25:J25)</f>
        <v>922.7</v>
      </c>
      <c r="E35" s="30">
        <f>SUM('10QIS'!K25:N25)</f>
        <v>957.50000000000011</v>
      </c>
      <c r="F35" s="56">
        <f>SUM('10QIS'!O25:R25)</f>
        <v>1005.6</v>
      </c>
      <c r="G35" s="30"/>
      <c r="H35" s="30"/>
      <c r="I35" s="30"/>
      <c r="J35" s="30"/>
      <c r="K35" s="30"/>
    </row>
    <row r="36" spans="2:11" hidden="1" x14ac:dyDescent="0.25">
      <c r="B36" s="3" t="s">
        <v>38</v>
      </c>
      <c r="C36" s="30">
        <f>SUM('10QIS'!C26:F26)</f>
        <v>0</v>
      </c>
      <c r="D36" s="30">
        <f>SUM('10QIS'!G26:J26)</f>
        <v>0</v>
      </c>
      <c r="E36" s="30">
        <f>SUM('10QIS'!K26:N26)</f>
        <v>132.4</v>
      </c>
      <c r="F36" s="56">
        <f>SUM('10QIS'!O26:R26)</f>
        <v>266.8</v>
      </c>
      <c r="G36" s="30"/>
      <c r="H36" s="30"/>
      <c r="I36" s="30"/>
      <c r="J36" s="30"/>
      <c r="K36" s="30"/>
    </row>
    <row r="37" spans="2:11" hidden="1" x14ac:dyDescent="0.25">
      <c r="B37" s="3" t="s">
        <v>39</v>
      </c>
      <c r="C37" s="30">
        <f>SUM('10QIS'!C27:F27)</f>
        <v>2482</v>
      </c>
      <c r="D37" s="30">
        <f>SUM('10QIS'!G27:J27)</f>
        <v>2759.7000000000003</v>
      </c>
      <c r="E37" s="30">
        <f>SUM('10QIS'!K27:N27)</f>
        <v>3260.4</v>
      </c>
      <c r="F37" s="56">
        <f>SUM('10QIS'!O27:R27)</f>
        <v>3563</v>
      </c>
      <c r="G37" s="30"/>
      <c r="H37" s="30"/>
      <c r="I37" s="30"/>
      <c r="J37" s="30"/>
      <c r="K37" s="30"/>
    </row>
    <row r="38" spans="2:11" x14ac:dyDescent="0.25">
      <c r="B38" s="57" t="s">
        <v>66</v>
      </c>
      <c r="C38" s="58">
        <f>SUM('10QIS'!C28:F28)</f>
        <v>650.9</v>
      </c>
      <c r="D38" s="58">
        <f>SUM('10QIS'!G28:J28)</f>
        <v>678.2</v>
      </c>
      <c r="E38" s="58">
        <f>SUM('10QIS'!K28:N28)</f>
        <v>879.7</v>
      </c>
      <c r="F38" s="59">
        <f>SUM('10QIS'!O28:R28)</f>
        <v>1012.08</v>
      </c>
      <c r="G38" s="58">
        <f>F38*(1+G6)</f>
        <v>1518.1200000000001</v>
      </c>
      <c r="H38" s="58">
        <f>G38*(1+H6)</f>
        <v>1897.65</v>
      </c>
      <c r="I38" s="58">
        <f>H38*(1+I6)</f>
        <v>2277.1799999999998</v>
      </c>
      <c r="J38" s="58">
        <f>I38*(1+J6)</f>
        <v>2709.8441999999995</v>
      </c>
      <c r="K38" s="58">
        <f>J38*(1+K6)</f>
        <v>3125.2633158599992</v>
      </c>
    </row>
    <row r="39" spans="2:11" hidden="1" x14ac:dyDescent="0.25">
      <c r="B39" s="3" t="s">
        <v>40</v>
      </c>
      <c r="C39" s="30">
        <f>SUM('10QIS'!C29:F29)</f>
        <v>650.9</v>
      </c>
      <c r="D39" s="30">
        <f>SUM('10QIS'!G29:J29)</f>
        <v>678.2</v>
      </c>
      <c r="E39" s="30">
        <f>SUM('10QIS'!K29:N29)</f>
        <v>870.40000000000009</v>
      </c>
      <c r="F39" s="56">
        <f>SUM('10QIS'!O29:R29)</f>
        <v>776.18000000000006</v>
      </c>
      <c r="G39" s="30"/>
      <c r="H39" s="30"/>
      <c r="I39" s="30"/>
      <c r="J39" s="30"/>
      <c r="K39" s="30"/>
    </row>
    <row r="40" spans="2:11" hidden="1" x14ac:dyDescent="0.25">
      <c r="B40" s="3" t="s">
        <v>41</v>
      </c>
      <c r="C40" s="30">
        <f>SUM('10QIS'!C30:F30)</f>
        <v>0</v>
      </c>
      <c r="D40" s="30">
        <f>SUM('10QIS'!G30:J30)</f>
        <v>0</v>
      </c>
      <c r="E40" s="30">
        <f>SUM('10QIS'!K30:N30)</f>
        <v>9.3000000000000007</v>
      </c>
      <c r="F40" s="56">
        <f>SUM('10QIS'!O30:R30)</f>
        <v>235.9</v>
      </c>
      <c r="G40" s="30"/>
      <c r="H40" s="30"/>
      <c r="I40" s="30"/>
      <c r="J40" s="30"/>
      <c r="K40" s="30"/>
    </row>
    <row r="41" spans="2:11" x14ac:dyDescent="0.25">
      <c r="B41" s="3" t="s">
        <v>112</v>
      </c>
      <c r="C41" s="30">
        <f>SUM('10QIS'!C31:F31)</f>
        <v>6543.800000000002</v>
      </c>
      <c r="D41" s="30">
        <f>SUM('10QIS'!G31:J31)</f>
        <v>5222.2</v>
      </c>
      <c r="E41" s="30">
        <f>SUM('10QIS'!K31:N31)</f>
        <v>2182.9999999999991</v>
      </c>
      <c r="F41" s="56">
        <f>SUM('10QIS'!O31:R31)</f>
        <v>2049.5199999999986</v>
      </c>
      <c r="G41" s="30">
        <f>F41*(1+G7)</f>
        <v>2008.5295999999987</v>
      </c>
      <c r="H41" s="30">
        <f>G41*(1+H7)</f>
        <v>1968.3590079999988</v>
      </c>
      <c r="I41" s="30">
        <f>H41*(1+I7)</f>
        <v>1928.9918278399987</v>
      </c>
      <c r="J41" s="30">
        <f>I41*(1+J7)</f>
        <v>1890.4119912831986</v>
      </c>
      <c r="K41" s="30">
        <f>J41*(1+K7)</f>
        <v>1852.6037514575346</v>
      </c>
    </row>
    <row r="42" spans="2:11" x14ac:dyDescent="0.25">
      <c r="B42" s="34" t="s">
        <v>68</v>
      </c>
      <c r="C42" s="35">
        <f t="shared" ref="C42:K42" si="2">C15+C25+C33+C38+C41</f>
        <v>28541.400000000005</v>
      </c>
      <c r="D42" s="35">
        <f t="shared" si="2"/>
        <v>34124.100000000006</v>
      </c>
      <c r="E42" s="35">
        <f t="shared" si="2"/>
        <v>45042.69999999999</v>
      </c>
      <c r="F42" s="60">
        <f t="shared" si="2"/>
        <v>65179.500000000007</v>
      </c>
      <c r="G42" s="35">
        <f t="shared" si="2"/>
        <v>89937.969599999997</v>
      </c>
      <c r="H42" s="35">
        <f t="shared" si="2"/>
        <v>112214.88858</v>
      </c>
      <c r="I42" s="35">
        <f t="shared" si="2"/>
        <v>131632.95739494238</v>
      </c>
      <c r="J42" s="35">
        <f t="shared" si="2"/>
        <v>143616.71384134586</v>
      </c>
      <c r="K42" s="35">
        <f t="shared" si="2"/>
        <v>150494.34467616153</v>
      </c>
    </row>
    <row r="43" spans="2:11" x14ac:dyDescent="0.25">
      <c r="B43" s="3" t="s">
        <v>69</v>
      </c>
      <c r="C43" s="30">
        <f>SUM('10QIS'!C33:F33)</f>
        <v>6629.7999999999993</v>
      </c>
      <c r="D43" s="30">
        <f>SUM('10QIS'!G33:J33)</f>
        <v>7082.2000000000007</v>
      </c>
      <c r="E43" s="30">
        <f>SUM('10QIS'!K33:N33)</f>
        <v>8418.2999999999993</v>
      </c>
      <c r="F43" s="56">
        <f>SUM('10QIS'!O33:R33)</f>
        <v>11052.8</v>
      </c>
      <c r="G43" s="30">
        <f>G42*(1-$G$8)</f>
        <v>13490.695440000001</v>
      </c>
      <c r="H43" s="30">
        <f>H42*(1-$G$8)</f>
        <v>16832.233287000003</v>
      </c>
      <c r="I43" s="30">
        <f>I42*(1-$G$8)</f>
        <v>19744.94360924136</v>
      </c>
      <c r="J43" s="30">
        <f>J42*(1-$G$8)</f>
        <v>21542.50707620188</v>
      </c>
      <c r="K43" s="30">
        <f>K42*(1-$G$8)</f>
        <v>22574.151701424234</v>
      </c>
    </row>
    <row r="44" spans="2:11" x14ac:dyDescent="0.25">
      <c r="B44" s="34" t="s">
        <v>70</v>
      </c>
      <c r="C44" s="35">
        <f>SUM('10QIS'!C34:F34)</f>
        <v>21911.599999999999</v>
      </c>
      <c r="D44" s="35">
        <f>SUM('10QIS'!G34:J34)</f>
        <v>27041.9</v>
      </c>
      <c r="E44" s="35">
        <f>SUM('10QIS'!K34:N34)</f>
        <v>36624.399999999994</v>
      </c>
      <c r="F44" s="60">
        <f>SUM('10QIS'!O34:R34)</f>
        <v>54126.7</v>
      </c>
      <c r="G44" s="35">
        <f>G42*($G$8)</f>
        <v>76447.274160000001</v>
      </c>
      <c r="H44" s="35">
        <f>H42*($G$8)</f>
        <v>95382.655293000003</v>
      </c>
      <c r="I44" s="35">
        <f>I42*($G$8)</f>
        <v>111888.01378570101</v>
      </c>
      <c r="J44" s="35">
        <f>J42*($G$8)</f>
        <v>122074.20676514397</v>
      </c>
      <c r="K44" s="35">
        <f>K42*($G$8)</f>
        <v>127920.19297473731</v>
      </c>
    </row>
    <row r="45" spans="2:11" x14ac:dyDescent="0.25">
      <c r="B45" s="3" t="s">
        <v>71</v>
      </c>
      <c r="C45" s="30">
        <f>SUM('10QIS'!C35:F35)</f>
        <v>7190.7999999999993</v>
      </c>
      <c r="D45" s="30">
        <f>SUM('10QIS'!G35:J35)</f>
        <v>9313.4000000000015</v>
      </c>
      <c r="E45" s="30">
        <f>SUM('10QIS'!K35:N35)</f>
        <v>10990.6</v>
      </c>
      <c r="F45" s="56">
        <f>SUM('10QIS'!O35:R35)</f>
        <v>13337.3</v>
      </c>
      <c r="G45" s="30">
        <f t="shared" ref="G45:K47" si="3">G$42*G9</f>
        <v>21319.53974408716</v>
      </c>
      <c r="H45" s="30">
        <f t="shared" si="3"/>
        <v>26600.219991619895</v>
      </c>
      <c r="I45" s="30">
        <f t="shared" si="3"/>
        <v>31203.217943372449</v>
      </c>
      <c r="J45" s="30">
        <f t="shared" si="3"/>
        <v>34043.933305069469</v>
      </c>
      <c r="K45" s="30">
        <f t="shared" si="3"/>
        <v>35674.256121785715</v>
      </c>
    </row>
    <row r="46" spans="2:11" x14ac:dyDescent="0.25">
      <c r="B46" s="3" t="s">
        <v>72</v>
      </c>
      <c r="C46" s="30">
        <f>SUM('10QIS'!C36:F36)</f>
        <v>6440.4</v>
      </c>
      <c r="D46" s="30">
        <f>SUM('10QIS'!G36:J36)</f>
        <v>7403.1</v>
      </c>
      <c r="E46" s="30">
        <f>SUM('10QIS'!K36:N36)</f>
        <v>8593.7999999999993</v>
      </c>
      <c r="F46" s="56">
        <f>SUM('10QIS'!O36:R36)</f>
        <v>11093.1</v>
      </c>
      <c r="G46" s="30">
        <f t="shared" si="3"/>
        <v>17713.922449360838</v>
      </c>
      <c r="H46" s="30">
        <f t="shared" si="3"/>
        <v>22101.520001067351</v>
      </c>
      <c r="I46" s="30">
        <f t="shared" si="3"/>
        <v>25926.046690229359</v>
      </c>
      <c r="J46" s="30">
        <f t="shared" si="3"/>
        <v>28286.332710557966</v>
      </c>
      <c r="K46" s="30">
        <f t="shared" si="3"/>
        <v>29640.930994076007</v>
      </c>
    </row>
    <row r="47" spans="2:11" x14ac:dyDescent="0.25">
      <c r="B47" s="3" t="s">
        <v>73</v>
      </c>
      <c r="C47" s="30">
        <f>SUM('10QIS'!C37:F37)</f>
        <v>908.5</v>
      </c>
      <c r="D47" s="30">
        <f>SUM('10QIS'!G37:J37)</f>
        <v>3799.7999999999997</v>
      </c>
      <c r="E47" s="30">
        <f>SUM('10QIS'!K37:N37)</f>
        <v>3280.4</v>
      </c>
      <c r="F47" s="56">
        <f>SUM('10QIS'!O37:R37)</f>
        <v>2909.5</v>
      </c>
      <c r="G47" s="30">
        <f t="shared" si="3"/>
        <v>3597.5187839999999</v>
      </c>
      <c r="H47" s="30">
        <f t="shared" si="3"/>
        <v>4488.5955432000001</v>
      </c>
      <c r="I47" s="30">
        <f t="shared" si="3"/>
        <v>5265.3182957976951</v>
      </c>
      <c r="J47" s="30">
        <f t="shared" si="3"/>
        <v>5744.6685536538344</v>
      </c>
      <c r="K47" s="30">
        <f t="shared" si="3"/>
        <v>6019.7737870464616</v>
      </c>
    </row>
    <row r="48" spans="2:11" x14ac:dyDescent="0.25">
      <c r="B48" s="3" t="s">
        <v>74</v>
      </c>
      <c r="C48" s="30">
        <f>SUM('10QIS'!C38:F38)</f>
        <v>244.6</v>
      </c>
      <c r="D48" s="30">
        <f>SUM('10QIS'!G38:J38)</f>
        <v>67.7</v>
      </c>
      <c r="E48" s="30">
        <f>SUM('10QIS'!K38:N38)</f>
        <v>860.6</v>
      </c>
      <c r="F48" s="56">
        <f>SUM('10QIS'!O38:R38)</f>
        <v>484</v>
      </c>
      <c r="G48" s="30">
        <f>AVERAGE(C48:F48)</f>
        <v>414.22500000000002</v>
      </c>
      <c r="H48" s="30">
        <f>AVERAGE(D48:G48)</f>
        <v>456.63125000000002</v>
      </c>
      <c r="I48" s="30">
        <f>AVERAGE(E48:H48)</f>
        <v>553.86406249999993</v>
      </c>
      <c r="J48" s="30">
        <f>AVERAGE(F48:I48)</f>
        <v>477.18007812500002</v>
      </c>
      <c r="K48" s="30">
        <f>AVERAGE(G48:J48)</f>
        <v>475.47509765625</v>
      </c>
    </row>
    <row r="49" spans="2:11" x14ac:dyDescent="0.25">
      <c r="B49" s="3" t="s">
        <v>75</v>
      </c>
      <c r="C49" s="30">
        <f>SUM('10QIS'!C39:F39)</f>
        <v>98.899999999999977</v>
      </c>
      <c r="D49" s="30">
        <f>SUM('10QIS'!G39:J39)</f>
        <v>145.29999999999998</v>
      </c>
      <c r="E49" s="30">
        <f>SUM('10QIS'!K39:N39)</f>
        <v>218.7</v>
      </c>
      <c r="F49" s="56">
        <f>SUM('10QIS'!O39:R39)</f>
        <v>571</v>
      </c>
      <c r="G49" s="30">
        <f>(BS!F29+BS!F35)*CFS!G11</f>
        <v>571</v>
      </c>
      <c r="H49" s="30">
        <f>(BS!G29+BS!G35)*CFS!H11</f>
        <v>0</v>
      </c>
      <c r="I49" s="30">
        <f>(BS!H29+BS!H35)*CFS!I11</f>
        <v>0</v>
      </c>
      <c r="J49" s="30">
        <f>(BS!I29+BS!I35)*CFS!J11</f>
        <v>0</v>
      </c>
      <c r="K49" s="30">
        <f>(BS!J29+BS!J35)*CFS!K11</f>
        <v>0</v>
      </c>
    </row>
    <row r="50" spans="2:11" x14ac:dyDescent="0.25">
      <c r="B50" s="3" t="s">
        <v>76</v>
      </c>
      <c r="C50" s="30">
        <f>SUM('10QIS'!C40:F40)</f>
        <v>6806.4</v>
      </c>
      <c r="D50" s="30">
        <f>SUM('10QIS'!G40:J40)</f>
        <v>6312.6</v>
      </c>
      <c r="E50" s="30">
        <f>SUM('10QIS'!K40:N40)</f>
        <v>12680.3</v>
      </c>
      <c r="F50" s="56">
        <f>SUM('10QIS'!O40:R40)</f>
        <v>25731.800000000003</v>
      </c>
      <c r="G50" s="30">
        <f>G44-SUM(G45:G49)</f>
        <v>32831.068182552008</v>
      </c>
      <c r="H50" s="30">
        <f>H44-SUM(H45:H49)</f>
        <v>41735.688507112762</v>
      </c>
      <c r="I50" s="30">
        <f>I44-SUM(I45:I49)</f>
        <v>48939.56679380151</v>
      </c>
      <c r="J50" s="30">
        <f>J44-SUM(J45:J49)</f>
        <v>53522.092117737702</v>
      </c>
      <c r="K50" s="30">
        <f>K44-SUM(K45:K49)</f>
        <v>56109.75697417288</v>
      </c>
    </row>
    <row r="51" spans="2:11" x14ac:dyDescent="0.25">
      <c r="B51" s="3" t="s">
        <v>77</v>
      </c>
      <c r="C51" s="30">
        <f>SUM('10QIS'!C41:F41)</f>
        <v>561.6</v>
      </c>
      <c r="D51" s="30">
        <f>SUM('10QIS'!G41:J41)</f>
        <v>1314.2</v>
      </c>
      <c r="E51" s="30">
        <f>SUM('10QIS'!K41:N41)</f>
        <v>2090.4</v>
      </c>
      <c r="F51" s="56">
        <f>SUM('10QIS'!O41:R41)</f>
        <v>5091.3</v>
      </c>
      <c r="G51" s="30">
        <f>G50*G12</f>
        <v>6237.9029546848815</v>
      </c>
      <c r="H51" s="30">
        <f>H50*H12</f>
        <v>7929.7808163514246</v>
      </c>
      <c r="I51" s="30">
        <f>I50*I12</f>
        <v>9298.5176908222875</v>
      </c>
      <c r="J51" s="30">
        <f>J50*J12</f>
        <v>10169.197502370163</v>
      </c>
      <c r="K51" s="30">
        <f>K50*K12</f>
        <v>10660.853825092847</v>
      </c>
    </row>
    <row r="52" spans="2:11" x14ac:dyDescent="0.25">
      <c r="B52" s="34" t="s">
        <v>78</v>
      </c>
      <c r="C52" s="35">
        <f>SUM('10QIS'!C42:F42)</f>
        <v>6244.8</v>
      </c>
      <c r="D52" s="35">
        <f>SUM('10QIS'!G42:J42)</f>
        <v>4998.4000000000005</v>
      </c>
      <c r="E52" s="35">
        <f>SUM('10QIS'!K42:N42)</f>
        <v>10589.899999999998</v>
      </c>
      <c r="F52" s="60">
        <f>SUM('10QIS'!O42:R42)</f>
        <v>20640.5</v>
      </c>
      <c r="G52" s="35">
        <f>G50-G51</f>
        <v>26593.165227867124</v>
      </c>
      <c r="H52" s="35">
        <f>H50-H51</f>
        <v>33805.907690761334</v>
      </c>
      <c r="I52" s="35">
        <f>I50-I51</f>
        <v>39641.049102979225</v>
      </c>
      <c r="J52" s="35">
        <f>J50-J51</f>
        <v>43352.894615367535</v>
      </c>
      <c r="K52" s="35">
        <f>K50-K51</f>
        <v>45448.903149080033</v>
      </c>
    </row>
    <row r="53" spans="2:11" x14ac:dyDescent="0.25">
      <c r="B53" s="3" t="s">
        <v>79</v>
      </c>
      <c r="C53" s="15">
        <f t="shared" ref="C53:K53" si="4">C52/C54</f>
        <v>6.9178516197928897</v>
      </c>
      <c r="D53" s="15">
        <f t="shared" si="4"/>
        <v>5.5428460536164792</v>
      </c>
      <c r="E53" s="15">
        <f t="shared" si="4"/>
        <v>11.711252419131874</v>
      </c>
      <c r="F53" s="61">
        <f t="shared" si="4"/>
        <v>22.951740242410764</v>
      </c>
      <c r="G53" s="15">
        <f t="shared" si="4"/>
        <v>29.720156649685457</v>
      </c>
      <c r="H53" s="15">
        <f t="shared" si="4"/>
        <v>37.647873145232289</v>
      </c>
      <c r="I53" s="15">
        <f t="shared" si="4"/>
        <v>44.146165268644381</v>
      </c>
      <c r="J53" s="15">
        <f t="shared" si="4"/>
        <v>48.279853683799246</v>
      </c>
      <c r="K53" s="15">
        <f t="shared" si="4"/>
        <v>50.614068878089014</v>
      </c>
    </row>
    <row r="54" spans="2:11" x14ac:dyDescent="0.25">
      <c r="B54" s="3" t="s">
        <v>9</v>
      </c>
      <c r="C54" s="39">
        <f>AVERAGE('10QIS'!F44:I44)</f>
        <v>902.70800000000008</v>
      </c>
      <c r="D54" s="39">
        <f>AVERAGE('10QIS'!G44:J44)</f>
        <v>901.77499999999998</v>
      </c>
      <c r="E54" s="39">
        <f>AVERAGE('10QIS'!K44:N44)</f>
        <v>904.25</v>
      </c>
      <c r="F54" s="62">
        <f>AVERAGE('10QIS'!O44:R44)</f>
        <v>899.3</v>
      </c>
      <c r="G54" s="39">
        <f>AVERAGE('10QIS'!S44:T44)</f>
        <v>894.78549999999996</v>
      </c>
      <c r="H54" s="39">
        <v>897.95</v>
      </c>
      <c r="I54" s="39">
        <v>897.95</v>
      </c>
      <c r="J54" s="39">
        <v>897.95</v>
      </c>
      <c r="K54" s="39">
        <v>897.95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zoomScaleNormal="100" workbookViewId="0">
      <selection activeCell="G21" sqref="G21"/>
    </sheetView>
  </sheetViews>
  <sheetFormatPr defaultColWidth="8.5" defaultRowHeight="15.75" x14ac:dyDescent="0.25"/>
  <cols>
    <col min="1" max="1" width="1.375" style="3" customWidth="1"/>
    <col min="2" max="2" width="38.125" style="3" customWidth="1"/>
    <col min="3" max="17" width="12" style="3" customWidth="1"/>
  </cols>
  <sheetData>
    <row r="1" spans="2:7" ht="12" customHeight="1" x14ac:dyDescent="0.25"/>
    <row r="2" spans="2:7" ht="15.75" customHeight="1" x14ac:dyDescent="0.25">
      <c r="B2" s="25" t="s">
        <v>113</v>
      </c>
      <c r="C2" s="26" t="s">
        <v>103</v>
      </c>
      <c r="D2" s="26" t="s">
        <v>104</v>
      </c>
      <c r="E2" s="26" t="s">
        <v>105</v>
      </c>
      <c r="F2" s="47" t="s">
        <v>106</v>
      </c>
      <c r="G2" s="26" t="s">
        <v>107</v>
      </c>
    </row>
    <row r="3" spans="2:7" ht="15.75" customHeight="1" x14ac:dyDescent="0.25">
      <c r="B3" s="40" t="s">
        <v>114</v>
      </c>
      <c r="C3" s="43">
        <f>BS!C15/IS!C42</f>
        <v>0.24161393624699554</v>
      </c>
      <c r="D3" s="43">
        <f>BS!D15/IS!D42</f>
        <v>0.26639530419849894</v>
      </c>
      <c r="E3" s="43">
        <f>BS!E15/IS!E42</f>
        <v>0.24434592064862903</v>
      </c>
      <c r="F3" s="49">
        <f>BS!F15/IS!F42</f>
        <v>0.27247830989805072</v>
      </c>
      <c r="G3" s="63">
        <v>0.27</v>
      </c>
    </row>
    <row r="4" spans="2:7" ht="15.75" customHeight="1" x14ac:dyDescent="0.25">
      <c r="B4" s="40" t="s">
        <v>115</v>
      </c>
      <c r="C4" s="43">
        <f>BS!C16/IS!C42</f>
        <v>5.8266237815944547E-2</v>
      </c>
      <c r="D4" s="43">
        <f>BS!D16/IS!D42</f>
        <v>6.5809794250983891E-2</v>
      </c>
      <c r="E4" s="43">
        <f>BS!E16/IS!E42</f>
        <v>5.039662364822714E-2</v>
      </c>
      <c r="F4" s="49">
        <f>BS!F16/IS!F42</f>
        <v>3.6744681993571594E-2</v>
      </c>
      <c r="G4" s="63">
        <f>BS!$F$16/IS!$F$42</f>
        <v>3.6744681993571594E-2</v>
      </c>
    </row>
    <row r="5" spans="2:7" ht="15.75" customHeight="1" x14ac:dyDescent="0.25">
      <c r="B5" s="40" t="s">
        <v>116</v>
      </c>
      <c r="C5" s="43">
        <f>BS!C17/IS!C43</f>
        <v>0.65009502549096509</v>
      </c>
      <c r="D5" s="43">
        <f>BS!D17/IS!D43</f>
        <v>0.81511394764338763</v>
      </c>
      <c r="E5" s="43">
        <f>BS!E17/IS!E43</f>
        <v>0.90148842402860441</v>
      </c>
      <c r="F5" s="49">
        <f>BS!F17/IS!F43</f>
        <v>1.2434858135495079</v>
      </c>
      <c r="G5" s="63">
        <v>1.4</v>
      </c>
    </row>
    <row r="6" spans="2:7" ht="15.75" customHeight="1" x14ac:dyDescent="0.25">
      <c r="B6" s="40" t="s">
        <v>117</v>
      </c>
      <c r="C6" s="43">
        <f>BS!C18/IS!C42</f>
        <v>0.10325351944894082</v>
      </c>
      <c r="D6" s="43">
        <f>BS!D18/IS!D42</f>
        <v>0.16237204790749057</v>
      </c>
      <c r="E6" s="43">
        <f>BS!E18/IS!E42</f>
        <v>0.18517984046249453</v>
      </c>
      <c r="F6" s="49">
        <f>BS!F18/IS!F42</f>
        <v>0.21962426836658763</v>
      </c>
      <c r="G6" s="63">
        <v>0.25</v>
      </c>
    </row>
    <row r="7" spans="2:7" ht="15.75" customHeight="1" x14ac:dyDescent="0.25">
      <c r="B7" s="40" t="s">
        <v>118</v>
      </c>
      <c r="C7" s="64">
        <f>BS!C19/IS!C42</f>
        <v>5.3255972026599943E-3</v>
      </c>
      <c r="D7" s="64">
        <f>BS!D19/IS!D42</f>
        <v>7.5782218432134466E-3</v>
      </c>
      <c r="E7" s="64">
        <f>BS!E19/IS!E42</f>
        <v>5.9055074407173653E-3</v>
      </c>
      <c r="F7" s="65">
        <f>BS!F19/IS!F42</f>
        <v>2.2553103353048116E-3</v>
      </c>
      <c r="G7" s="66">
        <f>BS!$F$19/IS!$F$42</f>
        <v>2.2553103353048116E-3</v>
      </c>
    </row>
    <row r="8" spans="2:7" ht="15.75" customHeight="1" x14ac:dyDescent="0.25">
      <c r="B8" s="40" t="s">
        <v>119</v>
      </c>
      <c r="C8" s="43">
        <f>(BS!C29+BS!C30)/IS!C43</f>
        <v>0.51761742435669256</v>
      </c>
      <c r="D8" s="43">
        <f>(BS!D29+BS!D30)/IS!D43</f>
        <v>1.3418570500691873</v>
      </c>
      <c r="E8" s="43">
        <f>(BS!E29+BS!E30)/IS!E43</f>
        <v>0.99141156765617766</v>
      </c>
      <c r="F8" s="49">
        <f>(BS!F29+BS!F30)/IS!F43</f>
        <v>0.63459033005211352</v>
      </c>
      <c r="G8" s="63">
        <v>0.63</v>
      </c>
    </row>
    <row r="9" spans="2:7" ht="15.75" customHeight="1" x14ac:dyDescent="0.25">
      <c r="B9" s="40" t="s">
        <v>120</v>
      </c>
      <c r="C9" s="43">
        <f>BS!C31/IS!C42</f>
        <v>3.7132025759072776E-2</v>
      </c>
      <c r="D9" s="43">
        <f>BS!D31/IS!D42</f>
        <v>4.8364645514460451E-2</v>
      </c>
      <c r="E9" s="43">
        <f>BS!E31/IS!E42</f>
        <v>4.6489220228805125E-2</v>
      </c>
      <c r="F9" s="49">
        <f>BS!F31/IS!F42</f>
        <v>3.6437837049992705E-2</v>
      </c>
      <c r="G9" s="63">
        <f>BS!$F$31/IS!$F$42</f>
        <v>3.6437837049992705E-2</v>
      </c>
    </row>
    <row r="10" spans="2:7" ht="15.75" customHeight="1" x14ac:dyDescent="0.25">
      <c r="B10" s="40" t="s">
        <v>121</v>
      </c>
      <c r="C10" s="43">
        <f>BS!C32/IS!C42</f>
        <v>0.30776696307819512</v>
      </c>
      <c r="D10" s="43">
        <f>BS!D32/IS!D42</f>
        <v>0.34254383265785759</v>
      </c>
      <c r="E10" s="43">
        <f>BS!E32/IS!E42</f>
        <v>0.2561791366858559</v>
      </c>
      <c r="F10" s="49">
        <f>BS!F32/IS!F42</f>
        <v>0.26667894046440982</v>
      </c>
      <c r="G10" s="63">
        <f>BS!$F$32/IS!$F$42</f>
        <v>0.26667894046440982</v>
      </c>
    </row>
    <row r="11" spans="2:7" ht="15.75" customHeight="1" x14ac:dyDescent="0.25">
      <c r="B11" s="40" t="s">
        <v>122</v>
      </c>
      <c r="C11" s="43">
        <f>BS!C33/IS!C42</f>
        <v>0.13533323523022694</v>
      </c>
      <c r="D11" s="43">
        <f>BS!D33/IS!D42</f>
        <v>0.13042102209289033</v>
      </c>
      <c r="E11" s="43">
        <f>BS!E33/IS!E42</f>
        <v>0.14202079360251499</v>
      </c>
      <c r="F11" s="49">
        <f>BS!F33/IS!F42</f>
        <v>0.12974938439233194</v>
      </c>
      <c r="G11" s="63">
        <f>BS!$F$33/IS!$F$42</f>
        <v>0.12974938439233194</v>
      </c>
    </row>
    <row r="12" spans="2:7" ht="15.75" customHeight="1" x14ac:dyDescent="0.25">
      <c r="F12" s="51"/>
    </row>
    <row r="13" spans="2:7" ht="15.75" customHeight="1" x14ac:dyDescent="0.25">
      <c r="B13" s="67" t="s">
        <v>123</v>
      </c>
      <c r="C13" s="68" t="s">
        <v>103</v>
      </c>
      <c r="D13" s="68" t="s">
        <v>104</v>
      </c>
      <c r="E13" s="68" t="s">
        <v>105</v>
      </c>
      <c r="F13" s="69" t="s">
        <v>106</v>
      </c>
      <c r="G13" s="68" t="s">
        <v>107</v>
      </c>
    </row>
    <row r="14" spans="2:7" x14ac:dyDescent="0.25">
      <c r="B14" s="70" t="s">
        <v>124</v>
      </c>
      <c r="C14" s="71">
        <v>2067</v>
      </c>
      <c r="D14" s="71">
        <v>2818.6</v>
      </c>
      <c r="E14" s="71">
        <v>3268</v>
      </c>
      <c r="F14" s="72">
        <v>7268</v>
      </c>
      <c r="G14" s="71">
        <f>CFS!G47</f>
        <v>15589.807793445721</v>
      </c>
    </row>
    <row r="15" spans="2:7" x14ac:dyDescent="0.25">
      <c r="B15" s="70" t="s">
        <v>125</v>
      </c>
      <c r="C15" s="71">
        <v>6896</v>
      </c>
      <c r="D15" s="71">
        <v>9090.5</v>
      </c>
      <c r="E15" s="71">
        <v>11006</v>
      </c>
      <c r="F15" s="72">
        <v>17760</v>
      </c>
      <c r="G15" s="71">
        <f>IS!G$42*BS!G3</f>
        <v>24283.251791999999</v>
      </c>
    </row>
    <row r="16" spans="2:7" x14ac:dyDescent="0.25">
      <c r="B16" s="70" t="s">
        <v>126</v>
      </c>
      <c r="C16" s="71">
        <v>1663</v>
      </c>
      <c r="D16" s="71">
        <v>2245.6999999999998</v>
      </c>
      <c r="E16" s="71">
        <v>2270</v>
      </c>
      <c r="F16" s="72">
        <v>2395</v>
      </c>
      <c r="G16" s="71">
        <f>IS!G$42*BS!G4</f>
        <v>3304.7420920995091</v>
      </c>
    </row>
    <row r="17" spans="2:7" x14ac:dyDescent="0.25">
      <c r="B17" s="70" t="s">
        <v>127</v>
      </c>
      <c r="C17" s="71">
        <v>4310</v>
      </c>
      <c r="D17" s="71">
        <v>5772.8</v>
      </c>
      <c r="E17" s="71">
        <v>7589</v>
      </c>
      <c r="F17" s="72">
        <v>13744</v>
      </c>
      <c r="G17" s="71">
        <f>IS!G$43*BS!G5</f>
        <v>18886.973615999999</v>
      </c>
    </row>
    <row r="18" spans="2:7" x14ac:dyDescent="0.25">
      <c r="B18" s="70" t="s">
        <v>128</v>
      </c>
      <c r="C18" s="71">
        <v>2947</v>
      </c>
      <c r="D18" s="71">
        <v>5540.8</v>
      </c>
      <c r="E18" s="71">
        <v>8341</v>
      </c>
      <c r="F18" s="72">
        <v>14315</v>
      </c>
      <c r="G18" s="71">
        <f>IS!G$42*BS!G6</f>
        <v>22484.492399999999</v>
      </c>
    </row>
    <row r="19" spans="2:7" x14ac:dyDescent="0.25">
      <c r="B19" s="70" t="s">
        <v>129</v>
      </c>
      <c r="C19" s="71">
        <v>152</v>
      </c>
      <c r="D19" s="71">
        <v>258.60000000000002</v>
      </c>
      <c r="E19" s="71">
        <v>266</v>
      </c>
      <c r="F19" s="72">
        <v>147</v>
      </c>
      <c r="G19" s="71">
        <f>IS!G$42*BS!G7</f>
        <v>202.83803237520996</v>
      </c>
    </row>
    <row r="20" spans="2:7" x14ac:dyDescent="0.25">
      <c r="B20" s="73" t="s">
        <v>130</v>
      </c>
      <c r="C20" s="74">
        <v>18035</v>
      </c>
      <c r="D20" s="74">
        <v>25727</v>
      </c>
      <c r="E20" s="74">
        <v>32740</v>
      </c>
      <c r="F20" s="75">
        <v>55629</v>
      </c>
      <c r="G20" s="74">
        <f>SUM(G14:G19)</f>
        <v>84752.105725920439</v>
      </c>
    </row>
    <row r="21" spans="2:7" x14ac:dyDescent="0.25">
      <c r="B21" s="70" t="s">
        <v>131</v>
      </c>
      <c r="C21" s="71">
        <v>2902</v>
      </c>
      <c r="D21" s="71">
        <v>3052.2</v>
      </c>
      <c r="E21" s="71">
        <v>3216</v>
      </c>
      <c r="F21" s="72">
        <v>2802</v>
      </c>
      <c r="G21" s="71">
        <f>F21-CFS!G28-CFS!G29</f>
        <v>2918.25</v>
      </c>
    </row>
    <row r="22" spans="2:7" x14ac:dyDescent="0.25">
      <c r="B22" s="70" t="s">
        <v>132</v>
      </c>
      <c r="C22" s="71">
        <v>4073</v>
      </c>
      <c r="D22" s="71">
        <v>4939.7</v>
      </c>
      <c r="E22" s="71">
        <v>5770</v>
      </c>
      <c r="F22" s="72">
        <v>5898</v>
      </c>
      <c r="G22" s="71">
        <f>F22-CFS!G32</f>
        <v>6643.05</v>
      </c>
    </row>
    <row r="23" spans="2:7" x14ac:dyDescent="0.25">
      <c r="B23" s="70" t="s">
        <v>133</v>
      </c>
      <c r="C23" s="71">
        <v>7207</v>
      </c>
      <c r="D23" s="71">
        <v>6906.6</v>
      </c>
      <c r="E23" s="71">
        <v>6166</v>
      </c>
      <c r="F23" s="72">
        <v>6521</v>
      </c>
      <c r="G23" s="71">
        <f>F23</f>
        <v>6521</v>
      </c>
    </row>
    <row r="24" spans="2:7" x14ac:dyDescent="0.25">
      <c r="B24" s="70" t="s">
        <v>134</v>
      </c>
      <c r="C24" s="71">
        <v>2793</v>
      </c>
      <c r="D24" s="71">
        <v>5477.3</v>
      </c>
      <c r="E24" s="71">
        <v>8001</v>
      </c>
      <c r="F24" s="72">
        <v>9959</v>
      </c>
      <c r="G24" s="71">
        <f>F24-CFS!G16</f>
        <v>12202.666666666666</v>
      </c>
    </row>
    <row r="25" spans="2:7" x14ac:dyDescent="0.25">
      <c r="B25" s="70" t="s">
        <v>135</v>
      </c>
      <c r="C25" s="71">
        <v>10144</v>
      </c>
      <c r="D25" s="71">
        <v>12913.6</v>
      </c>
      <c r="E25" s="71">
        <v>17102</v>
      </c>
      <c r="F25" s="72">
        <v>24675</v>
      </c>
      <c r="G25" s="71">
        <f>F25-CFS!G27-CFS!G15</f>
        <v>31388.953662641157</v>
      </c>
    </row>
    <row r="26" spans="2:7" x14ac:dyDescent="0.25">
      <c r="B26" s="70" t="s">
        <v>136</v>
      </c>
      <c r="C26" s="71">
        <v>4337</v>
      </c>
      <c r="D26" s="71">
        <v>4989.8999999999996</v>
      </c>
      <c r="E26" s="71">
        <v>5720</v>
      </c>
      <c r="F26" s="72">
        <v>6992</v>
      </c>
      <c r="G26" s="71">
        <f>F26-CFS!G18-CFS!G20-CFS!G30-CFS!G33-CFS!G41</f>
        <v>7522.0250000000005</v>
      </c>
    </row>
    <row r="27" spans="2:7" x14ac:dyDescent="0.25">
      <c r="B27" s="73" t="s">
        <v>137</v>
      </c>
      <c r="C27" s="74">
        <v>49489.8</v>
      </c>
      <c r="D27" s="74">
        <v>64006.3</v>
      </c>
      <c r="E27" s="74">
        <v>78715</v>
      </c>
      <c r="F27" s="75">
        <v>112476</v>
      </c>
      <c r="G27" s="74">
        <f>G20+SUM(G21:G26)</f>
        <v>151948.05105522828</v>
      </c>
    </row>
    <row r="28" spans="2:7" x14ac:dyDescent="0.25">
      <c r="F28" s="51"/>
    </row>
    <row r="29" spans="2:7" x14ac:dyDescent="0.25">
      <c r="B29" s="70" t="s">
        <v>138</v>
      </c>
      <c r="C29" s="71">
        <v>1501.1</v>
      </c>
      <c r="D29" s="71">
        <v>6904.5</v>
      </c>
      <c r="E29" s="71">
        <v>5117</v>
      </c>
      <c r="F29" s="72">
        <v>1635</v>
      </c>
      <c r="G29" s="71">
        <f>F29+CFS!G37</f>
        <v>1718.82</v>
      </c>
    </row>
    <row r="30" spans="2:7" x14ac:dyDescent="0.25">
      <c r="B30" s="70" t="s">
        <v>139</v>
      </c>
      <c r="C30" s="71">
        <v>1930.6</v>
      </c>
      <c r="D30" s="71">
        <v>2598.8000000000002</v>
      </c>
      <c r="E30" s="71">
        <v>3229</v>
      </c>
      <c r="F30" s="72">
        <v>5379</v>
      </c>
      <c r="G30" s="71">
        <f>IS!G$43*BS!G8</f>
        <v>8499.1381272000017</v>
      </c>
    </row>
    <row r="31" spans="2:7" x14ac:dyDescent="0.25">
      <c r="B31" s="70" t="s">
        <v>140</v>
      </c>
      <c r="C31" s="71">
        <v>1059.8</v>
      </c>
      <c r="D31" s="71">
        <v>1650.4</v>
      </c>
      <c r="E31" s="71">
        <v>2094</v>
      </c>
      <c r="F31" s="72">
        <v>2375</v>
      </c>
      <c r="G31" s="71">
        <f>IS!G$42*BS!G9</f>
        <v>3277.1450808919976</v>
      </c>
    </row>
    <row r="32" spans="2:7" x14ac:dyDescent="0.25">
      <c r="B32" s="70" t="s">
        <v>141</v>
      </c>
      <c r="C32" s="71">
        <v>8784.1</v>
      </c>
      <c r="D32" s="71">
        <v>11689</v>
      </c>
      <c r="E32" s="71">
        <v>11539</v>
      </c>
      <c r="F32" s="72">
        <v>17382</v>
      </c>
      <c r="G32" s="71">
        <f>IS!G$42*BS!G10</f>
        <v>23984.562440448299</v>
      </c>
    </row>
    <row r="33" spans="2:7" x14ac:dyDescent="0.25">
      <c r="B33" s="70" t="s">
        <v>142</v>
      </c>
      <c r="C33" s="71">
        <v>3862.6</v>
      </c>
      <c r="D33" s="71">
        <v>4450.5</v>
      </c>
      <c r="E33" s="71">
        <v>6397</v>
      </c>
      <c r="F33" s="72">
        <v>8457</v>
      </c>
      <c r="G33" s="71">
        <f>IS!G$42*BS!G11</f>
        <v>11669.396189096264</v>
      </c>
    </row>
    <row r="34" spans="2:7" x14ac:dyDescent="0.25">
      <c r="B34" s="73" t="s">
        <v>143</v>
      </c>
      <c r="C34" s="74">
        <v>17138.2</v>
      </c>
      <c r="D34" s="74">
        <v>27293.200000000001</v>
      </c>
      <c r="E34" s="74">
        <v>28376</v>
      </c>
      <c r="F34" s="75">
        <v>35228</v>
      </c>
      <c r="G34" s="74">
        <f>SUM(G29:G33)</f>
        <v>49149.06183763656</v>
      </c>
    </row>
    <row r="35" spans="2:7" x14ac:dyDescent="0.25">
      <c r="B35" s="70" t="s">
        <v>144</v>
      </c>
      <c r="C35" s="71">
        <v>14737.5</v>
      </c>
      <c r="D35" s="71">
        <v>18320.8</v>
      </c>
      <c r="E35" s="71">
        <v>28527</v>
      </c>
      <c r="F35" s="72">
        <v>40868</v>
      </c>
      <c r="G35" s="71">
        <f>F35+CFS!G38+CFS!G39</f>
        <v>52610.561686641158</v>
      </c>
    </row>
    <row r="36" spans="2:7" x14ac:dyDescent="0.25">
      <c r="B36" s="70" t="s">
        <v>145</v>
      </c>
      <c r="C36" s="71">
        <v>3796.9</v>
      </c>
      <c r="D36" s="71">
        <v>3849.2</v>
      </c>
      <c r="E36" s="71">
        <v>4061</v>
      </c>
      <c r="F36" s="72">
        <v>5875</v>
      </c>
      <c r="G36" s="71">
        <f>F36</f>
        <v>5875</v>
      </c>
    </row>
    <row r="37" spans="2:7" x14ac:dyDescent="0.25">
      <c r="B37" s="70" t="s">
        <v>146</v>
      </c>
      <c r="C37" s="71">
        <v>3041.8</v>
      </c>
      <c r="D37" s="71">
        <v>3679.4</v>
      </c>
      <c r="E37" s="71">
        <v>3479</v>
      </c>
      <c r="F37" s="72">
        <v>3970</v>
      </c>
      <c r="G37" s="71">
        <f>F37</f>
        <v>3970</v>
      </c>
    </row>
    <row r="38" spans="2:7" x14ac:dyDescent="0.25">
      <c r="B38" s="73" t="s">
        <v>147</v>
      </c>
      <c r="C38" s="74">
        <v>21576.2</v>
      </c>
      <c r="D38" s="74">
        <v>25849.4</v>
      </c>
      <c r="E38" s="74">
        <v>36067</v>
      </c>
      <c r="F38" s="75">
        <v>50713</v>
      </c>
      <c r="G38" s="74">
        <f>SUM(G35:G37)</f>
        <v>62455.561686641158</v>
      </c>
    </row>
    <row r="39" spans="2:7" x14ac:dyDescent="0.25">
      <c r="B39" s="73" t="s">
        <v>148</v>
      </c>
      <c r="C39" s="74">
        <v>10775.4</v>
      </c>
      <c r="D39" s="74">
        <v>10863.7</v>
      </c>
      <c r="E39" s="74">
        <v>14272</v>
      </c>
      <c r="F39" s="75">
        <v>26535</v>
      </c>
      <c r="G39" s="74">
        <f>F39+IS!G52+CFS!G17+CFS!G36+CFS!G40</f>
        <v>40343.427530950532</v>
      </c>
    </row>
    <row r="40" spans="2:7" x14ac:dyDescent="0.25">
      <c r="B40" s="73" t="s">
        <v>149</v>
      </c>
      <c r="C40" s="74">
        <v>49489.8</v>
      </c>
      <c r="D40" s="74">
        <v>64006.3</v>
      </c>
      <c r="E40" s="74">
        <v>78715</v>
      </c>
      <c r="F40" s="75">
        <v>112476</v>
      </c>
      <c r="G40" s="74">
        <f>G34+G38+G39</f>
        <v>151948.05105522825</v>
      </c>
    </row>
    <row r="41" spans="2:7" x14ac:dyDescent="0.25">
      <c r="B41" s="46" t="s">
        <v>150</v>
      </c>
      <c r="C41" s="76">
        <v>0</v>
      </c>
      <c r="D41" s="76">
        <v>0</v>
      </c>
      <c r="E41" s="76">
        <v>0</v>
      </c>
      <c r="F41" s="77">
        <v>0</v>
      </c>
      <c r="G41" s="76">
        <f>G27-G40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7"/>
  <sheetViews>
    <sheetView topLeftCell="A19" zoomScale="110" zoomScaleNormal="110" workbookViewId="0">
      <selection activeCell="H2" sqref="H2"/>
    </sheetView>
  </sheetViews>
  <sheetFormatPr defaultColWidth="8.5" defaultRowHeight="15.75" x14ac:dyDescent="0.25"/>
  <cols>
    <col min="1" max="1" width="1.625" style="3" customWidth="1"/>
    <col min="2" max="2" width="43.625" style="3" customWidth="1"/>
    <col min="3" max="17" width="12.125" style="3" customWidth="1"/>
  </cols>
  <sheetData>
    <row r="1" spans="2:7" ht="7.5" customHeight="1" x14ac:dyDescent="0.25"/>
    <row r="2" spans="2:7" ht="15.75" customHeight="1" x14ac:dyDescent="0.25">
      <c r="B2" s="25" t="s">
        <v>151</v>
      </c>
      <c r="C2" s="26" t="s">
        <v>103</v>
      </c>
      <c r="D2" s="26" t="s">
        <v>104</v>
      </c>
      <c r="E2" s="26" t="s">
        <v>105</v>
      </c>
      <c r="F2" s="47" t="s">
        <v>106</v>
      </c>
      <c r="G2" s="26" t="s">
        <v>107</v>
      </c>
    </row>
    <row r="3" spans="2:7" ht="15.75" customHeight="1" x14ac:dyDescent="0.25">
      <c r="B3" s="40" t="s">
        <v>152</v>
      </c>
      <c r="C3" s="43">
        <f>CFS!C15/IS!C42</f>
        <v>5.3343564085854223E-2</v>
      </c>
      <c r="D3" s="43">
        <f>CFS!D15/IS!D42</f>
        <v>4.4748432925703525E-2</v>
      </c>
      <c r="E3" s="43">
        <f>CFS!E15/IS!E42</f>
        <v>3.9229442284765353E-2</v>
      </c>
      <c r="F3" s="49">
        <f>CFS!F15/IS!F42</f>
        <v>3.0638467616351764E-2</v>
      </c>
      <c r="G3" s="63">
        <v>2.5000000000000001E-2</v>
      </c>
    </row>
    <row r="4" spans="2:7" ht="15.75" customHeight="1" x14ac:dyDescent="0.25">
      <c r="B4" s="3" t="s">
        <v>153</v>
      </c>
      <c r="C4" s="43">
        <f>CFS!C17/IS!C42</f>
        <v>1.3002165275704764E-2</v>
      </c>
      <c r="D4" s="43">
        <f>CFS!D17/IS!D42</f>
        <v>1.8432720569919788E-2</v>
      </c>
      <c r="E4" s="43">
        <f>CFS!E17/IS!E42</f>
        <v>1.4341946641742173E-2</v>
      </c>
      <c r="F4" s="49">
        <f>CFS!F17/IS!F42</f>
        <v>9.6042467340191305E-3</v>
      </c>
      <c r="G4" s="63">
        <f>F4</f>
        <v>9.6042467340191305E-3</v>
      </c>
    </row>
    <row r="5" spans="2:7" ht="15.75" customHeight="1" x14ac:dyDescent="0.25">
      <c r="B5" s="3" t="s">
        <v>154</v>
      </c>
      <c r="C5" s="43">
        <f>CFS!C27/IS!C42</f>
        <v>-6.4968782190081759E-2</v>
      </c>
      <c r="D5" s="43">
        <f>CFS!D27/IS!D42</f>
        <v>-0.10104295790951262</v>
      </c>
      <c r="E5" s="43">
        <f>CFS!E27/IS!E42</f>
        <v>-0.11229344599679862</v>
      </c>
      <c r="F5" s="49">
        <f>CFS!F27/IS!F42</f>
        <v>-0.12029856013010225</v>
      </c>
      <c r="G5" s="63">
        <f>AVERAGE(C5:F5)</f>
        <v>-9.9650936556623812E-2</v>
      </c>
    </row>
    <row r="6" spans="2:7" ht="15.75" customHeight="1" x14ac:dyDescent="0.25">
      <c r="B6" s="3" t="s">
        <v>155</v>
      </c>
      <c r="C6" s="43">
        <f>CFS!C36/IS!C52</f>
        <v>-0.56619907763259036</v>
      </c>
      <c r="D6" s="43">
        <f>CFS!D36/IS!D52</f>
        <v>-0.81406049935979508</v>
      </c>
      <c r="E6" s="43">
        <f>CFS!E36/IS!E52</f>
        <v>-0.44193051870178196</v>
      </c>
      <c r="F6" s="49">
        <f>CFS!F36/IS!F52</f>
        <v>-0.2608463942249461</v>
      </c>
      <c r="G6" s="63">
        <v>-0.35</v>
      </c>
    </row>
    <row r="7" spans="2:7" ht="15.75" customHeight="1" x14ac:dyDescent="0.25">
      <c r="B7" s="3" t="s">
        <v>156</v>
      </c>
      <c r="C7" s="43">
        <f>BS!C29/(BS!C34+BS!C38)</f>
        <v>3.8773686276940875E-2</v>
      </c>
      <c r="D7" s="43">
        <f>BS!D29/(BS!D34+BS!D38)</f>
        <v>0.12992401576136658</v>
      </c>
      <c r="E7" s="43">
        <f>BS!E29/(BS!E34+BS!E38)</f>
        <v>7.9403503871638498E-2</v>
      </c>
      <c r="F7" s="49">
        <f>BS!F29/(BS!F34+BS!F38)</f>
        <v>1.9024679722134952E-2</v>
      </c>
      <c r="G7" s="63">
        <v>0.02</v>
      </c>
    </row>
    <row r="8" spans="2:7" ht="15.75" customHeight="1" x14ac:dyDescent="0.25">
      <c r="B8" s="3" t="s">
        <v>157</v>
      </c>
      <c r="C8" s="43"/>
      <c r="D8" s="43">
        <f>(CFS!D38)/(-CFS!D27+IS!D47)</f>
        <v>0.54623471950109004</v>
      </c>
      <c r="E8" s="43">
        <f>(CFS!E38)/(-CFS!E27+IS!E47)</f>
        <v>1.3692075218267294</v>
      </c>
      <c r="F8" s="49">
        <f>(CFS!F38)/(-CFS!F27+IS!F47)</f>
        <v>1.2247802427794057</v>
      </c>
      <c r="G8" s="50">
        <v>1</v>
      </c>
    </row>
    <row r="9" spans="2:7" ht="15.75" customHeight="1" x14ac:dyDescent="0.25">
      <c r="B9" s="3" t="s">
        <v>158</v>
      </c>
      <c r="C9" s="43">
        <f>CFS!C40/IS!C42</f>
        <v>-5.2555235552565735E-2</v>
      </c>
      <c r="D9" s="43">
        <f>CFS!D40/IS!D42</f>
        <v>-2.1978601633449668E-2</v>
      </c>
      <c r="E9" s="43">
        <f>CFS!E40/IS!E42</f>
        <v>-5.5502889480426365E-2</v>
      </c>
      <c r="F9" s="49">
        <f>CFS!F40/IS!F42</f>
        <v>-6.3025951411103176E-2</v>
      </c>
      <c r="G9" s="63">
        <f>AVERAGE(C9:F9)</f>
        <v>-4.826566951938624E-2</v>
      </c>
    </row>
    <row r="10" spans="2:7" ht="15.75" customHeight="1" x14ac:dyDescent="0.25">
      <c r="B10" s="40" t="s">
        <v>159</v>
      </c>
      <c r="F10" s="51"/>
      <c r="G10" s="78">
        <v>0.02</v>
      </c>
    </row>
    <row r="11" spans="2:7" ht="15.75" customHeight="1" x14ac:dyDescent="0.25">
      <c r="B11" s="40" t="s">
        <v>160</v>
      </c>
      <c r="F11" s="51"/>
      <c r="G11" s="79">
        <f>IS!$F$49/(BS!$F$29+BS!$F$35)</f>
        <v>1.3434345810883938E-2</v>
      </c>
    </row>
    <row r="12" spans="2:7" ht="15.75" customHeight="1" x14ac:dyDescent="0.25">
      <c r="F12" s="51"/>
    </row>
    <row r="13" spans="2:7" ht="16.5" customHeight="1" x14ac:dyDescent="0.25">
      <c r="B13" s="67" t="s">
        <v>161</v>
      </c>
      <c r="C13" s="68" t="s">
        <v>103</v>
      </c>
      <c r="D13" s="68" t="s">
        <v>104</v>
      </c>
      <c r="E13" s="68" t="s">
        <v>105</v>
      </c>
      <c r="F13" s="69" t="s">
        <v>106</v>
      </c>
      <c r="G13" s="68" t="s">
        <v>107</v>
      </c>
    </row>
    <row r="14" spans="2:7" x14ac:dyDescent="0.25">
      <c r="B14" s="70" t="s">
        <v>162</v>
      </c>
      <c r="C14" s="71">
        <v>6244.8</v>
      </c>
      <c r="D14" s="71">
        <v>5240</v>
      </c>
      <c r="E14" s="71">
        <v>10590</v>
      </c>
      <c r="F14" s="72">
        <v>20640</v>
      </c>
      <c r="G14" s="71">
        <f>IS!G52</f>
        <v>26593.165227867124</v>
      </c>
    </row>
    <row r="15" spans="2:7" x14ac:dyDescent="0.25">
      <c r="B15" s="70" t="s">
        <v>163</v>
      </c>
      <c r="C15" s="71">
        <v>1522.5</v>
      </c>
      <c r="D15" s="71">
        <v>1527</v>
      </c>
      <c r="E15" s="71">
        <v>1767</v>
      </c>
      <c r="F15" s="72">
        <v>1997</v>
      </c>
      <c r="G15" s="71">
        <f>IS!G$42*CFS!G3</f>
        <v>2248.4492399999999</v>
      </c>
    </row>
    <row r="16" spans="2:7" x14ac:dyDescent="0.25">
      <c r="B16" s="70" t="s">
        <v>164</v>
      </c>
      <c r="C16" s="71">
        <v>-2185.1999999999998</v>
      </c>
      <c r="D16" s="71">
        <v>-2341</v>
      </c>
      <c r="E16" s="71">
        <v>-2683</v>
      </c>
      <c r="F16" s="72">
        <v>-1707</v>
      </c>
      <c r="G16" s="71">
        <f>AVERAGE($D$16:$F$16)</f>
        <v>-2243.6666666666665</v>
      </c>
    </row>
    <row r="17" spans="2:17" x14ac:dyDescent="0.25">
      <c r="B17" s="70" t="s">
        <v>165</v>
      </c>
      <c r="C17" s="71">
        <v>371.1</v>
      </c>
      <c r="D17" s="71">
        <v>629</v>
      </c>
      <c r="E17" s="71">
        <v>646</v>
      </c>
      <c r="F17" s="72">
        <v>626</v>
      </c>
      <c r="G17" s="71">
        <f>IS!G$42*CFS!G4</f>
        <v>863.78645079511182</v>
      </c>
      <c r="L17" s="71"/>
      <c r="M17" s="71"/>
      <c r="N17" s="71"/>
      <c r="O17" s="71"/>
      <c r="P17" s="71"/>
      <c r="Q17" s="71"/>
    </row>
    <row r="18" spans="2:17" x14ac:dyDescent="0.25">
      <c r="B18" s="70" t="s">
        <v>166</v>
      </c>
      <c r="C18" s="71">
        <v>0</v>
      </c>
      <c r="D18" s="71">
        <v>-1879</v>
      </c>
      <c r="E18" s="71">
        <v>-224</v>
      </c>
      <c r="F18" s="72">
        <v>-180</v>
      </c>
      <c r="G18" s="71">
        <f>AVERAGE(C18:F18)</f>
        <v>-570.75</v>
      </c>
      <c r="L18" s="71"/>
      <c r="M18" s="71"/>
      <c r="N18" s="71"/>
      <c r="O18" s="71"/>
      <c r="P18" s="71"/>
      <c r="Q18" s="71"/>
    </row>
    <row r="19" spans="2:17" x14ac:dyDescent="0.25">
      <c r="B19" s="70" t="s">
        <v>167</v>
      </c>
      <c r="C19" s="71">
        <v>420.9</v>
      </c>
      <c r="D19" s="71">
        <v>3800</v>
      </c>
      <c r="E19" s="71">
        <v>3280</v>
      </c>
      <c r="F19" s="72">
        <v>2910</v>
      </c>
      <c r="G19" s="71">
        <f>IS!G47</f>
        <v>3597.5187839999999</v>
      </c>
      <c r="L19" s="71"/>
      <c r="M19" s="71"/>
      <c r="N19" s="71"/>
      <c r="O19" s="71"/>
      <c r="P19" s="71"/>
      <c r="Q19" s="71"/>
    </row>
    <row r="20" spans="2:17" x14ac:dyDescent="0.25">
      <c r="B20" s="70" t="s">
        <v>168</v>
      </c>
      <c r="C20" s="71">
        <v>304.8</v>
      </c>
      <c r="D20" s="71">
        <v>319</v>
      </c>
      <c r="E20" s="71">
        <v>826</v>
      </c>
      <c r="F20" s="72">
        <v>620</v>
      </c>
      <c r="G20" s="71">
        <f>AVERAGE(C20:F20)</f>
        <v>517.45000000000005</v>
      </c>
      <c r="L20" s="71"/>
      <c r="M20" s="71"/>
      <c r="N20" s="71"/>
      <c r="O20" s="71"/>
      <c r="P20" s="71"/>
      <c r="Q20" s="71"/>
    </row>
    <row r="21" spans="2:17" x14ac:dyDescent="0.25">
      <c r="B21" s="70" t="s">
        <v>169</v>
      </c>
      <c r="C21" s="71">
        <v>-299.60000000000002</v>
      </c>
      <c r="D21" s="71">
        <v>-2451</v>
      </c>
      <c r="E21" s="71">
        <v>-2155</v>
      </c>
      <c r="F21" s="72">
        <v>-7000</v>
      </c>
      <c r="G21" s="71">
        <f>-(BS!G15+BS!G16-BS!F15-BS!F16)</f>
        <v>-7432.9938840995092</v>
      </c>
      <c r="L21" s="71"/>
      <c r="M21" s="71"/>
      <c r="N21" s="71"/>
      <c r="O21" s="71"/>
      <c r="P21" s="71"/>
      <c r="Q21" s="71"/>
    </row>
    <row r="22" spans="2:17" x14ac:dyDescent="0.25">
      <c r="B22" s="70" t="s">
        <v>170</v>
      </c>
      <c r="C22" s="71">
        <v>-599.70000000000005</v>
      </c>
      <c r="D22" s="71">
        <v>-1425</v>
      </c>
      <c r="E22" s="71">
        <v>-2507</v>
      </c>
      <c r="F22" s="72">
        <v>-4671</v>
      </c>
      <c r="G22" s="71">
        <f>-(BS!G17-BS!F17)</f>
        <v>-5142.9736159999993</v>
      </c>
      <c r="L22" s="71"/>
      <c r="M22" s="71"/>
      <c r="N22" s="71"/>
      <c r="O22" s="71"/>
      <c r="P22" s="71"/>
      <c r="Q22" s="71"/>
    </row>
    <row r="23" spans="2:17" x14ac:dyDescent="0.25">
      <c r="B23" s="70" t="s">
        <v>171</v>
      </c>
      <c r="C23" s="71">
        <v>-793.5</v>
      </c>
      <c r="D23" s="71">
        <v>-3453</v>
      </c>
      <c r="E23" s="71">
        <v>-3331</v>
      </c>
      <c r="F23" s="72">
        <v>-6609</v>
      </c>
      <c r="G23" s="71">
        <f>-(BS!G18+BS!G19-BS!F18-BS!F19)</f>
        <v>-8225.3304323752091</v>
      </c>
      <c r="L23" s="71"/>
      <c r="M23" s="71"/>
      <c r="N23" s="71"/>
      <c r="O23" s="71"/>
      <c r="P23" s="71"/>
      <c r="Q23" s="71"/>
    </row>
    <row r="24" spans="2:17" x14ac:dyDescent="0.25">
      <c r="B24" s="70" t="s">
        <v>172</v>
      </c>
      <c r="C24" s="71">
        <v>1678.3</v>
      </c>
      <c r="D24" s="71">
        <v>4274</v>
      </c>
      <c r="E24" s="71">
        <v>2609</v>
      </c>
      <c r="F24" s="72">
        <v>10187</v>
      </c>
      <c r="G24" s="71">
        <f>(BS!G30+BS!G31+BS!G32+BS!G33+BS!G36+BS!G37)-(BS!F30+BS!F31+BS!F32+BS!F33+BS!F36+BS!F37)</f>
        <v>13837.241837636568</v>
      </c>
      <c r="L24" s="71"/>
      <c r="M24" s="71"/>
      <c r="N24" s="71"/>
      <c r="O24" s="71"/>
      <c r="P24" s="71"/>
      <c r="Q24" s="71"/>
    </row>
    <row r="25" spans="2:17" x14ac:dyDescent="0.25">
      <c r="B25" s="73" t="s">
        <v>173</v>
      </c>
      <c r="C25" s="71">
        <v>7084.4</v>
      </c>
      <c r="D25" s="74">
        <v>4240</v>
      </c>
      <c r="E25" s="74">
        <v>8818</v>
      </c>
      <c r="F25" s="75">
        <v>16813</v>
      </c>
      <c r="G25" s="74">
        <f>SUM(G14:G24)</f>
        <v>24041.896941157422</v>
      </c>
      <c r="L25" s="74"/>
      <c r="M25" s="74"/>
      <c r="N25" s="74"/>
      <c r="O25" s="74"/>
      <c r="P25" s="74"/>
      <c r="Q25" s="74"/>
    </row>
    <row r="26" spans="2:17" x14ac:dyDescent="0.25">
      <c r="F26" s="51"/>
    </row>
    <row r="27" spans="2:17" x14ac:dyDescent="0.25">
      <c r="B27" s="70" t="s">
        <v>174</v>
      </c>
      <c r="C27" s="71">
        <v>-1854.3</v>
      </c>
      <c r="D27" s="71">
        <v>-3448</v>
      </c>
      <c r="E27" s="71">
        <v>-5058</v>
      </c>
      <c r="F27" s="72">
        <v>-7841</v>
      </c>
      <c r="G27" s="71">
        <f>IS!G$42*CFS!G5</f>
        <v>-8962.4029026411608</v>
      </c>
      <c r="L27" s="71"/>
      <c r="M27" s="71"/>
      <c r="N27" s="71"/>
      <c r="O27" s="71"/>
      <c r="P27" s="71"/>
      <c r="Q27" s="71"/>
    </row>
    <row r="28" spans="2:17" x14ac:dyDescent="0.25">
      <c r="B28" s="70" t="s">
        <v>175</v>
      </c>
      <c r="C28" s="71">
        <v>342.2</v>
      </c>
      <c r="D28" s="71">
        <v>508</v>
      </c>
      <c r="E28" s="71">
        <v>374</v>
      </c>
      <c r="F28" s="72">
        <v>964</v>
      </c>
      <c r="G28" s="71">
        <f>AVERAGE(C28:F28)</f>
        <v>547.04999999999995</v>
      </c>
      <c r="L28" s="71"/>
      <c r="M28" s="71"/>
      <c r="N28" s="71"/>
      <c r="O28" s="71"/>
      <c r="P28" s="71"/>
      <c r="Q28" s="71"/>
    </row>
    <row r="29" spans="2:17" x14ac:dyDescent="0.25">
      <c r="B29" s="70" t="s">
        <v>176</v>
      </c>
      <c r="C29" s="71">
        <v>-600.20000000000005</v>
      </c>
      <c r="D29" s="71">
        <v>-731</v>
      </c>
      <c r="E29" s="71">
        <v>-677</v>
      </c>
      <c r="F29" s="72">
        <v>-645</v>
      </c>
      <c r="G29" s="71">
        <f>AVERAGE(C29:F29)</f>
        <v>-663.3</v>
      </c>
      <c r="L29" s="71"/>
      <c r="M29" s="71"/>
      <c r="N29" s="71"/>
      <c r="O29" s="71"/>
      <c r="P29" s="71"/>
      <c r="Q29" s="71"/>
    </row>
    <row r="30" spans="2:17" x14ac:dyDescent="0.25">
      <c r="B30" s="70" t="s">
        <v>177</v>
      </c>
      <c r="C30" s="71">
        <v>0</v>
      </c>
      <c r="D30" s="71">
        <v>1604</v>
      </c>
      <c r="E30" s="71">
        <v>601</v>
      </c>
      <c r="F30" s="72">
        <v>218</v>
      </c>
      <c r="G30" s="71">
        <v>0</v>
      </c>
      <c r="L30" s="71"/>
      <c r="M30" s="71"/>
      <c r="N30" s="71"/>
      <c r="O30" s="71"/>
      <c r="P30" s="71"/>
      <c r="Q30" s="71"/>
    </row>
    <row r="31" spans="2:17" x14ac:dyDescent="0.25">
      <c r="B31" s="70" t="s">
        <v>178</v>
      </c>
      <c r="C31" s="71">
        <v>-629.70000000000005</v>
      </c>
      <c r="D31" s="71">
        <v>-3944</v>
      </c>
      <c r="E31" s="71">
        <v>-3346</v>
      </c>
      <c r="F31" s="72">
        <v>-3008</v>
      </c>
      <c r="G31" s="71">
        <f>-G19</f>
        <v>-3597.5187839999999</v>
      </c>
      <c r="L31" s="71"/>
      <c r="M31" s="71"/>
      <c r="N31" s="71"/>
      <c r="O31" s="71"/>
      <c r="P31" s="71"/>
      <c r="Q31" s="71"/>
    </row>
    <row r="32" spans="2:17" x14ac:dyDescent="0.25">
      <c r="B32" s="70" t="s">
        <v>179</v>
      </c>
      <c r="C32" s="71">
        <v>-327.2</v>
      </c>
      <c r="D32" s="71">
        <v>-1044</v>
      </c>
      <c r="E32" s="71">
        <v>-948</v>
      </c>
      <c r="F32" s="72">
        <v>-661</v>
      </c>
      <c r="G32" s="71">
        <f>AVERAGE(C32:F32)</f>
        <v>-745.05</v>
      </c>
      <c r="L32" s="71"/>
      <c r="M32" s="71"/>
      <c r="N32" s="71"/>
      <c r="O32" s="71"/>
      <c r="P32" s="71"/>
      <c r="Q32" s="71"/>
    </row>
    <row r="33" spans="2:17" x14ac:dyDescent="0.25">
      <c r="B33" s="70" t="s">
        <v>180</v>
      </c>
      <c r="C33" s="71">
        <v>-206.4</v>
      </c>
      <c r="D33" s="71">
        <v>-98</v>
      </c>
      <c r="E33" s="71">
        <v>-248</v>
      </c>
      <c r="F33" s="72">
        <v>1</v>
      </c>
      <c r="G33" s="71">
        <v>0</v>
      </c>
      <c r="L33" s="71"/>
      <c r="M33" s="71"/>
      <c r="N33" s="71"/>
      <c r="O33" s="71"/>
      <c r="P33" s="71"/>
      <c r="Q33" s="71"/>
    </row>
    <row r="34" spans="2:17" x14ac:dyDescent="0.25">
      <c r="B34" s="73" t="s">
        <v>181</v>
      </c>
      <c r="C34" s="74">
        <v>-3261.6</v>
      </c>
      <c r="D34" s="74">
        <v>-7153</v>
      </c>
      <c r="E34" s="74">
        <v>-9302</v>
      </c>
      <c r="F34" s="75">
        <v>-10972</v>
      </c>
      <c r="G34" s="74">
        <f>SUM(G27:G33)</f>
        <v>-13421.22168664116</v>
      </c>
      <c r="L34" s="74"/>
      <c r="M34" s="74"/>
      <c r="N34" s="74"/>
      <c r="O34" s="74"/>
      <c r="P34" s="74"/>
      <c r="Q34" s="74"/>
    </row>
    <row r="35" spans="2:17" x14ac:dyDescent="0.25">
      <c r="F35" s="51"/>
    </row>
    <row r="36" spans="2:17" x14ac:dyDescent="0.25">
      <c r="B36" s="70" t="s">
        <v>182</v>
      </c>
      <c r="C36" s="71">
        <v>-3535.8</v>
      </c>
      <c r="D36" s="71">
        <v>-4069</v>
      </c>
      <c r="E36" s="71">
        <v>-4680</v>
      </c>
      <c r="F36" s="72">
        <v>-5384</v>
      </c>
      <c r="G36" s="71">
        <f>IS!G$52*CFS!G6</f>
        <v>-9307.6078297534932</v>
      </c>
      <c r="L36" s="71"/>
      <c r="M36" s="71"/>
      <c r="N36" s="71"/>
      <c r="O36" s="71"/>
      <c r="P36" s="71"/>
      <c r="Q36" s="71"/>
    </row>
    <row r="37" spans="2:17" x14ac:dyDescent="0.25">
      <c r="B37" s="70" t="s">
        <v>183</v>
      </c>
      <c r="C37" s="71">
        <v>1498</v>
      </c>
      <c r="D37" s="71">
        <v>4691</v>
      </c>
      <c r="E37" s="71">
        <v>-1852</v>
      </c>
      <c r="F37" s="72">
        <v>-4338</v>
      </c>
      <c r="G37" s="71">
        <f>(BS!F34+BS!F38)*CFS!G7-BS!F29</f>
        <v>83.819999999999936</v>
      </c>
      <c r="L37" s="71"/>
      <c r="M37" s="71"/>
      <c r="N37" s="71"/>
      <c r="O37" s="71"/>
      <c r="P37" s="71"/>
      <c r="Q37" s="71"/>
    </row>
    <row r="38" spans="2:17" x14ac:dyDescent="0.25">
      <c r="B38" s="70" t="s">
        <v>184</v>
      </c>
      <c r="C38" s="71">
        <v>0</v>
      </c>
      <c r="D38" s="71">
        <v>3959</v>
      </c>
      <c r="E38" s="71">
        <v>11417</v>
      </c>
      <c r="F38" s="72">
        <v>13167</v>
      </c>
      <c r="G38" s="71">
        <f>(-G27+IS!G47)*CFS!G8</f>
        <v>12559.921686641161</v>
      </c>
      <c r="L38" s="71"/>
      <c r="M38" s="71"/>
      <c r="N38" s="71"/>
      <c r="O38" s="71"/>
      <c r="P38" s="71"/>
      <c r="Q38" s="71"/>
    </row>
    <row r="39" spans="2:17" x14ac:dyDescent="0.25">
      <c r="B39" s="70" t="s">
        <v>185</v>
      </c>
      <c r="C39" s="71">
        <v>-1560</v>
      </c>
      <c r="D39" s="71">
        <v>0</v>
      </c>
      <c r="E39" s="71">
        <v>-664</v>
      </c>
      <c r="F39" s="72">
        <v>-778</v>
      </c>
      <c r="G39" s="71">
        <f>-BS!F35*CFS!G10</f>
        <v>-817.36</v>
      </c>
      <c r="L39" s="71"/>
      <c r="M39" s="71"/>
      <c r="N39" s="71"/>
      <c r="O39" s="71"/>
      <c r="P39" s="71"/>
      <c r="Q39" s="71"/>
    </row>
    <row r="40" spans="2:17" x14ac:dyDescent="0.25">
      <c r="B40" s="70" t="s">
        <v>186</v>
      </c>
      <c r="C40" s="71">
        <v>-1500</v>
      </c>
      <c r="D40" s="71">
        <v>-750</v>
      </c>
      <c r="E40" s="71">
        <v>-2500</v>
      </c>
      <c r="F40" s="72">
        <v>-4108</v>
      </c>
      <c r="G40" s="71">
        <f>IS!G42*CFS!G9</f>
        <v>-4340.9163179582065</v>
      </c>
      <c r="L40" s="71"/>
      <c r="M40" s="71"/>
      <c r="N40" s="71"/>
      <c r="O40" s="71"/>
      <c r="P40" s="71"/>
      <c r="Q40" s="71"/>
    </row>
    <row r="41" spans="2:17" x14ac:dyDescent="0.25">
      <c r="B41" s="70" t="s">
        <v>187</v>
      </c>
      <c r="C41" s="71">
        <v>-308.89999999999998</v>
      </c>
      <c r="D41" s="71">
        <v>-335</v>
      </c>
      <c r="E41" s="71">
        <v>-491</v>
      </c>
      <c r="F41" s="72">
        <v>-772</v>
      </c>
      <c r="G41" s="71">
        <f>AVERAGE(C41:F41)</f>
        <v>-476.72500000000002</v>
      </c>
      <c r="L41" s="71"/>
      <c r="M41" s="71"/>
      <c r="N41" s="71"/>
      <c r="O41" s="71"/>
      <c r="P41" s="71"/>
      <c r="Q41" s="71"/>
    </row>
    <row r="42" spans="2:17" x14ac:dyDescent="0.25">
      <c r="B42" s="73" t="s">
        <v>188</v>
      </c>
      <c r="C42" s="74">
        <v>-5406.7</v>
      </c>
      <c r="D42" s="74">
        <v>3496</v>
      </c>
      <c r="E42" s="74">
        <v>1230</v>
      </c>
      <c r="F42" s="75">
        <v>-2213</v>
      </c>
      <c r="G42" s="74">
        <f>SUM(G36:G41)</f>
        <v>-2298.8674610705393</v>
      </c>
      <c r="L42" s="74"/>
      <c r="M42" s="74"/>
      <c r="N42" s="74"/>
      <c r="O42" s="74"/>
      <c r="P42" s="74"/>
      <c r="Q42" s="74"/>
    </row>
    <row r="43" spans="2:17" x14ac:dyDescent="0.25">
      <c r="F43" s="51"/>
    </row>
    <row r="44" spans="2:17" x14ac:dyDescent="0.25">
      <c r="B44" s="70" t="s">
        <v>189</v>
      </c>
      <c r="C44" s="71">
        <v>-167.6</v>
      </c>
      <c r="D44" s="71">
        <v>169</v>
      </c>
      <c r="E44" s="71">
        <v>-297</v>
      </c>
      <c r="F44" s="72">
        <v>372</v>
      </c>
      <c r="G44" s="71">
        <v>0</v>
      </c>
      <c r="L44" s="71"/>
      <c r="M44" s="71"/>
      <c r="N44" s="71"/>
      <c r="O44" s="71"/>
      <c r="P44" s="71"/>
      <c r="Q44" s="71"/>
    </row>
    <row r="45" spans="2:17" x14ac:dyDescent="0.25">
      <c r="B45" s="73" t="s">
        <v>190</v>
      </c>
      <c r="C45" s="74">
        <v>-1751.5</v>
      </c>
      <c r="D45" s="74">
        <v>752</v>
      </c>
      <c r="E45" s="74">
        <v>449</v>
      </c>
      <c r="F45" s="75">
        <v>4000</v>
      </c>
      <c r="G45" s="74">
        <f>G25+G34+G42+G44</f>
        <v>8321.8077934457215</v>
      </c>
      <c r="L45" s="74"/>
      <c r="M45" s="74"/>
      <c r="N45" s="74"/>
      <c r="O45" s="74"/>
      <c r="P45" s="74"/>
      <c r="Q45" s="74"/>
    </row>
    <row r="46" spans="2:17" x14ac:dyDescent="0.25">
      <c r="B46" s="70" t="s">
        <v>191</v>
      </c>
      <c r="C46" s="71">
        <v>3818.5</v>
      </c>
      <c r="D46" s="71">
        <v>2067</v>
      </c>
      <c r="E46" s="71">
        <v>2818.6</v>
      </c>
      <c r="F46" s="72">
        <v>3268</v>
      </c>
      <c r="G46" s="71">
        <f>BS!F14</f>
        <v>7268</v>
      </c>
      <c r="L46" s="71"/>
      <c r="M46" s="71"/>
      <c r="N46" s="71"/>
      <c r="O46" s="71"/>
      <c r="P46" s="71"/>
      <c r="Q46" s="71"/>
    </row>
    <row r="47" spans="2:17" x14ac:dyDescent="0.25">
      <c r="B47" s="73" t="s">
        <v>192</v>
      </c>
      <c r="C47" s="74">
        <v>2067</v>
      </c>
      <c r="D47" s="74">
        <v>2819</v>
      </c>
      <c r="E47" s="74">
        <v>3267.6</v>
      </c>
      <c r="F47" s="75">
        <v>7268</v>
      </c>
      <c r="G47" s="74">
        <f>G46+G45</f>
        <v>15589.807793445721</v>
      </c>
      <c r="L47" s="74"/>
      <c r="M47" s="74"/>
      <c r="N47" s="74"/>
      <c r="O47" s="74"/>
      <c r="P47" s="74"/>
      <c r="Q47" s="7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0"/>
  <sheetViews>
    <sheetView tabSelected="1" topLeftCell="A71" zoomScale="110" zoomScaleNormal="110" workbookViewId="0">
      <selection activeCell="H96" sqref="H96"/>
    </sheetView>
  </sheetViews>
  <sheetFormatPr defaultColWidth="8.5" defaultRowHeight="15.75" x14ac:dyDescent="0.25"/>
  <cols>
    <col min="1" max="1" width="2" style="3" customWidth="1"/>
    <col min="2" max="2" width="37.375" style="3" customWidth="1"/>
    <col min="3" max="4" width="8.375" style="3" hidden="1" customWidth="1"/>
    <col min="5" max="5" width="12.375" style="3" hidden="1" customWidth="1"/>
    <col min="6" max="14" width="12.375" style="3" customWidth="1"/>
    <col min="16" max="16" width="14.625" style="3" customWidth="1"/>
    <col min="17" max="17" width="17.875" style="3" customWidth="1"/>
  </cols>
  <sheetData>
    <row r="1" spans="2:17" ht="10.5" customHeight="1" x14ac:dyDescent="0.25"/>
    <row r="2" spans="2:17" ht="24" customHeight="1" x14ac:dyDescent="0.4">
      <c r="B2" s="80" t="s">
        <v>42</v>
      </c>
      <c r="C2" s="27"/>
      <c r="D2" s="27"/>
      <c r="E2" s="27"/>
      <c r="F2" s="27"/>
      <c r="G2" s="27"/>
      <c r="H2" s="81"/>
      <c r="I2" s="81"/>
      <c r="J2" s="81"/>
      <c r="K2" s="81"/>
      <c r="L2" s="81"/>
      <c r="M2" s="81"/>
      <c r="N2" s="81"/>
      <c r="O2" s="82"/>
      <c r="P2" s="82"/>
      <c r="Q2" s="82"/>
    </row>
    <row r="4" spans="2:17" x14ac:dyDescent="0.25">
      <c r="B4" s="3" t="s">
        <v>193</v>
      </c>
      <c r="C4" s="83"/>
      <c r="D4" s="84"/>
      <c r="E4" s="84"/>
      <c r="F4" s="84"/>
      <c r="G4" s="84"/>
      <c r="H4" s="85">
        <f ca="1">TODAY()</f>
        <v>46248</v>
      </c>
      <c r="I4" s="86"/>
      <c r="J4" s="86"/>
      <c r="K4" s="86"/>
      <c r="M4" s="86"/>
      <c r="N4" s="86"/>
      <c r="O4" s="86"/>
      <c r="P4" s="86"/>
      <c r="Q4" s="86"/>
    </row>
    <row r="5" spans="2:17" x14ac:dyDescent="0.25">
      <c r="B5" s="3" t="s">
        <v>194</v>
      </c>
      <c r="C5" s="83"/>
      <c r="D5" s="84"/>
      <c r="E5" s="84"/>
      <c r="F5" s="84"/>
      <c r="G5" s="84"/>
      <c r="H5" s="87">
        <f>Main!C3</f>
        <v>1215.02</v>
      </c>
      <c r="I5" s="86"/>
      <c r="J5" s="86"/>
      <c r="K5" s="86"/>
      <c r="L5" s="86"/>
      <c r="M5" s="86"/>
      <c r="N5" s="86"/>
      <c r="O5" s="86"/>
      <c r="P5" s="86"/>
      <c r="Q5" s="86"/>
    </row>
    <row r="6" spans="2:17" x14ac:dyDescent="0.25">
      <c r="B6" s="3" t="s">
        <v>195</v>
      </c>
      <c r="C6" s="83"/>
      <c r="D6" s="84"/>
      <c r="E6" s="84"/>
      <c r="F6" s="84"/>
      <c r="G6" s="84"/>
      <c r="H6" s="88">
        <f>Main!C4</f>
        <v>893.7</v>
      </c>
      <c r="I6" s="86"/>
      <c r="J6" s="86"/>
      <c r="K6" s="86"/>
      <c r="L6" s="86"/>
      <c r="M6" s="86"/>
      <c r="N6" s="86"/>
      <c r="O6" s="86"/>
      <c r="P6" s="86"/>
      <c r="Q6" s="86"/>
    </row>
    <row r="7" spans="2:17" x14ac:dyDescent="0.25">
      <c r="B7" s="83"/>
      <c r="C7" s="83"/>
      <c r="D7" s="84"/>
      <c r="E7" s="84"/>
      <c r="F7" s="84"/>
      <c r="G7" s="84"/>
      <c r="H7" s="89"/>
      <c r="I7" s="86"/>
      <c r="J7" s="86"/>
      <c r="K7" s="86"/>
      <c r="L7" s="86"/>
      <c r="M7" s="86"/>
      <c r="N7" s="86"/>
      <c r="O7" s="86"/>
      <c r="P7" s="86"/>
      <c r="Q7" s="86"/>
    </row>
    <row r="8" spans="2:17" ht="18.75" customHeight="1" x14ac:dyDescent="0.3">
      <c r="B8" s="90" t="s">
        <v>196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86"/>
      <c r="P8" s="86"/>
      <c r="Q8" s="86"/>
    </row>
    <row r="9" spans="2:17" x14ac:dyDescent="0.25">
      <c r="B9" s="83"/>
      <c r="C9" s="83"/>
      <c r="D9" s="91"/>
      <c r="E9" s="92"/>
      <c r="F9" s="91"/>
      <c r="G9" s="91"/>
      <c r="H9" s="91"/>
      <c r="I9" s="93"/>
      <c r="J9" s="2" t="s">
        <v>197</v>
      </c>
      <c r="K9" s="2"/>
      <c r="L9" s="2"/>
      <c r="M9" s="2"/>
      <c r="N9" s="2"/>
      <c r="O9" s="86"/>
      <c r="P9" s="86"/>
      <c r="Q9" s="86"/>
    </row>
    <row r="10" spans="2:17" x14ac:dyDescent="0.25">
      <c r="B10" s="83"/>
      <c r="C10" s="94">
        <f>D10-365</f>
        <v>-730</v>
      </c>
      <c r="D10" s="95">
        <f>E10-365</f>
        <v>-365</v>
      </c>
      <c r="E10" s="96"/>
      <c r="F10" s="96" t="s">
        <v>103</v>
      </c>
      <c r="G10" s="96" t="s">
        <v>104</v>
      </c>
      <c r="H10" s="96" t="s">
        <v>105</v>
      </c>
      <c r="I10" s="96" t="s">
        <v>106</v>
      </c>
      <c r="J10" s="97" t="s">
        <v>107</v>
      </c>
      <c r="K10" s="97" t="s">
        <v>108</v>
      </c>
      <c r="L10" s="97" t="s">
        <v>109</v>
      </c>
      <c r="M10" s="97" t="s">
        <v>110</v>
      </c>
      <c r="N10" s="98" t="s">
        <v>111</v>
      </c>
      <c r="O10" s="86"/>
      <c r="P10" s="99"/>
      <c r="Q10" s="99"/>
    </row>
    <row r="11" spans="2:17" x14ac:dyDescent="0.25">
      <c r="B11" s="83" t="s">
        <v>198</v>
      </c>
      <c r="C11" s="100"/>
      <c r="D11" s="101"/>
      <c r="E11" s="101"/>
      <c r="F11" s="102">
        <f>IS!C42</f>
        <v>28541.400000000005</v>
      </c>
      <c r="G11" s="102">
        <f>IS!D42</f>
        <v>34124.100000000006</v>
      </c>
      <c r="H11" s="102">
        <f>IS!E42</f>
        <v>45042.69999999999</v>
      </c>
      <c r="I11" s="102">
        <f>IS!F42</f>
        <v>65179.500000000007</v>
      </c>
      <c r="J11" s="103">
        <f>IS!G42</f>
        <v>89937.969599999997</v>
      </c>
      <c r="K11" s="103">
        <f>IS!H42</f>
        <v>112214.88858</v>
      </c>
      <c r="L11" s="103">
        <f>IS!I42</f>
        <v>131632.95739494238</v>
      </c>
      <c r="M11" s="103">
        <f>IS!J42</f>
        <v>143616.71384134586</v>
      </c>
      <c r="N11" s="103">
        <f>IS!K42</f>
        <v>150494.34467616153</v>
      </c>
      <c r="O11" s="104"/>
      <c r="P11" s="86"/>
      <c r="Q11" s="86"/>
    </row>
    <row r="12" spans="2:17" x14ac:dyDescent="0.25">
      <c r="B12" s="83"/>
      <c r="C12" s="105"/>
      <c r="D12" s="84"/>
      <c r="E12" s="84"/>
      <c r="F12" s="84"/>
      <c r="G12" s="84"/>
      <c r="H12" s="89"/>
      <c r="I12" s="86"/>
      <c r="J12" s="106"/>
      <c r="K12" s="106"/>
      <c r="L12" s="106"/>
      <c r="M12" s="106"/>
      <c r="N12" s="106"/>
      <c r="O12" s="86"/>
      <c r="P12" s="86"/>
      <c r="Q12" s="86"/>
    </row>
    <row r="13" spans="2:17" x14ac:dyDescent="0.25">
      <c r="B13" s="83" t="s">
        <v>199</v>
      </c>
      <c r="C13" s="100"/>
      <c r="D13" s="107"/>
      <c r="E13" s="107"/>
      <c r="F13" s="108">
        <f>IS!C50+IS!C49</f>
        <v>6905.2999999999993</v>
      </c>
      <c r="G13" s="108">
        <f>IS!D50+IS!D49</f>
        <v>6457.9000000000005</v>
      </c>
      <c r="H13" s="108">
        <f>IS!E50+IS!E49</f>
        <v>12899</v>
      </c>
      <c r="I13" s="108">
        <f>IS!F50+IS!F49</f>
        <v>26302.800000000003</v>
      </c>
      <c r="J13" s="103">
        <f>IS!G50+IS!G49</f>
        <v>33402.068182552008</v>
      </c>
      <c r="K13" s="103">
        <f>IS!H50+IS!H49</f>
        <v>41735.688507112762</v>
      </c>
      <c r="L13" s="103">
        <f>IS!I50+IS!I49</f>
        <v>48939.56679380151</v>
      </c>
      <c r="M13" s="103">
        <f>IS!J50+IS!J49</f>
        <v>53522.092117737702</v>
      </c>
      <c r="N13" s="103">
        <f>IS!K50+IS!K49</f>
        <v>56109.75697417288</v>
      </c>
      <c r="O13" s="86"/>
      <c r="P13" s="86"/>
      <c r="Q13" s="86"/>
    </row>
    <row r="14" spans="2:17" x14ac:dyDescent="0.25">
      <c r="B14" s="83"/>
      <c r="C14" s="105"/>
      <c r="D14" s="84"/>
      <c r="E14" s="84"/>
      <c r="F14" s="84"/>
      <c r="G14" s="84"/>
      <c r="H14" s="89"/>
      <c r="I14" s="86"/>
      <c r="J14" s="106"/>
      <c r="K14" s="106"/>
      <c r="L14" s="106"/>
      <c r="M14" s="106"/>
      <c r="N14" s="106"/>
      <c r="O14" s="86"/>
      <c r="P14" s="86"/>
      <c r="Q14" s="86"/>
    </row>
    <row r="15" spans="2:17" x14ac:dyDescent="0.25">
      <c r="B15" s="83" t="s">
        <v>200</v>
      </c>
      <c r="C15" s="100"/>
      <c r="D15" s="107"/>
      <c r="E15" s="107"/>
      <c r="F15" s="108">
        <f>CFS!C15</f>
        <v>1522.5</v>
      </c>
      <c r="G15" s="108">
        <f>CFS!D15</f>
        <v>1527</v>
      </c>
      <c r="H15" s="108">
        <f>CFS!E15</f>
        <v>1767</v>
      </c>
      <c r="I15" s="108">
        <f>CFS!F15</f>
        <v>1997</v>
      </c>
      <c r="J15" s="103">
        <f>I15*(1+J16)</f>
        <v>2056.91</v>
      </c>
      <c r="K15" s="103">
        <f>J15*(1+K16)</f>
        <v>2108.3327499999996</v>
      </c>
      <c r="L15" s="103">
        <f>K15*(1+L16)</f>
        <v>2161.0410687499993</v>
      </c>
      <c r="M15" s="103">
        <f>L15*(1+M16)</f>
        <v>2215.0670954687494</v>
      </c>
      <c r="N15" s="103">
        <f>M15*(1+N16)</f>
        <v>2270.4437728554681</v>
      </c>
      <c r="O15" s="109" t="s">
        <v>201</v>
      </c>
      <c r="P15" s="109" t="s">
        <v>202</v>
      </c>
      <c r="Q15" s="109" t="s">
        <v>203</v>
      </c>
    </row>
    <row r="16" spans="2:17" x14ac:dyDescent="0.25">
      <c r="B16" s="83"/>
      <c r="C16" s="100"/>
      <c r="D16" s="107"/>
      <c r="E16" s="107"/>
      <c r="F16" s="110">
        <f>F15/F11</f>
        <v>5.3343564085854223E-2</v>
      </c>
      <c r="G16" s="110">
        <f>G15/G11</f>
        <v>4.4748432925703525E-2</v>
      </c>
      <c r="H16" s="110">
        <f>H15/H11</f>
        <v>3.9229442284765353E-2</v>
      </c>
      <c r="I16" s="110">
        <f>I15/I11</f>
        <v>3.0638467616351764E-2</v>
      </c>
      <c r="J16" s="111">
        <v>0.03</v>
      </c>
      <c r="K16" s="111">
        <v>2.5000000000000001E-2</v>
      </c>
      <c r="L16" s="111">
        <f>+K16</f>
        <v>2.5000000000000001E-2</v>
      </c>
      <c r="M16" s="111">
        <f>+L16</f>
        <v>2.5000000000000001E-2</v>
      </c>
      <c r="N16" s="111">
        <f>+M16</f>
        <v>2.5000000000000001E-2</v>
      </c>
      <c r="O16" s="109"/>
      <c r="P16" s="112">
        <f>AVERAGE(C16:I16)</f>
        <v>4.1989976728168718E-2</v>
      </c>
      <c r="Q16" s="112">
        <f>GEOMEAN(C16:I16)</f>
        <v>4.1156151630137194E-2</v>
      </c>
    </row>
    <row r="17" spans="2:17" x14ac:dyDescent="0.25">
      <c r="B17" s="83"/>
      <c r="C17" s="83"/>
      <c r="D17" s="84"/>
      <c r="E17" s="84"/>
      <c r="F17" s="84"/>
      <c r="G17" s="84"/>
      <c r="H17" s="89"/>
      <c r="I17" s="86"/>
      <c r="J17" s="86"/>
      <c r="K17" s="86"/>
      <c r="L17" s="86"/>
      <c r="M17" s="86"/>
      <c r="N17" s="86"/>
      <c r="O17" s="86"/>
      <c r="P17" s="86"/>
      <c r="Q17" s="86"/>
    </row>
    <row r="18" spans="2:17" ht="18.75" customHeight="1" x14ac:dyDescent="0.3">
      <c r="B18" s="113" t="s">
        <v>204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86"/>
      <c r="P18" s="86"/>
      <c r="Q18" s="86"/>
    </row>
    <row r="19" spans="2:17" x14ac:dyDescent="0.25">
      <c r="B19" s="83"/>
      <c r="C19" s="83"/>
      <c r="D19" s="91"/>
      <c r="E19" s="92"/>
      <c r="F19" s="91"/>
      <c r="G19" s="91"/>
      <c r="H19" s="91"/>
      <c r="I19" s="91"/>
      <c r="J19" s="2" t="s">
        <v>197</v>
      </c>
      <c r="K19" s="2"/>
      <c r="L19" s="2"/>
      <c r="M19" s="2"/>
      <c r="N19" s="2"/>
      <c r="O19" s="86"/>
      <c r="P19" s="86"/>
      <c r="Q19" s="86"/>
    </row>
    <row r="20" spans="2:17" x14ac:dyDescent="0.25">
      <c r="B20" s="83"/>
      <c r="C20" s="94">
        <f>D20-365</f>
        <v>-730</v>
      </c>
      <c r="D20" s="95">
        <f>E20-365</f>
        <v>-365</v>
      </c>
      <c r="E20" s="96"/>
      <c r="F20" s="96" t="s">
        <v>103</v>
      </c>
      <c r="G20" s="96" t="s">
        <v>104</v>
      </c>
      <c r="H20" s="96" t="s">
        <v>105</v>
      </c>
      <c r="I20" s="96" t="s">
        <v>106</v>
      </c>
      <c r="J20" s="114" t="s">
        <v>107</v>
      </c>
      <c r="K20" s="114" t="s">
        <v>108</v>
      </c>
      <c r="L20" s="114" t="s">
        <v>109</v>
      </c>
      <c r="M20" s="114" t="s">
        <v>110</v>
      </c>
      <c r="N20" s="115" t="s">
        <v>111</v>
      </c>
      <c r="O20" s="86"/>
      <c r="P20" s="86"/>
      <c r="Q20" s="86"/>
    </row>
    <row r="21" spans="2:17" x14ac:dyDescent="0.25">
      <c r="B21" s="116" t="s">
        <v>205</v>
      </c>
      <c r="C21" s="117"/>
      <c r="D21" s="117"/>
      <c r="E21" s="107"/>
      <c r="F21" s="108">
        <f>BS!C15</f>
        <v>6896</v>
      </c>
      <c r="G21" s="108">
        <f>BS!D15</f>
        <v>9090.5</v>
      </c>
      <c r="H21" s="108">
        <f>BS!E15</f>
        <v>11006</v>
      </c>
      <c r="I21" s="108">
        <f>BS!F15</f>
        <v>17760</v>
      </c>
      <c r="J21" s="118">
        <f>J32*J11</f>
        <v>23042.860389789163</v>
      </c>
      <c r="K21" s="118">
        <f>K32*K11</f>
        <v>28750.393440110372</v>
      </c>
      <c r="L21" s="118">
        <f>L32*L11</f>
        <v>33725.46515600595</v>
      </c>
      <c r="M21" s="118">
        <f>M32*M11</f>
        <v>36795.803834629078</v>
      </c>
      <c r="N21" s="118">
        <f>N32*N11</f>
        <v>38557.910404790819</v>
      </c>
      <c r="O21" s="86"/>
      <c r="P21" s="86"/>
      <c r="Q21" s="86"/>
    </row>
    <row r="22" spans="2:17" x14ac:dyDescent="0.25">
      <c r="B22" s="116" t="s">
        <v>127</v>
      </c>
      <c r="C22" s="117"/>
      <c r="D22" s="117"/>
      <c r="E22" s="107"/>
      <c r="F22" s="108">
        <f>BS!C17</f>
        <v>4310</v>
      </c>
      <c r="G22" s="108">
        <f>BS!D17</f>
        <v>5772.8</v>
      </c>
      <c r="H22" s="108">
        <f>BS!E17</f>
        <v>7589</v>
      </c>
      <c r="I22" s="108">
        <f>BS!F17</f>
        <v>13744</v>
      </c>
      <c r="J22" s="118">
        <f>J33*J11</f>
        <v>15728.529497093234</v>
      </c>
      <c r="K22" s="118">
        <f>K33*K11</f>
        <v>19624.361022305766</v>
      </c>
      <c r="L22" s="118">
        <f>L33*L11</f>
        <v>23020.231192499239</v>
      </c>
      <c r="M22" s="118">
        <f>M33*M11</f>
        <v>25115.974153915151</v>
      </c>
      <c r="N22" s="118">
        <f>N33*N11</f>
        <v>26318.747798201606</v>
      </c>
      <c r="O22" s="86"/>
      <c r="P22" s="86"/>
      <c r="Q22" s="86"/>
    </row>
    <row r="23" spans="2:17" x14ac:dyDescent="0.25">
      <c r="B23" s="116" t="s">
        <v>206</v>
      </c>
      <c r="C23" s="117"/>
      <c r="D23" s="117"/>
      <c r="E23" s="107"/>
      <c r="F23" s="108">
        <f>BS!C18</f>
        <v>2947</v>
      </c>
      <c r="G23" s="108">
        <f>BS!D18</f>
        <v>5540.8</v>
      </c>
      <c r="H23" s="108">
        <f>BS!E18</f>
        <v>8341</v>
      </c>
      <c r="I23" s="108">
        <f>BS!F18</f>
        <v>14315</v>
      </c>
      <c r="J23" s="118">
        <f>J34*J11</f>
        <v>15074.27095892764</v>
      </c>
      <c r="K23" s="118">
        <f>K34*K11</f>
        <v>18808.047853470718</v>
      </c>
      <c r="L23" s="118">
        <f>L34*L11</f>
        <v>22062.660250408178</v>
      </c>
      <c r="M23" s="118">
        <f>M34*M11</f>
        <v>24071.226738870264</v>
      </c>
      <c r="N23" s="118">
        <f>N34*N11</f>
        <v>25223.968692247508</v>
      </c>
      <c r="O23" s="86"/>
      <c r="P23" s="86"/>
      <c r="Q23" s="86"/>
    </row>
    <row r="24" spans="2:17" x14ac:dyDescent="0.25">
      <c r="B24" s="83"/>
      <c r="C24" s="119"/>
      <c r="D24" s="119"/>
      <c r="E24" s="119"/>
      <c r="F24" s="119"/>
      <c r="G24" s="119"/>
      <c r="H24" s="119"/>
      <c r="I24" s="119"/>
      <c r="J24" s="118"/>
      <c r="K24" s="118"/>
      <c r="L24" s="118"/>
      <c r="M24" s="118"/>
      <c r="N24" s="118"/>
      <c r="O24" s="86"/>
      <c r="P24" s="86"/>
      <c r="Q24" s="86"/>
    </row>
    <row r="25" spans="2:17" x14ac:dyDescent="0.25">
      <c r="B25" s="116" t="s">
        <v>207</v>
      </c>
      <c r="C25" s="120"/>
      <c r="D25" s="120"/>
      <c r="E25" s="120"/>
      <c r="F25" s="121">
        <f>BS!C30</f>
        <v>1930.6</v>
      </c>
      <c r="G25" s="121">
        <f>BS!D30</f>
        <v>2598.8000000000002</v>
      </c>
      <c r="H25" s="121">
        <f>BS!E30</f>
        <v>3229</v>
      </c>
      <c r="I25" s="121">
        <f>BS!F30</f>
        <v>5379</v>
      </c>
      <c r="J25" s="118">
        <f>J35*J11</f>
        <v>6700.6685910432107</v>
      </c>
      <c r="K25" s="118">
        <f>K35*K11</f>
        <v>8360.3708500377288</v>
      </c>
      <c r="L25" s="118">
        <f>L35*L11</f>
        <v>9807.07955811379</v>
      </c>
      <c r="M25" s="118">
        <f>M35*M11</f>
        <v>10699.908035121431</v>
      </c>
      <c r="N25" s="118">
        <f>N35*N11</f>
        <v>11212.313697830985</v>
      </c>
      <c r="O25" s="86"/>
      <c r="P25" s="86"/>
      <c r="Q25" s="86"/>
    </row>
    <row r="26" spans="2:17" x14ac:dyDescent="0.25">
      <c r="B26" s="116" t="s">
        <v>208</v>
      </c>
      <c r="C26" s="117"/>
      <c r="D26" s="117"/>
      <c r="E26" s="120"/>
      <c r="F26" s="121">
        <f>BS!C31</f>
        <v>1059.8</v>
      </c>
      <c r="G26" s="121">
        <f>BS!D31</f>
        <v>1650.4</v>
      </c>
      <c r="H26" s="121">
        <f>BS!E31</f>
        <v>2094</v>
      </c>
      <c r="I26" s="121">
        <f>BS!F31</f>
        <v>2375</v>
      </c>
      <c r="J26" s="118">
        <f>J36*J11</f>
        <v>3786.9220446145505</v>
      </c>
      <c r="K26" s="118">
        <f>K36*K11</f>
        <v>4724.9124834319991</v>
      </c>
      <c r="L26" s="118">
        <f>L36*L11</f>
        <v>5542.5283712065839</v>
      </c>
      <c r="M26" s="118">
        <f>M36*M11</f>
        <v>6047.1156068981609</v>
      </c>
      <c r="N26" s="118">
        <f>N36*N11</f>
        <v>6336.704664099695</v>
      </c>
      <c r="O26" s="86"/>
      <c r="P26" s="86"/>
      <c r="Q26" s="86"/>
    </row>
    <row r="27" spans="2:17" x14ac:dyDescent="0.25">
      <c r="B27" s="83"/>
      <c r="C27" s="119"/>
      <c r="D27" s="119"/>
      <c r="E27" s="119"/>
      <c r="F27" s="119"/>
      <c r="G27" s="119"/>
      <c r="H27" s="119"/>
      <c r="I27" s="119"/>
      <c r="J27" s="118"/>
      <c r="K27" s="118"/>
      <c r="L27" s="118"/>
      <c r="M27" s="118"/>
      <c r="N27" s="118"/>
      <c r="O27" s="86"/>
      <c r="P27" s="86"/>
      <c r="Q27" s="86"/>
    </row>
    <row r="28" spans="2:17" x14ac:dyDescent="0.25">
      <c r="B28" s="83" t="s">
        <v>16</v>
      </c>
      <c r="C28" s="117"/>
      <c r="D28" s="117"/>
      <c r="E28" s="120"/>
      <c r="F28" s="121">
        <f>BS!C29+BS!C35</f>
        <v>16238.6</v>
      </c>
      <c r="G28" s="121">
        <f>BS!D29+BS!D35</f>
        <v>25225.3</v>
      </c>
      <c r="H28" s="121">
        <f>BS!E29+BS!E35</f>
        <v>33644</v>
      </c>
      <c r="I28" s="121">
        <f>BS!F29+BS!F35</f>
        <v>42503</v>
      </c>
      <c r="J28" s="118"/>
      <c r="K28" s="118"/>
      <c r="L28" s="118"/>
      <c r="M28" s="118"/>
      <c r="N28" s="118"/>
      <c r="O28" s="86"/>
      <c r="P28" s="86"/>
      <c r="Q28" s="86"/>
    </row>
    <row r="29" spans="2:17" x14ac:dyDescent="0.25">
      <c r="B29" s="83"/>
      <c r="C29" s="119"/>
      <c r="D29" s="119"/>
      <c r="E29" s="119"/>
      <c r="F29" s="119"/>
      <c r="G29" s="119"/>
      <c r="H29" s="119"/>
      <c r="I29" s="119"/>
      <c r="J29" s="118"/>
      <c r="K29" s="118"/>
      <c r="L29" s="118"/>
      <c r="M29" s="118"/>
      <c r="N29" s="118"/>
      <c r="O29" s="86"/>
      <c r="P29" s="86"/>
      <c r="Q29" s="86"/>
    </row>
    <row r="30" spans="2:17" x14ac:dyDescent="0.25">
      <c r="B30" s="83" t="s">
        <v>209</v>
      </c>
      <c r="C30" s="117"/>
      <c r="D30" s="117"/>
      <c r="E30" s="117"/>
      <c r="F30" s="122">
        <f>CFS!C27</f>
        <v>-1854.3</v>
      </c>
      <c r="G30" s="122">
        <f>CFS!D27</f>
        <v>-3448</v>
      </c>
      <c r="H30" s="122">
        <f>CFS!E27</f>
        <v>-5058</v>
      </c>
      <c r="I30" s="122">
        <f>CFS!F27</f>
        <v>-7841</v>
      </c>
      <c r="J30" s="118">
        <f>J37*J11</f>
        <v>-8962.4029026411608</v>
      </c>
      <c r="K30" s="118">
        <f>K37*K11</f>
        <v>-11182.318742594191</v>
      </c>
      <c r="L30" s="118">
        <f>L37*L11</f>
        <v>-13117.347486124168</v>
      </c>
      <c r="M30" s="118">
        <f>M37*M11</f>
        <v>-14311.540039474754</v>
      </c>
      <c r="N30" s="118">
        <f>N37*N11</f>
        <v>-14996.90239345485</v>
      </c>
      <c r="O30" s="86"/>
      <c r="P30" s="86"/>
      <c r="Q30" s="86"/>
    </row>
    <row r="31" spans="2:17" x14ac:dyDescent="0.25">
      <c r="B31" s="83"/>
      <c r="C31" s="117"/>
      <c r="D31" s="117"/>
      <c r="E31" s="117"/>
      <c r="F31" s="122"/>
      <c r="G31" s="122"/>
      <c r="H31" s="122"/>
      <c r="I31" s="122"/>
      <c r="J31" s="103"/>
      <c r="K31" s="103"/>
      <c r="L31" s="103"/>
      <c r="M31" s="103"/>
      <c r="N31" s="103"/>
      <c r="O31" s="109" t="s">
        <v>201</v>
      </c>
      <c r="P31" s="123" t="s">
        <v>210</v>
      </c>
      <c r="Q31" s="123" t="s">
        <v>211</v>
      </c>
    </row>
    <row r="32" spans="2:17" x14ac:dyDescent="0.25">
      <c r="B32" s="124" t="s">
        <v>212</v>
      </c>
      <c r="C32" s="125" t="e">
        <f>C21/C8</f>
        <v>#DIV/0!</v>
      </c>
      <c r="D32" s="125" t="e">
        <f>D21/D8</f>
        <v>#DIV/0!</v>
      </c>
      <c r="E32" s="125" t="e">
        <f>E21/E8</f>
        <v>#DIV/0!</v>
      </c>
      <c r="F32" s="125">
        <f>F21/F11</f>
        <v>0.24161393624699554</v>
      </c>
      <c r="G32" s="125">
        <f>G21/G11</f>
        <v>0.26639530419849894</v>
      </c>
      <c r="H32" s="125">
        <f>H21/H11</f>
        <v>0.24434592064862903</v>
      </c>
      <c r="I32" s="125">
        <f>I21/I11</f>
        <v>0.27247830989805072</v>
      </c>
      <c r="J32" s="126">
        <f t="shared" ref="J32:N37" si="0">$P32</f>
        <v>0.25620836774804356</v>
      </c>
      <c r="K32" s="126">
        <f t="shared" si="0"/>
        <v>0.25620836774804356</v>
      </c>
      <c r="L32" s="126">
        <f t="shared" si="0"/>
        <v>0.25620836774804356</v>
      </c>
      <c r="M32" s="126">
        <f t="shared" si="0"/>
        <v>0.25620836774804356</v>
      </c>
      <c r="N32" s="126">
        <f t="shared" si="0"/>
        <v>0.25620836774804356</v>
      </c>
      <c r="O32" s="127"/>
      <c r="P32" s="112">
        <f t="shared" ref="P32:P37" si="1">AVERAGE(F32:I32)</f>
        <v>0.25620836774804356</v>
      </c>
      <c r="Q32" s="112">
        <f t="shared" ref="Q32:Q37" si="2">GEOMEAN(F32:I32)</f>
        <v>0.25585646421278629</v>
      </c>
    </row>
    <row r="33" spans="2:17" x14ac:dyDescent="0.25">
      <c r="B33" s="124" t="s">
        <v>213</v>
      </c>
      <c r="C33" s="125" t="e">
        <f>C22/C8</f>
        <v>#DIV/0!</v>
      </c>
      <c r="D33" s="125" t="e">
        <f>D22/D8</f>
        <v>#DIV/0!</v>
      </c>
      <c r="E33" s="125" t="e">
        <f>E22/E8</f>
        <v>#DIV/0!</v>
      </c>
      <c r="F33" s="125">
        <f>F22/F11</f>
        <v>0.15100871015437223</v>
      </c>
      <c r="G33" s="125">
        <f>G22/G11</f>
        <v>0.16917076201277101</v>
      </c>
      <c r="H33" s="125">
        <f>H22/H11</f>
        <v>0.16848457130678227</v>
      </c>
      <c r="I33" s="125">
        <f>I22/I11</f>
        <v>0.21086384522741045</v>
      </c>
      <c r="J33" s="126">
        <f t="shared" si="0"/>
        <v>0.17488197217533399</v>
      </c>
      <c r="K33" s="126">
        <f t="shared" si="0"/>
        <v>0.17488197217533399</v>
      </c>
      <c r="L33" s="126">
        <f t="shared" si="0"/>
        <v>0.17488197217533399</v>
      </c>
      <c r="M33" s="126">
        <f t="shared" si="0"/>
        <v>0.17488197217533399</v>
      </c>
      <c r="N33" s="126">
        <f t="shared" si="0"/>
        <v>0.17488197217533399</v>
      </c>
      <c r="O33" s="127">
        <v>0.03</v>
      </c>
      <c r="P33" s="112">
        <f t="shared" si="1"/>
        <v>0.17488197217533399</v>
      </c>
      <c r="Q33" s="112">
        <f t="shared" si="2"/>
        <v>0.17356909165949161</v>
      </c>
    </row>
    <row r="34" spans="2:17" x14ac:dyDescent="0.25">
      <c r="B34" s="124" t="s">
        <v>214</v>
      </c>
      <c r="C34" s="125" t="e">
        <f>C23/C8</f>
        <v>#DIV/0!</v>
      </c>
      <c r="D34" s="125" t="e">
        <f>D23/D8</f>
        <v>#DIV/0!</v>
      </c>
      <c r="E34" s="125" t="e">
        <f>E23/E8</f>
        <v>#DIV/0!</v>
      </c>
      <c r="F34" s="125">
        <f>F23/F11</f>
        <v>0.10325351944894082</v>
      </c>
      <c r="G34" s="125">
        <f>G23/G11</f>
        <v>0.16237204790749057</v>
      </c>
      <c r="H34" s="125">
        <f>H23/H11</f>
        <v>0.18517984046249453</v>
      </c>
      <c r="I34" s="125">
        <f>I23/I11</f>
        <v>0.21962426836658763</v>
      </c>
      <c r="J34" s="126">
        <f t="shared" si="0"/>
        <v>0.16760741904637838</v>
      </c>
      <c r="K34" s="126">
        <f t="shared" si="0"/>
        <v>0.16760741904637838</v>
      </c>
      <c r="L34" s="126">
        <f t="shared" si="0"/>
        <v>0.16760741904637838</v>
      </c>
      <c r="M34" s="126">
        <f t="shared" si="0"/>
        <v>0.16760741904637838</v>
      </c>
      <c r="N34" s="126">
        <f t="shared" si="0"/>
        <v>0.16760741904637838</v>
      </c>
      <c r="O34" s="127">
        <v>0.02</v>
      </c>
      <c r="P34" s="112">
        <f t="shared" si="1"/>
        <v>0.16760741904637838</v>
      </c>
      <c r="Q34" s="112">
        <f t="shared" si="2"/>
        <v>0.16159299909069005</v>
      </c>
    </row>
    <row r="35" spans="2:17" x14ac:dyDescent="0.25">
      <c r="B35" s="124" t="s">
        <v>215</v>
      </c>
      <c r="C35" s="125" t="e">
        <f>C25/C8</f>
        <v>#DIV/0!</v>
      </c>
      <c r="D35" s="125" t="e">
        <f>D25/D8</f>
        <v>#DIV/0!</v>
      </c>
      <c r="E35" s="125" t="e">
        <f>E25/E8</f>
        <v>#DIV/0!</v>
      </c>
      <c r="F35" s="125">
        <f>F25/F11</f>
        <v>6.7642091838522267E-2</v>
      </c>
      <c r="G35" s="125">
        <f>G25/G11</f>
        <v>7.615731990001201E-2</v>
      </c>
      <c r="H35" s="125">
        <f>H25/H11</f>
        <v>7.1687532052918695E-2</v>
      </c>
      <c r="I35" s="125">
        <f>I25/I11</f>
        <v>8.2525947575541381E-2</v>
      </c>
      <c r="J35" s="126">
        <f t="shared" si="0"/>
        <v>7.4503222841748595E-2</v>
      </c>
      <c r="K35" s="126">
        <f t="shared" si="0"/>
        <v>7.4503222841748595E-2</v>
      </c>
      <c r="L35" s="126">
        <f t="shared" si="0"/>
        <v>7.4503222841748595E-2</v>
      </c>
      <c r="M35" s="126">
        <f t="shared" si="0"/>
        <v>7.4503222841748595E-2</v>
      </c>
      <c r="N35" s="126">
        <f t="shared" si="0"/>
        <v>7.4503222841748595E-2</v>
      </c>
      <c r="O35" s="127">
        <v>0.01</v>
      </c>
      <c r="P35" s="112">
        <f t="shared" si="1"/>
        <v>7.4503222841748595E-2</v>
      </c>
      <c r="Q35" s="112">
        <f t="shared" si="2"/>
        <v>7.4300324025935297E-2</v>
      </c>
    </row>
    <row r="36" spans="2:17" x14ac:dyDescent="0.25">
      <c r="B36" s="124" t="s">
        <v>216</v>
      </c>
      <c r="C36" s="125" t="e">
        <f>C26/C8</f>
        <v>#DIV/0!</v>
      </c>
      <c r="D36" s="125" t="e">
        <f>D26/D8</f>
        <v>#DIV/0!</v>
      </c>
      <c r="E36" s="125" t="e">
        <f>E26/E8</f>
        <v>#DIV/0!</v>
      </c>
      <c r="F36" s="125">
        <f>F26/F11</f>
        <v>3.7132025759072776E-2</v>
      </c>
      <c r="G36" s="125">
        <f>G26/G11</f>
        <v>4.8364645514460451E-2</v>
      </c>
      <c r="H36" s="125">
        <f>H26/H11</f>
        <v>4.6489220228805125E-2</v>
      </c>
      <c r="I36" s="125">
        <f>I26/I11</f>
        <v>3.6437837049992705E-2</v>
      </c>
      <c r="J36" s="126">
        <f t="shared" si="0"/>
        <v>4.2105932138082766E-2</v>
      </c>
      <c r="K36" s="126">
        <f t="shared" si="0"/>
        <v>4.2105932138082766E-2</v>
      </c>
      <c r="L36" s="126">
        <f t="shared" si="0"/>
        <v>4.2105932138082766E-2</v>
      </c>
      <c r="M36" s="126">
        <f t="shared" si="0"/>
        <v>4.2105932138082766E-2</v>
      </c>
      <c r="N36" s="126">
        <f t="shared" si="0"/>
        <v>4.2105932138082766E-2</v>
      </c>
      <c r="O36" s="127"/>
      <c r="P36" s="112">
        <f t="shared" si="1"/>
        <v>4.2105932138082766E-2</v>
      </c>
      <c r="Q36" s="112">
        <f t="shared" si="2"/>
        <v>4.1763354611314793E-2</v>
      </c>
    </row>
    <row r="37" spans="2:17" x14ac:dyDescent="0.25">
      <c r="B37" s="128" t="s">
        <v>217</v>
      </c>
      <c r="C37" s="129" t="e">
        <f>C30/C8</f>
        <v>#DIV/0!</v>
      </c>
      <c r="D37" s="129" t="e">
        <f>D30/D8</f>
        <v>#DIV/0!</v>
      </c>
      <c r="E37" s="129" t="e">
        <f>E30/E8</f>
        <v>#DIV/0!</v>
      </c>
      <c r="F37" s="129">
        <f>F30/F11</f>
        <v>-6.4968782190081759E-2</v>
      </c>
      <c r="G37" s="129">
        <f>G30/G11</f>
        <v>-0.10104295790951262</v>
      </c>
      <c r="H37" s="129">
        <f>H30/H11</f>
        <v>-0.11229344599679862</v>
      </c>
      <c r="I37" s="129">
        <f>I30/I11</f>
        <v>-0.12029856013010225</v>
      </c>
      <c r="J37" s="126">
        <f t="shared" si="0"/>
        <v>-9.9650936556623812E-2</v>
      </c>
      <c r="K37" s="126">
        <f t="shared" si="0"/>
        <v>-9.9650936556623812E-2</v>
      </c>
      <c r="L37" s="126">
        <f t="shared" si="0"/>
        <v>-9.9650936556623812E-2</v>
      </c>
      <c r="M37" s="126">
        <f t="shared" si="0"/>
        <v>-9.9650936556623812E-2</v>
      </c>
      <c r="N37" s="126">
        <f t="shared" si="0"/>
        <v>-9.9650936556623812E-2</v>
      </c>
      <c r="O37" s="127"/>
      <c r="P37" s="112">
        <f t="shared" si="1"/>
        <v>-9.9650936556623812E-2</v>
      </c>
      <c r="Q37" s="112" t="e">
        <f t="shared" si="2"/>
        <v>#NUM!</v>
      </c>
    </row>
    <row r="38" spans="2:17" x14ac:dyDescent="0.25">
      <c r="B38" s="130" t="s">
        <v>218</v>
      </c>
      <c r="C38" s="29"/>
      <c r="D38" s="129" t="e">
        <f t="shared" ref="D38:E40" si="3">((D21/C21)-1)</f>
        <v>#DIV/0!</v>
      </c>
      <c r="E38" s="129" t="e">
        <f t="shared" si="3"/>
        <v>#DIV/0!</v>
      </c>
      <c r="F38" s="131"/>
      <c r="G38" s="129">
        <f t="shared" ref="G38:I40" si="4">((G21/F21)-1)</f>
        <v>0.31822795823665895</v>
      </c>
      <c r="H38" s="129">
        <f t="shared" si="4"/>
        <v>0.21071448215169686</v>
      </c>
      <c r="I38" s="129">
        <f t="shared" si="4"/>
        <v>0.6136652734871888</v>
      </c>
      <c r="J38" s="103"/>
      <c r="K38" s="103"/>
      <c r="L38" s="103"/>
      <c r="M38" s="103"/>
      <c r="N38" s="103"/>
      <c r="O38" s="86"/>
      <c r="P38" s="99"/>
      <c r="Q38" s="99"/>
    </row>
    <row r="39" spans="2:17" x14ac:dyDescent="0.25">
      <c r="B39" s="130" t="s">
        <v>219</v>
      </c>
      <c r="C39" s="29"/>
      <c r="D39" s="129" t="e">
        <f t="shared" si="3"/>
        <v>#DIV/0!</v>
      </c>
      <c r="E39" s="129" t="e">
        <f t="shared" si="3"/>
        <v>#DIV/0!</v>
      </c>
      <c r="F39" s="131"/>
      <c r="G39" s="129">
        <f t="shared" si="4"/>
        <v>0.33939675174013928</v>
      </c>
      <c r="H39" s="129">
        <f t="shared" si="4"/>
        <v>0.31461335920177369</v>
      </c>
      <c r="I39" s="129">
        <f t="shared" si="4"/>
        <v>0.81104229806298589</v>
      </c>
      <c r="J39" s="103"/>
      <c r="K39" s="103"/>
      <c r="L39" s="103"/>
      <c r="M39" s="103"/>
      <c r="N39" s="103"/>
      <c r="O39" s="86"/>
      <c r="P39" s="86"/>
      <c r="Q39" s="86"/>
    </row>
    <row r="40" spans="2:17" x14ac:dyDescent="0.25">
      <c r="B40" s="130" t="s">
        <v>220</v>
      </c>
      <c r="C40" s="29"/>
      <c r="D40" s="129" t="e">
        <f t="shared" si="3"/>
        <v>#DIV/0!</v>
      </c>
      <c r="E40" s="129" t="e">
        <f t="shared" si="3"/>
        <v>#DIV/0!</v>
      </c>
      <c r="F40" s="131"/>
      <c r="G40" s="129">
        <f t="shared" si="4"/>
        <v>0.88014930437733296</v>
      </c>
      <c r="H40" s="129">
        <f t="shared" si="4"/>
        <v>0.50537828472422741</v>
      </c>
      <c r="I40" s="129">
        <f t="shared" si="4"/>
        <v>0.71622107660951917</v>
      </c>
      <c r="J40" s="103"/>
      <c r="K40" s="103"/>
      <c r="L40" s="103"/>
      <c r="M40" s="103"/>
      <c r="N40" s="103"/>
      <c r="O40" s="86"/>
      <c r="P40" s="86"/>
      <c r="Q40" s="86"/>
    </row>
    <row r="41" spans="2:17" x14ac:dyDescent="0.25">
      <c r="B41" s="130" t="s">
        <v>221</v>
      </c>
      <c r="C41" s="29"/>
      <c r="D41" s="129" t="e">
        <f>((D25/C25)-1)</f>
        <v>#DIV/0!</v>
      </c>
      <c r="E41" s="129" t="e">
        <f>((E25/D25)-1)</f>
        <v>#DIV/0!</v>
      </c>
      <c r="F41" s="131"/>
      <c r="G41" s="129">
        <f t="shared" ref="G41:I42" si="5">((G25/F25)-1)</f>
        <v>0.3461100176111056</v>
      </c>
      <c r="H41" s="129">
        <f t="shared" si="5"/>
        <v>0.24249653686316752</v>
      </c>
      <c r="I41" s="129">
        <f t="shared" si="5"/>
        <v>0.66584081759058522</v>
      </c>
      <c r="J41" s="103"/>
      <c r="K41" s="103"/>
      <c r="L41" s="103"/>
      <c r="M41" s="103"/>
      <c r="N41" s="103"/>
      <c r="O41" s="86"/>
      <c r="P41" s="86"/>
      <c r="Q41" s="86"/>
    </row>
    <row r="42" spans="2:17" x14ac:dyDescent="0.25">
      <c r="B42" s="130" t="s">
        <v>222</v>
      </c>
      <c r="C42" s="29"/>
      <c r="D42" s="129" t="e">
        <f>((D26/C26)-1)</f>
        <v>#DIV/0!</v>
      </c>
      <c r="E42" s="129" t="e">
        <f>((E26/D26)-1)</f>
        <v>#DIV/0!</v>
      </c>
      <c r="F42" s="131"/>
      <c r="G42" s="129">
        <f t="shared" si="5"/>
        <v>0.55727495753915846</v>
      </c>
      <c r="H42" s="129">
        <f t="shared" si="5"/>
        <v>0.26878332525448378</v>
      </c>
      <c r="I42" s="129">
        <f t="shared" si="5"/>
        <v>0.13419293218720152</v>
      </c>
      <c r="J42" s="103"/>
      <c r="K42" s="103"/>
      <c r="L42" s="103"/>
      <c r="M42" s="103"/>
      <c r="N42" s="103"/>
      <c r="O42" s="86"/>
      <c r="P42" s="86"/>
      <c r="Q42" s="86"/>
    </row>
    <row r="43" spans="2:17" x14ac:dyDescent="0.25">
      <c r="B43" s="130" t="s">
        <v>223</v>
      </c>
      <c r="C43" s="29"/>
      <c r="D43" s="129" t="e">
        <f>((D30/C30)-1)</f>
        <v>#DIV/0!</v>
      </c>
      <c r="E43" s="129" t="e">
        <f>((E30/D30)-1)</f>
        <v>#DIV/0!</v>
      </c>
      <c r="F43" s="131"/>
      <c r="G43" s="129">
        <f>((G30/F30)-1)</f>
        <v>0.85946179151162161</v>
      </c>
      <c r="H43" s="129">
        <f>((H30/G30)-1)</f>
        <v>0.46693735498839906</v>
      </c>
      <c r="I43" s="129">
        <f>((I30/H30)-1)</f>
        <v>0.55021747726374071</v>
      </c>
      <c r="J43" s="103"/>
      <c r="K43" s="103"/>
      <c r="L43" s="103"/>
      <c r="M43" s="103"/>
      <c r="N43" s="103"/>
      <c r="O43" s="86"/>
      <c r="P43" s="86"/>
      <c r="Q43" s="86"/>
    </row>
    <row r="44" spans="2:17" x14ac:dyDescent="0.25">
      <c r="B44" s="83"/>
      <c r="C44" s="83"/>
      <c r="D44" s="84"/>
      <c r="E44" s="84"/>
      <c r="F44" s="84"/>
      <c r="G44" s="84"/>
      <c r="H44" s="89"/>
      <c r="I44" s="86"/>
      <c r="J44" s="86"/>
      <c r="K44" s="86"/>
      <c r="L44" s="86"/>
      <c r="M44" s="86"/>
      <c r="N44" s="86"/>
      <c r="O44" s="132"/>
      <c r="P44" s="132"/>
      <c r="Q44" s="132"/>
    </row>
    <row r="45" spans="2:17" ht="18.75" customHeight="1" x14ac:dyDescent="0.3">
      <c r="B45" s="113" t="s">
        <v>224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32"/>
      <c r="P45" s="132"/>
      <c r="Q45" s="132"/>
    </row>
    <row r="46" spans="2:17" x14ac:dyDescent="0.25">
      <c r="B46" s="133" t="s">
        <v>225</v>
      </c>
      <c r="C46" s="133"/>
      <c r="D46" s="91"/>
      <c r="E46" s="134"/>
      <c r="F46" s="91"/>
      <c r="G46" s="91"/>
      <c r="H46" s="91"/>
      <c r="I46" s="135"/>
      <c r="J46" s="2" t="s">
        <v>197</v>
      </c>
      <c r="K46" s="2"/>
      <c r="L46" s="2"/>
      <c r="M46" s="2"/>
      <c r="N46" s="2"/>
      <c r="O46" s="132"/>
      <c r="P46" s="132"/>
      <c r="Q46" s="132"/>
    </row>
    <row r="47" spans="2:17" x14ac:dyDescent="0.25">
      <c r="B47" s="136"/>
      <c r="C47" s="94">
        <f>D47-365</f>
        <v>-730</v>
      </c>
      <c r="D47" s="95">
        <f>E47-365</f>
        <v>-365</v>
      </c>
      <c r="E47" s="96"/>
      <c r="F47" s="96" t="s">
        <v>103</v>
      </c>
      <c r="G47" s="96" t="s">
        <v>104</v>
      </c>
      <c r="H47" s="96" t="s">
        <v>105</v>
      </c>
      <c r="I47" s="96" t="s">
        <v>106</v>
      </c>
      <c r="J47" s="97" t="s">
        <v>107</v>
      </c>
      <c r="K47" s="97" t="s">
        <v>108</v>
      </c>
      <c r="L47" s="97" t="s">
        <v>109</v>
      </c>
      <c r="M47" s="97" t="s">
        <v>110</v>
      </c>
      <c r="N47" s="98" t="s">
        <v>111</v>
      </c>
      <c r="O47" s="132"/>
      <c r="P47" s="132"/>
      <c r="Q47" s="132"/>
    </row>
    <row r="48" spans="2:17" x14ac:dyDescent="0.25">
      <c r="B48" s="137" t="s">
        <v>226</v>
      </c>
      <c r="C48" s="137"/>
      <c r="D48" s="138"/>
      <c r="E48" s="139"/>
      <c r="F48" s="139"/>
      <c r="G48" s="139"/>
      <c r="H48" s="139"/>
      <c r="I48" s="139"/>
      <c r="J48" s="138">
        <v>1</v>
      </c>
      <c r="K48" s="138">
        <f>J48+1</f>
        <v>2</v>
      </c>
      <c r="L48" s="138">
        <f>K48+1</f>
        <v>3</v>
      </c>
      <c r="M48" s="138">
        <f>L48+1</f>
        <v>4</v>
      </c>
      <c r="N48" s="138">
        <f>M48+1</f>
        <v>5</v>
      </c>
      <c r="O48" s="132"/>
      <c r="P48" s="132"/>
      <c r="Q48" s="132"/>
    </row>
    <row r="49" spans="2:17" x14ac:dyDescent="0.25">
      <c r="B49" s="132" t="s">
        <v>227</v>
      </c>
      <c r="C49" s="140">
        <f t="shared" ref="C49:N49" si="6">C11</f>
        <v>0</v>
      </c>
      <c r="D49" s="141">
        <f t="shared" si="6"/>
        <v>0</v>
      </c>
      <c r="E49" s="141">
        <f t="shared" si="6"/>
        <v>0</v>
      </c>
      <c r="F49" s="141">
        <f t="shared" si="6"/>
        <v>28541.400000000005</v>
      </c>
      <c r="G49" s="141">
        <f t="shared" si="6"/>
        <v>34124.100000000006</v>
      </c>
      <c r="H49" s="141">
        <f t="shared" si="6"/>
        <v>45042.69999999999</v>
      </c>
      <c r="I49" s="142">
        <f t="shared" si="6"/>
        <v>65179.500000000007</v>
      </c>
      <c r="J49" s="142">
        <f t="shared" si="6"/>
        <v>89937.969599999997</v>
      </c>
      <c r="K49" s="142">
        <f t="shared" si="6"/>
        <v>112214.88858</v>
      </c>
      <c r="L49" s="142">
        <f t="shared" si="6"/>
        <v>131632.95739494238</v>
      </c>
      <c r="M49" s="142">
        <f t="shared" si="6"/>
        <v>143616.71384134586</v>
      </c>
      <c r="N49" s="142">
        <f t="shared" si="6"/>
        <v>150494.34467616153</v>
      </c>
      <c r="O49" s="132"/>
      <c r="P49" s="132"/>
      <c r="Q49" s="132"/>
    </row>
    <row r="50" spans="2:17" x14ac:dyDescent="0.25">
      <c r="B50" s="132" t="s">
        <v>199</v>
      </c>
      <c r="C50" s="140">
        <f t="shared" ref="C50:N50" si="7">C13</f>
        <v>0</v>
      </c>
      <c r="D50" s="142">
        <f t="shared" si="7"/>
        <v>0</v>
      </c>
      <c r="E50" s="142">
        <f t="shared" si="7"/>
        <v>0</v>
      </c>
      <c r="F50" s="142">
        <f t="shared" si="7"/>
        <v>6905.2999999999993</v>
      </c>
      <c r="G50" s="142">
        <f t="shared" si="7"/>
        <v>6457.9000000000005</v>
      </c>
      <c r="H50" s="142">
        <f t="shared" si="7"/>
        <v>12899</v>
      </c>
      <c r="I50" s="142">
        <f t="shared" si="7"/>
        <v>26302.800000000003</v>
      </c>
      <c r="J50" s="142">
        <f t="shared" si="7"/>
        <v>33402.068182552008</v>
      </c>
      <c r="K50" s="142">
        <f t="shared" si="7"/>
        <v>41735.688507112762</v>
      </c>
      <c r="L50" s="142">
        <f t="shared" si="7"/>
        <v>48939.56679380151</v>
      </c>
      <c r="M50" s="142">
        <f t="shared" si="7"/>
        <v>53522.092117737702</v>
      </c>
      <c r="N50" s="142">
        <f t="shared" si="7"/>
        <v>56109.75697417288</v>
      </c>
      <c r="O50" s="132"/>
      <c r="P50" s="132"/>
      <c r="Q50" s="132"/>
    </row>
    <row r="51" spans="2:17" x14ac:dyDescent="0.25">
      <c r="B51" s="132" t="s">
        <v>228</v>
      </c>
      <c r="C51" s="143"/>
      <c r="D51" s="143"/>
      <c r="E51" s="143"/>
      <c r="F51" s="144">
        <f>IS!C12</f>
        <v>8.2510578279266583E-2</v>
      </c>
      <c r="G51" s="144">
        <f>IS!D12</f>
        <v>0.20818680100117226</v>
      </c>
      <c r="H51" s="144">
        <f>IS!E12</f>
        <v>0.16485414382940469</v>
      </c>
      <c r="I51" s="144">
        <f>IS!F12</f>
        <v>0.19786023519536136</v>
      </c>
      <c r="J51" s="144">
        <f>IS!G12</f>
        <v>0.19</v>
      </c>
      <c r="K51" s="144">
        <f>IS!H12</f>
        <v>0.19</v>
      </c>
      <c r="L51" s="144">
        <f>IS!I12</f>
        <v>0.19</v>
      </c>
      <c r="M51" s="144">
        <f>IS!J12</f>
        <v>0.19</v>
      </c>
      <c r="N51" s="144">
        <f>IS!K12</f>
        <v>0.19</v>
      </c>
      <c r="O51" s="132"/>
      <c r="P51" s="99"/>
      <c r="Q51" s="99"/>
    </row>
    <row r="52" spans="2:17" x14ac:dyDescent="0.25">
      <c r="B52" s="136" t="s">
        <v>229</v>
      </c>
      <c r="C52" s="145">
        <f t="shared" ref="C52:N52" si="8">C50*(1-C51)</f>
        <v>0</v>
      </c>
      <c r="D52" s="145">
        <f t="shared" si="8"/>
        <v>0</v>
      </c>
      <c r="E52" s="145">
        <f t="shared" si="8"/>
        <v>0</v>
      </c>
      <c r="F52" s="145">
        <f t="shared" si="8"/>
        <v>6335.5397038081801</v>
      </c>
      <c r="G52" s="145">
        <f t="shared" si="8"/>
        <v>5113.4504578145297</v>
      </c>
      <c r="H52" s="145">
        <f t="shared" si="8"/>
        <v>10772.546398744509</v>
      </c>
      <c r="I52" s="145">
        <f t="shared" si="8"/>
        <v>21098.521805703451</v>
      </c>
      <c r="J52" s="146">
        <f t="shared" si="8"/>
        <v>27055.675227867127</v>
      </c>
      <c r="K52" s="146">
        <f t="shared" si="8"/>
        <v>33805.907690761342</v>
      </c>
      <c r="L52" s="146">
        <f t="shared" si="8"/>
        <v>39641.049102979225</v>
      </c>
      <c r="M52" s="146">
        <f t="shared" si="8"/>
        <v>43352.894615367542</v>
      </c>
      <c r="N52" s="146">
        <f t="shared" si="8"/>
        <v>45448.903149080033</v>
      </c>
      <c r="O52" s="132"/>
      <c r="P52" s="132"/>
      <c r="Q52" s="132"/>
    </row>
    <row r="53" spans="2:17" x14ac:dyDescent="0.25">
      <c r="B53" s="147" t="s">
        <v>230</v>
      </c>
      <c r="C53" s="148">
        <f t="shared" ref="C53:N53" si="9">C15</f>
        <v>0</v>
      </c>
      <c r="D53" s="148">
        <f t="shared" si="9"/>
        <v>0</v>
      </c>
      <c r="E53" s="148">
        <f t="shared" si="9"/>
        <v>0</v>
      </c>
      <c r="F53" s="148">
        <f t="shared" si="9"/>
        <v>1522.5</v>
      </c>
      <c r="G53" s="148">
        <f t="shared" si="9"/>
        <v>1527</v>
      </c>
      <c r="H53" s="148">
        <f t="shared" si="9"/>
        <v>1767</v>
      </c>
      <c r="I53" s="148">
        <f t="shared" si="9"/>
        <v>1997</v>
      </c>
      <c r="J53" s="148">
        <f t="shared" si="9"/>
        <v>2056.91</v>
      </c>
      <c r="K53" s="148">
        <f t="shared" si="9"/>
        <v>2108.3327499999996</v>
      </c>
      <c r="L53" s="148">
        <f t="shared" si="9"/>
        <v>2161.0410687499993</v>
      </c>
      <c r="M53" s="148">
        <f t="shared" si="9"/>
        <v>2215.0670954687494</v>
      </c>
      <c r="N53" s="148">
        <f t="shared" si="9"/>
        <v>2270.4437728554681</v>
      </c>
      <c r="O53" s="132"/>
      <c r="P53" s="132"/>
      <c r="Q53" s="132"/>
    </row>
    <row r="54" spans="2:17" x14ac:dyDescent="0.25">
      <c r="B54" s="116" t="s">
        <v>231</v>
      </c>
      <c r="C54" s="116"/>
      <c r="D54" s="149">
        <f t="shared" ref="D54:N54" si="10">(D21-C21)*-1</f>
        <v>0</v>
      </c>
      <c r="E54" s="149">
        <f t="shared" si="10"/>
        <v>0</v>
      </c>
      <c r="F54" s="149">
        <f t="shared" si="10"/>
        <v>-6896</v>
      </c>
      <c r="G54" s="149">
        <f t="shared" si="10"/>
        <v>-2194.5</v>
      </c>
      <c r="H54" s="149">
        <f t="shared" si="10"/>
        <v>-1915.5</v>
      </c>
      <c r="I54" s="149">
        <f t="shared" si="10"/>
        <v>-6754</v>
      </c>
      <c r="J54" s="149">
        <f t="shared" si="10"/>
        <v>-5282.8603897891626</v>
      </c>
      <c r="K54" s="149">
        <f t="shared" si="10"/>
        <v>-5707.5330503212099</v>
      </c>
      <c r="L54" s="149">
        <f t="shared" si="10"/>
        <v>-4975.0717158955777</v>
      </c>
      <c r="M54" s="149">
        <f t="shared" si="10"/>
        <v>-3070.3386786231276</v>
      </c>
      <c r="N54" s="149">
        <f t="shared" si="10"/>
        <v>-1762.1065701617408</v>
      </c>
      <c r="O54" s="132"/>
      <c r="P54" s="132"/>
      <c r="Q54" s="132"/>
    </row>
    <row r="55" spans="2:17" x14ac:dyDescent="0.25">
      <c r="B55" s="116" t="s">
        <v>232</v>
      </c>
      <c r="C55" s="116"/>
      <c r="D55" s="149">
        <f t="shared" ref="D55:N55" si="11">(D22-C22)*-1</f>
        <v>0</v>
      </c>
      <c r="E55" s="149">
        <f t="shared" si="11"/>
        <v>0</v>
      </c>
      <c r="F55" s="149">
        <f t="shared" si="11"/>
        <v>-4310</v>
      </c>
      <c r="G55" s="149">
        <f t="shared" si="11"/>
        <v>-1462.8000000000002</v>
      </c>
      <c r="H55" s="149">
        <f t="shared" si="11"/>
        <v>-1816.1999999999998</v>
      </c>
      <c r="I55" s="149">
        <f t="shared" si="11"/>
        <v>-6155</v>
      </c>
      <c r="J55" s="149">
        <f t="shared" si="11"/>
        <v>-1984.5294970932337</v>
      </c>
      <c r="K55" s="149">
        <f t="shared" si="11"/>
        <v>-3895.8315252125321</v>
      </c>
      <c r="L55" s="149">
        <f t="shared" si="11"/>
        <v>-3395.8701701934733</v>
      </c>
      <c r="M55" s="149">
        <f t="shared" si="11"/>
        <v>-2095.7429614159119</v>
      </c>
      <c r="N55" s="149">
        <f t="shared" si="11"/>
        <v>-1202.7736442864552</v>
      </c>
      <c r="O55" s="132"/>
      <c r="P55" s="132"/>
      <c r="Q55" s="132"/>
    </row>
    <row r="56" spans="2:17" x14ac:dyDescent="0.25">
      <c r="B56" s="116" t="s">
        <v>233</v>
      </c>
      <c r="C56" s="116"/>
      <c r="D56" s="149">
        <f t="shared" ref="D56:N56" si="12">(D23-C23)*-1</f>
        <v>0</v>
      </c>
      <c r="E56" s="149">
        <f t="shared" si="12"/>
        <v>0</v>
      </c>
      <c r="F56" s="149">
        <f t="shared" si="12"/>
        <v>-2947</v>
      </c>
      <c r="G56" s="149">
        <f t="shared" si="12"/>
        <v>-2593.8000000000002</v>
      </c>
      <c r="H56" s="149">
        <f t="shared" si="12"/>
        <v>-2800.2</v>
      </c>
      <c r="I56" s="149">
        <f t="shared" si="12"/>
        <v>-5974</v>
      </c>
      <c r="J56" s="149">
        <f t="shared" si="12"/>
        <v>-759.27095892764009</v>
      </c>
      <c r="K56" s="149">
        <f t="shared" si="12"/>
        <v>-3733.776894543078</v>
      </c>
      <c r="L56" s="149">
        <f t="shared" si="12"/>
        <v>-3254.6123969374603</v>
      </c>
      <c r="M56" s="149">
        <f t="shared" si="12"/>
        <v>-2008.5664884620855</v>
      </c>
      <c r="N56" s="149">
        <f t="shared" si="12"/>
        <v>-1152.7419533772445</v>
      </c>
      <c r="O56" s="132"/>
      <c r="P56" s="132"/>
      <c r="Q56" s="132"/>
    </row>
    <row r="57" spans="2:17" x14ac:dyDescent="0.25">
      <c r="B57" s="116" t="s">
        <v>234</v>
      </c>
      <c r="C57" s="116"/>
      <c r="D57" s="149">
        <f t="shared" ref="D57:N57" si="13">(D25-C25)</f>
        <v>0</v>
      </c>
      <c r="E57" s="149">
        <f t="shared" si="13"/>
        <v>0</v>
      </c>
      <c r="F57" s="149">
        <f t="shared" si="13"/>
        <v>1930.6</v>
      </c>
      <c r="G57" s="149">
        <f t="shared" si="13"/>
        <v>668.20000000000027</v>
      </c>
      <c r="H57" s="149">
        <f t="shared" si="13"/>
        <v>630.19999999999982</v>
      </c>
      <c r="I57" s="149">
        <f t="shared" si="13"/>
        <v>2150</v>
      </c>
      <c r="J57" s="149">
        <f t="shared" si="13"/>
        <v>1321.6685910432107</v>
      </c>
      <c r="K57" s="149">
        <f t="shared" si="13"/>
        <v>1659.7022589945182</v>
      </c>
      <c r="L57" s="149">
        <f t="shared" si="13"/>
        <v>1446.7087080760612</v>
      </c>
      <c r="M57" s="149">
        <f t="shared" si="13"/>
        <v>892.82847700764069</v>
      </c>
      <c r="N57" s="149">
        <f t="shared" si="13"/>
        <v>512.40566270955424</v>
      </c>
      <c r="O57" s="132"/>
      <c r="P57" s="132"/>
      <c r="Q57" s="132"/>
    </row>
    <row r="58" spans="2:17" x14ac:dyDescent="0.25">
      <c r="B58" s="116" t="s">
        <v>235</v>
      </c>
      <c r="C58" s="116"/>
      <c r="D58" s="149">
        <f t="shared" ref="D58:N58" si="14">(D26-C26)</f>
        <v>0</v>
      </c>
      <c r="E58" s="149">
        <f t="shared" si="14"/>
        <v>0</v>
      </c>
      <c r="F58" s="149">
        <f t="shared" si="14"/>
        <v>1059.8</v>
      </c>
      <c r="G58" s="149">
        <f t="shared" si="14"/>
        <v>590.60000000000014</v>
      </c>
      <c r="H58" s="149">
        <f t="shared" si="14"/>
        <v>443.59999999999991</v>
      </c>
      <c r="I58" s="149">
        <f t="shared" si="14"/>
        <v>281</v>
      </c>
      <c r="J58" s="149">
        <f t="shared" si="14"/>
        <v>1411.9220446145505</v>
      </c>
      <c r="K58" s="149">
        <f t="shared" si="14"/>
        <v>937.99043881744865</v>
      </c>
      <c r="L58" s="149">
        <f t="shared" si="14"/>
        <v>817.61588777458473</v>
      </c>
      <c r="M58" s="149">
        <f t="shared" si="14"/>
        <v>504.58723569157701</v>
      </c>
      <c r="N58" s="149">
        <f t="shared" si="14"/>
        <v>289.58905720153416</v>
      </c>
      <c r="O58" s="132"/>
      <c r="P58" s="132"/>
      <c r="Q58" s="132"/>
    </row>
    <row r="59" spans="2:17" x14ac:dyDescent="0.25">
      <c r="B59" s="147" t="s">
        <v>236</v>
      </c>
      <c r="C59" s="150"/>
      <c r="D59" s="151">
        <f t="shared" ref="D59:I59" si="15">D30*-1</f>
        <v>0</v>
      </c>
      <c r="E59" s="151">
        <f t="shared" si="15"/>
        <v>0</v>
      </c>
      <c r="F59" s="151">
        <f t="shared" si="15"/>
        <v>1854.3</v>
      </c>
      <c r="G59" s="151">
        <f t="shared" si="15"/>
        <v>3448</v>
      </c>
      <c r="H59" s="151">
        <f t="shared" si="15"/>
        <v>5058</v>
      </c>
      <c r="I59" s="151">
        <f t="shared" si="15"/>
        <v>7841</v>
      </c>
      <c r="J59" s="151">
        <f>-J30*1</f>
        <v>8962.4029026411608</v>
      </c>
      <c r="K59" s="151">
        <f>-K30*1</f>
        <v>11182.318742594191</v>
      </c>
      <c r="L59" s="151">
        <f>-L30*1</f>
        <v>13117.347486124168</v>
      </c>
      <c r="M59" s="151">
        <f>-M30*1</f>
        <v>14311.540039474754</v>
      </c>
      <c r="N59" s="151">
        <f>-N30*1</f>
        <v>14996.90239345485</v>
      </c>
      <c r="O59" s="132"/>
      <c r="P59" s="132"/>
      <c r="Q59" s="132"/>
    </row>
    <row r="60" spans="2:17" x14ac:dyDescent="0.25">
      <c r="B60" s="136" t="s">
        <v>237</v>
      </c>
      <c r="C60" s="136"/>
      <c r="D60" s="152">
        <f t="shared" ref="D60:N60" si="16">SUM(D52:D59)</f>
        <v>0</v>
      </c>
      <c r="E60" s="152">
        <f t="shared" si="16"/>
        <v>0</v>
      </c>
      <c r="F60" s="152">
        <f t="shared" si="16"/>
        <v>-1450.2602961918203</v>
      </c>
      <c r="G60" s="152">
        <f t="shared" si="16"/>
        <v>5096.1504578145295</v>
      </c>
      <c r="H60" s="152">
        <f t="shared" si="16"/>
        <v>12139.446398744511</v>
      </c>
      <c r="I60" s="152">
        <f t="shared" si="16"/>
        <v>14484.521805703451</v>
      </c>
      <c r="J60" s="152">
        <f t="shared" si="16"/>
        <v>32781.917920356012</v>
      </c>
      <c r="K60" s="152">
        <f t="shared" si="16"/>
        <v>36357.110411090674</v>
      </c>
      <c r="L60" s="152">
        <f t="shared" si="16"/>
        <v>45558.207970677526</v>
      </c>
      <c r="M60" s="152">
        <f t="shared" si="16"/>
        <v>54102.269334509147</v>
      </c>
      <c r="N60" s="152">
        <f t="shared" si="16"/>
        <v>59400.621867476002</v>
      </c>
      <c r="O60" s="132"/>
      <c r="P60" s="153"/>
      <c r="Q60" s="132"/>
    </row>
    <row r="61" spans="2:17" x14ac:dyDescent="0.25">
      <c r="B61" s="116" t="s">
        <v>238</v>
      </c>
      <c r="C61" s="116"/>
      <c r="D61" s="154"/>
      <c r="E61" s="154"/>
      <c r="F61" s="155"/>
      <c r="G61" s="155"/>
      <c r="H61" s="156"/>
      <c r="I61" s="156"/>
      <c r="J61" s="157">
        <f>$H$88</f>
        <v>6.7125681453908931E-2</v>
      </c>
      <c r="K61" s="157">
        <f>$H$88</f>
        <v>6.7125681453908931E-2</v>
      </c>
      <c r="L61" s="157">
        <f>$H$88</f>
        <v>6.7125681453908931E-2</v>
      </c>
      <c r="M61" s="157">
        <f>$H$88</f>
        <v>6.7125681453908931E-2</v>
      </c>
      <c r="N61" s="157">
        <f>$H$88</f>
        <v>6.7125681453908931E-2</v>
      </c>
      <c r="O61" s="132"/>
      <c r="P61" s="153"/>
      <c r="Q61" s="132"/>
    </row>
    <row r="62" spans="2:17" x14ac:dyDescent="0.25">
      <c r="B62" s="116" t="s">
        <v>239</v>
      </c>
      <c r="C62" s="116"/>
      <c r="D62" s="142"/>
      <c r="E62" s="142"/>
      <c r="G62" s="142"/>
      <c r="H62" s="142"/>
      <c r="I62" s="142"/>
      <c r="J62" s="158">
        <f>J60/(1+J61)^J48</f>
        <v>30719.828498262901</v>
      </c>
      <c r="K62" s="158">
        <f>K60/(1+K61)^K48</f>
        <v>31927.007593858321</v>
      </c>
      <c r="L62" s="158">
        <f>L60/(1+L61)^L48</f>
        <v>37490.386480989648</v>
      </c>
      <c r="M62" s="158">
        <f>M60/(1+M61)^M48</f>
        <v>41720.854523066693</v>
      </c>
      <c r="N62" s="158">
        <f>N60/(1+N61)^N48</f>
        <v>42925.27961418077</v>
      </c>
      <c r="O62" s="132"/>
      <c r="P62" s="132"/>
      <c r="Q62" s="132"/>
    </row>
    <row r="63" spans="2:17" x14ac:dyDescent="0.25">
      <c r="B63" s="136" t="s">
        <v>240</v>
      </c>
      <c r="C63" s="136"/>
      <c r="D63" s="152"/>
      <c r="F63" s="146">
        <f>SUM(J62:N62)</f>
        <v>184783.35671035832</v>
      </c>
      <c r="G63" s="152"/>
      <c r="H63" s="132"/>
      <c r="I63" s="132"/>
      <c r="J63" s="157">
        <f>J60/I60-1</f>
        <v>1.2632378452043715</v>
      </c>
      <c r="K63" s="157">
        <f>K60/J60-1</f>
        <v>0.10905989391531712</v>
      </c>
      <c r="L63" s="157">
        <f>L60/K60-1</f>
        <v>0.25307560077106883</v>
      </c>
      <c r="M63" s="157">
        <f>M60/L60-1</f>
        <v>0.18754164714579646</v>
      </c>
      <c r="N63" s="157">
        <f>N60/M60-1</f>
        <v>9.7932168061336755E-2</v>
      </c>
      <c r="O63" s="132"/>
      <c r="P63" s="132"/>
      <c r="Q63" s="132"/>
    </row>
    <row r="64" spans="2:17" x14ac:dyDescent="0.25"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</row>
    <row r="65" spans="2:17" ht="18.75" customHeight="1" x14ac:dyDescent="0.3">
      <c r="B65" s="113" t="s">
        <v>241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132"/>
      <c r="P65" s="132"/>
      <c r="Q65" s="132"/>
    </row>
    <row r="66" spans="2:17" x14ac:dyDescent="0.25">
      <c r="B66" s="159" t="s">
        <v>242</v>
      </c>
      <c r="C66" s="159"/>
      <c r="D66" s="160"/>
      <c r="E66" s="160"/>
      <c r="F66" s="161"/>
      <c r="G66" s="161"/>
      <c r="H66" s="162"/>
      <c r="I66" s="162"/>
      <c r="J66" s="162"/>
      <c r="K66" s="161"/>
      <c r="L66" s="162"/>
      <c r="M66" s="132"/>
      <c r="N66" s="132"/>
      <c r="O66" s="132"/>
      <c r="P66" s="132"/>
      <c r="Q66" s="132"/>
    </row>
    <row r="67" spans="2:17" x14ac:dyDescent="0.25">
      <c r="B67" s="132" t="s">
        <v>243</v>
      </c>
      <c r="C67" s="132"/>
      <c r="D67" s="163"/>
      <c r="F67" s="164">
        <v>0.01</v>
      </c>
      <c r="G67" s="165"/>
      <c r="H67" s="1" t="s">
        <v>244</v>
      </c>
      <c r="I67" s="1"/>
      <c r="J67" s="1"/>
      <c r="K67" s="1"/>
      <c r="L67" s="1"/>
      <c r="M67" s="132"/>
      <c r="N67" s="132"/>
      <c r="O67" s="132"/>
      <c r="P67" s="132"/>
      <c r="Q67" s="132"/>
    </row>
    <row r="68" spans="2:17" x14ac:dyDescent="0.25">
      <c r="B68" s="132" t="s">
        <v>245</v>
      </c>
      <c r="C68" s="132"/>
      <c r="D68" s="166"/>
      <c r="F68" s="166">
        <f>H88</f>
        <v>6.7125681453908931E-2</v>
      </c>
      <c r="G68" s="167"/>
      <c r="H68" s="168">
        <v>2021</v>
      </c>
      <c r="I68" s="169" t="str">
        <f>J47</f>
        <v>FY'26</v>
      </c>
      <c r="J68" s="169" t="str">
        <f>K47</f>
        <v>FY'27</v>
      </c>
      <c r="K68" s="169" t="str">
        <f>L47</f>
        <v>FY'28</v>
      </c>
      <c r="L68" s="169" t="str">
        <f>M47</f>
        <v>FY'29</v>
      </c>
      <c r="M68" s="132"/>
      <c r="N68" s="132"/>
      <c r="O68" s="132"/>
      <c r="P68" s="132"/>
      <c r="Q68" s="132"/>
    </row>
    <row r="69" spans="2:17" x14ac:dyDescent="0.25">
      <c r="B69" s="132" t="s">
        <v>246</v>
      </c>
      <c r="C69" s="132"/>
      <c r="D69" s="148"/>
      <c r="F69" s="148">
        <f>N60*(1+F67)</f>
        <v>59994.628086150762</v>
      </c>
      <c r="G69" s="161"/>
      <c r="H69" s="162"/>
      <c r="I69" s="170">
        <f>K60/J60-1</f>
        <v>0.10905989391531712</v>
      </c>
      <c r="J69" s="170">
        <f>L60/K60-1</f>
        <v>0.25307560077106883</v>
      </c>
      <c r="K69" s="171">
        <f>M60/L60-1</f>
        <v>0.18754164714579646</v>
      </c>
      <c r="L69" s="170">
        <f>N60/M60-1</f>
        <v>9.7932168061336755E-2</v>
      </c>
      <c r="M69" s="132"/>
      <c r="N69" s="132"/>
      <c r="O69" s="132"/>
      <c r="P69" s="132"/>
      <c r="Q69" s="132"/>
    </row>
    <row r="70" spans="2:17" x14ac:dyDescent="0.25">
      <c r="B70" s="132" t="s">
        <v>241</v>
      </c>
      <c r="C70" s="132"/>
      <c r="D70" s="148"/>
      <c r="F70" s="148">
        <f>F69/(F68-F67)</f>
        <v>1050221.6614178442</v>
      </c>
      <c r="G70" s="161"/>
      <c r="H70" s="162"/>
      <c r="I70" s="162"/>
      <c r="J70" s="162"/>
      <c r="K70" s="161"/>
      <c r="L70" s="162"/>
      <c r="M70" s="132"/>
      <c r="N70" s="132"/>
      <c r="O70" s="132"/>
      <c r="P70" s="132"/>
      <c r="Q70" s="132"/>
    </row>
    <row r="71" spans="2:17" x14ac:dyDescent="0.25">
      <c r="B71" s="136" t="s">
        <v>247</v>
      </c>
      <c r="C71" s="136"/>
      <c r="D71" s="172"/>
      <c r="F71" s="173">
        <f>F70/(1+F68)^N48</f>
        <v>758932.43296016683</v>
      </c>
      <c r="G71" s="174"/>
      <c r="H71" s="162"/>
      <c r="I71" s="162"/>
      <c r="J71" s="162"/>
      <c r="K71" s="174"/>
      <c r="L71" s="162"/>
      <c r="M71" s="132"/>
      <c r="N71" s="132"/>
      <c r="O71" s="132"/>
      <c r="P71" s="132"/>
      <c r="Q71" s="132"/>
    </row>
    <row r="72" spans="2:17" x14ac:dyDescent="0.25">
      <c r="B72" s="132"/>
      <c r="C72" s="132"/>
      <c r="D72" s="175"/>
      <c r="E72" s="175"/>
      <c r="F72" s="175"/>
      <c r="G72" s="162"/>
      <c r="H72" s="162"/>
      <c r="I72" s="162"/>
      <c r="J72" s="162"/>
      <c r="K72" s="162"/>
      <c r="L72" s="162"/>
      <c r="M72" s="132"/>
      <c r="N72" s="132"/>
      <c r="O72" s="132"/>
      <c r="P72" s="132"/>
      <c r="Q72" s="132"/>
    </row>
    <row r="73" spans="2:17" ht="18.75" customHeight="1" x14ac:dyDescent="0.3">
      <c r="B73" s="113" t="s">
        <v>245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132"/>
      <c r="P73" s="132"/>
      <c r="Q73" s="132"/>
    </row>
    <row r="74" spans="2:17" x14ac:dyDescent="0.25">
      <c r="B74" s="132" t="s">
        <v>248</v>
      </c>
      <c r="C74" s="132"/>
      <c r="D74" s="132"/>
      <c r="E74" s="132"/>
      <c r="F74" s="132"/>
      <c r="G74" s="132"/>
      <c r="H74" s="176">
        <f>H5</f>
        <v>1215.02</v>
      </c>
      <c r="I74" s="132"/>
      <c r="J74" s="132"/>
      <c r="K74" s="132"/>
      <c r="L74" s="132"/>
      <c r="M74" s="132"/>
      <c r="N74" s="132"/>
      <c r="O74" s="132"/>
      <c r="P74" s="132"/>
      <c r="Q74" s="132"/>
    </row>
    <row r="75" spans="2:17" x14ac:dyDescent="0.25">
      <c r="B75" s="132" t="s">
        <v>195</v>
      </c>
      <c r="C75" s="132"/>
      <c r="D75" s="132"/>
      <c r="E75" s="132"/>
      <c r="F75" s="132"/>
      <c r="G75" s="132"/>
      <c r="H75" s="177">
        <f>H6</f>
        <v>893.7</v>
      </c>
      <c r="I75" s="132"/>
      <c r="J75" s="132"/>
      <c r="K75" s="132"/>
      <c r="L75" s="132"/>
      <c r="M75" s="157"/>
      <c r="N75" s="132"/>
      <c r="O75" s="132"/>
      <c r="P75" s="132"/>
      <c r="Q75" s="132"/>
    </row>
    <row r="76" spans="2:17" x14ac:dyDescent="0.25">
      <c r="B76" s="132" t="s">
        <v>249</v>
      </c>
      <c r="C76" s="132"/>
      <c r="D76" s="132"/>
      <c r="E76" s="132"/>
      <c r="F76" s="132"/>
      <c r="G76" s="132"/>
      <c r="H76" s="164">
        <v>4.9000000000000002E-2</v>
      </c>
      <c r="I76" s="132"/>
      <c r="J76" s="132"/>
      <c r="K76" s="132"/>
      <c r="L76" s="132" t="s">
        <v>250</v>
      </c>
      <c r="M76" s="178">
        <v>4.2299999999999997E-2</v>
      </c>
      <c r="N76" s="132" t="s">
        <v>251</v>
      </c>
      <c r="O76" s="132"/>
      <c r="P76" s="132"/>
      <c r="Q76" s="132"/>
    </row>
    <row r="77" spans="2:17" x14ac:dyDescent="0.25">
      <c r="B77" s="132" t="s">
        <v>252</v>
      </c>
      <c r="C77" s="132"/>
      <c r="D77" s="132"/>
      <c r="E77" s="132"/>
      <c r="F77" s="132"/>
      <c r="G77" s="132"/>
      <c r="H77" s="179">
        <f>J51</f>
        <v>0.19</v>
      </c>
      <c r="I77" s="132"/>
      <c r="J77" s="132"/>
      <c r="K77" s="132"/>
      <c r="L77" s="132" t="s">
        <v>253</v>
      </c>
      <c r="M77" s="178">
        <v>4.6940000000000003E-2</v>
      </c>
      <c r="N77" s="132" t="s">
        <v>254</v>
      </c>
      <c r="O77" s="132"/>
      <c r="P77" s="132"/>
      <c r="Q77" s="132"/>
    </row>
    <row r="78" spans="2:17" x14ac:dyDescent="0.25">
      <c r="B78" s="132" t="s">
        <v>255</v>
      </c>
      <c r="C78" s="132"/>
      <c r="D78" s="132"/>
      <c r="E78" s="132"/>
      <c r="F78" s="132"/>
      <c r="G78" s="132"/>
      <c r="H78" s="180">
        <f>H76*(1-H77)</f>
        <v>3.9690000000000003E-2</v>
      </c>
      <c r="I78" s="132"/>
      <c r="J78" s="132"/>
      <c r="K78" s="132"/>
      <c r="L78" s="132" t="s">
        <v>256</v>
      </c>
      <c r="M78" s="181">
        <v>0.51</v>
      </c>
      <c r="N78" s="132" t="s">
        <v>257</v>
      </c>
      <c r="O78" s="132"/>
      <c r="P78" s="132"/>
      <c r="Q78" s="132"/>
    </row>
    <row r="79" spans="2:17" x14ac:dyDescent="0.25">
      <c r="B79" s="132" t="s">
        <v>258</v>
      </c>
      <c r="C79" s="132"/>
      <c r="D79" s="132"/>
      <c r="E79" s="132"/>
      <c r="F79" s="132"/>
      <c r="G79" s="132"/>
      <c r="H79" s="164">
        <f>M80</f>
        <v>6.8513000000000004E-2</v>
      </c>
      <c r="I79" s="132"/>
      <c r="J79" s="132"/>
      <c r="K79" s="132"/>
      <c r="L79" s="132"/>
      <c r="M79" s="132"/>
      <c r="N79" s="132"/>
      <c r="O79" s="132"/>
      <c r="P79" s="132"/>
      <c r="Q79" s="132"/>
    </row>
    <row r="80" spans="2:17" x14ac:dyDescent="0.25">
      <c r="B80" s="132"/>
      <c r="C80" s="132"/>
      <c r="D80" s="175"/>
      <c r="E80" s="175"/>
      <c r="F80" s="132"/>
      <c r="G80" s="175"/>
      <c r="H80" s="132"/>
      <c r="I80" s="132"/>
      <c r="J80" s="132"/>
      <c r="K80" s="132"/>
      <c r="L80" s="132" t="s">
        <v>259</v>
      </c>
      <c r="M80" s="157">
        <f>M77+M78*(M76)</f>
        <v>6.8513000000000004E-2</v>
      </c>
      <c r="N80" s="132"/>
      <c r="O80" s="132"/>
      <c r="P80" s="132"/>
      <c r="Q80" s="132"/>
    </row>
    <row r="81" spans="2:17" x14ac:dyDescent="0.25">
      <c r="B81" s="132" t="s">
        <v>260</v>
      </c>
      <c r="C81" s="132"/>
      <c r="D81" s="132"/>
      <c r="E81" s="132"/>
      <c r="F81" s="132"/>
      <c r="G81" s="132"/>
      <c r="H81" s="182">
        <f>Main!C7</f>
        <v>54908</v>
      </c>
      <c r="I81" s="132"/>
      <c r="J81" s="132"/>
      <c r="K81" s="132"/>
      <c r="L81" s="183" t="s">
        <v>261</v>
      </c>
      <c r="M81" s="132"/>
      <c r="N81" s="132"/>
      <c r="O81" s="132"/>
      <c r="P81" s="132"/>
      <c r="Q81" s="132"/>
    </row>
    <row r="82" spans="2:17" x14ac:dyDescent="0.25">
      <c r="B82" s="132" t="s">
        <v>262</v>
      </c>
      <c r="C82" s="132"/>
      <c r="D82" s="132"/>
      <c r="E82" s="132"/>
      <c r="F82" s="132"/>
      <c r="G82" s="132"/>
      <c r="H82" s="182">
        <f>Main!C5</f>
        <v>1085863.3740000001</v>
      </c>
      <c r="I82" s="132"/>
      <c r="J82" s="132"/>
      <c r="K82" s="132"/>
      <c r="L82" s="132"/>
      <c r="M82" s="132"/>
      <c r="N82" s="132"/>
      <c r="O82" s="132"/>
      <c r="P82" s="132"/>
      <c r="Q82" s="132"/>
    </row>
    <row r="83" spans="2:17" x14ac:dyDescent="0.25">
      <c r="B83" s="184" t="s">
        <v>263</v>
      </c>
      <c r="C83" s="184"/>
      <c r="D83" s="132"/>
      <c r="E83" s="132"/>
      <c r="F83" s="132"/>
      <c r="G83" s="132"/>
      <c r="H83" s="146">
        <f>SUM(H81:H82)</f>
        <v>1140771.3740000001</v>
      </c>
      <c r="I83" s="132"/>
      <c r="J83" s="132"/>
      <c r="K83" s="132"/>
      <c r="L83" s="132"/>
      <c r="M83" s="132"/>
      <c r="N83" s="132"/>
      <c r="O83" s="132"/>
      <c r="P83" s="132"/>
      <c r="Q83" s="132"/>
    </row>
    <row r="84" spans="2:17" x14ac:dyDescent="0.25">
      <c r="B84" s="184"/>
      <c r="C84" s="184"/>
      <c r="D84" s="132"/>
      <c r="E84" s="132"/>
      <c r="F84" s="132"/>
      <c r="G84" s="132"/>
      <c r="H84" s="185"/>
      <c r="I84" s="132"/>
      <c r="J84" s="132"/>
      <c r="K84" s="132"/>
      <c r="L84" s="132"/>
      <c r="M84" s="132"/>
      <c r="N84" s="132"/>
      <c r="O84" s="132"/>
      <c r="P84" s="132"/>
      <c r="Q84" s="132"/>
    </row>
    <row r="85" spans="2:17" x14ac:dyDescent="0.25">
      <c r="B85" s="132" t="s">
        <v>264</v>
      </c>
      <c r="C85" s="132"/>
      <c r="D85" s="132"/>
      <c r="E85" s="132"/>
      <c r="F85" s="132"/>
      <c r="G85" s="132"/>
      <c r="H85" s="186">
        <f>H81/H83</f>
        <v>4.8132343825801505E-2</v>
      </c>
      <c r="I85" s="132"/>
      <c r="J85" s="132"/>
      <c r="K85" s="132"/>
      <c r="L85" s="132"/>
      <c r="M85" s="132"/>
      <c r="N85" s="132"/>
      <c r="O85" s="132"/>
      <c r="P85" s="132"/>
      <c r="Q85" s="132"/>
    </row>
    <row r="86" spans="2:17" x14ac:dyDescent="0.25">
      <c r="B86" s="132" t="s">
        <v>265</v>
      </c>
      <c r="C86" s="132"/>
      <c r="D86" s="132"/>
      <c r="E86" s="132"/>
      <c r="F86" s="132"/>
      <c r="G86" s="132"/>
      <c r="H86" s="186">
        <f>H82/H83</f>
        <v>0.95186765617419855</v>
      </c>
      <c r="I86" s="132"/>
      <c r="J86" s="132"/>
      <c r="K86" s="132"/>
      <c r="L86" s="132"/>
      <c r="M86" s="132"/>
      <c r="N86" s="132"/>
      <c r="O86" s="132"/>
      <c r="P86" s="132"/>
      <c r="Q86" s="132"/>
    </row>
    <row r="87" spans="2:17" x14ac:dyDescent="0.25">
      <c r="B87" s="184"/>
      <c r="C87" s="184"/>
      <c r="D87" s="132"/>
      <c r="E87" s="132"/>
      <c r="F87" s="132"/>
      <c r="G87" s="132"/>
      <c r="H87" s="185"/>
      <c r="I87" s="132"/>
      <c r="J87" s="132"/>
      <c r="K87" s="132"/>
      <c r="L87" s="132"/>
      <c r="M87" s="132"/>
      <c r="N87" s="132"/>
      <c r="O87" s="132"/>
      <c r="P87" s="132"/>
      <c r="Q87" s="132"/>
    </row>
    <row r="88" spans="2:17" x14ac:dyDescent="0.25">
      <c r="B88" s="136" t="s">
        <v>266</v>
      </c>
      <c r="C88" s="136"/>
      <c r="D88" s="136"/>
      <c r="E88" s="136"/>
      <c r="F88" s="136"/>
      <c r="G88" s="136"/>
      <c r="H88" s="187">
        <f>H85*H78+H86*H79</f>
        <v>6.7125681453908931E-2</v>
      </c>
      <c r="I88" s="132"/>
      <c r="J88" s="132"/>
      <c r="K88" s="132"/>
      <c r="L88" s="132"/>
      <c r="M88" s="132"/>
      <c r="N88" s="132"/>
      <c r="O88" s="132"/>
      <c r="P88" s="132"/>
      <c r="Q88" s="132"/>
    </row>
    <row r="89" spans="2:17" x14ac:dyDescent="0.25">
      <c r="B89" s="132"/>
      <c r="C89" s="132"/>
      <c r="D89" s="175"/>
      <c r="E89" s="175"/>
      <c r="F89" s="175"/>
      <c r="G89" s="175"/>
      <c r="H89" s="132"/>
      <c r="I89" s="132"/>
      <c r="J89" s="132"/>
      <c r="K89" s="132"/>
      <c r="L89" s="132"/>
      <c r="M89" s="132"/>
      <c r="N89" s="132"/>
      <c r="O89" s="132"/>
      <c r="P89" s="132"/>
      <c r="Q89" s="132"/>
    </row>
    <row r="90" spans="2:17" ht="18.75" customHeight="1" x14ac:dyDescent="0.3">
      <c r="B90" s="113" t="s">
        <v>267</v>
      </c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32"/>
      <c r="P90" s="132"/>
      <c r="Q90" s="132"/>
    </row>
    <row r="91" spans="2:17" x14ac:dyDescent="0.25">
      <c r="B91" s="132" t="s">
        <v>268</v>
      </c>
      <c r="C91" s="132"/>
      <c r="D91" s="188"/>
      <c r="E91" s="188"/>
      <c r="F91" s="188"/>
      <c r="G91" s="188"/>
      <c r="H91" s="142">
        <f>F71+F63</f>
        <v>943715.78967052512</v>
      </c>
      <c r="I91" s="132"/>
      <c r="J91" s="132"/>
      <c r="K91" s="132"/>
      <c r="L91" s="132"/>
      <c r="M91" s="132"/>
      <c r="N91" s="132"/>
      <c r="O91" s="132"/>
      <c r="P91" s="132"/>
      <c r="Q91" s="132"/>
    </row>
    <row r="92" spans="2:17" x14ac:dyDescent="0.25">
      <c r="B92" s="132" t="s">
        <v>269</v>
      </c>
      <c r="C92" s="132"/>
      <c r="D92" s="189"/>
      <c r="E92" s="189"/>
      <c r="F92" s="189"/>
      <c r="G92" s="189"/>
      <c r="H92" s="190">
        <f>(M92+M93)-M94</f>
        <v>35235</v>
      </c>
      <c r="I92" s="116" t="s">
        <v>270</v>
      </c>
      <c r="J92" s="188"/>
      <c r="K92" s="132"/>
      <c r="L92" s="132" t="s">
        <v>271</v>
      </c>
      <c r="M92" s="191">
        <f>BS!F29</f>
        <v>1635</v>
      </c>
      <c r="N92" s="132"/>
      <c r="O92" s="132"/>
      <c r="P92" s="132"/>
      <c r="Q92" s="132"/>
    </row>
    <row r="93" spans="2:17" x14ac:dyDescent="0.25">
      <c r="B93" s="136" t="s">
        <v>272</v>
      </c>
      <c r="C93" s="136"/>
      <c r="D93" s="132"/>
      <c r="E93" s="132"/>
      <c r="F93" s="132"/>
      <c r="G93" s="132"/>
      <c r="H93" s="146">
        <f>H91-H92</f>
        <v>908480.78967052512</v>
      </c>
      <c r="I93" s="116"/>
      <c r="J93" s="189"/>
      <c r="K93" s="132"/>
      <c r="L93" s="132" t="s">
        <v>273</v>
      </c>
      <c r="M93" s="191">
        <f>BS!F35</f>
        <v>40868</v>
      </c>
      <c r="N93" s="132"/>
      <c r="O93" s="132"/>
      <c r="P93" s="132"/>
      <c r="Q93" s="132"/>
    </row>
    <row r="94" spans="2:17" x14ac:dyDescent="0.25">
      <c r="B94" s="132" t="s">
        <v>195</v>
      </c>
      <c r="C94" s="132"/>
      <c r="D94" s="132"/>
      <c r="E94" s="132"/>
      <c r="F94" s="132"/>
      <c r="G94" s="132"/>
      <c r="H94" s="192">
        <f>H6</f>
        <v>893.7</v>
      </c>
      <c r="I94" s="184"/>
      <c r="J94" s="172"/>
      <c r="K94" s="132"/>
      <c r="L94" s="132" t="s">
        <v>13</v>
      </c>
      <c r="M94" s="191">
        <f>BS!F14</f>
        <v>7268</v>
      </c>
      <c r="N94" s="132"/>
      <c r="O94" s="132"/>
      <c r="P94" s="132"/>
      <c r="Q94" s="132"/>
    </row>
    <row r="95" spans="2:17" x14ac:dyDescent="0.25">
      <c r="B95" s="193" t="s">
        <v>274</v>
      </c>
      <c r="C95" s="139"/>
      <c r="D95" s="139"/>
      <c r="E95" s="139"/>
      <c r="F95" s="139"/>
      <c r="G95" s="139"/>
      <c r="H95" s="194">
        <f>H93/H94</f>
        <v>1016.5388717360693</v>
      </c>
      <c r="I95" s="195"/>
      <c r="J95" s="196"/>
      <c r="K95" s="132"/>
      <c r="L95" s="132"/>
      <c r="M95" s="132"/>
      <c r="N95" s="132"/>
      <c r="O95" s="132"/>
      <c r="P95" s="132"/>
      <c r="Q95" s="132"/>
    </row>
    <row r="96" spans="2:17" x14ac:dyDescent="0.25">
      <c r="B96" s="132"/>
      <c r="C96" s="132"/>
      <c r="D96" s="132"/>
      <c r="E96" s="132"/>
      <c r="F96" s="132"/>
      <c r="G96" s="132" t="s">
        <v>275</v>
      </c>
      <c r="H96" s="197">
        <f>H95/H5-1</f>
        <v>-0.16335626431164152</v>
      </c>
      <c r="I96" s="184"/>
      <c r="Q96" s="132"/>
    </row>
    <row r="97" spans="2:17" x14ac:dyDescent="0.25">
      <c r="B97" s="132"/>
      <c r="C97" s="132"/>
      <c r="D97" s="175"/>
      <c r="E97" s="175"/>
      <c r="F97" s="175"/>
      <c r="G97" s="175"/>
      <c r="H97" s="175"/>
      <c r="I97" s="175"/>
      <c r="Q97" s="175"/>
    </row>
    <row r="98" spans="2:17" x14ac:dyDescent="0.25">
      <c r="B98" s="132"/>
      <c r="C98" s="132"/>
      <c r="D98" s="198"/>
      <c r="E98" s="198"/>
    </row>
    <row r="99" spans="2:17" x14ac:dyDescent="0.25">
      <c r="B99" s="132"/>
      <c r="C99" s="132"/>
      <c r="D99" s="198"/>
      <c r="E99" s="198"/>
      <c r="G99" s="198"/>
    </row>
    <row r="100" spans="2:17" x14ac:dyDescent="0.25">
      <c r="B100" s="199"/>
      <c r="C100" s="199"/>
      <c r="D100" s="198"/>
      <c r="E100" s="198"/>
    </row>
    <row r="101" spans="2:17" x14ac:dyDescent="0.25">
      <c r="B101" s="199"/>
      <c r="C101" s="199"/>
      <c r="D101" s="132"/>
      <c r="E101" s="132"/>
    </row>
    <row r="102" spans="2:17" x14ac:dyDescent="0.25">
      <c r="B102" s="199"/>
      <c r="C102" s="199"/>
    </row>
    <row r="103" spans="2:17" x14ac:dyDescent="0.25">
      <c r="B103" s="199"/>
      <c r="C103" s="200"/>
    </row>
    <row r="104" spans="2:17" x14ac:dyDescent="0.25">
      <c r="B104" s="199"/>
      <c r="C104" s="199"/>
      <c r="Q104" s="201" t="s">
        <v>276</v>
      </c>
    </row>
    <row r="105" spans="2:17" x14ac:dyDescent="0.25">
      <c r="B105" s="199"/>
      <c r="C105" s="200"/>
    </row>
    <row r="106" spans="2:17" x14ac:dyDescent="0.25">
      <c r="B106" s="199"/>
      <c r="C106" s="202"/>
    </row>
    <row r="107" spans="2:17" x14ac:dyDescent="0.25">
      <c r="B107" s="199"/>
      <c r="C107" s="200"/>
    </row>
    <row r="116" spans="2:9" x14ac:dyDescent="0.25">
      <c r="C116" s="199"/>
      <c r="D116" s="199"/>
      <c r="E116" s="199"/>
      <c r="F116" s="199"/>
      <c r="G116" s="199"/>
      <c r="H116" s="199"/>
      <c r="I116" s="199"/>
    </row>
    <row r="117" spans="2:9" x14ac:dyDescent="0.25">
      <c r="B117" s="199"/>
      <c r="C117" s="199"/>
      <c r="D117" s="199"/>
      <c r="E117" s="199"/>
      <c r="F117" s="199"/>
      <c r="G117" s="199"/>
      <c r="H117" s="199"/>
      <c r="I117" s="199"/>
    </row>
    <row r="118" spans="2:9" x14ac:dyDescent="0.25">
      <c r="D118" s="203"/>
      <c r="E118" s="203"/>
      <c r="F118" s="203"/>
      <c r="G118" s="203"/>
      <c r="H118" s="203"/>
      <c r="I118" s="203"/>
    </row>
    <row r="120" spans="2:9" x14ac:dyDescent="0.25">
      <c r="D120" s="199"/>
    </row>
    <row r="121" spans="2:9" x14ac:dyDescent="0.25">
      <c r="D121" s="203"/>
    </row>
    <row r="129" spans="2:14" x14ac:dyDescent="0.25"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</row>
    <row r="130" spans="2:14" x14ac:dyDescent="0.25">
      <c r="B130" s="199"/>
      <c r="C130" s="204"/>
      <c r="D130" s="205"/>
      <c r="E130" s="205"/>
      <c r="F130" s="205"/>
      <c r="G130" s="205"/>
      <c r="H130" s="205"/>
      <c r="I130" s="205"/>
      <c r="J130" s="206"/>
      <c r="K130" s="206"/>
      <c r="L130" s="206"/>
      <c r="M130" s="206"/>
      <c r="N130" s="206"/>
    </row>
  </sheetData>
  <mergeCells count="4">
    <mergeCell ref="J9:N9"/>
    <mergeCell ref="J19:N19"/>
    <mergeCell ref="J46:N46"/>
    <mergeCell ref="H67:L6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8</v>
      </c>
    </row>
    <row r="3" spans="2:3" ht="15.75" customHeight="1" x14ac:dyDescent="0.25">
      <c r="B3" s="34" t="s">
        <v>278</v>
      </c>
      <c r="C3" s="3" t="s">
        <v>279</v>
      </c>
    </row>
    <row r="4" spans="2:3" ht="15.75" customHeight="1" x14ac:dyDescent="0.25">
      <c r="B4" s="34" t="s">
        <v>3</v>
      </c>
      <c r="C4" s="3" t="s">
        <v>280</v>
      </c>
    </row>
    <row r="5" spans="2:3" ht="15.75" customHeight="1" x14ac:dyDescent="0.25">
      <c r="B5" s="34" t="s">
        <v>281</v>
      </c>
      <c r="C5" s="3" t="s">
        <v>282</v>
      </c>
    </row>
    <row r="6" spans="2:3" ht="15.75" customHeight="1" x14ac:dyDescent="0.25">
      <c r="B6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10</v>
      </c>
    </row>
    <row r="3" spans="2:3" ht="15.75" customHeight="1" x14ac:dyDescent="0.25">
      <c r="B3" s="34" t="s">
        <v>278</v>
      </c>
      <c r="C3" s="3" t="s">
        <v>283</v>
      </c>
    </row>
    <row r="4" spans="2:3" ht="15.75" customHeight="1" x14ac:dyDescent="0.25">
      <c r="B4" s="34" t="s">
        <v>3</v>
      </c>
      <c r="C4" s="3" t="s">
        <v>284</v>
      </c>
    </row>
    <row r="5" spans="2:3" ht="15.75" customHeight="1" x14ac:dyDescent="0.25">
      <c r="B5" s="34" t="s">
        <v>281</v>
      </c>
      <c r="C5" s="3" t="s">
        <v>282</v>
      </c>
    </row>
    <row r="6" spans="2:3" ht="15.75" customHeight="1" x14ac:dyDescent="0.25">
      <c r="B6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12</v>
      </c>
    </row>
    <row r="3" spans="2:3" ht="15.75" customHeight="1" x14ac:dyDescent="0.25">
      <c r="B3" s="34" t="s">
        <v>278</v>
      </c>
      <c r="C3" s="3" t="s">
        <v>285</v>
      </c>
    </row>
    <row r="4" spans="2:3" ht="15.75" customHeight="1" x14ac:dyDescent="0.25">
      <c r="B4" s="34" t="s">
        <v>3</v>
      </c>
      <c r="C4" s="3" t="s">
        <v>286</v>
      </c>
    </row>
    <row r="5" spans="2:3" ht="15.75" customHeight="1" x14ac:dyDescent="0.25">
      <c r="B5" s="34" t="s">
        <v>281</v>
      </c>
      <c r="C5" s="3" t="s">
        <v>287</v>
      </c>
    </row>
    <row r="6" spans="2:3" ht="15.75" customHeight="1" x14ac:dyDescent="0.25">
      <c r="B6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1E5F5"/>
  </sheetPr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9.5" style="3" customWidth="1"/>
  </cols>
  <sheetData>
    <row r="2" spans="2:3" ht="15.75" customHeight="1" x14ac:dyDescent="0.25">
      <c r="B2" s="34" t="s">
        <v>277</v>
      </c>
      <c r="C2" s="3" t="s">
        <v>288</v>
      </c>
    </row>
    <row r="3" spans="2:3" ht="15.75" customHeight="1" x14ac:dyDescent="0.25">
      <c r="B3" s="34" t="s">
        <v>278</v>
      </c>
      <c r="C3" s="3" t="s">
        <v>14</v>
      </c>
    </row>
    <row r="4" spans="2:3" ht="15.75" customHeight="1" x14ac:dyDescent="0.25">
      <c r="B4" s="34" t="s">
        <v>3</v>
      </c>
      <c r="C4" s="3" t="s">
        <v>289</v>
      </c>
    </row>
    <row r="5" spans="2:3" ht="15.75" customHeight="1" x14ac:dyDescent="0.25">
      <c r="B5" s="34" t="s">
        <v>281</v>
      </c>
      <c r="C5" s="3" t="s">
        <v>290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6" style="3" customWidth="1"/>
  </cols>
  <sheetData>
    <row r="2" spans="2:3" ht="15.75" customHeight="1" x14ac:dyDescent="0.25">
      <c r="B2" s="34" t="s">
        <v>277</v>
      </c>
      <c r="C2" s="3" t="s">
        <v>17</v>
      </c>
    </row>
    <row r="3" spans="2:3" ht="15.75" customHeight="1" x14ac:dyDescent="0.25">
      <c r="B3" s="34" t="s">
        <v>278</v>
      </c>
      <c r="C3" s="3" t="s">
        <v>291</v>
      </c>
    </row>
    <row r="4" spans="2:3" ht="15.75" customHeight="1" x14ac:dyDescent="0.25">
      <c r="B4" s="34" t="s">
        <v>3</v>
      </c>
      <c r="C4" s="3" t="s">
        <v>292</v>
      </c>
    </row>
    <row r="5" spans="2:3" ht="15.75" customHeight="1" x14ac:dyDescent="0.25">
      <c r="B5" s="34" t="s">
        <v>281</v>
      </c>
      <c r="C5" s="3" t="s">
        <v>293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19</v>
      </c>
    </row>
    <row r="3" spans="2:3" ht="15.75" customHeight="1" x14ac:dyDescent="0.25">
      <c r="B3" s="34" t="s">
        <v>278</v>
      </c>
      <c r="C3" s="3" t="s">
        <v>294</v>
      </c>
    </row>
    <row r="4" spans="2:3" ht="15.75" customHeight="1" x14ac:dyDescent="0.25">
      <c r="B4" s="34" t="s">
        <v>3</v>
      </c>
      <c r="C4" s="3" t="s">
        <v>295</v>
      </c>
    </row>
    <row r="5" spans="2:3" ht="15.75" customHeight="1" x14ac:dyDescent="0.25">
      <c r="B5" s="34" t="s">
        <v>281</v>
      </c>
      <c r="C5" s="3" t="s">
        <v>296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20</v>
      </c>
    </row>
    <row r="3" spans="2:3" ht="15.75" customHeight="1" x14ac:dyDescent="0.25">
      <c r="B3" s="34" t="s">
        <v>278</v>
      </c>
      <c r="C3" s="3" t="s">
        <v>297</v>
      </c>
    </row>
    <row r="4" spans="2:3" ht="15.75" customHeight="1" x14ac:dyDescent="0.25">
      <c r="B4" s="34" t="s">
        <v>3</v>
      </c>
      <c r="C4" s="3" t="s">
        <v>295</v>
      </c>
    </row>
    <row r="5" spans="2:3" ht="15.75" customHeight="1" x14ac:dyDescent="0.25">
      <c r="B5" s="34" t="s">
        <v>281</v>
      </c>
      <c r="C5" s="3" t="s">
        <v>298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23</v>
      </c>
    </row>
    <row r="3" spans="2:3" ht="15.75" customHeight="1" x14ac:dyDescent="0.25">
      <c r="B3" s="34" t="s">
        <v>278</v>
      </c>
      <c r="C3" s="3" t="s">
        <v>299</v>
      </c>
    </row>
    <row r="4" spans="2:3" ht="15.75" customHeight="1" x14ac:dyDescent="0.25">
      <c r="B4" s="34" t="s">
        <v>3</v>
      </c>
      <c r="C4" s="3" t="s">
        <v>295</v>
      </c>
    </row>
    <row r="5" spans="2:3" ht="15.75" customHeight="1" x14ac:dyDescent="0.25">
      <c r="B5" s="34" t="s">
        <v>281</v>
      </c>
      <c r="C5" s="3" t="s">
        <v>300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25</v>
      </c>
    </row>
    <row r="3" spans="2:3" ht="15.75" customHeight="1" x14ac:dyDescent="0.25">
      <c r="B3" s="34" t="s">
        <v>278</v>
      </c>
      <c r="C3" s="3" t="s">
        <v>301</v>
      </c>
    </row>
    <row r="4" spans="2:3" ht="15.75" customHeight="1" x14ac:dyDescent="0.25">
      <c r="B4" s="34" t="s">
        <v>3</v>
      </c>
      <c r="C4" s="3" t="s">
        <v>302</v>
      </c>
    </row>
    <row r="5" spans="2:3" ht="15.75" customHeight="1" x14ac:dyDescent="0.25">
      <c r="B5" s="34" t="s">
        <v>281</v>
      </c>
      <c r="C5" s="3" t="s">
        <v>303</v>
      </c>
    </row>
    <row r="6" spans="2:3" ht="15.75" customHeight="1" x14ac:dyDescent="0.25">
      <c r="B6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27</v>
      </c>
    </row>
    <row r="3" spans="2:3" ht="15.75" customHeight="1" x14ac:dyDescent="0.25">
      <c r="B3" s="34" t="s">
        <v>278</v>
      </c>
      <c r="C3" s="3" t="s">
        <v>304</v>
      </c>
    </row>
    <row r="4" spans="2:3" ht="15.75" customHeight="1" x14ac:dyDescent="0.25">
      <c r="B4" s="34" t="s">
        <v>3</v>
      </c>
      <c r="C4" s="3" t="s">
        <v>305</v>
      </c>
    </row>
    <row r="5" spans="2:3" ht="15.75" customHeight="1" x14ac:dyDescent="0.25">
      <c r="B5" s="34" t="s">
        <v>281</v>
      </c>
      <c r="C5" s="3" t="s">
        <v>306</v>
      </c>
    </row>
    <row r="6" spans="2:3" ht="15.75" customHeight="1" x14ac:dyDescent="0.25">
      <c r="B6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28</v>
      </c>
    </row>
    <row r="3" spans="2:3" ht="15.75" customHeight="1" x14ac:dyDescent="0.25">
      <c r="B3" s="34" t="s">
        <v>278</v>
      </c>
      <c r="C3" s="3" t="s">
        <v>307</v>
      </c>
    </row>
    <row r="4" spans="2:3" ht="15.75" customHeight="1" x14ac:dyDescent="0.25">
      <c r="B4" s="34" t="s">
        <v>3</v>
      </c>
      <c r="C4" s="3" t="s">
        <v>308</v>
      </c>
    </row>
    <row r="5" spans="2:3" ht="15.75" customHeight="1" x14ac:dyDescent="0.25">
      <c r="B5" s="34" t="s">
        <v>281</v>
      </c>
      <c r="C5" s="3" t="s">
        <v>309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29</v>
      </c>
    </row>
    <row r="3" spans="2:3" ht="15.75" customHeight="1" x14ac:dyDescent="0.25">
      <c r="B3" s="34" t="s">
        <v>278</v>
      </c>
      <c r="C3" s="3" t="s">
        <v>310</v>
      </c>
    </row>
    <row r="4" spans="2:3" ht="15.75" customHeight="1" x14ac:dyDescent="0.25">
      <c r="B4" s="34" t="s">
        <v>3</v>
      </c>
      <c r="C4" s="3" t="s">
        <v>311</v>
      </c>
    </row>
    <row r="5" spans="2:3" ht="15.75" customHeight="1" x14ac:dyDescent="0.25">
      <c r="B5" s="34" t="s">
        <v>281</v>
      </c>
      <c r="C5" s="3" t="s">
        <v>312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31</v>
      </c>
    </row>
    <row r="3" spans="2:3" ht="15.75" customHeight="1" x14ac:dyDescent="0.25">
      <c r="B3" s="34" t="s">
        <v>278</v>
      </c>
      <c r="C3" s="3" t="s">
        <v>313</v>
      </c>
    </row>
    <row r="4" spans="2:3" ht="15.75" customHeight="1" x14ac:dyDescent="0.25">
      <c r="B4" s="34" t="s">
        <v>3</v>
      </c>
      <c r="C4" s="3" t="s">
        <v>314</v>
      </c>
    </row>
    <row r="5" spans="2:3" ht="15.75" customHeight="1" x14ac:dyDescent="0.25">
      <c r="B5" s="34" t="s">
        <v>281</v>
      </c>
      <c r="C5" s="3" t="s">
        <v>315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32</v>
      </c>
    </row>
    <row r="3" spans="2:3" ht="15.75" customHeight="1" x14ac:dyDescent="0.25">
      <c r="B3" s="34" t="s">
        <v>278</v>
      </c>
      <c r="C3" s="3" t="s">
        <v>316</v>
      </c>
    </row>
    <row r="4" spans="2:3" ht="15.75" customHeight="1" x14ac:dyDescent="0.25">
      <c r="B4" s="34" t="s">
        <v>3</v>
      </c>
      <c r="C4" s="3" t="s">
        <v>317</v>
      </c>
    </row>
    <row r="5" spans="2:3" ht="15.75" customHeight="1" x14ac:dyDescent="0.25">
      <c r="B5" s="34" t="s">
        <v>281</v>
      </c>
      <c r="C5" s="3" t="s">
        <v>318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34</v>
      </c>
    </row>
    <row r="3" spans="2:3" ht="15.75" customHeight="1" x14ac:dyDescent="0.25">
      <c r="B3" s="34" t="s">
        <v>278</v>
      </c>
      <c r="C3" s="3" t="s">
        <v>319</v>
      </c>
    </row>
    <row r="4" spans="2:3" ht="15.75" customHeight="1" x14ac:dyDescent="0.25">
      <c r="B4" s="34" t="s">
        <v>3</v>
      </c>
      <c r="C4" s="3" t="s">
        <v>320</v>
      </c>
    </row>
    <row r="5" spans="2:3" ht="15.75" customHeight="1" x14ac:dyDescent="0.25">
      <c r="B5" s="34" t="s">
        <v>281</v>
      </c>
      <c r="C5" s="3" t="s">
        <v>321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style="3" customWidth="1"/>
    <col min="3" max="3" width="32" style="3" customWidth="1"/>
  </cols>
  <sheetData>
    <row r="2" spans="2:3" ht="15.75" customHeight="1" x14ac:dyDescent="0.25">
      <c r="B2" s="34" t="s">
        <v>277</v>
      </c>
      <c r="C2" s="3" t="s">
        <v>35</v>
      </c>
    </row>
    <row r="3" spans="2:3" ht="15.75" customHeight="1" x14ac:dyDescent="0.25">
      <c r="B3" s="34" t="s">
        <v>278</v>
      </c>
      <c r="C3" s="3" t="s">
        <v>322</v>
      </c>
    </row>
    <row r="4" spans="2:3" ht="15.75" customHeight="1" x14ac:dyDescent="0.25">
      <c r="B4" s="34" t="s">
        <v>3</v>
      </c>
      <c r="C4" s="3" t="s">
        <v>305</v>
      </c>
    </row>
    <row r="5" spans="2:3" ht="15.75" customHeight="1" x14ac:dyDescent="0.25">
      <c r="B5" s="34" t="s">
        <v>281</v>
      </c>
      <c r="C5" s="3" t="s">
        <v>323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27.125" style="3" customWidth="1"/>
  </cols>
  <sheetData>
    <row r="2" spans="2:3" ht="15.75" customHeight="1" x14ac:dyDescent="0.25">
      <c r="B2" s="34" t="s">
        <v>277</v>
      </c>
      <c r="C2" s="3" t="s">
        <v>36</v>
      </c>
    </row>
    <row r="3" spans="2:3" ht="15.75" customHeight="1" x14ac:dyDescent="0.25">
      <c r="B3" s="34" t="s">
        <v>278</v>
      </c>
      <c r="C3" s="3" t="s">
        <v>324</v>
      </c>
    </row>
    <row r="4" spans="2:3" ht="15.75" customHeight="1" x14ac:dyDescent="0.25">
      <c r="B4" s="34" t="s">
        <v>3</v>
      </c>
      <c r="C4" s="3" t="s">
        <v>325</v>
      </c>
    </row>
    <row r="5" spans="2:3" ht="15.75" customHeight="1" x14ac:dyDescent="0.25">
      <c r="B5" s="34" t="s">
        <v>281</v>
      </c>
      <c r="C5" s="3" t="s">
        <v>326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46.625" style="3" customWidth="1"/>
  </cols>
  <sheetData>
    <row r="2" spans="2:3" ht="15.75" customHeight="1" x14ac:dyDescent="0.25">
      <c r="B2" s="34" t="s">
        <v>277</v>
      </c>
      <c r="C2" s="3" t="s">
        <v>37</v>
      </c>
    </row>
    <row r="3" spans="2:3" ht="15.75" customHeight="1" x14ac:dyDescent="0.25">
      <c r="B3" s="34" t="s">
        <v>278</v>
      </c>
      <c r="C3" s="3" t="s">
        <v>327</v>
      </c>
    </row>
    <row r="4" spans="2:3" ht="15.75" customHeight="1" x14ac:dyDescent="0.25">
      <c r="B4" s="34" t="s">
        <v>3</v>
      </c>
      <c r="C4" s="3" t="s">
        <v>328</v>
      </c>
    </row>
    <row r="5" spans="2:3" ht="15.75" customHeight="1" x14ac:dyDescent="0.25">
      <c r="B5" s="34" t="s">
        <v>281</v>
      </c>
      <c r="C5" s="3" t="s">
        <v>329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30.625" style="3" customWidth="1"/>
  </cols>
  <sheetData>
    <row r="2" spans="2:3" ht="15.75" customHeight="1" x14ac:dyDescent="0.25">
      <c r="B2" s="34" t="s">
        <v>277</v>
      </c>
      <c r="C2" s="3" t="s">
        <v>38</v>
      </c>
    </row>
    <row r="3" spans="2:3" ht="15.75" customHeight="1" x14ac:dyDescent="0.25">
      <c r="B3" s="34" t="s">
        <v>278</v>
      </c>
      <c r="C3" s="3" t="s">
        <v>330</v>
      </c>
    </row>
    <row r="4" spans="2:3" ht="15.75" customHeight="1" x14ac:dyDescent="0.25">
      <c r="B4" s="34" t="s">
        <v>3</v>
      </c>
      <c r="C4" s="3" t="s">
        <v>331</v>
      </c>
    </row>
    <row r="5" spans="2:3" ht="15.75" customHeight="1" x14ac:dyDescent="0.25">
      <c r="B5" s="34" t="s">
        <v>281</v>
      </c>
      <c r="C5" s="3" t="s">
        <v>332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27.125" style="3" customWidth="1"/>
  </cols>
  <sheetData>
    <row r="2" spans="2:3" ht="15.75" customHeight="1" x14ac:dyDescent="0.25">
      <c r="B2" s="34" t="s">
        <v>277</v>
      </c>
      <c r="C2" s="3" t="s">
        <v>39</v>
      </c>
    </row>
    <row r="3" spans="2:3" ht="15.75" customHeight="1" x14ac:dyDescent="0.25">
      <c r="B3" s="34" t="s">
        <v>278</v>
      </c>
      <c r="C3" s="3" t="s">
        <v>333</v>
      </c>
    </row>
    <row r="4" spans="2:3" ht="15.75" customHeight="1" x14ac:dyDescent="0.25">
      <c r="B4" s="34" t="s">
        <v>3</v>
      </c>
      <c r="C4" s="3" t="s">
        <v>334</v>
      </c>
    </row>
    <row r="5" spans="2:3" ht="15.75" customHeight="1" x14ac:dyDescent="0.25">
      <c r="B5" s="34" t="s">
        <v>281</v>
      </c>
      <c r="C5" s="3" t="s">
        <v>335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46.625" style="3" customWidth="1"/>
  </cols>
  <sheetData>
    <row r="2" spans="2:3" ht="15.75" customHeight="1" x14ac:dyDescent="0.25">
      <c r="B2" s="34" t="s">
        <v>277</v>
      </c>
      <c r="C2" s="3" t="s">
        <v>40</v>
      </c>
    </row>
    <row r="3" spans="2:3" ht="15.75" customHeight="1" x14ac:dyDescent="0.25">
      <c r="B3" s="34" t="s">
        <v>278</v>
      </c>
      <c r="C3" s="3" t="s">
        <v>336</v>
      </c>
    </row>
    <row r="4" spans="2:3" ht="15.75" customHeight="1" x14ac:dyDescent="0.25">
      <c r="B4" s="34" t="s">
        <v>3</v>
      </c>
      <c r="C4" s="3" t="s">
        <v>337</v>
      </c>
    </row>
    <row r="5" spans="2:3" ht="15.75" customHeight="1" x14ac:dyDescent="0.25">
      <c r="B5" s="34" t="s">
        <v>281</v>
      </c>
      <c r="C5" s="3" t="s">
        <v>338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C5"/>
  <sheetViews>
    <sheetView zoomScaleNormal="100" workbookViewId="0">
      <selection activeCell="D11" sqref="D11"/>
    </sheetView>
  </sheetViews>
  <sheetFormatPr defaultColWidth="11" defaultRowHeight="15.75" x14ac:dyDescent="0.25"/>
  <cols>
    <col min="3" max="3" width="27.125" style="3" customWidth="1"/>
  </cols>
  <sheetData>
    <row r="2" spans="2:3" ht="15.75" customHeight="1" x14ac:dyDescent="0.25">
      <c r="B2" s="34" t="s">
        <v>277</v>
      </c>
      <c r="C2" s="3" t="s">
        <v>41</v>
      </c>
    </row>
    <row r="3" spans="2:3" ht="15.75" customHeight="1" x14ac:dyDescent="0.25">
      <c r="B3" s="34" t="s">
        <v>278</v>
      </c>
      <c r="C3" s="3" t="s">
        <v>339</v>
      </c>
    </row>
    <row r="4" spans="2:3" ht="15.75" customHeight="1" x14ac:dyDescent="0.25">
      <c r="B4" s="34" t="s">
        <v>3</v>
      </c>
      <c r="C4" s="3" t="s">
        <v>340</v>
      </c>
    </row>
    <row r="5" spans="2:3" ht="15.75" customHeight="1" x14ac:dyDescent="0.25">
      <c r="B5" s="34" t="s">
        <v>281</v>
      </c>
      <c r="C5" s="3" t="s">
        <v>341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Main</vt:lpstr>
      <vt:lpstr>10QIS</vt:lpstr>
      <vt:lpstr>IS</vt:lpstr>
      <vt:lpstr>BS</vt:lpstr>
      <vt:lpstr>CFS</vt:lpstr>
      <vt:lpstr>DCF</vt:lpstr>
      <vt:lpstr>Mounjaro</vt:lpstr>
      <vt:lpstr>Zepbound</vt:lpstr>
      <vt:lpstr>Trulicity</vt:lpstr>
      <vt:lpstr>Retatrutide</vt:lpstr>
      <vt:lpstr>Foundayo</vt:lpstr>
      <vt:lpstr>Basaglar</vt:lpstr>
      <vt:lpstr>Humalog</vt:lpstr>
      <vt:lpstr>Humulin</vt:lpstr>
      <vt:lpstr>Jardiance</vt:lpstr>
      <vt:lpstr>Verzenio</vt:lpstr>
      <vt:lpstr>Cyramza</vt:lpstr>
      <vt:lpstr>Erbitux</vt:lpstr>
      <vt:lpstr>Retevmo</vt:lpstr>
      <vt:lpstr>Tyvyt</vt:lpstr>
      <vt:lpstr>Jaypirca</vt:lpstr>
      <vt:lpstr>Inluriyo</vt:lpstr>
      <vt:lpstr>Ebglyss</vt:lpstr>
      <vt:lpstr>Olumiant</vt:lpstr>
      <vt:lpstr>Omvoh</vt:lpstr>
      <vt:lpstr>Taltz</vt:lpstr>
      <vt:lpstr>Emgality</vt:lpstr>
      <vt:lpstr>Kisunla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2026-08-14T21:08:37Z</dcterms:modified>
  <dc:language>en-US</dc:language>
</cp:coreProperties>
</file>
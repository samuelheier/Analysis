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U:\Models\"/>
    </mc:Choice>
  </mc:AlternateContent>
  <xr:revisionPtr revIDLastSave="0" documentId="13_ncr:1_{4286E676-FA61-426C-91AF-03D1F1D38C1E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Main" sheetId="1" r:id="rId1"/>
    <sheet name="Model" sheetId="2" r:id="rId2"/>
    <sheet name="Mounjaro" sheetId="4" r:id="rId3"/>
    <sheet name="Zepbound" sheetId="5" r:id="rId4"/>
    <sheet name="Trulicity" sheetId="6" r:id="rId5"/>
    <sheet name="Retatrutide" sheetId="7" r:id="rId6"/>
    <sheet name="Foundayo" sheetId="8" r:id="rId7"/>
    <sheet name="Basaglar" sheetId="9" r:id="rId8"/>
    <sheet name="Humalog" sheetId="10" r:id="rId9"/>
    <sheet name="Humulin" sheetId="11" r:id="rId10"/>
    <sheet name="Jardiance" sheetId="12" r:id="rId11"/>
    <sheet name="Verzenio" sheetId="13" r:id="rId12"/>
    <sheet name="Cyramza" sheetId="14" r:id="rId13"/>
    <sheet name="Erbitux" sheetId="15" r:id="rId14"/>
    <sheet name="Retevmo" sheetId="16" r:id="rId15"/>
    <sheet name="Tyvyt" sheetId="17" r:id="rId16"/>
    <sheet name="Jaypirca" sheetId="18" r:id="rId17"/>
    <sheet name="Inluriyo" sheetId="19" r:id="rId18"/>
    <sheet name="Ebglyss" sheetId="20" r:id="rId19"/>
    <sheet name="Olumiant" sheetId="21" r:id="rId20"/>
    <sheet name="Omvoh" sheetId="22" r:id="rId21"/>
    <sheet name="Taltz" sheetId="23" r:id="rId22"/>
    <sheet name="Emgality" sheetId="24" r:id="rId23"/>
    <sheet name="Kisunla" sheetId="25" r:id="rId2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265" i="2" l="1"/>
  <c r="S264" i="2"/>
  <c r="S263" i="2"/>
  <c r="S262" i="2"/>
  <c r="S261" i="2"/>
  <c r="S260" i="2"/>
  <c r="S259" i="2"/>
  <c r="S258" i="2"/>
  <c r="S257" i="2"/>
  <c r="S256" i="2"/>
  <c r="S255" i="2"/>
  <c r="G268" i="2" a="1"/>
  <c r="G268" i="2"/>
  <c r="G267" i="2" a="1"/>
  <c r="G267" i="2"/>
  <c r="G266" i="2" a="1"/>
  <c r="G266" i="2"/>
  <c r="G265" i="2" a="1"/>
  <c r="G265" i="2"/>
  <c r="G264" i="2" a="1"/>
  <c r="G264" i="2"/>
  <c r="G263" i="2" a="1"/>
  <c r="G263" i="2"/>
  <c r="F268" i="2" a="1"/>
  <c r="F268" i="2"/>
  <c r="F267" i="2" a="1"/>
  <c r="F267" i="2"/>
  <c r="F266" i="2" a="1"/>
  <c r="F266" i="2"/>
  <c r="F265" i="2" a="1"/>
  <c r="F265" i="2"/>
  <c r="F264" i="2" a="1"/>
  <c r="F264" i="2"/>
  <c r="F263" i="2" a="1"/>
  <c r="F263" i="2"/>
  <c r="E268" i="2" a="1"/>
  <c r="E268" i="2"/>
  <c r="E267" i="2" a="1"/>
  <c r="E267" i="2"/>
  <c r="E266" i="2" a="1"/>
  <c r="E266" i="2"/>
  <c r="E265" i="2" a="1"/>
  <c r="E265" i="2"/>
  <c r="E264" i="2" a="1"/>
  <c r="E264" i="2"/>
  <c r="E263" i="2" a="1"/>
  <c r="E263" i="2"/>
  <c r="D268" i="2" a="1"/>
  <c r="D268" i="2"/>
  <c r="D267" i="2" a="1"/>
  <c r="D267" i="2"/>
  <c r="D266" i="2" a="1"/>
  <c r="D266" i="2"/>
  <c r="D265" i="2" a="1"/>
  <c r="D265" i="2"/>
  <c r="D264" i="2" a="1"/>
  <c r="D264" i="2"/>
  <c r="D263" i="2" a="1"/>
  <c r="D263" i="2"/>
  <c r="C268" i="2" a="1"/>
  <c r="C268" i="2"/>
  <c r="C267" i="2" a="1"/>
  <c r="C267" i="2"/>
  <c r="C266" i="2" a="1"/>
  <c r="C266" i="2"/>
  <c r="C265" i="2" a="1"/>
  <c r="C265" i="2"/>
  <c r="C264" i="2" a="1"/>
  <c r="C264" i="2"/>
  <c r="C263" i="2" a="1"/>
  <c r="C263" i="2"/>
  <c r="P247" i="2"/>
  <c r="O247" i="2"/>
  <c r="N247" i="2"/>
  <c r="M247" i="2"/>
  <c r="L247" i="2"/>
  <c r="K247" i="2"/>
  <c r="J247" i="2"/>
  <c r="I247" i="2"/>
  <c r="H247" i="2"/>
  <c r="G247" i="2"/>
  <c r="F247" i="2"/>
  <c r="P246" i="2"/>
  <c r="O246" i="2"/>
  <c r="N246" i="2"/>
  <c r="M246" i="2"/>
  <c r="L246" i="2"/>
  <c r="K246" i="2"/>
  <c r="J246" i="2"/>
  <c r="I246" i="2"/>
  <c r="H246" i="2"/>
  <c r="G246" i="2"/>
  <c r="F246" i="2"/>
  <c r="P245" i="2"/>
  <c r="O245" i="2"/>
  <c r="N245" i="2"/>
  <c r="M245" i="2"/>
  <c r="L245" i="2"/>
  <c r="K245" i="2"/>
  <c r="J245" i="2"/>
  <c r="I245" i="2"/>
  <c r="H245" i="2"/>
  <c r="G245" i="2"/>
  <c r="F245" i="2"/>
  <c r="P244" i="2"/>
  <c r="O244" i="2"/>
  <c r="N244" i="2"/>
  <c r="M244" i="2"/>
  <c r="L244" i="2"/>
  <c r="K244" i="2"/>
  <c r="J244" i="2"/>
  <c r="I244" i="2"/>
  <c r="H244" i="2"/>
  <c r="G244" i="2"/>
  <c r="F244" i="2"/>
  <c r="P243" i="2"/>
  <c r="O243" i="2"/>
  <c r="N243" i="2"/>
  <c r="M243" i="2"/>
  <c r="L243" i="2"/>
  <c r="K243" i="2"/>
  <c r="J243" i="2"/>
  <c r="I243" i="2"/>
  <c r="H243" i="2"/>
  <c r="G243" i="2"/>
  <c r="F243" i="2"/>
  <c r="P242" i="2"/>
  <c r="O242" i="2"/>
  <c r="N242" i="2"/>
  <c r="M242" i="2"/>
  <c r="L242" i="2"/>
  <c r="K242" i="2"/>
  <c r="J242" i="2"/>
  <c r="I242" i="2"/>
  <c r="H242" i="2"/>
  <c r="G242" i="2"/>
  <c r="F242" i="2"/>
  <c r="P241" i="2"/>
  <c r="O241" i="2"/>
  <c r="N241" i="2"/>
  <c r="M241" i="2"/>
  <c r="L241" i="2"/>
  <c r="K241" i="2"/>
  <c r="J241" i="2"/>
  <c r="I241" i="2"/>
  <c r="H241" i="2"/>
  <c r="G241" i="2"/>
  <c r="F241" i="2"/>
  <c r="P240" i="2"/>
  <c r="O240" i="2"/>
  <c r="N240" i="2"/>
  <c r="M240" i="2"/>
  <c r="L240" i="2"/>
  <c r="K240" i="2"/>
  <c r="J240" i="2"/>
  <c r="I240" i="2"/>
  <c r="H240" i="2"/>
  <c r="G240" i="2"/>
  <c r="F240" i="2"/>
  <c r="P239" i="2"/>
  <c r="O239" i="2"/>
  <c r="N239" i="2"/>
  <c r="M239" i="2"/>
  <c r="L239" i="2"/>
  <c r="K239" i="2"/>
  <c r="J239" i="2"/>
  <c r="I239" i="2"/>
  <c r="H239" i="2"/>
  <c r="G239" i="2"/>
  <c r="F239" i="2"/>
  <c r="P238" i="2"/>
  <c r="O238" i="2"/>
  <c r="N238" i="2"/>
  <c r="M238" i="2"/>
  <c r="L238" i="2"/>
  <c r="K238" i="2"/>
  <c r="J238" i="2"/>
  <c r="I238" i="2"/>
  <c r="H238" i="2"/>
  <c r="G238" i="2"/>
  <c r="F238" i="2"/>
  <c r="P237" i="2"/>
  <c r="O237" i="2"/>
  <c r="N237" i="2"/>
  <c r="M237" i="2"/>
  <c r="L237" i="2"/>
  <c r="K237" i="2"/>
  <c r="J237" i="2"/>
  <c r="I237" i="2"/>
  <c r="H237" i="2"/>
  <c r="G237" i="2"/>
  <c r="F237" i="2"/>
  <c r="P236" i="2"/>
  <c r="O236" i="2"/>
  <c r="N236" i="2"/>
  <c r="M236" i="2"/>
  <c r="L236" i="2"/>
  <c r="K236" i="2"/>
  <c r="J236" i="2"/>
  <c r="I236" i="2"/>
  <c r="H236" i="2"/>
  <c r="G236" i="2"/>
  <c r="F236" i="2"/>
  <c r="P235" i="2"/>
  <c r="O235" i="2"/>
  <c r="N235" i="2"/>
  <c r="M235" i="2"/>
  <c r="L235" i="2"/>
  <c r="K235" i="2"/>
  <c r="J235" i="2"/>
  <c r="I235" i="2"/>
  <c r="H235" i="2"/>
  <c r="G235" i="2"/>
  <c r="F235" i="2"/>
  <c r="P234" i="2"/>
  <c r="O234" i="2"/>
  <c r="N234" i="2"/>
  <c r="M234" i="2"/>
  <c r="L234" i="2"/>
  <c r="K234" i="2"/>
  <c r="J234" i="2"/>
  <c r="I234" i="2"/>
  <c r="H234" i="2"/>
  <c r="G234" i="2"/>
  <c r="F234" i="2"/>
  <c r="P233" i="2"/>
  <c r="O233" i="2"/>
  <c r="N233" i="2"/>
  <c r="M233" i="2"/>
  <c r="L233" i="2"/>
  <c r="K233" i="2"/>
  <c r="J233" i="2"/>
  <c r="I233" i="2"/>
  <c r="H233" i="2"/>
  <c r="G233" i="2"/>
  <c r="F233" i="2"/>
  <c r="P232" i="2"/>
  <c r="O232" i="2"/>
  <c r="N232" i="2"/>
  <c r="M232" i="2"/>
  <c r="L232" i="2"/>
  <c r="K232" i="2"/>
  <c r="J232" i="2"/>
  <c r="I232" i="2"/>
  <c r="H232" i="2"/>
  <c r="G232" i="2"/>
  <c r="F232" i="2"/>
  <c r="P231" i="2"/>
  <c r="O231" i="2"/>
  <c r="N231" i="2"/>
  <c r="M231" i="2"/>
  <c r="L231" i="2"/>
  <c r="K231" i="2"/>
  <c r="J231" i="2"/>
  <c r="I231" i="2"/>
  <c r="H231" i="2"/>
  <c r="G231" i="2"/>
  <c r="F231" i="2"/>
  <c r="E242" i="2"/>
  <c r="D242" i="2"/>
  <c r="C242" i="2"/>
  <c r="E241" i="2"/>
  <c r="D241" i="2"/>
  <c r="C241" i="2"/>
  <c r="E240" i="2"/>
  <c r="D240" i="2"/>
  <c r="C240" i="2"/>
  <c r="E239" i="2"/>
  <c r="D239" i="2"/>
  <c r="C239" i="2"/>
  <c r="E238" i="2"/>
  <c r="D238" i="2"/>
  <c r="C238" i="2"/>
  <c r="E237" i="2"/>
  <c r="D237" i="2"/>
  <c r="C237" i="2"/>
  <c r="E236" i="2"/>
  <c r="D236" i="2"/>
  <c r="C236" i="2"/>
  <c r="E235" i="2"/>
  <c r="D235" i="2"/>
  <c r="C235" i="2"/>
  <c r="E234" i="2"/>
  <c r="D234" i="2"/>
  <c r="C234" i="2"/>
  <c r="E233" i="2"/>
  <c r="D233" i="2"/>
  <c r="C233" i="2"/>
  <c r="E232" i="2"/>
  <c r="D232" i="2"/>
  <c r="C232" i="2"/>
  <c r="E231" i="2"/>
  <c r="D231" i="2"/>
  <c r="C231" i="2"/>
  <c r="F227" i="2"/>
  <c r="P221" i="2"/>
  <c r="O221" i="2"/>
  <c r="N221" i="2"/>
  <c r="M221" i="2"/>
  <c r="L221" i="2"/>
  <c r="K221" i="2"/>
  <c r="J221" i="2"/>
  <c r="I221" i="2"/>
  <c r="H221" i="2"/>
  <c r="G221" i="2"/>
  <c r="F221" i="2"/>
  <c r="P219" i="2"/>
  <c r="O219" i="2"/>
  <c r="N219" i="2"/>
  <c r="M219" i="2"/>
  <c r="L219" i="2"/>
  <c r="K219" i="2"/>
  <c r="J219" i="2"/>
  <c r="I219" i="2"/>
  <c r="H219" i="2"/>
  <c r="G219" i="2"/>
  <c r="F219" i="2"/>
  <c r="P218" i="2"/>
  <c r="O218" i="2"/>
  <c r="N218" i="2"/>
  <c r="M218" i="2"/>
  <c r="L218" i="2"/>
  <c r="K218" i="2"/>
  <c r="J218" i="2"/>
  <c r="I218" i="2"/>
  <c r="H218" i="2"/>
  <c r="G218" i="2"/>
  <c r="F218" i="2"/>
  <c r="P217" i="2"/>
  <c r="P223" i="2" s="1"/>
  <c r="O217" i="2"/>
  <c r="O223" i="2" s="1"/>
  <c r="N217" i="2"/>
  <c r="N223" i="2" s="1"/>
  <c r="M217" i="2"/>
  <c r="M223" i="2" s="1"/>
  <c r="L217" i="2"/>
  <c r="L223" i="2" s="1"/>
  <c r="K217" i="2"/>
  <c r="K223" i="2" s="1"/>
  <c r="J217" i="2"/>
  <c r="J223" i="2" s="1"/>
  <c r="I217" i="2"/>
  <c r="I223" i="2" s="1"/>
  <c r="H217" i="2"/>
  <c r="H223" i="2" s="1"/>
  <c r="G217" i="2"/>
  <c r="G223" i="2" s="1"/>
  <c r="F217" i="2"/>
  <c r="F223" i="2" s="1"/>
  <c r="P212" i="2"/>
  <c r="O212" i="2"/>
  <c r="N212" i="2"/>
  <c r="M212" i="2"/>
  <c r="L212" i="2"/>
  <c r="K212" i="2"/>
  <c r="J212" i="2"/>
  <c r="I212" i="2"/>
  <c r="H212" i="2"/>
  <c r="G212" i="2"/>
  <c r="F212" i="2"/>
  <c r="P208" i="2"/>
  <c r="P215" i="2" s="1"/>
  <c r="O208" i="2"/>
  <c r="O215" i="2" s="1"/>
  <c r="N208" i="2"/>
  <c r="N215" i="2" s="1"/>
  <c r="M208" i="2"/>
  <c r="M215" i="2" s="1"/>
  <c r="L208" i="2"/>
  <c r="L215" i="2" s="1"/>
  <c r="K208" i="2"/>
  <c r="K215" i="2" s="1"/>
  <c r="J208" i="2"/>
  <c r="J215" i="2" s="1"/>
  <c r="I208" i="2"/>
  <c r="I215" i="2" s="1"/>
  <c r="H208" i="2"/>
  <c r="H215" i="2" s="1"/>
  <c r="G208" i="2"/>
  <c r="G215" i="2" s="1"/>
  <c r="F208" i="2"/>
  <c r="F215" i="2" s="1"/>
  <c r="P200" i="2"/>
  <c r="O200" i="2"/>
  <c r="N200" i="2"/>
  <c r="M200" i="2"/>
  <c r="L200" i="2"/>
  <c r="K200" i="2"/>
  <c r="J200" i="2"/>
  <c r="I200" i="2"/>
  <c r="H200" i="2"/>
  <c r="G200" i="2"/>
  <c r="F200" i="2"/>
  <c r="P198" i="2"/>
  <c r="O198" i="2"/>
  <c r="N198" i="2"/>
  <c r="M198" i="2"/>
  <c r="L198" i="2"/>
  <c r="K198" i="2"/>
  <c r="J198" i="2"/>
  <c r="I198" i="2"/>
  <c r="H198" i="2"/>
  <c r="G198" i="2"/>
  <c r="F198" i="2"/>
  <c r="P196" i="2"/>
  <c r="O196" i="2"/>
  <c r="N196" i="2"/>
  <c r="M196" i="2"/>
  <c r="L196" i="2"/>
  <c r="K196" i="2"/>
  <c r="J196" i="2"/>
  <c r="I196" i="2"/>
  <c r="H196" i="2"/>
  <c r="G196" i="2"/>
  <c r="F196" i="2"/>
  <c r="P195" i="2"/>
  <c r="O195" i="2"/>
  <c r="N195" i="2"/>
  <c r="M195" i="2"/>
  <c r="L195" i="2"/>
  <c r="K195" i="2"/>
  <c r="J195" i="2"/>
  <c r="I195" i="2"/>
  <c r="H195" i="2"/>
  <c r="G195" i="2"/>
  <c r="F195" i="2"/>
  <c r="F190" i="2"/>
  <c r="P188" i="2"/>
  <c r="O188" i="2"/>
  <c r="N188" i="2"/>
  <c r="M188" i="2"/>
  <c r="L188" i="2"/>
  <c r="K188" i="2"/>
  <c r="J188" i="2"/>
  <c r="I188" i="2"/>
  <c r="H188" i="2"/>
  <c r="G188" i="2"/>
  <c r="F188" i="2"/>
  <c r="P187" i="2"/>
  <c r="O187" i="2"/>
  <c r="N187" i="2"/>
  <c r="M187" i="2"/>
  <c r="L187" i="2"/>
  <c r="K187" i="2"/>
  <c r="J187" i="2"/>
  <c r="I187" i="2"/>
  <c r="H187" i="2"/>
  <c r="G187" i="2"/>
  <c r="F187" i="2"/>
  <c r="F186" i="2"/>
  <c r="P184" i="2"/>
  <c r="O184" i="2"/>
  <c r="N184" i="2"/>
  <c r="M184" i="2"/>
  <c r="L184" i="2"/>
  <c r="K184" i="2"/>
  <c r="J184" i="2"/>
  <c r="I184" i="2"/>
  <c r="H184" i="2"/>
  <c r="G184" i="2"/>
  <c r="F184" i="2"/>
  <c r="P183" i="2"/>
  <c r="O183" i="2"/>
  <c r="N183" i="2"/>
  <c r="M183" i="2"/>
  <c r="L183" i="2"/>
  <c r="K183" i="2"/>
  <c r="J183" i="2"/>
  <c r="I183" i="2"/>
  <c r="H183" i="2"/>
  <c r="G183" i="2"/>
  <c r="F183" i="2"/>
  <c r="P182" i="2"/>
  <c r="O182" i="2"/>
  <c r="N182" i="2"/>
  <c r="M182" i="2"/>
  <c r="L182" i="2"/>
  <c r="K182" i="2"/>
  <c r="J182" i="2"/>
  <c r="I182" i="2"/>
  <c r="H182" i="2"/>
  <c r="G182" i="2"/>
  <c r="F182" i="2"/>
  <c r="P181" i="2"/>
  <c r="O181" i="2"/>
  <c r="P205" i="2" s="1"/>
  <c r="N181" i="2"/>
  <c r="O205" i="2" s="1"/>
  <c r="M181" i="2"/>
  <c r="N205" i="2" s="1"/>
  <c r="L181" i="2"/>
  <c r="M205" i="2" s="1"/>
  <c r="K181" i="2"/>
  <c r="L205" i="2" s="1"/>
  <c r="J181" i="2"/>
  <c r="K205" i="2" s="1"/>
  <c r="I181" i="2"/>
  <c r="J205" i="2" s="1"/>
  <c r="H181" i="2"/>
  <c r="I205" i="2" s="1"/>
  <c r="G181" i="2"/>
  <c r="H205" i="2" s="1"/>
  <c r="F181" i="2"/>
  <c r="F180" i="2"/>
  <c r="P177" i="2"/>
  <c r="O177" i="2"/>
  <c r="N177" i="2"/>
  <c r="M177" i="2"/>
  <c r="L177" i="2"/>
  <c r="K177" i="2"/>
  <c r="J177" i="2"/>
  <c r="I177" i="2"/>
  <c r="H177" i="2"/>
  <c r="G177" i="2"/>
  <c r="F177" i="2"/>
  <c r="F176" i="2"/>
  <c r="P175" i="2"/>
  <c r="O175" i="2"/>
  <c r="N175" i="2"/>
  <c r="M175" i="2"/>
  <c r="L175" i="2"/>
  <c r="K175" i="2"/>
  <c r="J175" i="2"/>
  <c r="I175" i="2"/>
  <c r="H175" i="2"/>
  <c r="G175" i="2"/>
  <c r="F175" i="2"/>
  <c r="P174" i="2"/>
  <c r="O174" i="2"/>
  <c r="N174" i="2"/>
  <c r="M174" i="2"/>
  <c r="L174" i="2"/>
  <c r="K174" i="2"/>
  <c r="J174" i="2"/>
  <c r="I174" i="2"/>
  <c r="H174" i="2"/>
  <c r="G174" i="2"/>
  <c r="F174" i="2"/>
  <c r="P173" i="2"/>
  <c r="O173" i="2"/>
  <c r="N173" i="2"/>
  <c r="M173" i="2"/>
  <c r="L173" i="2"/>
  <c r="K173" i="2"/>
  <c r="J173" i="2"/>
  <c r="I173" i="2"/>
  <c r="H173" i="2"/>
  <c r="G173" i="2"/>
  <c r="F173" i="2"/>
  <c r="P172" i="2"/>
  <c r="O172" i="2"/>
  <c r="N172" i="2"/>
  <c r="M172" i="2"/>
  <c r="L172" i="2"/>
  <c r="K172" i="2"/>
  <c r="J172" i="2"/>
  <c r="I172" i="2"/>
  <c r="H172" i="2"/>
  <c r="G172" i="2"/>
  <c r="F172" i="2"/>
  <c r="P170" i="2"/>
  <c r="O170" i="2"/>
  <c r="N170" i="2"/>
  <c r="M170" i="2"/>
  <c r="L170" i="2"/>
  <c r="K170" i="2"/>
  <c r="J170" i="2"/>
  <c r="I170" i="2"/>
  <c r="H170" i="2"/>
  <c r="G170" i="2"/>
  <c r="F170" i="2"/>
  <c r="P169" i="2"/>
  <c r="O169" i="2"/>
  <c r="P204" i="2" s="1"/>
  <c r="N169" i="2"/>
  <c r="O204" i="2" s="1"/>
  <c r="M169" i="2"/>
  <c r="N204" i="2" s="1"/>
  <c r="L169" i="2"/>
  <c r="M204" i="2" s="1"/>
  <c r="K169" i="2"/>
  <c r="L204" i="2" s="1"/>
  <c r="J169" i="2"/>
  <c r="K204" i="2" s="1"/>
  <c r="I169" i="2"/>
  <c r="J204" i="2" s="1"/>
  <c r="H169" i="2"/>
  <c r="I204" i="2" s="1"/>
  <c r="G169" i="2"/>
  <c r="H204" i="2" s="1"/>
  <c r="F169" i="2"/>
  <c r="P168" i="2"/>
  <c r="O168" i="2"/>
  <c r="P203" i="2" s="1"/>
  <c r="N168" i="2"/>
  <c r="O203" i="2" s="1"/>
  <c r="M168" i="2"/>
  <c r="N203" i="2" s="1"/>
  <c r="L168" i="2"/>
  <c r="M203" i="2" s="1"/>
  <c r="K168" i="2"/>
  <c r="L203" i="2" s="1"/>
  <c r="J168" i="2"/>
  <c r="K203" i="2" s="1"/>
  <c r="I168" i="2"/>
  <c r="J203" i="2" s="1"/>
  <c r="H168" i="2"/>
  <c r="I203" i="2" s="1"/>
  <c r="G168" i="2"/>
  <c r="H203" i="2" s="1"/>
  <c r="F168" i="2"/>
  <c r="P167" i="2"/>
  <c r="O167" i="2"/>
  <c r="N167" i="2"/>
  <c r="M167" i="2"/>
  <c r="L167" i="2"/>
  <c r="K167" i="2"/>
  <c r="J167" i="2"/>
  <c r="I167" i="2"/>
  <c r="H167" i="2"/>
  <c r="G167" i="2"/>
  <c r="F167" i="2"/>
  <c r="P166" i="2"/>
  <c r="O166" i="2"/>
  <c r="P202" i="2" s="1"/>
  <c r="P206" i="2" s="1"/>
  <c r="P226" i="2" s="1"/>
  <c r="N166" i="2"/>
  <c r="O202" i="2" s="1"/>
  <c r="O206" i="2" s="1"/>
  <c r="O226" i="2" s="1"/>
  <c r="M166" i="2"/>
  <c r="N202" i="2" s="1"/>
  <c r="N206" i="2" s="1"/>
  <c r="N226" i="2" s="1"/>
  <c r="L166" i="2"/>
  <c r="M202" i="2" s="1"/>
  <c r="M206" i="2" s="1"/>
  <c r="M226" i="2" s="1"/>
  <c r="K166" i="2"/>
  <c r="L202" i="2" s="1"/>
  <c r="L206" i="2" s="1"/>
  <c r="L226" i="2" s="1"/>
  <c r="J166" i="2"/>
  <c r="K202" i="2" s="1"/>
  <c r="K206" i="2" s="1"/>
  <c r="K226" i="2" s="1"/>
  <c r="I166" i="2"/>
  <c r="J202" i="2" s="1"/>
  <c r="J206" i="2" s="1"/>
  <c r="J226" i="2" s="1"/>
  <c r="H166" i="2"/>
  <c r="I202" i="2" s="1"/>
  <c r="I206" i="2" s="1"/>
  <c r="I226" i="2" s="1"/>
  <c r="G166" i="2"/>
  <c r="H202" i="2" s="1"/>
  <c r="H206" i="2" s="1"/>
  <c r="H226" i="2" s="1"/>
  <c r="F166" i="2"/>
  <c r="P161" i="2"/>
  <c r="O161" i="2"/>
  <c r="N161" i="2"/>
  <c r="M161" i="2"/>
  <c r="L161" i="2"/>
  <c r="K161" i="2"/>
  <c r="J161" i="2"/>
  <c r="I161" i="2"/>
  <c r="H161" i="2"/>
  <c r="G161" i="2"/>
  <c r="F161" i="2"/>
  <c r="E161" i="2"/>
  <c r="D161" i="2"/>
  <c r="C161" i="2"/>
  <c r="P160" i="2"/>
  <c r="O160" i="2"/>
  <c r="N160" i="2"/>
  <c r="M160" i="2"/>
  <c r="L160" i="2"/>
  <c r="K160" i="2"/>
  <c r="J160" i="2"/>
  <c r="I160" i="2"/>
  <c r="H160" i="2"/>
  <c r="G160" i="2"/>
  <c r="F160" i="2"/>
  <c r="E160" i="2"/>
  <c r="D160" i="2"/>
  <c r="C160" i="2"/>
  <c r="P158" i="2"/>
  <c r="O158" i="2"/>
  <c r="N158" i="2"/>
  <c r="M158" i="2"/>
  <c r="L158" i="2"/>
  <c r="K158" i="2"/>
  <c r="J158" i="2"/>
  <c r="I158" i="2"/>
  <c r="H158" i="2"/>
  <c r="G158" i="2"/>
  <c r="F158" i="2"/>
  <c r="E158" i="2"/>
  <c r="D158" i="2"/>
  <c r="C158" i="2"/>
  <c r="P151" i="2"/>
  <c r="O151" i="2"/>
  <c r="N151" i="2"/>
  <c r="M151" i="2"/>
  <c r="L151" i="2"/>
  <c r="K151" i="2"/>
  <c r="J151" i="2"/>
  <c r="I151" i="2"/>
  <c r="H151" i="2"/>
  <c r="G151" i="2"/>
  <c r="F151" i="2"/>
  <c r="E151" i="2"/>
  <c r="D151" i="2"/>
  <c r="C151" i="2"/>
  <c r="P150" i="2"/>
  <c r="O150" i="2"/>
  <c r="N150" i="2"/>
  <c r="M150" i="2"/>
  <c r="L150" i="2"/>
  <c r="K150" i="2"/>
  <c r="J150" i="2"/>
  <c r="I150" i="2"/>
  <c r="H150" i="2"/>
  <c r="G150" i="2"/>
  <c r="F150" i="2"/>
  <c r="E150" i="2"/>
  <c r="D150" i="2"/>
  <c r="C150" i="2"/>
  <c r="C114" i="2"/>
  <c r="D114" i="2"/>
  <c r="E114" i="2"/>
  <c r="C116" i="2"/>
  <c r="D116" i="2"/>
  <c r="E116" i="2"/>
  <c r="C117" i="2"/>
  <c r="D117" i="2"/>
  <c r="E117" i="2"/>
  <c r="C118" i="2"/>
  <c r="D118" i="2"/>
  <c r="E118" i="2"/>
  <c r="C119" i="2"/>
  <c r="D119" i="2"/>
  <c r="E119" i="2"/>
  <c r="F119" i="2"/>
  <c r="G119" i="2"/>
  <c r="H119" i="2"/>
  <c r="I119" i="2"/>
  <c r="J119" i="2"/>
  <c r="K119" i="2"/>
  <c r="L119" i="2"/>
  <c r="M119" i="2"/>
  <c r="N119" i="2"/>
  <c r="C120" i="2"/>
  <c r="D120" i="2"/>
  <c r="E120" i="2"/>
  <c r="F120" i="2"/>
  <c r="G120" i="2"/>
  <c r="H120" i="2"/>
  <c r="I120" i="2"/>
  <c r="J120" i="2"/>
  <c r="K120" i="2"/>
  <c r="L120" i="2"/>
  <c r="M120" i="2"/>
  <c r="N120" i="2"/>
  <c r="C122" i="2"/>
  <c r="D122" i="2"/>
  <c r="E122" i="2"/>
  <c r="C125" i="2"/>
  <c r="D125" i="2"/>
  <c r="E125" i="2"/>
  <c r="F125" i="2"/>
  <c r="L96" i="2"/>
  <c r="M96" i="2"/>
  <c r="N96" i="2"/>
  <c r="O96" i="2"/>
  <c r="P96" i="2"/>
  <c r="L104" i="2"/>
  <c r="M104" i="2"/>
  <c r="N104" i="2"/>
  <c r="O104" i="2"/>
  <c r="P104" i="2"/>
  <c r="L109" i="2"/>
  <c r="M109" i="2"/>
  <c r="N109" i="2"/>
  <c r="O109" i="2"/>
  <c r="P109" i="2"/>
  <c r="L112" i="2"/>
  <c r="M112" i="2"/>
  <c r="N112" i="2"/>
  <c r="O112" i="2"/>
  <c r="P112" i="2"/>
  <c r="O119" i="2"/>
  <c r="P119" i="2"/>
  <c r="O120" i="2"/>
  <c r="P120" i="2"/>
  <c r="G205" i="2" l="1"/>
  <c r="F205" i="2"/>
  <c r="G204" i="2"/>
  <c r="F204" i="2"/>
  <c r="G203" i="2"/>
  <c r="F203" i="2"/>
  <c r="G202" i="2"/>
  <c r="G206" i="2" s="1"/>
  <c r="G226" i="2" s="1"/>
  <c r="F202" i="2"/>
  <c r="F206" i="2" s="1"/>
  <c r="F226" i="2" s="1"/>
  <c r="F228" i="2" s="1"/>
  <c r="F165" i="2" s="1"/>
  <c r="G227" i="2"/>
  <c r="G228" i="2" s="1"/>
  <c r="G165" i="2" s="1"/>
  <c r="F171" i="2"/>
  <c r="F189" i="2"/>
  <c r="G186" i="2"/>
  <c r="F185" i="2"/>
  <c r="G180" i="2"/>
  <c r="F191" i="2"/>
  <c r="G190" i="2"/>
  <c r="F178" i="2"/>
  <c r="F192" i="2" s="1"/>
  <c r="G176" i="2"/>
  <c r="G109" i="2"/>
  <c r="H109" i="2"/>
  <c r="I109" i="2"/>
  <c r="J109" i="2"/>
  <c r="K109" i="2"/>
  <c r="F109" i="2"/>
  <c r="K112" i="2"/>
  <c r="J112" i="2"/>
  <c r="I112" i="2"/>
  <c r="H112" i="2"/>
  <c r="G112" i="2"/>
  <c r="F112" i="2"/>
  <c r="D111" i="2"/>
  <c r="C111" i="2"/>
  <c r="D110" i="2"/>
  <c r="C110" i="2"/>
  <c r="D108" i="2"/>
  <c r="C108" i="2"/>
  <c r="D107" i="2"/>
  <c r="C107" i="2"/>
  <c r="D106" i="2"/>
  <c r="C106" i="2"/>
  <c r="D105" i="2"/>
  <c r="C105" i="2"/>
  <c r="K104" i="2"/>
  <c r="J104" i="2"/>
  <c r="I104" i="2"/>
  <c r="H104" i="2"/>
  <c r="G104" i="2"/>
  <c r="F104" i="2"/>
  <c r="D103" i="2"/>
  <c r="C103" i="2"/>
  <c r="D102" i="2"/>
  <c r="C102" i="2"/>
  <c r="D101" i="2"/>
  <c r="C101" i="2"/>
  <c r="D100" i="2"/>
  <c r="C100" i="2"/>
  <c r="D99" i="2"/>
  <c r="D98" i="2"/>
  <c r="C98" i="2"/>
  <c r="E97" i="2"/>
  <c r="D97" i="2"/>
  <c r="C97" i="2"/>
  <c r="K96" i="2"/>
  <c r="J96" i="2"/>
  <c r="I96" i="2"/>
  <c r="H96" i="2"/>
  <c r="G96" i="2"/>
  <c r="F96" i="2"/>
  <c r="D95" i="2"/>
  <c r="C95" i="2"/>
  <c r="D94" i="2"/>
  <c r="D93" i="2"/>
  <c r="C93" i="2"/>
  <c r="D92" i="2"/>
  <c r="E91" i="2"/>
  <c r="D91" i="2"/>
  <c r="C91" i="2"/>
  <c r="E90" i="2"/>
  <c r="D90" i="2"/>
  <c r="C90" i="2"/>
  <c r="D89" i="2"/>
  <c r="C89" i="2"/>
  <c r="E88" i="2"/>
  <c r="F88" i="2" s="1"/>
  <c r="G88" i="2" s="1"/>
  <c r="H88" i="2" s="1"/>
  <c r="I88" i="2" s="1"/>
  <c r="J88" i="2" s="1"/>
  <c r="K88" i="2" s="1"/>
  <c r="L88" i="2" s="1"/>
  <c r="M88" i="2" s="1"/>
  <c r="N88" i="2" s="1"/>
  <c r="O88" i="2" s="1"/>
  <c r="P88" i="2" s="1"/>
  <c r="D88" i="2"/>
  <c r="C88" i="2"/>
  <c r="E87" i="2"/>
  <c r="F87" i="2" s="1"/>
  <c r="G87" i="2" s="1"/>
  <c r="H87" i="2" s="1"/>
  <c r="I87" i="2" s="1"/>
  <c r="J87" i="2" s="1"/>
  <c r="K87" i="2" s="1"/>
  <c r="L87" i="2" s="1"/>
  <c r="M87" i="2" s="1"/>
  <c r="N87" i="2" s="1"/>
  <c r="O87" i="2" s="1"/>
  <c r="P87" i="2" s="1"/>
  <c r="D87" i="2"/>
  <c r="C87" i="2"/>
  <c r="B82" i="2"/>
  <c r="K81" i="2"/>
  <c r="I81" i="2"/>
  <c r="H81" i="2"/>
  <c r="G81" i="2"/>
  <c r="F81" i="2"/>
  <c r="E81" i="2"/>
  <c r="D81" i="2"/>
  <c r="C81" i="2"/>
  <c r="B81" i="2"/>
  <c r="I80" i="2"/>
  <c r="H80" i="2"/>
  <c r="G80" i="2"/>
  <c r="F80" i="2"/>
  <c r="E80" i="2"/>
  <c r="D80" i="2"/>
  <c r="C80" i="2"/>
  <c r="B80" i="2"/>
  <c r="B79" i="2"/>
  <c r="K78" i="2"/>
  <c r="I78" i="2"/>
  <c r="H78" i="2"/>
  <c r="G78" i="2"/>
  <c r="F78" i="2"/>
  <c r="E78" i="2"/>
  <c r="D78" i="2"/>
  <c r="C78" i="2"/>
  <c r="B78" i="2"/>
  <c r="K77" i="2"/>
  <c r="I77" i="2"/>
  <c r="H77" i="2"/>
  <c r="G77" i="2"/>
  <c r="F77" i="2"/>
  <c r="E77" i="2"/>
  <c r="D77" i="2"/>
  <c r="C77" i="2"/>
  <c r="B77" i="2"/>
  <c r="I76" i="2"/>
  <c r="H76" i="2"/>
  <c r="G76" i="2"/>
  <c r="F76" i="2"/>
  <c r="E76" i="2"/>
  <c r="D76" i="2"/>
  <c r="C76" i="2"/>
  <c r="B76" i="2"/>
  <c r="K75" i="2"/>
  <c r="I75" i="2"/>
  <c r="H75" i="2"/>
  <c r="G75" i="2"/>
  <c r="F75" i="2"/>
  <c r="E75" i="2"/>
  <c r="D75" i="2"/>
  <c r="C75" i="2"/>
  <c r="B75" i="2"/>
  <c r="B74" i="2"/>
  <c r="K73" i="2"/>
  <c r="G73" i="2"/>
  <c r="F73" i="2"/>
  <c r="E73" i="2"/>
  <c r="D73" i="2"/>
  <c r="C73" i="2"/>
  <c r="B73" i="2"/>
  <c r="K72" i="2"/>
  <c r="I72" i="2"/>
  <c r="H72" i="2"/>
  <c r="G72" i="2"/>
  <c r="F72" i="2"/>
  <c r="E72" i="2"/>
  <c r="D72" i="2"/>
  <c r="C72" i="2"/>
  <c r="B72" i="2"/>
  <c r="I71" i="2"/>
  <c r="H71" i="2"/>
  <c r="G71" i="2"/>
  <c r="F71" i="2"/>
  <c r="E71" i="2"/>
  <c r="D71" i="2"/>
  <c r="C71" i="2"/>
  <c r="B71" i="2"/>
  <c r="I70" i="2"/>
  <c r="H70" i="2"/>
  <c r="G70" i="2"/>
  <c r="F70" i="2"/>
  <c r="E70" i="2"/>
  <c r="D70" i="2"/>
  <c r="C70" i="2"/>
  <c r="B70" i="2"/>
  <c r="I69" i="2"/>
  <c r="H69" i="2"/>
  <c r="G69" i="2"/>
  <c r="E69" i="2"/>
  <c r="D69" i="2"/>
  <c r="C69" i="2"/>
  <c r="B69" i="2"/>
  <c r="I68" i="2"/>
  <c r="H68" i="2"/>
  <c r="G68" i="2"/>
  <c r="F68" i="2"/>
  <c r="E68" i="2"/>
  <c r="D68" i="2"/>
  <c r="C68" i="2"/>
  <c r="B68" i="2"/>
  <c r="K67" i="2"/>
  <c r="J67" i="2"/>
  <c r="I67" i="2"/>
  <c r="H67" i="2"/>
  <c r="G67" i="2"/>
  <c r="F67" i="2"/>
  <c r="E67" i="2"/>
  <c r="D67" i="2"/>
  <c r="C67" i="2"/>
  <c r="B67" i="2"/>
  <c r="B66" i="2"/>
  <c r="K65" i="2"/>
  <c r="I65" i="2"/>
  <c r="H65" i="2"/>
  <c r="G65" i="2"/>
  <c r="F65" i="2"/>
  <c r="E65" i="2"/>
  <c r="D65" i="2"/>
  <c r="C65" i="2"/>
  <c r="B65" i="2"/>
  <c r="I64" i="2"/>
  <c r="H64" i="2"/>
  <c r="G64" i="2"/>
  <c r="E64" i="2"/>
  <c r="D64" i="2"/>
  <c r="C64" i="2"/>
  <c r="B64" i="2"/>
  <c r="I63" i="2"/>
  <c r="H63" i="2"/>
  <c r="G63" i="2"/>
  <c r="F63" i="2"/>
  <c r="E63" i="2"/>
  <c r="D63" i="2"/>
  <c r="C63" i="2"/>
  <c r="B63" i="2"/>
  <c r="I62" i="2"/>
  <c r="H62" i="2"/>
  <c r="G62" i="2"/>
  <c r="E62" i="2"/>
  <c r="D62" i="2"/>
  <c r="C62" i="2"/>
  <c r="B62" i="2"/>
  <c r="K59" i="2"/>
  <c r="I59" i="2"/>
  <c r="H59" i="2"/>
  <c r="G59" i="2"/>
  <c r="F59" i="2"/>
  <c r="E59" i="2"/>
  <c r="D59" i="2"/>
  <c r="C59" i="2"/>
  <c r="B59" i="2"/>
  <c r="K58" i="2"/>
  <c r="J58" i="2"/>
  <c r="I58" i="2"/>
  <c r="H58" i="2"/>
  <c r="G58" i="2"/>
  <c r="F58" i="2"/>
  <c r="E58" i="2"/>
  <c r="D58" i="2"/>
  <c r="C58" i="2"/>
  <c r="B58" i="2"/>
  <c r="K57" i="2"/>
  <c r="J57" i="2"/>
  <c r="I57" i="2"/>
  <c r="H57" i="2"/>
  <c r="G57" i="2"/>
  <c r="F57" i="2"/>
  <c r="E57" i="2"/>
  <c r="D57" i="2"/>
  <c r="C57" i="2"/>
  <c r="B57" i="2"/>
  <c r="B56" i="2"/>
  <c r="K55" i="2"/>
  <c r="J55" i="2"/>
  <c r="I55" i="2"/>
  <c r="H55" i="2"/>
  <c r="G55" i="2"/>
  <c r="F55" i="2"/>
  <c r="E55" i="2"/>
  <c r="D55" i="2"/>
  <c r="C55" i="2"/>
  <c r="O47" i="2"/>
  <c r="N47" i="2"/>
  <c r="M47" i="2"/>
  <c r="L47" i="2"/>
  <c r="K47" i="2"/>
  <c r="J47" i="2"/>
  <c r="I47" i="2"/>
  <c r="H47" i="2"/>
  <c r="G47" i="2"/>
  <c r="P47" i="2" s="1"/>
  <c r="O35" i="2"/>
  <c r="N35" i="2"/>
  <c r="M35" i="2"/>
  <c r="L35" i="2"/>
  <c r="K35" i="2"/>
  <c r="E115" i="2" s="1"/>
  <c r="J35" i="2"/>
  <c r="I35" i="2"/>
  <c r="H35" i="2"/>
  <c r="G35" i="2"/>
  <c r="D115" i="2" s="1"/>
  <c r="F35" i="2"/>
  <c r="E35" i="2"/>
  <c r="D35" i="2"/>
  <c r="C35" i="2"/>
  <c r="C115" i="2" s="1"/>
  <c r="N30" i="2"/>
  <c r="O29" i="2"/>
  <c r="K80" i="2" s="1"/>
  <c r="N29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C109" i="2" s="1"/>
  <c r="N27" i="2"/>
  <c r="N26" i="2"/>
  <c r="O25" i="2"/>
  <c r="K76" i="2" s="1"/>
  <c r="N25" i="2"/>
  <c r="N24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C104" i="2" s="1"/>
  <c r="N22" i="2"/>
  <c r="J73" i="2" s="1"/>
  <c r="M22" i="2"/>
  <c r="I73" i="2" s="1"/>
  <c r="L22" i="2"/>
  <c r="N21" i="2"/>
  <c r="O20" i="2"/>
  <c r="K71" i="2" s="1"/>
  <c r="N20" i="2"/>
  <c r="N19" i="2"/>
  <c r="O18" i="2"/>
  <c r="K69" i="2" s="1"/>
  <c r="N18" i="2"/>
  <c r="F18" i="2"/>
  <c r="O17" i="2"/>
  <c r="K68" i="2" s="1"/>
  <c r="N17" i="2"/>
  <c r="P15" i="2"/>
  <c r="N15" i="2"/>
  <c r="M15" i="2"/>
  <c r="L15" i="2"/>
  <c r="K15" i="2"/>
  <c r="J15" i="2"/>
  <c r="I15" i="2"/>
  <c r="H15" i="2"/>
  <c r="G15" i="2"/>
  <c r="F15" i="2"/>
  <c r="E15" i="2"/>
  <c r="D15" i="2"/>
  <c r="C15" i="2"/>
  <c r="C96" i="2" s="1"/>
  <c r="N14" i="2"/>
  <c r="O13" i="2"/>
  <c r="K64" i="2" s="1"/>
  <c r="N13" i="2"/>
  <c r="F13" i="2"/>
  <c r="N12" i="2"/>
  <c r="O11" i="2"/>
  <c r="K62" i="2" s="1"/>
  <c r="N11" i="2"/>
  <c r="F11" i="2"/>
  <c r="N8" i="2"/>
  <c r="E89" i="2" s="1"/>
  <c r="F89" i="2" s="1"/>
  <c r="G89" i="2" s="1"/>
  <c r="H89" i="2" s="1"/>
  <c r="I89" i="2" s="1"/>
  <c r="J89" i="2" s="1"/>
  <c r="K89" i="2" s="1"/>
  <c r="L89" i="2" s="1"/>
  <c r="M89" i="2" s="1"/>
  <c r="N89" i="2" s="1"/>
  <c r="O89" i="2" s="1"/>
  <c r="P89" i="2" s="1"/>
  <c r="P5" i="2"/>
  <c r="N5" i="2"/>
  <c r="M5" i="2"/>
  <c r="L5" i="2"/>
  <c r="K5" i="2"/>
  <c r="J5" i="2"/>
  <c r="I5" i="2"/>
  <c r="H5" i="2"/>
  <c r="G5" i="2"/>
  <c r="F5" i="2"/>
  <c r="F31" i="2" s="1"/>
  <c r="E5" i="2"/>
  <c r="E31" i="2" s="1"/>
  <c r="D5" i="2"/>
  <c r="D31" i="2" s="1"/>
  <c r="C5" i="2"/>
  <c r="F24" i="1"/>
  <c r="E24" i="1"/>
  <c r="H23" i="1"/>
  <c r="F23" i="1"/>
  <c r="E23" i="1"/>
  <c r="F22" i="1"/>
  <c r="E22" i="1"/>
  <c r="F21" i="1"/>
  <c r="E21" i="1"/>
  <c r="H20" i="1"/>
  <c r="F20" i="1"/>
  <c r="E20" i="1"/>
  <c r="F19" i="1"/>
  <c r="E19" i="1"/>
  <c r="F18" i="1"/>
  <c r="E18" i="1"/>
  <c r="F17" i="1"/>
  <c r="E17" i="1"/>
  <c r="F16" i="1"/>
  <c r="E16" i="1"/>
  <c r="H15" i="1"/>
  <c r="F15" i="1"/>
  <c r="E15" i="1"/>
  <c r="H14" i="1"/>
  <c r="F14" i="1"/>
  <c r="E14" i="1"/>
  <c r="H13" i="1"/>
  <c r="F13" i="1"/>
  <c r="E13" i="1"/>
  <c r="F12" i="1"/>
  <c r="E12" i="1"/>
  <c r="F11" i="1"/>
  <c r="E11" i="1"/>
  <c r="H10" i="1"/>
  <c r="F10" i="1"/>
  <c r="E10" i="1"/>
  <c r="F9" i="1"/>
  <c r="E9" i="1"/>
  <c r="H8" i="1"/>
  <c r="F8" i="1"/>
  <c r="E8" i="1"/>
  <c r="F7" i="1"/>
  <c r="E7" i="1"/>
  <c r="B7" i="1"/>
  <c r="F6" i="1"/>
  <c r="E6" i="1"/>
  <c r="F5" i="1"/>
  <c r="E5" i="1"/>
  <c r="B5" i="1"/>
  <c r="B8" i="1" s="1"/>
  <c r="F4" i="1"/>
  <c r="E4" i="1"/>
  <c r="F3" i="1"/>
  <c r="E3" i="1"/>
  <c r="H227" i="2" l="1"/>
  <c r="H228" i="2" s="1"/>
  <c r="H165" i="2" s="1"/>
  <c r="G171" i="2"/>
  <c r="G189" i="2"/>
  <c r="H186" i="2"/>
  <c r="G185" i="2"/>
  <c r="H180" i="2"/>
  <c r="G191" i="2"/>
  <c r="H190" i="2"/>
  <c r="G178" i="2"/>
  <c r="G192" i="2" s="1"/>
  <c r="H176" i="2"/>
  <c r="C86" i="2"/>
  <c r="C31" i="2"/>
  <c r="C112" i="2" s="1"/>
  <c r="D86" i="2"/>
  <c r="C56" i="2"/>
  <c r="G31" i="2"/>
  <c r="D56" i="2"/>
  <c r="H31" i="2"/>
  <c r="D82" i="2" s="1"/>
  <c r="E56" i="2"/>
  <c r="I31" i="2"/>
  <c r="E82" i="2" s="1"/>
  <c r="F56" i="2"/>
  <c r="J31" i="2"/>
  <c r="F82" i="2" s="1"/>
  <c r="E86" i="2"/>
  <c r="G56" i="2"/>
  <c r="K31" i="2"/>
  <c r="H56" i="2"/>
  <c r="L31" i="2"/>
  <c r="H82" i="2" s="1"/>
  <c r="I56" i="2"/>
  <c r="M31" i="2"/>
  <c r="I82" i="2" s="1"/>
  <c r="J56" i="2"/>
  <c r="N31" i="2"/>
  <c r="J82" i="2" s="1"/>
  <c r="J59" i="2"/>
  <c r="C92" i="2"/>
  <c r="F62" i="2"/>
  <c r="E92" i="2"/>
  <c r="J62" i="2"/>
  <c r="E93" i="2"/>
  <c r="J63" i="2"/>
  <c r="O12" i="2"/>
  <c r="C94" i="2"/>
  <c r="F64" i="2"/>
  <c r="E94" i="2"/>
  <c r="J64" i="2"/>
  <c r="E95" i="2"/>
  <c r="J65" i="2"/>
  <c r="D96" i="2"/>
  <c r="C66" i="2"/>
  <c r="D66" i="2"/>
  <c r="E66" i="2"/>
  <c r="F66" i="2"/>
  <c r="E96" i="2"/>
  <c r="G66" i="2"/>
  <c r="H66" i="2"/>
  <c r="I66" i="2"/>
  <c r="J66" i="2"/>
  <c r="E98" i="2"/>
  <c r="J68" i="2"/>
  <c r="C99" i="2"/>
  <c r="F69" i="2"/>
  <c r="E99" i="2"/>
  <c r="J69" i="2"/>
  <c r="E100" i="2"/>
  <c r="J70" i="2"/>
  <c r="O19" i="2"/>
  <c r="E101" i="2"/>
  <c r="J71" i="2"/>
  <c r="E102" i="2"/>
  <c r="J72" i="2"/>
  <c r="E103" i="2"/>
  <c r="H73" i="2"/>
  <c r="D104" i="2"/>
  <c r="C74" i="2"/>
  <c r="D74" i="2"/>
  <c r="E74" i="2"/>
  <c r="F74" i="2"/>
  <c r="E104" i="2"/>
  <c r="G74" i="2"/>
  <c r="H74" i="2"/>
  <c r="I74" i="2"/>
  <c r="J74" i="2"/>
  <c r="K74" i="2"/>
  <c r="E105" i="2"/>
  <c r="J75" i="2"/>
  <c r="E106" i="2"/>
  <c r="J76" i="2"/>
  <c r="E107" i="2"/>
  <c r="J77" i="2"/>
  <c r="E108" i="2"/>
  <c r="J78" i="2"/>
  <c r="D109" i="2"/>
  <c r="C79" i="2"/>
  <c r="D79" i="2"/>
  <c r="E79" i="2"/>
  <c r="F79" i="2"/>
  <c r="E109" i="2"/>
  <c r="G79" i="2"/>
  <c r="H79" i="2"/>
  <c r="I79" i="2"/>
  <c r="J79" i="2"/>
  <c r="K79" i="2"/>
  <c r="E110" i="2"/>
  <c r="J80" i="2"/>
  <c r="E111" i="2"/>
  <c r="J81" i="2"/>
  <c r="C51" i="2"/>
  <c r="C50" i="2"/>
  <c r="C49" i="2"/>
  <c r="C48" i="2"/>
  <c r="C41" i="2"/>
  <c r="D51" i="2"/>
  <c r="D50" i="2"/>
  <c r="D49" i="2"/>
  <c r="D48" i="2"/>
  <c r="D41" i="2"/>
  <c r="E51" i="2"/>
  <c r="E50" i="2"/>
  <c r="E49" i="2"/>
  <c r="E48" i="2"/>
  <c r="E41" i="2"/>
  <c r="F51" i="2"/>
  <c r="F50" i="2"/>
  <c r="F49" i="2"/>
  <c r="F48" i="2"/>
  <c r="F41" i="2"/>
  <c r="G51" i="2"/>
  <c r="G50" i="2"/>
  <c r="G49" i="2"/>
  <c r="G48" i="2"/>
  <c r="G41" i="2"/>
  <c r="H51" i="2"/>
  <c r="H50" i="2"/>
  <c r="H49" i="2"/>
  <c r="H48" i="2"/>
  <c r="H41" i="2"/>
  <c r="I51" i="2"/>
  <c r="I50" i="2"/>
  <c r="I49" i="2"/>
  <c r="I48" i="2"/>
  <c r="I41" i="2"/>
  <c r="J51" i="2"/>
  <c r="J50" i="2"/>
  <c r="J49" i="2"/>
  <c r="J48" i="2"/>
  <c r="J41" i="2"/>
  <c r="K51" i="2"/>
  <c r="K50" i="2"/>
  <c r="K49" i="2"/>
  <c r="K48" i="2"/>
  <c r="K41" i="2"/>
  <c r="L51" i="2"/>
  <c r="L50" i="2"/>
  <c r="L49" i="2"/>
  <c r="L48" i="2"/>
  <c r="L41" i="2"/>
  <c r="M51" i="2"/>
  <c r="M50" i="2"/>
  <c r="M49" i="2"/>
  <c r="M48" i="2"/>
  <c r="M41" i="2"/>
  <c r="N51" i="2"/>
  <c r="N50" i="2"/>
  <c r="N49" i="2"/>
  <c r="N48" i="2"/>
  <c r="N41" i="2"/>
  <c r="O51" i="2"/>
  <c r="P51" i="2" s="1"/>
  <c r="O50" i="2"/>
  <c r="P50" i="2" s="1"/>
  <c r="O49" i="2"/>
  <c r="P49" i="2" s="1"/>
  <c r="O48" i="2"/>
  <c r="O41" i="2"/>
  <c r="I227" i="2" l="1"/>
  <c r="I228" i="2" s="1"/>
  <c r="I165" i="2" s="1"/>
  <c r="H171" i="2"/>
  <c r="H189" i="2"/>
  <c r="I186" i="2"/>
  <c r="H185" i="2"/>
  <c r="I180" i="2"/>
  <c r="H191" i="2"/>
  <c r="I190" i="2"/>
  <c r="H178" i="2"/>
  <c r="H192" i="2" s="1"/>
  <c r="I176" i="2"/>
  <c r="E121" i="2"/>
  <c r="D121" i="2"/>
  <c r="C121" i="2"/>
  <c r="C113" i="2"/>
  <c r="O52" i="2"/>
  <c r="O43" i="2"/>
  <c r="O44" i="2" s="1"/>
  <c r="N52" i="2"/>
  <c r="N43" i="2"/>
  <c r="N44" i="2" s="1"/>
  <c r="M52" i="2"/>
  <c r="M43" i="2"/>
  <c r="M44" i="2" s="1"/>
  <c r="L52" i="2"/>
  <c r="L43" i="2"/>
  <c r="L44" i="2" s="1"/>
  <c r="K52" i="2"/>
  <c r="K43" i="2"/>
  <c r="E123" i="2" s="1"/>
  <c r="E124" i="2" s="1"/>
  <c r="J52" i="2"/>
  <c r="J43" i="2"/>
  <c r="J44" i="2" s="1"/>
  <c r="I52" i="2"/>
  <c r="I43" i="2"/>
  <c r="I44" i="2" s="1"/>
  <c r="H52" i="2"/>
  <c r="H43" i="2"/>
  <c r="H44" i="2" s="1"/>
  <c r="G52" i="2"/>
  <c r="G43" i="2"/>
  <c r="D123" i="2" s="1"/>
  <c r="D124" i="2" s="1"/>
  <c r="F52" i="2"/>
  <c r="F43" i="2"/>
  <c r="F44" i="2" s="1"/>
  <c r="E52" i="2"/>
  <c r="E43" i="2"/>
  <c r="E44" i="2" s="1"/>
  <c r="D52" i="2"/>
  <c r="D43" i="2"/>
  <c r="D44" i="2" s="1"/>
  <c r="C52" i="2"/>
  <c r="P52" i="2" s="1"/>
  <c r="C43" i="2"/>
  <c r="C123" i="2" s="1"/>
  <c r="C124" i="2" s="1"/>
  <c r="P48" i="2"/>
  <c r="K70" i="2"/>
  <c r="O15" i="2"/>
  <c r="K66" i="2" s="1"/>
  <c r="K63" i="2"/>
  <c r="O5" i="2"/>
  <c r="F86" i="2"/>
  <c r="E112" i="2"/>
  <c r="G82" i="2"/>
  <c r="D112" i="2"/>
  <c r="D113" i="2" s="1"/>
  <c r="C82" i="2"/>
  <c r="J227" i="2" l="1"/>
  <c r="J228" i="2" s="1"/>
  <c r="J165" i="2" s="1"/>
  <c r="I171" i="2"/>
  <c r="I189" i="2"/>
  <c r="J186" i="2"/>
  <c r="I185" i="2"/>
  <c r="J180" i="2"/>
  <c r="I191" i="2"/>
  <c r="J190" i="2"/>
  <c r="I178" i="2"/>
  <c r="I192" i="2" s="1"/>
  <c r="J176" i="2"/>
  <c r="E113" i="2"/>
  <c r="F113" i="2"/>
  <c r="G86" i="2"/>
  <c r="K56" i="2"/>
  <c r="O31" i="2"/>
  <c r="K82" i="2" s="1"/>
  <c r="C44" i="2"/>
  <c r="G44" i="2"/>
  <c r="K44" i="2"/>
  <c r="K227" i="2" l="1"/>
  <c r="K228" i="2" s="1"/>
  <c r="K165" i="2" s="1"/>
  <c r="J171" i="2"/>
  <c r="J189" i="2"/>
  <c r="K186" i="2"/>
  <c r="J185" i="2"/>
  <c r="K180" i="2"/>
  <c r="J191" i="2"/>
  <c r="K190" i="2"/>
  <c r="J178" i="2"/>
  <c r="J192" i="2" s="1"/>
  <c r="K176" i="2"/>
  <c r="G113" i="2"/>
  <c r="F114" i="2"/>
  <c r="F115" i="2"/>
  <c r="H86" i="2"/>
  <c r="L227" i="2" l="1"/>
  <c r="L228" i="2" s="1"/>
  <c r="L165" i="2" s="1"/>
  <c r="K171" i="2"/>
  <c r="K189" i="2"/>
  <c r="L186" i="2"/>
  <c r="K185" i="2"/>
  <c r="L180" i="2"/>
  <c r="K191" i="2"/>
  <c r="L190" i="2"/>
  <c r="K178" i="2"/>
  <c r="K192" i="2" s="1"/>
  <c r="L176" i="2"/>
  <c r="H113" i="2"/>
  <c r="F116" i="2"/>
  <c r="F117" i="2"/>
  <c r="F118" i="2"/>
  <c r="F121" i="2"/>
  <c r="G114" i="2"/>
  <c r="G115" i="2"/>
  <c r="I86" i="2"/>
  <c r="M227" i="2" l="1"/>
  <c r="M228" i="2" s="1"/>
  <c r="M165" i="2" s="1"/>
  <c r="L171" i="2"/>
  <c r="L189" i="2"/>
  <c r="M186" i="2"/>
  <c r="L185" i="2"/>
  <c r="M180" i="2"/>
  <c r="L191" i="2"/>
  <c r="M190" i="2"/>
  <c r="L178" i="2"/>
  <c r="L192" i="2" s="1"/>
  <c r="M176" i="2"/>
  <c r="I113" i="2"/>
  <c r="G116" i="2"/>
  <c r="G117" i="2"/>
  <c r="G118" i="2"/>
  <c r="G121" i="2"/>
  <c r="F122" i="2"/>
  <c r="F123" i="2"/>
  <c r="H114" i="2"/>
  <c r="H115" i="2"/>
  <c r="J86" i="2"/>
  <c r="N227" i="2" l="1"/>
  <c r="N228" i="2" s="1"/>
  <c r="N165" i="2" s="1"/>
  <c r="M171" i="2"/>
  <c r="M189" i="2"/>
  <c r="N186" i="2"/>
  <c r="M185" i="2"/>
  <c r="N180" i="2"/>
  <c r="M191" i="2"/>
  <c r="N190" i="2"/>
  <c r="M178" i="2"/>
  <c r="M192" i="2" s="1"/>
  <c r="N176" i="2"/>
  <c r="J113" i="2"/>
  <c r="H116" i="2"/>
  <c r="H117" i="2"/>
  <c r="H118" i="2"/>
  <c r="H121" i="2"/>
  <c r="F124" i="2"/>
  <c r="G122" i="2"/>
  <c r="G123" i="2"/>
  <c r="I114" i="2"/>
  <c r="I115" i="2"/>
  <c r="K86" i="2"/>
  <c r="O227" i="2" l="1"/>
  <c r="O228" i="2" s="1"/>
  <c r="O165" i="2" s="1"/>
  <c r="N171" i="2"/>
  <c r="N189" i="2"/>
  <c r="O186" i="2"/>
  <c r="N185" i="2"/>
  <c r="O180" i="2"/>
  <c r="N191" i="2"/>
  <c r="O190" i="2"/>
  <c r="N178" i="2"/>
  <c r="N192" i="2" s="1"/>
  <c r="O176" i="2"/>
  <c r="K113" i="2"/>
  <c r="I116" i="2"/>
  <c r="I117" i="2"/>
  <c r="I118" i="2"/>
  <c r="I121" i="2"/>
  <c r="G124" i="2"/>
  <c r="H122" i="2"/>
  <c r="H123" i="2"/>
  <c r="J114" i="2"/>
  <c r="J115" i="2"/>
  <c r="L86" i="2"/>
  <c r="L113" i="2" s="1"/>
  <c r="P227" i="2" l="1"/>
  <c r="P228" i="2" s="1"/>
  <c r="P165" i="2" s="1"/>
  <c r="P171" i="2" s="1"/>
  <c r="O171" i="2"/>
  <c r="O189" i="2"/>
  <c r="P186" i="2"/>
  <c r="P189" i="2" s="1"/>
  <c r="O185" i="2"/>
  <c r="P180" i="2"/>
  <c r="P185" i="2" s="1"/>
  <c r="O191" i="2"/>
  <c r="P190" i="2"/>
  <c r="P191" i="2" s="1"/>
  <c r="O178" i="2"/>
  <c r="O192" i="2" s="1"/>
  <c r="P176" i="2"/>
  <c r="P178" i="2" s="1"/>
  <c r="P192" i="2" s="1"/>
  <c r="L114" i="2"/>
  <c r="L115" i="2"/>
  <c r="J116" i="2"/>
  <c r="J117" i="2"/>
  <c r="J118" i="2"/>
  <c r="J121" i="2"/>
  <c r="H124" i="2"/>
  <c r="I122" i="2"/>
  <c r="I123" i="2"/>
  <c r="K114" i="2"/>
  <c r="K115" i="2"/>
  <c r="M86" i="2"/>
  <c r="M113" i="2" s="1"/>
  <c r="M114" i="2" l="1"/>
  <c r="M115" i="2"/>
  <c r="K116" i="2"/>
  <c r="K117" i="2"/>
  <c r="K118" i="2"/>
  <c r="K121" i="2"/>
  <c r="I124" i="2"/>
  <c r="J122" i="2"/>
  <c r="J123" i="2"/>
  <c r="L116" i="2"/>
  <c r="L117" i="2"/>
  <c r="L118" i="2"/>
  <c r="L121" i="2"/>
  <c r="N86" i="2"/>
  <c r="N113" i="2" s="1"/>
  <c r="N114" i="2" l="1"/>
  <c r="N115" i="2"/>
  <c r="L122" i="2"/>
  <c r="L123" i="2"/>
  <c r="L124" i="2" s="1"/>
  <c r="J124" i="2"/>
  <c r="K122" i="2"/>
  <c r="K123" i="2"/>
  <c r="M116" i="2"/>
  <c r="M117" i="2"/>
  <c r="M118" i="2"/>
  <c r="M121" i="2"/>
  <c r="P86" i="2"/>
  <c r="P113" i="2" s="1"/>
  <c r="O86" i="2"/>
  <c r="O113" i="2" s="1"/>
  <c r="M122" i="2" l="1"/>
  <c r="M123" i="2"/>
  <c r="M124" i="2" s="1"/>
  <c r="K124" i="2"/>
  <c r="N116" i="2"/>
  <c r="N117" i="2"/>
  <c r="N118" i="2"/>
  <c r="N121" i="2"/>
  <c r="O114" i="2"/>
  <c r="O115" i="2"/>
  <c r="P114" i="2"/>
  <c r="P115" i="2"/>
  <c r="N122" i="2" l="1"/>
  <c r="N123" i="2"/>
  <c r="N124" i="2" s="1"/>
  <c r="P116" i="2"/>
  <c r="P117" i="2"/>
  <c r="P118" i="2"/>
  <c r="P121" i="2"/>
  <c r="O116" i="2"/>
  <c r="O117" i="2"/>
  <c r="O118" i="2"/>
  <c r="O121" i="2"/>
  <c r="O122" i="2" l="1"/>
  <c r="O123" i="2"/>
  <c r="O124" i="2" s="1"/>
  <c r="P122" i="2"/>
  <c r="P123" i="2"/>
  <c r="P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7" authorId="0" shapeId="0" xr:uid="{00000000-0006-0000-0000-000001000000}">
      <text>
        <r>
          <rPr>
            <sz val="10"/>
            <rFont val="Arial"/>
            <family val="2"/>
          </rPr>
          <t>Sam Heier:
Lilly books 100% of sales but pays Chugai a tiered royalty (mid-single-digits to low-teens). Source: Chugai/Lilly Form 10-K, https://www.chugai-pharm.co.jp/english/news/detail/20240222083000_1049.html</t>
        </r>
      </text>
    </comment>
    <comment ref="G8" authorId="0" shapeId="0" xr:uid="{00000000-0006-0000-0000-000002000000}">
      <text>
        <r>
          <rPr>
            <sz val="10"/>
            <rFont val="Arial"/>
            <family val="2"/>
          </rPr>
          <t>Sam Heier:
Lilly is strategic lead and books Basaglar revenue within the Boehringer Ingelheim diabetes alliance. Source: BI/Lilly, https://investor.lilly.com/news-releases/news-release-details/boehringer-ingelheim-and-lilly-modernise-alliance-focus-full</t>
        </r>
      </text>
    </comment>
    <comment ref="G11" authorId="0" shapeId="0" xr:uid="{00000000-0006-0000-0000-000003000000}">
      <text>
        <r>
          <rPr>
            <sz val="10"/>
            <rFont val="Arial"/>
            <family val="2"/>
          </rPr>
          <t>Sam Heier:
Jardiance is part of Lilly's alliance with Boehringer Ingelheim. Lilly does NOT book product sales; it reports only royalties received on BI's net sales of Jardiance. Source: Lilly SEC filing (Q3 2022 sales &amp; earnings), https://www.sec.gov/Archives/edgar/data/59478/000005947822000248/q322lillysalesandearningsp.htm</t>
        </r>
      </text>
    </comment>
    <comment ref="G14" authorId="0" shapeId="0" xr:uid="{00000000-0006-0000-0000-000004000000}">
      <text>
        <r>
          <rPr>
            <sz val="10"/>
            <rFont val="Arial"/>
            <family val="2"/>
          </rPr>
          <t>Sam Heier:
Erbitux economics are territorial/legacy: Lilly (via ImClone) holds North American rights while Merck KGaA markets ex-US; Lilly's interest is a share/royalty rather than full product sales. Worth confirming against the latest 10-K.</t>
        </r>
      </text>
    </comment>
    <comment ref="G16" authorId="0" shapeId="0" xr:uid="{00000000-0006-0000-0000-000005000000}">
      <text>
        <r>
          <rPr>
            <sz val="10"/>
            <rFont val="Arial"/>
            <family val="2"/>
          </rPr>
          <t>Sam Heier:
Tyvyt (sintilimab) is co-developed with Innovent and sold in China; Lilly shares economics in licensed territories rather than booking 100%. Not FDA-approved in the US. Source: Eli Lilly, https://investor.lilly.com/news-releases/news-release-details/tyvyt-sintilimab-injection-combined-alimta-pemetrexed-and</t>
        </r>
      </text>
    </comment>
    <comment ref="G19" authorId="0" shapeId="0" xr:uid="{00000000-0006-0000-0000-000006000000}">
      <text>
        <r>
          <rPr>
            <sz val="10"/>
            <rFont val="Arial"/>
            <family val="2"/>
          </rPr>
          <t>Sam Heier:
Lilly holds rights outside Europe and books those sales; Almirall licenses lebrikizumab in Europe.</t>
        </r>
      </text>
    </comment>
    <comment ref="G20" authorId="0" shapeId="0" xr:uid="{00000000-0006-0000-0000-000007000000}">
      <text>
        <r>
          <rPr>
            <sz val="10"/>
            <rFont val="Arial"/>
            <family val="2"/>
          </rPr>
          <t>Sam Heier:
Discovered by Incyte and licensed to Lilly; Lilly books sales and pays Incyte royalties. Source: Lilly/Incyte, https://investor.lilly.com/news-releases/news-release-details/fda-approves-lilly-and-incytes-olumiantr-baricitinib-first-and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<sst xmlns="http://schemas.openxmlformats.org/spreadsheetml/2006/main" count="565" uniqueCount="303">
  <si>
    <t>LLY</t>
  </si>
  <si>
    <t>Name</t>
  </si>
  <si>
    <t>Indication</t>
  </si>
  <si>
    <t>Mechanism</t>
  </si>
  <si>
    <t>Economics</t>
  </si>
  <si>
    <t>Approved</t>
  </si>
  <si>
    <t xml:space="preserve">Price </t>
  </si>
  <si>
    <t>Mounjaro</t>
  </si>
  <si>
    <t>Shares</t>
  </si>
  <si>
    <t>Zepbound</t>
  </si>
  <si>
    <t>Market Cap</t>
  </si>
  <si>
    <t>Trulicity</t>
  </si>
  <si>
    <t>Cash</t>
  </si>
  <si>
    <t>Retatrutide</t>
  </si>
  <si>
    <t>TBD</t>
  </si>
  <si>
    <t>Debt</t>
  </si>
  <si>
    <t>Foundayo</t>
  </si>
  <si>
    <t>EV</t>
  </si>
  <si>
    <t>Basaglar</t>
  </si>
  <si>
    <t>Humalog</t>
  </si>
  <si>
    <t>Humulin</t>
  </si>
  <si>
    <t>Jardiance</t>
  </si>
  <si>
    <t>Royalty only</t>
  </si>
  <si>
    <t>Verzenio</t>
  </si>
  <si>
    <t>Cyramza</t>
  </si>
  <si>
    <t>Erbitux</t>
  </si>
  <si>
    <t>Royalty / share</t>
  </si>
  <si>
    <t>Retevmo</t>
  </si>
  <si>
    <t>Tyvyt</t>
  </si>
  <si>
    <t>Not FDA approved</t>
  </si>
  <si>
    <t>Jaypirca</t>
  </si>
  <si>
    <t>Inluriyo</t>
  </si>
  <si>
    <t>Ebglyss</t>
  </si>
  <si>
    <t>Olumiant</t>
  </si>
  <si>
    <t>Omvoh</t>
  </si>
  <si>
    <t>Taltz</t>
  </si>
  <si>
    <t>Emgality</t>
  </si>
  <si>
    <t>Kisunla</t>
  </si>
  <si>
    <t>Eli Lilly and Company (LLY)</t>
  </si>
  <si>
    <t xml:space="preserve">Quarterly Income Statement 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</si>
  <si>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</si>
  <si>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</si>
  <si>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</si>
  <si>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</si>
  <si>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</si>
  <si>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</si>
  <si>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</si>
  <si>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</si>
  <si>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</si>
  <si>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</si>
  <si>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</si>
  <si>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</si>
  <si>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</si>
  <si>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Q2'26</t>
  </si>
  <si>
    <t>Diabetes</t>
  </si>
  <si>
    <t xml:space="preserve">Humulin </t>
  </si>
  <si>
    <t xml:space="preserve">Oncology </t>
  </si>
  <si>
    <t>Immunology</t>
  </si>
  <si>
    <t xml:space="preserve">Neuroscience </t>
  </si>
  <si>
    <t>Other / Misc</t>
  </si>
  <si>
    <t>Total Revenue</t>
  </si>
  <si>
    <t>COGS</t>
  </si>
  <si>
    <t>Gross Margin</t>
  </si>
  <si>
    <t>R&amp;D</t>
  </si>
  <si>
    <t>SG&amp;A</t>
  </si>
  <si>
    <t>IPR&amp;D</t>
  </si>
  <si>
    <t>Asset Impairement/Resturcturing</t>
  </si>
  <si>
    <t>Other expenses</t>
  </si>
  <si>
    <t>Pre Tax Income</t>
  </si>
  <si>
    <t>Taxes</t>
  </si>
  <si>
    <t>Net Income</t>
  </si>
  <si>
    <t>EPS</t>
  </si>
  <si>
    <t>Revenue Growth Rate</t>
  </si>
  <si>
    <t>Gross Margin %</t>
  </si>
  <si>
    <t>R&amp;D %</t>
  </si>
  <si>
    <t>SG&amp;A %</t>
  </si>
  <si>
    <t>IPR&amp;D &amp;</t>
  </si>
  <si>
    <t>Tax rate</t>
  </si>
  <si>
    <t>YoY Revenue Growth Rate</t>
  </si>
  <si>
    <t>Annual Income Statement</t>
  </si>
  <si>
    <t>FY'23</t>
  </si>
  <si>
    <t>FY'24</t>
  </si>
  <si>
    <t>FY'25</t>
  </si>
  <si>
    <t>FY'26</t>
  </si>
  <si>
    <t>FY'27</t>
  </si>
  <si>
    <t>FY'28</t>
  </si>
  <si>
    <t>FY'29</t>
  </si>
  <si>
    <t>FY'30</t>
  </si>
  <si>
    <t>FY'31</t>
  </si>
  <si>
    <t>Other</t>
  </si>
  <si>
    <t>Balance Sheet</t>
  </si>
  <si>
    <t>Cash and cash equivalents</t>
  </si>
  <si>
    <t>Accounts receivable</t>
  </si>
  <si>
    <t>Other receivables</t>
  </si>
  <si>
    <t>Inventories</t>
  </si>
  <si>
    <t>Prepaid expenses</t>
  </si>
  <si>
    <t>Other current assets</t>
  </si>
  <si>
    <t>Total current assets</t>
  </si>
  <si>
    <t>Investments</t>
  </si>
  <si>
    <t>Goodwill</t>
  </si>
  <si>
    <t>Other intangibles, net</t>
  </si>
  <si>
    <t>Deferred tax assets</t>
  </si>
  <si>
    <t>Property and equipment, net</t>
  </si>
  <si>
    <t>Other noncurrent assets</t>
  </si>
  <si>
    <t>Total assets</t>
  </si>
  <si>
    <t>Short-term borrowings and current maturities</t>
  </si>
  <si>
    <t>Accounts payable</t>
  </si>
  <si>
    <t>Employee compensation</t>
  </si>
  <si>
    <t>Sales rebates and discounts</t>
  </si>
  <si>
    <t>Other current liabilities</t>
  </si>
  <si>
    <t>Total current liabilities</t>
  </si>
  <si>
    <t>Long-term debt</t>
  </si>
  <si>
    <t>Long-term income taxes payable</t>
  </si>
  <si>
    <t>Other noncurrent liabilities</t>
  </si>
  <si>
    <t>Total noncurrent liabilities</t>
  </si>
  <si>
    <t>Total equity</t>
  </si>
  <si>
    <t>Total liabilities and equity</t>
  </si>
  <si>
    <t>Check (Assets less Liab. &amp; Equity)</t>
  </si>
  <si>
    <t>Cash Flow Statement</t>
  </si>
  <si>
    <t>Net income</t>
  </si>
  <si>
    <t>Depreciation and amortization</t>
  </si>
  <si>
    <t>Change in deferred income taxes</t>
  </si>
  <si>
    <t>Stock-based compensation expense</t>
  </si>
  <si>
    <t>Gains on sale of product rights</t>
  </si>
  <si>
    <t>Acquired in-process research and development</t>
  </si>
  <si>
    <t>Other operating activities, net</t>
  </si>
  <si>
    <t>Receivables - (increase) decrease</t>
  </si>
  <si>
    <t>Inventories - (increase) decrease</t>
  </si>
  <si>
    <t>Prepaid exp. and other assets - (incr.) decr.</t>
  </si>
  <si>
    <t>Accounts payable and other liab. - incr. (decr.)</t>
  </si>
  <si>
    <t>Net Cash Provided by Operating Activities</t>
  </si>
  <si>
    <t>Purchases of property and equipment</t>
  </si>
  <si>
    <t>Proceeds from sales of noncurrent investments</t>
  </si>
  <si>
    <t>Purchases of noncurrent investments</t>
  </si>
  <si>
    <t>Proceeds from sale of product rights</t>
  </si>
  <si>
    <t>Purchases of in-process research and development</t>
  </si>
  <si>
    <t>Cash paid for acquisitions, net of cash acquired</t>
  </si>
  <si>
    <t>Other investing activities, net</t>
  </si>
  <si>
    <t>Net Cash Used for Investing Activities</t>
  </si>
  <si>
    <t>Dividends paid</t>
  </si>
  <si>
    <t>Net change in short-term borrowings</t>
  </si>
  <si>
    <t>Proceeds from issuance of long-term debt</t>
  </si>
  <si>
    <t>Repayments of long-term debt</t>
  </si>
  <si>
    <t>Purchases of common stock</t>
  </si>
  <si>
    <t>Other financing activities, net</t>
  </si>
  <si>
    <t>Net Cash Provided by (Used for) Financing Activities</t>
  </si>
  <si>
    <t>Effect of exchange rate changes on cash</t>
  </si>
  <si>
    <t>Net Increase (Decrease) in Cash</t>
  </si>
  <si>
    <t>Cash and cash equivalents at beginning of year</t>
  </si>
  <si>
    <t>Cash and Cash Equivalents at End of Year</t>
  </si>
  <si>
    <t>Projection Drivers</t>
  </si>
  <si>
    <t>Model Inputs</t>
  </si>
  <si>
    <t>Accounts receivable (% of revenue)</t>
  </si>
  <si>
    <t>FY26 dividend / share</t>
  </si>
  <si>
    <t>Other receivables (% of revenue)</t>
  </si>
  <si>
    <t>DPS growth, FY27+</t>
  </si>
  <si>
    <t>Inventories (% of COGS)</t>
  </si>
  <si>
    <t>Buybacks ($mm/yr)</t>
  </si>
  <si>
    <t>Prepaid expenses (% of revenue)</t>
  </si>
  <si>
    <t>Chg. in ST debt ($mm)</t>
  </si>
  <si>
    <t>Other current assets (% of revenue)</t>
  </si>
  <si>
    <t>Chg. in LT debt ($mm)</t>
  </si>
  <si>
    <t>Accounts payable (% of COGS)</t>
  </si>
  <si>
    <t>Employee compensation (% of revenue)</t>
  </si>
  <si>
    <t>Sales rebates and discounts (% of rev.)</t>
  </si>
  <si>
    <t>Other current liabilities (% of rev.)</t>
  </si>
  <si>
    <t>Capital expenditures (% of revenue)</t>
  </si>
  <si>
    <t>D&amp;A (% of revenue)</t>
  </si>
  <si>
    <t>Stock-based compensation ($mm)</t>
  </si>
  <si>
    <t>Dividends per share ($)</t>
  </si>
  <si>
    <t>Dividends paid ($mm)</t>
  </si>
  <si>
    <t>Share repurchases ($mm)</t>
  </si>
  <si>
    <t>Net change in short-term borrowings ($mm)</t>
  </si>
  <si>
    <t>Net change in long-term debt ($mm)</t>
  </si>
  <si>
    <t>Discounted Cash Flow</t>
  </si>
  <si>
    <t>DCF Assumptions</t>
  </si>
  <si>
    <t>EBIT (Pre-Tax Income excl. Other)</t>
  </si>
  <si>
    <t>Valuation date</t>
  </si>
  <si>
    <t>31-Dec-2025</t>
  </si>
  <si>
    <t>NOPAT</t>
  </si>
  <si>
    <t>WACC</t>
  </si>
  <si>
    <t>(+) Depreciation and amortization</t>
  </si>
  <si>
    <t>Terminal growth</t>
  </si>
  <si>
    <t>(-) Capital expenditures</t>
  </si>
  <si>
    <t>(-) Increase in net working capital</t>
  </si>
  <si>
    <t>Unlevered Free Cash Flow</t>
  </si>
  <si>
    <t>Discount period</t>
  </si>
  <si>
    <t>PV of terminal value</t>
  </si>
  <si>
    <t>Discount factor</t>
  </si>
  <si>
    <t>Enterprise Value</t>
  </si>
  <si>
    <t>PV of Unlevered Free Cash Flow</t>
  </si>
  <si>
    <t>(-) Total debt</t>
  </si>
  <si>
    <t>(+) Cash</t>
  </si>
  <si>
    <t>Sensitivity - Implied Value per Share</t>
  </si>
  <si>
    <t>Equity Value</t>
  </si>
  <si>
    <t>WACC \ Terminal growth</t>
  </si>
  <si>
    <t>Shares outstanding</t>
  </si>
  <si>
    <t>Implied value / share</t>
  </si>
  <si>
    <t>Current price</t>
  </si>
  <si>
    <t>Implied upside / (down)</t>
  </si>
  <si>
    <t>Notes - a correction applied to the Model tab logic</t>
  </si>
  <si>
    <t>Model!F86+F96+F104+F109 (the four segment subtotals; 'Other' sits inside Neuroscience from FY26). This deliberately does</t>
  </si>
  <si>
    <t>NOT use Model!113, which is =SUM(86:112) and therefore adds every product twice - once in its segment subtotal and once</t>
  </si>
  <si>
    <t>on its own line. Model!E113 reads $128,309mm for FY25 against actual revenue of $65,179mm. Rows 6-15 otherwise replicate</t>
  </si>
  <si>
    <t>the Model tab's own logic (gross margin at Model!P48; R&amp;D/SG&amp;A/IPR&amp;D at P49/P50/P51 of gross margin; 25% tax).</t>
  </si>
  <si>
    <t>does not feed net income (which runs off row 115), so it is cosmetic - but it is wrong. Neither Model tab cell was altered.</t>
  </si>
  <si>
    <t>Sources</t>
  </si>
  <si>
    <t>FY24 / FY25 balance sheet and FY23-FY25 cash flow: Eli Lilly FY2025 Form 10-K, filed 12-Feb-2026, Item 8.</t>
  </si>
  <si>
    <t>https://www.sec.gov/Archives/edgar/data/59478/000005947826000013/lly-20251231.htm</t>
  </si>
  <si>
    <t>FY23 balance sheet: FY2024 Form 10-K comparative column, recast to the FY2025 10-K captions (short-term investments folded</t>
  </si>
  <si>
    <t>into other current assets; dividends payable into other current liabilities; accrued retirement benefits into other noncurrent liab.).</t>
  </si>
  <si>
    <t>https://www.sec.gov/Archives/edgar/data/59478/000005947825000067/lly-20241231.htm</t>
  </si>
  <si>
    <t>FY23 total equity = total assets less total liabilities per that filing ($64,006.3 - $53,142.6).</t>
  </si>
  <si>
    <t>FY26 DPS input of $6.92 = the indicated annual rate disclosed in the FY2025 10-K (quarterly dividend raised to $1.73).</t>
  </si>
  <si>
    <t>Projection method and assumptions</t>
  </si>
  <si>
    <t>Working capital, capex and D&amp;A are held at their FY25 % of revenue (or % of COGS). Goodwill, other intangibles, investments,</t>
  </si>
  <si>
    <t>deferred tax assets, other noncurrent assets/liabilities, long-term income taxes payable and debt are held flat at FY25.</t>
  </si>
  <si>
    <t>PP&amp;E rolls as prior PP&amp;E + capex - D&amp;A (all D&amp;A charged against PP&amp;E; intangibles are not amortised). Cash is the plug.</t>
  </si>
  <si>
    <t>Equity rolls as prior + net income + SBC - dividends - buybacks; no OCI is projected. Deferred taxes, gains on product-rights</t>
  </si>
  <si>
    <t>sales, other operating / investing / financing and FX are set to zero in the forecast - they are not forecastable from the filings.</t>
  </si>
  <si>
    <t>Acquired IPR&amp;D is added back in CFO and paid out in CFI, netting to zero cash, per Lilly's own presentation.</t>
  </si>
  <si>
    <t>DCF is unlevered: NOPAT + D&amp;A - capex - increase in NWC, discounted at the WACC input, end-of-year convention, from a</t>
  </si>
  <si>
    <t>31-Dec-2025 valuation date. It therefore ignores the ~6.5 months elapsed since, which understates value modestly. Terminal</t>
  </si>
  <si>
    <t>Buyback input of $4,000mm/yr approximates FY25 actual ($4,108mm) and the remaining $10.9bn authorisation. It is my</t>
  </si>
  <si>
    <t>assumption, not a company disclosure. DPS growth of 8% is likewise my input, not guidance. Note the Model tab holds shares</t>
  </si>
  <si>
    <t>flat at 897.95 from FY27 despite those buybacks, so share count is somewhat overstated and per-share value understated.</t>
  </si>
  <si>
    <t xml:space="preserve">Brand </t>
  </si>
  <si>
    <t>Generic</t>
  </si>
  <si>
    <t>TIRZEPATIDE</t>
  </si>
  <si>
    <t>Type 2 Diabetes</t>
  </si>
  <si>
    <t>MOA</t>
  </si>
  <si>
    <t>Dual GIP/GLP-1 Receptor Agonist</t>
  </si>
  <si>
    <t>Tirzepatide</t>
  </si>
  <si>
    <t>Obesity &amp; Obstructive Sleep Apnea</t>
  </si>
  <si>
    <t>dulaglutide</t>
  </si>
  <si>
    <t>Type-2 Diabetes</t>
  </si>
  <si>
    <t>GLP-1 Agonist</t>
  </si>
  <si>
    <t>None</t>
  </si>
  <si>
    <t xml:space="preserve">Obesity &amp; Type 2 Diabetes </t>
  </si>
  <si>
    <t>GIP / GLP-1 / Glucagon Triple Receptor Agonist</t>
  </si>
  <si>
    <t>Orforglipron</t>
  </si>
  <si>
    <t>Obesity / Chronic Weight Management</t>
  </si>
  <si>
    <t>GLP-1 Receptor Agonist (oral, nonpeptide)</t>
  </si>
  <si>
    <t>Insulin Glargine</t>
  </si>
  <si>
    <t>Type 1 and Type 2 Diabetes</t>
  </si>
  <si>
    <t>Long-Acting Insulin</t>
  </si>
  <si>
    <t>Insulin Lispro</t>
  </si>
  <si>
    <t>Rapid-Acting Insulin</t>
  </si>
  <si>
    <t>Human Insulin</t>
  </si>
  <si>
    <t>Insulin (short- and intermediate-acting)</t>
  </si>
  <si>
    <t>empagliflozin</t>
  </si>
  <si>
    <t>Type 2 Diabetes &amp; Heart Failure</t>
  </si>
  <si>
    <t>SGLT2 Inhibitors</t>
  </si>
  <si>
    <t>abemaciclib</t>
  </si>
  <si>
    <t>Breast Cancer</t>
  </si>
  <si>
    <t>CDK4/6 inhibitors</t>
  </si>
  <si>
    <t>Ramucirumab</t>
  </si>
  <si>
    <t>Gastric, NSCLC, and Colorectal Cancer</t>
  </si>
  <si>
    <t>VEGFR2 Antagonist (Monoclonal Antibody)</t>
  </si>
  <si>
    <t>Cetuximab</t>
  </si>
  <si>
    <t>Colorectal and Head &amp; Neck Cancer</t>
  </si>
  <si>
    <t>EGFR Inhibitor (Monoclonal Antibody)</t>
  </si>
  <si>
    <t>Selpercatinib</t>
  </si>
  <si>
    <t>RET-Altered NSCLC and Thyroid Cancer</t>
  </si>
  <si>
    <t>RET Kinase Inhibitor</t>
  </si>
  <si>
    <t>Sintilimab</t>
  </si>
  <si>
    <t>Hodgkin Lymphoma, NSCLC &amp; other cancers (approved in China; not FDA-approved)</t>
  </si>
  <si>
    <t>PD-1 Inhibitor (Monoclonal Antibody)</t>
  </si>
  <si>
    <t>Pirtobrutinib</t>
  </si>
  <si>
    <t>Non-Hodgkin Lymphoma</t>
  </si>
  <si>
    <t>Bruton’s tyrosine kinase (BTK) inhibitor</t>
  </si>
  <si>
    <t>Imlunestrant</t>
  </si>
  <si>
    <t>Estrogen Antagonist</t>
  </si>
  <si>
    <t>Lebrikizumab</t>
  </si>
  <si>
    <t>Eczema</t>
  </si>
  <si>
    <t>interleukin-13 antagonist</t>
  </si>
  <si>
    <t>Baricitinib</t>
  </si>
  <si>
    <t>Rheumatoid Arthritis, Alopecia Areata, COVID-19</t>
  </si>
  <si>
    <t>JAK (Janus Kinase) Inhibitor</t>
  </si>
  <si>
    <t>Mirikizumab-Mrkz</t>
  </si>
  <si>
    <t>Crohn's Disease &amp; Ulcerative Colitis</t>
  </si>
  <si>
    <t>interleukin-23 antagonist</t>
  </si>
  <si>
    <t>Ixekizumab</t>
  </si>
  <si>
    <t>Plaque Psoriasis &amp; Psoriatic Arthritis</t>
  </si>
  <si>
    <t>interleukin antagonist</t>
  </si>
  <si>
    <t>Galcanezumab</t>
  </si>
  <si>
    <t>Migraine Prevention and Cluster Headache</t>
  </si>
  <si>
    <t>CGRP Antagonist (Monoclonal Antibody)</t>
  </si>
  <si>
    <t>donanemab-azbt</t>
  </si>
  <si>
    <t>Alzheimer's Disease</t>
  </si>
  <si>
    <t>amyloid beta-directed antibody</t>
  </si>
  <si>
    <t>FY'32</t>
  </si>
  <si>
    <t>FY'33</t>
  </si>
  <si>
    <t>FY'34</t>
  </si>
  <si>
    <t>FY'35</t>
  </si>
  <si>
    <t>FY'36</t>
  </si>
  <si>
    <t>PV of FY'26-FY'36 FCF</t>
  </si>
  <si>
    <t>Terminal value at FY'36</t>
  </si>
  <si>
    <t>Total Revenue (row 5): FY23-FY25 = the Model tab's quarterly block (Model!C33:N33), which ties to the 10-K. FY26-FY36 =</t>
  </si>
  <si>
    <t>Separately, Model!G114:P114 reference Q48:U48, which are empty, so COGS reads 100% of revenue for FY27-FY36. That line</t>
  </si>
  <si>
    <t>value = Gordon Growth on FY36 FCF, discounted back 11 years. EV less total debt plus cash (Main!B7, Main!B6) = equity value,</t>
  </si>
  <si>
    <t>divided by Main!B4 shares. WACC 8% and terminal growth 1% carry over from the Model tab (S252/S253); the 25% tax rate</t>
  </si>
  <si>
    <t>carries over from Model!F122. These are inputs, not derived - change them in S233:S235.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</si>
</sst>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;\(0.0%\);&quot;-&quot;"/>
    <numFmt numFmtId="166" formatCode="0.0%"/>
    <numFmt numFmtId="167" formatCode="0.000"/>
  </numFmts>
  <fonts count="15" x14ac:knownFonts="1">
    <font>
      <sz val="12"/>
      <color theme="1"/>
      <name val="Aptos Narrow"/>
      <family val="2"/>
      <charset val="1"/>
    </font>
    <font>
      <sz val="10"/>
      <name val="Arial"/>
      <family val="2"/>
    </font>
    <font>
      <b/>
      <sz val="12"/>
      <color theme="1"/>
      <name val="Aptos Narrow"/>
      <family val="2"/>
      <charset val="1"/>
    </font>
    <font>
      <b/>
      <sz val="10"/>
      <name val="Arial"/>
      <family val="2"/>
      <charset val="1"/>
    </font>
    <font>
      <i/>
      <sz val="12"/>
      <color theme="1"/>
      <name val="Aptos Narrow"/>
      <family val="2"/>
      <charset val="1"/>
    </font>
    <font>
      <b/>
      <sz val="14"/>
      <color theme="1"/>
      <name val="Aptos Narrow"/>
      <family val="2"/>
      <charset val="1"/>
    </font>
    <font>
      <sz val="12"/>
      <color rgb="FF000000"/>
      <name val="Aptos Narrow"/>
      <family val="2"/>
      <charset val="1"/>
    </font>
    <font>
      <b/>
      <sz val="12"/>
      <color theme="1"/>
      <name val="Aptos Narrow"/>
      <family val="2"/>
    </font>
    <font>
      <sz val="12"/>
      <color theme="1"/>
      <name val="Aptos Narrow"/>
      <family val="2"/>
    </font>
    <font>
      <b/>
      <sz val="14"/>
      <name val="Aptos Narrow"/>
      <family val="2"/>
    </font>
    <font>
      <sz val="12"/>
      <name val="Aptos Narrow"/>
      <family val="2"/>
    </font>
    <font>
      <b/>
      <sz val="12"/>
      <name val="Aptos Narrow"/>
      <family val="2"/>
    </font>
    <font>
      <i/>
      <sz val="12"/>
      <name val="Aptos Narrow"/>
      <family val="2"/>
    </font>
    <font>
      <sz val="12"/>
      <color theme="1"/>
      <name val="Aptos Narrow"/>
      <family val="2"/>
      <charset val="1"/>
    </font>
    <font>
      <sz val="8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2"/>
        <bgColor rgb="FFC1E5F5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</borders>
  <cellStyleXfs count="4">
    <xf numFmtId="0" fontId="0" fillId="0" borderId="0"/>
    <xf numFmtId="43" fontId="13" fillId="0" borderId="0"/>
    <xf numFmtId="44" fontId="13" fillId="0" borderId="0"/>
    <xf numFmtId="9" fontId="13" fillId="0" borderId="0"/>
  </cellStyleXfs>
  <cellXfs count="77">
    <xf numFmtId="0" fontId="0" fillId="0" borderId="0" xfId="0"/>
    <xf numFmtId="0" fontId="2" fillId="0" borderId="1" xfId="0" applyFont="1" applyBorder="1"/>
    <xf numFmtId="0" fontId="0" fillId="0" borderId="2" xfId="0" applyFont="1" applyBorder="1"/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44" fontId="0" fillId="0" borderId="0" xfId="2" applyFont="1"/>
    <xf numFmtId="0" fontId="0" fillId="0" borderId="4" xfId="0" applyFont="1" applyBorder="1" applyAlignment="1">
      <alignment horizontal="center"/>
    </xf>
    <xf numFmtId="0" fontId="0" fillId="0" borderId="0" xfId="0" applyFont="1" applyAlignment="1">
      <alignment horizontal="center"/>
    </xf>
    <xf numFmtId="9" fontId="0" fillId="0" borderId="0" xfId="0" applyNumberFormat="1" applyFont="1" applyAlignment="1">
      <alignment horizontal="center"/>
    </xf>
    <xf numFmtId="14" fontId="0" fillId="0" borderId="5" xfId="0" applyNumberFormat="1" applyFont="1" applyBorder="1" applyAlignment="1">
      <alignment horizontal="center"/>
    </xf>
    <xf numFmtId="43" fontId="0" fillId="0" borderId="0" xfId="1" applyFont="1"/>
    <xf numFmtId="14" fontId="4" fillId="0" borderId="5" xfId="0" applyNumberFormat="1" applyFont="1" applyBorder="1" applyAlignment="1">
      <alignment horizontal="center"/>
    </xf>
    <xf numFmtId="44" fontId="0" fillId="0" borderId="0" xfId="0" applyNumberFormat="1" applyFont="1"/>
    <xf numFmtId="0" fontId="4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9" fontId="0" fillId="0" borderId="7" xfId="0" applyNumberFormat="1" applyFont="1" applyBorder="1" applyAlignment="1">
      <alignment horizontal="center"/>
    </xf>
    <xf numFmtId="14" fontId="0" fillId="0" borderId="8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/>
    <xf numFmtId="0" fontId="0" fillId="0" borderId="9" xfId="0" applyFont="1" applyBorder="1"/>
    <xf numFmtId="0" fontId="0" fillId="0" borderId="9" xfId="0" applyFont="1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2" fillId="0" borderId="7" xfId="0" applyFont="1" applyBorder="1"/>
    <xf numFmtId="164" fontId="2" fillId="0" borderId="0" xfId="0" applyNumberFormat="1" applyFont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164" fontId="0" fillId="0" borderId="0" xfId="2" applyNumberFormat="1" applyFont="1"/>
    <xf numFmtId="164" fontId="0" fillId="0" borderId="5" xfId="2" applyNumberFormat="1" applyFont="1" applyBorder="1"/>
    <xf numFmtId="164" fontId="0" fillId="2" borderId="0" xfId="2" applyNumberFormat="1" applyFont="1" applyFill="1"/>
    <xf numFmtId="0" fontId="0" fillId="3" borderId="0" xfId="0" applyFont="1" applyFill="1"/>
    <xf numFmtId="164" fontId="0" fillId="2" borderId="5" xfId="2" applyNumberFormat="1" applyFont="1" applyFill="1" applyBorder="1"/>
    <xf numFmtId="164" fontId="2" fillId="0" borderId="0" xfId="2" applyNumberFormat="1" applyFont="1"/>
    <xf numFmtId="164" fontId="2" fillId="0" borderId="5" xfId="2" applyNumberFormat="1" applyFont="1" applyBorder="1"/>
    <xf numFmtId="164" fontId="0" fillId="0" borderId="0" xfId="0" applyNumberFormat="1" applyFont="1"/>
    <xf numFmtId="164" fontId="0" fillId="0" borderId="5" xfId="0" applyNumberFormat="1" applyFont="1" applyBorder="1"/>
    <xf numFmtId="0" fontId="6" fillId="0" borderId="0" xfId="0" applyFont="1"/>
    <xf numFmtId="0" fontId="0" fillId="0" borderId="5" xfId="0" applyFont="1" applyBorder="1"/>
    <xf numFmtId="0" fontId="2" fillId="0" borderId="0" xfId="0" applyFont="1"/>
    <xf numFmtId="164" fontId="2" fillId="0" borderId="0" xfId="0" applyNumberFormat="1" applyFont="1"/>
    <xf numFmtId="44" fontId="0" fillId="0" borderId="5" xfId="0" applyNumberFormat="1" applyFont="1" applyBorder="1"/>
    <xf numFmtId="43" fontId="0" fillId="0" borderId="5" xfId="1" applyFont="1" applyBorder="1"/>
    <xf numFmtId="0" fontId="4" fillId="0" borderId="0" xfId="0" applyFont="1"/>
    <xf numFmtId="43" fontId="4" fillId="0" borderId="0" xfId="1" applyFont="1"/>
    <xf numFmtId="9" fontId="4" fillId="0" borderId="0" xfId="3" applyFont="1"/>
    <xf numFmtId="9" fontId="4" fillId="0" borderId="5" xfId="3" applyFont="1" applyBorder="1"/>
    <xf numFmtId="9" fontId="4" fillId="0" borderId="0" xfId="0" applyNumberFormat="1" applyFont="1"/>
    <xf numFmtId="0" fontId="7" fillId="0" borderId="0" xfId="0" applyFont="1"/>
    <xf numFmtId="165" fontId="8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7" fillId="0" borderId="5" xfId="0" applyNumberFormat="1" applyFont="1" applyBorder="1"/>
    <xf numFmtId="43" fontId="0" fillId="0" borderId="0" xfId="0" applyNumberFormat="1" applyFont="1"/>
    <xf numFmtId="43" fontId="0" fillId="0" borderId="5" xfId="0" applyNumberFormat="1" applyFont="1" applyBorder="1"/>
    <xf numFmtId="0" fontId="9" fillId="0" borderId="0" xfId="0" applyFont="1"/>
    <xf numFmtId="0" fontId="10" fillId="0" borderId="9" xfId="0" applyFont="1" applyBorder="1"/>
    <xf numFmtId="0" fontId="10" fillId="0" borderId="9" xfId="0" applyFont="1" applyBorder="1" applyAlignment="1">
      <alignment horizontal="center"/>
    </xf>
    <xf numFmtId="0" fontId="11" fillId="0" borderId="0" xfId="0" applyFont="1"/>
    <xf numFmtId="164" fontId="11" fillId="0" borderId="0" xfId="0" applyNumberFormat="1" applyFont="1"/>
    <xf numFmtId="0" fontId="10" fillId="0" borderId="0" xfId="0" applyFont="1"/>
    <xf numFmtId="164" fontId="10" fillId="0" borderId="0" xfId="0" applyNumberFormat="1" applyFont="1"/>
    <xf numFmtId="44" fontId="10" fillId="0" borderId="0" xfId="0" applyNumberFormat="1" applyFont="1"/>
    <xf numFmtId="43" fontId="10" fillId="0" borderId="0" xfId="0" applyNumberFormat="1" applyFont="1"/>
    <xf numFmtId="0" fontId="12" fillId="0" borderId="0" xfId="0" applyFont="1"/>
    <xf numFmtId="164" fontId="12" fillId="0" borderId="0" xfId="0" applyNumberFormat="1" applyFont="1"/>
    <xf numFmtId="0" fontId="10" fillId="0" borderId="7" xfId="0" applyFont="1" applyBorder="1"/>
    <xf numFmtId="166" fontId="12" fillId="0" borderId="0" xfId="0" applyNumberFormat="1" applyFont="1"/>
    <xf numFmtId="166" fontId="10" fillId="0" borderId="0" xfId="0" applyNumberFormat="1" applyFont="1"/>
    <xf numFmtId="44" fontId="12" fillId="0" borderId="0" xfId="0" applyNumberFormat="1" applyFont="1"/>
    <xf numFmtId="1" fontId="10" fillId="0" borderId="0" xfId="0" applyNumberFormat="1" applyFont="1"/>
    <xf numFmtId="167" fontId="10" fillId="0" borderId="0" xfId="0" applyNumberFormat="1" applyFont="1"/>
    <xf numFmtId="166" fontId="10" fillId="0" borderId="9" xfId="0" applyNumberFormat="1" applyFont="1" applyBorder="1" applyAlignment="1">
      <alignment horizontal="center"/>
    </xf>
    <xf numFmtId="44" fontId="10" fillId="4" borderId="7" xfId="0" applyNumberFormat="1" applyFont="1" applyFill="1" applyBorder="1"/>
    <xf numFmtId="0" fontId="0" fillId="0" borderId="0" xfId="0" applyFont="1"/>
    <xf numFmtId="0" fontId="10" fillId="0" borderId="0" xfId="0" applyFont="1" applyBorder="1"/>
    <xf numFmtId="0" fontId="10" fillId="0" borderId="0" xfId="0" applyFont="1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FAC3F01-F6B2-4FA8-B28A-3DEBA42FDC6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5bb60593-198e-4e6b-9f25-7e41498dbc0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9"/>
  <sheetViews>
    <sheetView workbookViewId="0">
      <selection activeCell="B16" sqref="B16"/>
    </sheetView>
  </sheetViews>
  <sheetFormatPr defaultColWidth="11" defaultRowHeight="15.75" x14ac:dyDescent="0.25"/>
  <cols>
    <col min="2" max="2" width="22.125" customWidth="1"/>
    <col min="3" max="3" width="2.875" customWidth="1"/>
    <col min="4" max="4" width="20.5" customWidth="1"/>
    <col min="5" max="5" width="69.625" customWidth="1"/>
    <col min="6" max="6" width="38.875" customWidth="1"/>
    <col min="7" max="7" width="13.5" customWidth="1"/>
    <col min="8" max="8" width="16.125" customWidth="1"/>
    <col min="9" max="9" width="14" customWidth="1"/>
  </cols>
  <sheetData>
    <row r="2" spans="1:8" x14ac:dyDescent="0.25">
      <c r="A2" s="1" t="s">
        <v>0</v>
      </c>
      <c r="B2" s="2"/>
      <c r="D2" s="3" t="s">
        <v>1</v>
      </c>
      <c r="E2" s="4" t="s">
        <v>2</v>
      </c>
      <c r="F2" s="4" t="s">
        <v>3</v>
      </c>
      <c r="G2" s="4" t="s">
        <v>4</v>
      </c>
      <c r="H2" s="5" t="s">
        <v>5</v>
      </c>
    </row>
    <row r="3" spans="1:8" x14ac:dyDescent="0.25">
      <c r="A3" t="s">
        <v>6</v>
      </c>
      <c r="B3" s="6">
        <v>1213.4000000000001</v>
      </c>
      <c r="D3" s="7" t="s">
        <v>7</v>
      </c>
      <c r="E3" s="8" t="str">
        <f>Mounjaro!C4</f>
        <v>Type 2 Diabetes</v>
      </c>
      <c r="F3" s="8" t="str">
        <f>Mounjaro!C5</f>
        <v>Dual GIP/GLP-1 Receptor Agonist</v>
      </c>
      <c r="G3" s="9">
        <v>1</v>
      </c>
      <c r="H3" s="10">
        <v>44694</v>
      </c>
    </row>
    <row r="4" spans="1:8" x14ac:dyDescent="0.25">
      <c r="A4" t="s">
        <v>8</v>
      </c>
      <c r="B4" s="11">
        <v>895.9</v>
      </c>
      <c r="D4" s="7" t="s">
        <v>9</v>
      </c>
      <c r="E4" s="8" t="str">
        <f>Zepbound!C4</f>
        <v>Obesity &amp; Obstructive Sleep Apnea</v>
      </c>
      <c r="F4" s="8" t="str">
        <f>Zepbound!C5</f>
        <v>Dual GIP/GLP-1 Receptor Agonist</v>
      </c>
      <c r="G4" s="9">
        <v>1</v>
      </c>
      <c r="H4" s="10">
        <v>45238</v>
      </c>
    </row>
    <row r="5" spans="1:8" x14ac:dyDescent="0.25">
      <c r="A5" t="s">
        <v>10</v>
      </c>
      <c r="B5" s="6">
        <f>B3*B4</f>
        <v>1087085.06</v>
      </c>
      <c r="D5" s="7" t="s">
        <v>11</v>
      </c>
      <c r="E5" s="8" t="str">
        <f>Trulicity!C4</f>
        <v>Type-2 Diabetes</v>
      </c>
      <c r="F5" s="8" t="str">
        <f>Trulicity!C5</f>
        <v>GLP-1 Agonist</v>
      </c>
      <c r="G5" s="9">
        <v>1</v>
      </c>
      <c r="H5" s="10">
        <v>41900</v>
      </c>
    </row>
    <row r="6" spans="1:8" x14ac:dyDescent="0.25">
      <c r="A6" t="s">
        <v>12</v>
      </c>
      <c r="B6" s="6">
        <v>7268</v>
      </c>
      <c r="D6" s="7" t="s">
        <v>13</v>
      </c>
      <c r="E6" s="8" t="str">
        <f>Retatrutide!C4</f>
        <v xml:space="preserve">Obesity &amp; Type 2 Diabetes </v>
      </c>
      <c r="F6" s="8" t="str">
        <f>Retatrutide!C5</f>
        <v>GIP / GLP-1 / Glucagon Triple Receptor Agonist</v>
      </c>
      <c r="G6" s="9">
        <v>1</v>
      </c>
      <c r="H6" s="12" t="s">
        <v>14</v>
      </c>
    </row>
    <row r="7" spans="1:8" x14ac:dyDescent="0.25">
      <c r="A7" t="s">
        <v>15</v>
      </c>
      <c r="B7" s="6">
        <f>1635+40868</f>
        <v>42503</v>
      </c>
      <c r="D7" s="7" t="s">
        <v>16</v>
      </c>
      <c r="E7" s="8" t="str">
        <f>Foundayo!C4</f>
        <v>Obesity / Chronic Weight Management</v>
      </c>
      <c r="F7" s="8" t="str">
        <f>Foundayo!C5</f>
        <v>GLP-1 Receptor Agonist (oral, nonpeptide)</v>
      </c>
      <c r="G7" s="9">
        <v>1</v>
      </c>
      <c r="H7" s="10">
        <v>46113</v>
      </c>
    </row>
    <row r="8" spans="1:8" x14ac:dyDescent="0.25">
      <c r="A8" t="s">
        <v>17</v>
      </c>
      <c r="B8" s="13">
        <f>B5+B7-B6</f>
        <v>1122320.06</v>
      </c>
      <c r="D8" s="7" t="s">
        <v>18</v>
      </c>
      <c r="E8" s="8" t="str">
        <f>Basaglar!C4</f>
        <v>Type 1 and Type 2 Diabetes</v>
      </c>
      <c r="F8" s="8" t="str">
        <f>Basaglar!C5</f>
        <v>Long-Acting Insulin</v>
      </c>
      <c r="G8" s="9">
        <v>1</v>
      </c>
      <c r="H8" s="10">
        <f>DATE(2015,12,16)</f>
        <v>42354</v>
      </c>
    </row>
    <row r="9" spans="1:8" x14ac:dyDescent="0.25">
      <c r="D9" s="7" t="s">
        <v>19</v>
      </c>
      <c r="E9" s="8" t="str">
        <f>Humalog!C4</f>
        <v>Type 1 and Type 2 Diabetes</v>
      </c>
      <c r="F9" s="8" t="str">
        <f>Humalog!C5</f>
        <v>Rapid-Acting Insulin</v>
      </c>
      <c r="G9" s="9">
        <v>1</v>
      </c>
      <c r="H9" s="10">
        <v>35230</v>
      </c>
    </row>
    <row r="10" spans="1:8" x14ac:dyDescent="0.25">
      <c r="D10" s="7" t="s">
        <v>20</v>
      </c>
      <c r="E10" s="8" t="str">
        <f>Humulin!C4</f>
        <v>Type 1 and Type 2 Diabetes</v>
      </c>
      <c r="F10" s="8" t="str">
        <f>Humulin!C5</f>
        <v>Insulin (short- and intermediate-acting)</v>
      </c>
      <c r="G10" s="9">
        <v>1</v>
      </c>
      <c r="H10" s="10">
        <f>DATE(1982,10,28)</f>
        <v>30252</v>
      </c>
    </row>
    <row r="11" spans="1:8" x14ac:dyDescent="0.25">
      <c r="D11" s="7" t="s">
        <v>21</v>
      </c>
      <c r="E11" s="8" t="str">
        <f>Jardiance!C4</f>
        <v>Type 2 Diabetes &amp; Heart Failure</v>
      </c>
      <c r="F11" s="8" t="str">
        <f>Jardiance!C5</f>
        <v>SGLT2 Inhibitors</v>
      </c>
      <c r="G11" s="14" t="s">
        <v>22</v>
      </c>
      <c r="H11" s="10">
        <v>41852</v>
      </c>
    </row>
    <row r="12" spans="1:8" x14ac:dyDescent="0.25">
      <c r="D12" s="7" t="s">
        <v>23</v>
      </c>
      <c r="E12" s="8" t="str">
        <f>Verzenio!C4</f>
        <v>Breast Cancer</v>
      </c>
      <c r="F12" s="8" t="str">
        <f>Verzenio!C5</f>
        <v>CDK4/6 inhibitors</v>
      </c>
      <c r="G12" s="9">
        <v>1</v>
      </c>
      <c r="H12" s="10">
        <v>43006</v>
      </c>
    </row>
    <row r="13" spans="1:8" x14ac:dyDescent="0.25">
      <c r="D13" s="7" t="s">
        <v>24</v>
      </c>
      <c r="E13" s="8" t="str">
        <f>Cyramza!C4</f>
        <v>Gastric, NSCLC, and Colorectal Cancer</v>
      </c>
      <c r="F13" s="8" t="str">
        <f>Cyramza!C5</f>
        <v>VEGFR2 Antagonist (Monoclonal Antibody)</v>
      </c>
      <c r="G13" s="9">
        <v>1</v>
      </c>
      <c r="H13" s="10">
        <f>DATE(2014,4,21)</f>
        <v>41750</v>
      </c>
    </row>
    <row r="14" spans="1:8" x14ac:dyDescent="0.25">
      <c r="D14" s="7" t="s">
        <v>25</v>
      </c>
      <c r="E14" s="8" t="str">
        <f>Erbitux!C4</f>
        <v>Colorectal and Head &amp; Neck Cancer</v>
      </c>
      <c r="F14" s="8" t="str">
        <f>Erbitux!C5</f>
        <v>EGFR Inhibitor (Monoclonal Antibody)</v>
      </c>
      <c r="G14" s="14" t="s">
        <v>26</v>
      </c>
      <c r="H14" s="10">
        <f>DATE(2004,2,12)</f>
        <v>38029</v>
      </c>
    </row>
    <row r="15" spans="1:8" x14ac:dyDescent="0.25">
      <c r="D15" s="7" t="s">
        <v>27</v>
      </c>
      <c r="E15" s="8" t="str">
        <f>Retevmo!C4</f>
        <v>RET-Altered NSCLC and Thyroid Cancer</v>
      </c>
      <c r="F15" s="8" t="str">
        <f>Retevmo!C5</f>
        <v>RET Kinase Inhibitor</v>
      </c>
      <c r="G15" s="9">
        <v>1</v>
      </c>
      <c r="H15" s="10">
        <f>DATE(2020,5,8)</f>
        <v>43959</v>
      </c>
    </row>
    <row r="16" spans="1:8" x14ac:dyDescent="0.25">
      <c r="D16" s="7" t="s">
        <v>28</v>
      </c>
      <c r="E16" s="8" t="str">
        <f>Tyvyt!C4</f>
        <v>Hodgkin Lymphoma, NSCLC &amp; other cancers (approved in China; not FDA-approved)</v>
      </c>
      <c r="F16" s="8" t="str">
        <f>Tyvyt!C5</f>
        <v>PD-1 Inhibitor (Monoclonal Antibody)</v>
      </c>
      <c r="G16" s="14" t="s">
        <v>26</v>
      </c>
      <c r="H16" s="15" t="s">
        <v>29</v>
      </c>
    </row>
    <row r="17" spans="3:8" x14ac:dyDescent="0.25">
      <c r="D17" s="7" t="s">
        <v>30</v>
      </c>
      <c r="E17" s="8" t="str">
        <f>Jaypirca!C4</f>
        <v>Non-Hodgkin Lymphoma</v>
      </c>
      <c r="F17" s="8" t="str">
        <f>Jaypirca!C5</f>
        <v>Bruton’s tyrosine kinase (BTK) inhibitor</v>
      </c>
      <c r="G17" s="9">
        <v>1</v>
      </c>
      <c r="H17" s="10">
        <v>44953</v>
      </c>
    </row>
    <row r="18" spans="3:8" x14ac:dyDescent="0.25">
      <c r="D18" s="7" t="s">
        <v>31</v>
      </c>
      <c r="E18" s="8" t="str">
        <f>Inluriyo!C4</f>
        <v>Breast Cancer</v>
      </c>
      <c r="F18" s="8" t="str">
        <f>Inluriyo!C5</f>
        <v>Estrogen Antagonist</v>
      </c>
      <c r="G18" s="9">
        <v>1</v>
      </c>
      <c r="H18" s="10">
        <v>45925</v>
      </c>
    </row>
    <row r="19" spans="3:8" x14ac:dyDescent="0.25">
      <c r="D19" s="7" t="s">
        <v>32</v>
      </c>
      <c r="E19" s="8" t="str">
        <f>Ebglyss!C4</f>
        <v>Eczema</v>
      </c>
      <c r="F19" s="8" t="str">
        <f>Ebglyss!C5</f>
        <v>interleukin-13 antagonist</v>
      </c>
      <c r="G19" s="9">
        <v>1</v>
      </c>
      <c r="H19" s="10">
        <v>45548</v>
      </c>
    </row>
    <row r="20" spans="3:8" x14ac:dyDescent="0.25">
      <c r="D20" s="7" t="s">
        <v>33</v>
      </c>
      <c r="E20" s="8" t="str">
        <f>Olumiant!C4</f>
        <v>Rheumatoid Arthritis, Alopecia Areata, COVID-19</v>
      </c>
      <c r="F20" s="8" t="str">
        <f>Olumiant!C5</f>
        <v>JAK (Janus Kinase) Inhibitor</v>
      </c>
      <c r="G20" s="9">
        <v>1</v>
      </c>
      <c r="H20" s="10">
        <f>DATE(2018,5,31)</f>
        <v>43251</v>
      </c>
    </row>
    <row r="21" spans="3:8" x14ac:dyDescent="0.25">
      <c r="D21" s="7" t="s">
        <v>34</v>
      </c>
      <c r="E21" s="8" t="str">
        <f>Omvoh!C4</f>
        <v>Crohn's Disease &amp; Ulcerative Colitis</v>
      </c>
      <c r="F21" s="8" t="str">
        <f>Omvoh!C5</f>
        <v>interleukin-23 antagonist</v>
      </c>
      <c r="G21" s="9">
        <v>1</v>
      </c>
      <c r="H21" s="10">
        <v>45225</v>
      </c>
    </row>
    <row r="22" spans="3:8" x14ac:dyDescent="0.25">
      <c r="D22" s="7" t="s">
        <v>35</v>
      </c>
      <c r="E22" s="8" t="str">
        <f>Taltz!C4</f>
        <v>Plaque Psoriasis &amp; Psoriatic Arthritis</v>
      </c>
      <c r="F22" s="8" t="str">
        <f>Taltz!C5</f>
        <v>interleukin antagonist</v>
      </c>
      <c r="G22" s="9">
        <v>1</v>
      </c>
      <c r="H22" s="10">
        <v>42451</v>
      </c>
    </row>
    <row r="23" spans="3:8" x14ac:dyDescent="0.25">
      <c r="D23" s="7" t="s">
        <v>36</v>
      </c>
      <c r="E23" s="8" t="str">
        <f>Emgality!C4</f>
        <v>Migraine Prevention and Cluster Headache</v>
      </c>
      <c r="F23" s="8" t="str">
        <f>Emgality!C5</f>
        <v>CGRP Antagonist (Monoclonal Antibody)</v>
      </c>
      <c r="G23" s="9">
        <v>1</v>
      </c>
      <c r="H23" s="10">
        <f>DATE(2018,9,27)</f>
        <v>43370</v>
      </c>
    </row>
    <row r="24" spans="3:8" x14ac:dyDescent="0.25">
      <c r="D24" s="16" t="s">
        <v>37</v>
      </c>
      <c r="E24" s="17" t="str">
        <f>Kisunla!C4</f>
        <v>Alzheimer's Disease</v>
      </c>
      <c r="F24" s="17" t="str">
        <f>Kisunla!C5</f>
        <v>amyloid beta-directed antibody</v>
      </c>
      <c r="G24" s="18">
        <v>1</v>
      </c>
      <c r="H24" s="19">
        <v>45475</v>
      </c>
    </row>
    <row r="26" spans="3:8" x14ac:dyDescent="0.25">
      <c r="D26" s="20"/>
      <c r="E26" s="8"/>
      <c r="F26" s="8"/>
    </row>
    <row r="28" spans="3:8" x14ac:dyDescent="0.25">
      <c r="C28" s="8"/>
    </row>
    <row r="29" spans="3:8" x14ac:dyDescent="0.25">
      <c r="C29" s="8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K303"/>
  <sheetViews>
    <sheetView tabSelected="1" topLeftCell="A79" zoomScale="90" zoomScaleNormal="90" workbookViewId="0">
      <pane xSplit="2" topLeftCell="C1" activePane="topRight" state="frozen"/>
      <selection pane="topRight" activeCell="J150" sqref="J150"/>
    </sheetView>
  </sheetViews>
  <sheetFormatPr defaultColWidth="11" defaultRowHeight="15.75" x14ac:dyDescent="0.25"/>
  <cols>
    <col min="1" max="1" width="2.375" customWidth="1"/>
    <col min="2" max="2" width="32.625" customWidth="1"/>
    <col min="3" max="12" width="13.375" customWidth="1"/>
    <col min="13" max="13" width="14" customWidth="1"/>
    <col min="14" max="14" width="15.125" customWidth="1"/>
    <col min="15" max="31" width="13.375" customWidth="1"/>
    <col min="32" max="38" width="13.125" customWidth="1"/>
    <col min="39" max="91" width="12.5" customWidth="1"/>
  </cols>
  <sheetData>
    <row r="1" spans="2:16" ht="9.75" customHeight="1" x14ac:dyDescent="0.25"/>
    <row r="2" spans="2:16" ht="18.75" customHeight="1" x14ac:dyDescent="0.3">
      <c r="B2" s="21" t="s">
        <v>38</v>
      </c>
    </row>
    <row r="4" spans="2:16" ht="16.5" customHeight="1" thickBot="1" x14ac:dyDescent="0.3">
      <c r="B4" s="22" t="s">
        <v>39</v>
      </c>
      <c r="C4" s="23" t="s">
        <v>40</v>
      </c>
      <c r="D4" s="23" t="s">
        <v>41</v>
      </c>
      <c r="E4" s="23" t="s">
        <v>42</v>
      </c>
      <c r="F4" s="23" t="s">
        <v>43</v>
      </c>
      <c r="G4" s="23" t="s">
        <v>44</v>
      </c>
      <c r="H4" s="23" t="s">
        <v>45</v>
      </c>
      <c r="I4" s="23" t="s">
        <v>46</v>
      </c>
      <c r="J4" s="23" t="s">
        <v>47</v>
      </c>
      <c r="K4" s="23" t="s">
        <v>48</v>
      </c>
      <c r="L4" s="23" t="s">
        <v>49</v>
      </c>
      <c r="M4" s="23" t="s">
        <v>50</v>
      </c>
      <c r="N4" s="23" t="s">
        <v>51</v>
      </c>
      <c r="O4" s="24" t="s">
        <v>52</v>
      </c>
      <c r="P4" s="23" t="s">
        <v>53</v>
      </c>
    </row>
    <row r="5" spans="2:16" x14ac:dyDescent="0.25">
      <c r="B5" s="25" t="s">
        <v>54</v>
      </c>
      <c r="C5" s="26">
        <f t="shared" ref="C5:P5" si="0">SUM(C6:C14)</f>
        <v>4045.3</v>
      </c>
      <c r="D5" s="26">
        <f t="shared" si="0"/>
        <v>4260.3999999999996</v>
      </c>
      <c r="E5" s="26">
        <f t="shared" si="0"/>
        <v>4565.3999999999996</v>
      </c>
      <c r="F5" s="26">
        <f t="shared" si="0"/>
        <v>5588.7000000000007</v>
      </c>
      <c r="G5" s="26">
        <f t="shared" si="0"/>
        <v>5369.2</v>
      </c>
      <c r="H5" s="26">
        <f t="shared" si="0"/>
        <v>7858.8000000000011</v>
      </c>
      <c r="I5" s="26">
        <f t="shared" si="0"/>
        <v>7261.6</v>
      </c>
      <c r="J5" s="26">
        <f t="shared" si="0"/>
        <v>8962.6999999999989</v>
      </c>
      <c r="K5" s="26">
        <f t="shared" si="0"/>
        <v>9147</v>
      </c>
      <c r="L5" s="26">
        <f t="shared" si="0"/>
        <v>11185.800000000001</v>
      </c>
      <c r="M5" s="26">
        <f t="shared" si="0"/>
        <v>13051.800000000001</v>
      </c>
      <c r="N5" s="26">
        <f t="shared" si="0"/>
        <v>14526.3</v>
      </c>
      <c r="O5" s="27">
        <f t="shared" si="0"/>
        <v>15790.900000000001</v>
      </c>
      <c r="P5" s="26">
        <f t="shared" si="0"/>
        <v>0</v>
      </c>
    </row>
    <row r="6" spans="2:16" x14ac:dyDescent="0.25">
      <c r="B6" t="s">
        <v>7</v>
      </c>
      <c r="C6" s="28">
        <v>568.5</v>
      </c>
      <c r="D6" s="28">
        <v>979.7</v>
      </c>
      <c r="E6" s="28">
        <v>1409.3</v>
      </c>
      <c r="F6" s="28">
        <v>2205.6</v>
      </c>
      <c r="G6" s="28">
        <v>1806.5</v>
      </c>
      <c r="H6" s="28">
        <v>3090.8</v>
      </c>
      <c r="I6" s="28">
        <v>3112.7</v>
      </c>
      <c r="J6" s="28">
        <v>3530</v>
      </c>
      <c r="K6" s="28">
        <v>3842</v>
      </c>
      <c r="L6" s="28">
        <v>5198.8999999999996</v>
      </c>
      <c r="M6" s="28">
        <v>6515.1</v>
      </c>
      <c r="N6" s="28">
        <v>7409</v>
      </c>
      <c r="O6" s="29">
        <v>8662</v>
      </c>
      <c r="P6" s="13"/>
    </row>
    <row r="7" spans="2:16" x14ac:dyDescent="0.25">
      <c r="B7" t="s">
        <v>9</v>
      </c>
      <c r="C7" s="30"/>
      <c r="D7" s="30"/>
      <c r="E7" s="30"/>
      <c r="F7" s="28">
        <v>175.8</v>
      </c>
      <c r="G7" s="28">
        <v>517.4</v>
      </c>
      <c r="H7" s="28">
        <v>1243.2</v>
      </c>
      <c r="I7" s="28">
        <v>1257.8</v>
      </c>
      <c r="J7" s="28">
        <v>1907</v>
      </c>
      <c r="K7" s="28">
        <v>2312</v>
      </c>
      <c r="L7" s="28">
        <v>3381.4</v>
      </c>
      <c r="M7" s="28">
        <v>3588</v>
      </c>
      <c r="N7" s="28">
        <v>4261</v>
      </c>
      <c r="O7" s="29">
        <v>4160</v>
      </c>
      <c r="P7" s="13"/>
    </row>
    <row r="8" spans="2:16" x14ac:dyDescent="0.25">
      <c r="B8" t="s">
        <v>11</v>
      </c>
      <c r="C8" s="28">
        <v>1977.1</v>
      </c>
      <c r="D8" s="28">
        <v>1812.5</v>
      </c>
      <c r="E8" s="28">
        <v>1673.6</v>
      </c>
      <c r="F8" s="28">
        <v>1669.3</v>
      </c>
      <c r="G8" s="28">
        <v>1456.3</v>
      </c>
      <c r="H8" s="28">
        <v>1245.5999999999999</v>
      </c>
      <c r="I8" s="28">
        <v>1301.4000000000001</v>
      </c>
      <c r="J8" s="28">
        <v>1250.2</v>
      </c>
      <c r="K8" s="28">
        <v>1095</v>
      </c>
      <c r="L8" s="28">
        <v>1092.2</v>
      </c>
      <c r="M8" s="28">
        <v>1051.8</v>
      </c>
      <c r="N8" s="28">
        <f>4276-M8-L8-K8</f>
        <v>1037</v>
      </c>
      <c r="O8" s="29">
        <v>919</v>
      </c>
      <c r="P8" s="13"/>
    </row>
    <row r="9" spans="2:16" x14ac:dyDescent="0.25">
      <c r="B9" s="31" t="s">
        <v>13</v>
      </c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2"/>
      <c r="P9" s="13"/>
    </row>
    <row r="10" spans="2:16" x14ac:dyDescent="0.25">
      <c r="B10" s="31" t="s">
        <v>16</v>
      </c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2"/>
      <c r="P10" s="13"/>
    </row>
    <row r="11" spans="2:16" x14ac:dyDescent="0.25">
      <c r="B11" t="s">
        <v>18</v>
      </c>
      <c r="C11" s="28">
        <v>209.3</v>
      </c>
      <c r="D11" s="28">
        <v>154.19999999999999</v>
      </c>
      <c r="E11" s="28">
        <v>179.6</v>
      </c>
      <c r="F11" s="28">
        <f>728.3-E11-D11-C11</f>
        <v>185.19999999999993</v>
      </c>
      <c r="G11" s="28">
        <v>157.6</v>
      </c>
      <c r="H11" s="28">
        <v>180.8</v>
      </c>
      <c r="I11" s="28">
        <v>161.6</v>
      </c>
      <c r="J11" s="28">
        <v>176.9</v>
      </c>
      <c r="K11" s="28">
        <v>173.6</v>
      </c>
      <c r="L11" s="28">
        <v>145</v>
      </c>
      <c r="M11" s="28">
        <v>162.19999999999999</v>
      </c>
      <c r="N11" s="28">
        <f>+J11</f>
        <v>176.9</v>
      </c>
      <c r="O11" s="29">
        <f>+K11-10</f>
        <v>163.6</v>
      </c>
      <c r="P11" s="13"/>
    </row>
    <row r="12" spans="2:16" x14ac:dyDescent="0.25">
      <c r="B12" t="s">
        <v>19</v>
      </c>
      <c r="C12" s="28">
        <v>460.9</v>
      </c>
      <c r="D12" s="28">
        <v>440.4</v>
      </c>
      <c r="E12" s="28">
        <v>395.4</v>
      </c>
      <c r="F12" s="28">
        <v>366.6</v>
      </c>
      <c r="G12" s="28">
        <v>538.70000000000005</v>
      </c>
      <c r="H12" s="28">
        <v>631.6</v>
      </c>
      <c r="I12" s="28">
        <v>534.6</v>
      </c>
      <c r="J12" s="28">
        <v>619.9</v>
      </c>
      <c r="K12" s="28">
        <v>537.20000000000005</v>
      </c>
      <c r="L12" s="28">
        <v>503.1</v>
      </c>
      <c r="M12" s="28">
        <v>599.1</v>
      </c>
      <c r="N12" s="28">
        <f>+M12-5</f>
        <v>594.1</v>
      </c>
      <c r="O12" s="29">
        <f>+N12--15</f>
        <v>609.1</v>
      </c>
      <c r="P12" s="13"/>
    </row>
    <row r="13" spans="2:16" x14ac:dyDescent="0.25">
      <c r="B13" t="s">
        <v>55</v>
      </c>
      <c r="C13" s="28">
        <v>252</v>
      </c>
      <c r="D13" s="28">
        <v>205.3</v>
      </c>
      <c r="E13" s="28">
        <v>206.7</v>
      </c>
      <c r="F13" s="28">
        <f>852.1-E13-D13-C13</f>
        <v>188.10000000000008</v>
      </c>
      <c r="G13" s="28">
        <v>206.2</v>
      </c>
      <c r="H13" s="28">
        <v>223.6</v>
      </c>
      <c r="I13" s="28">
        <v>207.1</v>
      </c>
      <c r="J13" s="28">
        <v>280.3</v>
      </c>
      <c r="K13" s="28">
        <v>173.2</v>
      </c>
      <c r="L13" s="28">
        <v>175.2</v>
      </c>
      <c r="M13" s="28">
        <v>176.6</v>
      </c>
      <c r="N13" s="28">
        <f>+J13</f>
        <v>280.3</v>
      </c>
      <c r="O13" s="29">
        <f>+K13-10</f>
        <v>163.19999999999999</v>
      </c>
      <c r="P13" s="13"/>
    </row>
    <row r="14" spans="2:16" x14ac:dyDescent="0.25">
      <c r="B14" t="s">
        <v>21</v>
      </c>
      <c r="C14" s="28">
        <v>577.5</v>
      </c>
      <c r="D14" s="28">
        <v>668.3</v>
      </c>
      <c r="E14" s="28">
        <v>700.8</v>
      </c>
      <c r="F14" s="28">
        <v>798.1</v>
      </c>
      <c r="G14" s="28">
        <v>686.5</v>
      </c>
      <c r="H14" s="28">
        <v>1243.2</v>
      </c>
      <c r="I14" s="28">
        <v>686.4</v>
      </c>
      <c r="J14" s="28">
        <v>1198.4000000000001</v>
      </c>
      <c r="K14" s="28">
        <v>1014</v>
      </c>
      <c r="L14" s="28">
        <v>690</v>
      </c>
      <c r="M14" s="28">
        <v>959</v>
      </c>
      <c r="N14" s="28">
        <f>3431-K14-L14-M14</f>
        <v>768</v>
      </c>
      <c r="O14" s="29">
        <v>1114</v>
      </c>
      <c r="P14" s="13"/>
    </row>
    <row r="15" spans="2:16" x14ac:dyDescent="0.25">
      <c r="B15" s="25" t="s">
        <v>56</v>
      </c>
      <c r="C15" s="33">
        <f t="shared" ref="C15:P15" si="1">SUM(C16:C22)</f>
        <v>1230.0000000000002</v>
      </c>
      <c r="D15" s="33">
        <f t="shared" si="1"/>
        <v>1518.6</v>
      </c>
      <c r="E15" s="33">
        <f t="shared" si="1"/>
        <v>1596.7</v>
      </c>
      <c r="F15" s="33">
        <f t="shared" si="1"/>
        <v>1736.2</v>
      </c>
      <c r="G15" s="33">
        <f t="shared" si="1"/>
        <v>1660.7</v>
      </c>
      <c r="H15" s="33">
        <f t="shared" si="1"/>
        <v>2043.2000000000003</v>
      </c>
      <c r="I15" s="33">
        <f t="shared" si="1"/>
        <v>2102.6</v>
      </c>
      <c r="J15" s="33">
        <f t="shared" si="1"/>
        <v>2328.1999999999998</v>
      </c>
      <c r="K15" s="33">
        <f t="shared" si="1"/>
        <v>1853.3000000000002</v>
      </c>
      <c r="L15" s="33">
        <f t="shared" si="1"/>
        <v>2317.6000000000004</v>
      </c>
      <c r="M15" s="33">
        <f t="shared" si="1"/>
        <v>2326</v>
      </c>
      <c r="N15" s="33">
        <f t="shared" si="1"/>
        <v>2468.5</v>
      </c>
      <c r="O15" s="34">
        <f t="shared" si="1"/>
        <v>2268.4</v>
      </c>
      <c r="P15" s="33">
        <f t="shared" si="1"/>
        <v>0</v>
      </c>
    </row>
    <row r="16" spans="2:16" x14ac:dyDescent="0.25">
      <c r="B16" t="s">
        <v>23</v>
      </c>
      <c r="C16" s="28">
        <v>750.9</v>
      </c>
      <c r="D16" s="28">
        <v>926.8</v>
      </c>
      <c r="E16" s="28">
        <v>1040.2</v>
      </c>
      <c r="F16" s="28">
        <v>1145.4000000000001</v>
      </c>
      <c r="G16" s="28">
        <v>1050.3</v>
      </c>
      <c r="H16" s="28">
        <v>1331.9</v>
      </c>
      <c r="I16" s="28">
        <v>1369.3</v>
      </c>
      <c r="J16" s="28">
        <v>1555</v>
      </c>
      <c r="K16" s="28">
        <v>1158.9000000000001</v>
      </c>
      <c r="L16" s="28">
        <v>1489.3</v>
      </c>
      <c r="M16" s="28">
        <v>1470.2</v>
      </c>
      <c r="N16" s="28">
        <v>1604</v>
      </c>
      <c r="O16" s="29">
        <v>1302</v>
      </c>
      <c r="P16" s="13"/>
    </row>
    <row r="17" spans="2:16" x14ac:dyDescent="0.25">
      <c r="B17" t="s">
        <v>24</v>
      </c>
      <c r="C17" s="28">
        <v>236.8</v>
      </c>
      <c r="D17" s="28">
        <v>260.3</v>
      </c>
      <c r="E17" s="28">
        <v>224.1</v>
      </c>
      <c r="F17" s="28">
        <v>253.6</v>
      </c>
      <c r="G17" s="28">
        <v>229.9</v>
      </c>
      <c r="H17" s="28">
        <v>248.9</v>
      </c>
      <c r="I17" s="28">
        <v>236</v>
      </c>
      <c r="J17" s="28">
        <v>258.60000000000002</v>
      </c>
      <c r="K17" s="28">
        <v>224.9</v>
      </c>
      <c r="L17" s="28">
        <v>253.7</v>
      </c>
      <c r="M17" s="28">
        <v>245.5</v>
      </c>
      <c r="N17" s="28">
        <f>+J17</f>
        <v>258.60000000000002</v>
      </c>
      <c r="O17" s="29">
        <f>+K17+34</f>
        <v>258.89999999999998</v>
      </c>
      <c r="P17" s="13"/>
    </row>
    <row r="18" spans="2:16" x14ac:dyDescent="0.25">
      <c r="B18" t="s">
        <v>25</v>
      </c>
      <c r="C18" s="28">
        <v>129.9</v>
      </c>
      <c r="D18" s="28">
        <v>162.5</v>
      </c>
      <c r="E18" s="28">
        <v>153.9</v>
      </c>
      <c r="F18" s="28">
        <f>596.5-E18-D18-C18</f>
        <v>150.20000000000002</v>
      </c>
      <c r="G18" s="28">
        <v>144.6</v>
      </c>
      <c r="H18" s="28">
        <v>155.80000000000001</v>
      </c>
      <c r="I18" s="28">
        <v>152</v>
      </c>
      <c r="J18" s="28">
        <v>175</v>
      </c>
      <c r="K18" s="28">
        <v>149</v>
      </c>
      <c r="L18" s="28">
        <v>183.7</v>
      </c>
      <c r="M18" s="28">
        <v>198.6</v>
      </c>
      <c r="N18" s="28">
        <f>+J18</f>
        <v>175</v>
      </c>
      <c r="O18" s="29">
        <f>+K18+34</f>
        <v>183</v>
      </c>
      <c r="P18" s="13"/>
    </row>
    <row r="19" spans="2:16" x14ac:dyDescent="0.25">
      <c r="B19" t="s">
        <v>27</v>
      </c>
      <c r="C19" s="28">
        <v>51.4</v>
      </c>
      <c r="D19" s="28">
        <v>65.400000000000006</v>
      </c>
      <c r="E19" s="28">
        <v>63.4</v>
      </c>
      <c r="F19" s="28">
        <v>73.400000000000006</v>
      </c>
      <c r="G19" s="28">
        <v>69.2</v>
      </c>
      <c r="H19" s="28">
        <v>91.2</v>
      </c>
      <c r="I19" s="28">
        <v>114</v>
      </c>
      <c r="J19" s="28">
        <v>90</v>
      </c>
      <c r="K19" s="28">
        <v>91</v>
      </c>
      <c r="L19" s="28">
        <v>125.3</v>
      </c>
      <c r="M19" s="28">
        <v>112</v>
      </c>
      <c r="N19" s="28">
        <f>+M19+5</f>
        <v>117</v>
      </c>
      <c r="O19" s="29">
        <f>+N19+34</f>
        <v>151</v>
      </c>
      <c r="P19" s="13"/>
    </row>
    <row r="20" spans="2:16" x14ac:dyDescent="0.25">
      <c r="B20" t="s">
        <v>28</v>
      </c>
      <c r="C20" s="28">
        <v>61</v>
      </c>
      <c r="D20" s="28">
        <v>103.6</v>
      </c>
      <c r="E20" s="28">
        <v>115.1</v>
      </c>
      <c r="F20" s="28">
        <v>113.6</v>
      </c>
      <c r="G20" s="28">
        <v>116.7</v>
      </c>
      <c r="H20" s="28">
        <v>123</v>
      </c>
      <c r="I20" s="28">
        <v>150.19999999999999</v>
      </c>
      <c r="J20" s="28">
        <v>136</v>
      </c>
      <c r="K20" s="28">
        <v>137.5</v>
      </c>
      <c r="L20" s="28">
        <v>137.30000000000001</v>
      </c>
      <c r="M20" s="28">
        <v>141.80000000000001</v>
      </c>
      <c r="N20" s="28">
        <f>+J20</f>
        <v>136</v>
      </c>
      <c r="O20" s="29">
        <f>+K20+34+2</f>
        <v>173.5</v>
      </c>
      <c r="P20" s="13"/>
    </row>
    <row r="21" spans="2:16" x14ac:dyDescent="0.25">
      <c r="B21" t="s">
        <v>30</v>
      </c>
      <c r="C21" s="30"/>
      <c r="D21" s="30"/>
      <c r="E21" s="30"/>
      <c r="F21" s="30"/>
      <c r="G21" s="28">
        <v>50</v>
      </c>
      <c r="H21" s="28">
        <v>92.4</v>
      </c>
      <c r="I21" s="28">
        <v>81.099999999999994</v>
      </c>
      <c r="J21" s="28">
        <v>113.6</v>
      </c>
      <c r="K21" s="28">
        <v>92</v>
      </c>
      <c r="L21" s="28">
        <v>123.3</v>
      </c>
      <c r="M21" s="28">
        <v>142.9</v>
      </c>
      <c r="N21" s="28">
        <f>+M21+10</f>
        <v>152.9</v>
      </c>
      <c r="O21" s="29">
        <v>165</v>
      </c>
      <c r="P21" s="13"/>
    </row>
    <row r="22" spans="2:16" x14ac:dyDescent="0.25">
      <c r="B22" t="s">
        <v>31</v>
      </c>
      <c r="C22" s="30"/>
      <c r="D22" s="30"/>
      <c r="E22" s="30"/>
      <c r="F22" s="30"/>
      <c r="G22" s="30"/>
      <c r="H22" s="30"/>
      <c r="I22" s="30"/>
      <c r="J22" s="30"/>
      <c r="K22" s="30"/>
      <c r="L22" s="28">
        <f>M22-10</f>
        <v>5</v>
      </c>
      <c r="M22" s="28">
        <f>N22-10</f>
        <v>15</v>
      </c>
      <c r="N22" s="28">
        <f>O22-10</f>
        <v>25</v>
      </c>
      <c r="O22" s="29">
        <v>35</v>
      </c>
      <c r="P22" s="13"/>
    </row>
    <row r="23" spans="2:16" x14ac:dyDescent="0.25">
      <c r="B23" s="25" t="s">
        <v>57</v>
      </c>
      <c r="C23" s="33">
        <f t="shared" ref="C23:P23" si="2">SUM(C24:C27)</f>
        <v>755.9</v>
      </c>
      <c r="D23" s="33">
        <f t="shared" si="2"/>
        <v>922.8</v>
      </c>
      <c r="E23" s="33">
        <f t="shared" si="2"/>
        <v>975.6</v>
      </c>
      <c r="F23" s="33">
        <f t="shared" si="2"/>
        <v>1028.0999999999999</v>
      </c>
      <c r="G23" s="33">
        <f t="shared" si="2"/>
        <v>834</v>
      </c>
      <c r="H23" s="33">
        <f t="shared" si="2"/>
        <v>1082.3000000000002</v>
      </c>
      <c r="I23" s="33">
        <f t="shared" si="2"/>
        <v>1185.8</v>
      </c>
      <c r="J23" s="33">
        <f t="shared" si="2"/>
        <v>1290.9000000000001</v>
      </c>
      <c r="K23" s="33">
        <f t="shared" si="2"/>
        <v>1088.0999999999999</v>
      </c>
      <c r="L23" s="33">
        <f t="shared" si="2"/>
        <v>1255.5999999999999</v>
      </c>
      <c r="M23" s="33">
        <f t="shared" si="2"/>
        <v>1362.4</v>
      </c>
      <c r="N23" s="33">
        <f t="shared" si="2"/>
        <v>1535.5</v>
      </c>
      <c r="O23" s="34">
        <f t="shared" si="2"/>
        <v>1202.7</v>
      </c>
      <c r="P23" s="33">
        <f t="shared" si="2"/>
        <v>0</v>
      </c>
    </row>
    <row r="24" spans="2:16" x14ac:dyDescent="0.25">
      <c r="B24" t="s">
        <v>32</v>
      </c>
      <c r="C24" s="30"/>
      <c r="D24" s="30"/>
      <c r="E24" s="30"/>
      <c r="F24" s="30"/>
      <c r="G24" s="28">
        <v>3.1</v>
      </c>
      <c r="H24" s="28">
        <v>4.3</v>
      </c>
      <c r="I24" s="28">
        <v>14.9</v>
      </c>
      <c r="J24" s="28">
        <v>20.399999999999999</v>
      </c>
      <c r="K24" s="28">
        <v>60.2</v>
      </c>
      <c r="L24" s="28">
        <v>86.8</v>
      </c>
      <c r="M24" s="28">
        <v>127.1</v>
      </c>
      <c r="N24" s="28">
        <f>+M24+5</f>
        <v>132.1</v>
      </c>
      <c r="O24" s="29">
        <v>145</v>
      </c>
      <c r="P24" s="13"/>
    </row>
    <row r="25" spans="2:16" x14ac:dyDescent="0.25">
      <c r="B25" t="s">
        <v>33</v>
      </c>
      <c r="C25" s="28">
        <v>228.9</v>
      </c>
      <c r="D25" s="28">
        <v>218.9</v>
      </c>
      <c r="E25" s="28">
        <v>231.4</v>
      </c>
      <c r="F25" s="28">
        <v>243.5</v>
      </c>
      <c r="G25" s="28">
        <v>217.4</v>
      </c>
      <c r="H25" s="28">
        <v>227.7</v>
      </c>
      <c r="I25" s="28">
        <v>250.8</v>
      </c>
      <c r="J25" s="28">
        <v>261.60000000000002</v>
      </c>
      <c r="K25" s="28">
        <v>228.7</v>
      </c>
      <c r="L25" s="28">
        <v>246.4</v>
      </c>
      <c r="M25" s="28">
        <v>268.89999999999998</v>
      </c>
      <c r="N25" s="28">
        <f>+J25</f>
        <v>261.60000000000002</v>
      </c>
      <c r="O25" s="29">
        <f>+K25+16</f>
        <v>244.7</v>
      </c>
      <c r="P25" s="13"/>
    </row>
    <row r="26" spans="2:16" x14ac:dyDescent="0.25">
      <c r="B26" t="s">
        <v>34</v>
      </c>
      <c r="C26" s="30"/>
      <c r="D26" s="30"/>
      <c r="E26" s="30"/>
      <c r="F26" s="30"/>
      <c r="G26" s="28">
        <v>9.4</v>
      </c>
      <c r="H26" s="28">
        <v>25.6</v>
      </c>
      <c r="I26" s="28">
        <v>40.5</v>
      </c>
      <c r="J26" s="28">
        <v>56.9</v>
      </c>
      <c r="K26" s="28">
        <v>37.200000000000003</v>
      </c>
      <c r="L26" s="28">
        <v>74.8</v>
      </c>
      <c r="M26" s="28">
        <v>64.900000000000006</v>
      </c>
      <c r="N26" s="28">
        <f>+M26+25</f>
        <v>89.9</v>
      </c>
      <c r="O26" s="29">
        <v>80</v>
      </c>
      <c r="P26" s="13"/>
    </row>
    <row r="27" spans="2:16" x14ac:dyDescent="0.25">
      <c r="B27" t="s">
        <v>35</v>
      </c>
      <c r="C27" s="28">
        <v>527</v>
      </c>
      <c r="D27" s="28">
        <v>703.9</v>
      </c>
      <c r="E27" s="28">
        <v>744.2</v>
      </c>
      <c r="F27" s="28">
        <v>784.6</v>
      </c>
      <c r="G27" s="28">
        <v>604.1</v>
      </c>
      <c r="H27" s="28">
        <v>824.7</v>
      </c>
      <c r="I27" s="28">
        <v>879.6</v>
      </c>
      <c r="J27" s="28">
        <v>952</v>
      </c>
      <c r="K27" s="28">
        <v>762</v>
      </c>
      <c r="L27" s="28">
        <v>847.6</v>
      </c>
      <c r="M27" s="28">
        <v>901.5</v>
      </c>
      <c r="N27" s="28">
        <f>3563-K27-L27-M27</f>
        <v>1051.9000000000001</v>
      </c>
      <c r="O27" s="29">
        <v>733</v>
      </c>
      <c r="P27" s="13"/>
    </row>
    <row r="28" spans="2:16" x14ac:dyDescent="0.25">
      <c r="B28" s="25" t="s">
        <v>58</v>
      </c>
      <c r="C28" s="33">
        <f t="shared" ref="C28:P28" si="3">SUM(C29:C30)</f>
        <v>154.30000000000001</v>
      </c>
      <c r="D28" s="33">
        <f t="shared" si="3"/>
        <v>169.3</v>
      </c>
      <c r="E28" s="33">
        <f t="shared" si="3"/>
        <v>168.5</v>
      </c>
      <c r="F28" s="33">
        <f t="shared" si="3"/>
        <v>186.1</v>
      </c>
      <c r="G28" s="33">
        <f t="shared" si="3"/>
        <v>225.7</v>
      </c>
      <c r="H28" s="33">
        <f t="shared" si="3"/>
        <v>192</v>
      </c>
      <c r="I28" s="33">
        <f t="shared" si="3"/>
        <v>204.3</v>
      </c>
      <c r="J28" s="33">
        <f t="shared" si="3"/>
        <v>257.7</v>
      </c>
      <c r="K28" s="33">
        <f t="shared" si="3"/>
        <v>146.1</v>
      </c>
      <c r="L28" s="33">
        <f t="shared" si="3"/>
        <v>249.7</v>
      </c>
      <c r="M28" s="33">
        <f t="shared" si="3"/>
        <v>246.1</v>
      </c>
      <c r="N28" s="33">
        <f t="shared" si="3"/>
        <v>370.18000000000006</v>
      </c>
      <c r="O28" s="34">
        <f t="shared" si="3"/>
        <v>261.06</v>
      </c>
      <c r="P28" s="33">
        <f t="shared" si="3"/>
        <v>0</v>
      </c>
    </row>
    <row r="29" spans="2:16" x14ac:dyDescent="0.25">
      <c r="B29" t="s">
        <v>36</v>
      </c>
      <c r="C29" s="28">
        <v>154.30000000000001</v>
      </c>
      <c r="D29" s="28">
        <v>169.3</v>
      </c>
      <c r="E29" s="28">
        <v>168.5</v>
      </c>
      <c r="F29" s="28">
        <v>186.1</v>
      </c>
      <c r="G29" s="28">
        <v>225.7</v>
      </c>
      <c r="H29" s="28">
        <v>192</v>
      </c>
      <c r="I29" s="28">
        <v>202.9</v>
      </c>
      <c r="J29" s="28">
        <v>249.8</v>
      </c>
      <c r="K29" s="28">
        <v>124.6</v>
      </c>
      <c r="L29" s="28">
        <v>201.1</v>
      </c>
      <c r="M29" s="28">
        <v>175.7</v>
      </c>
      <c r="N29" s="28">
        <f>+J29*1.1</f>
        <v>274.78000000000003</v>
      </c>
      <c r="O29" s="29">
        <f>+K29*1.1</f>
        <v>137.06</v>
      </c>
      <c r="P29" s="13"/>
    </row>
    <row r="30" spans="2:16" x14ac:dyDescent="0.25">
      <c r="B30" t="s">
        <v>37</v>
      </c>
      <c r="C30" s="30"/>
      <c r="D30" s="30"/>
      <c r="E30" s="30"/>
      <c r="F30" s="30"/>
      <c r="G30" s="30"/>
      <c r="H30" s="30"/>
      <c r="I30" s="28">
        <v>1.4</v>
      </c>
      <c r="J30" s="28">
        <v>7.9</v>
      </c>
      <c r="K30" s="28">
        <v>21.5</v>
      </c>
      <c r="L30" s="28">
        <v>48.6</v>
      </c>
      <c r="M30" s="28">
        <v>70.400000000000006</v>
      </c>
      <c r="N30" s="28">
        <f>+M30+25</f>
        <v>95.4</v>
      </c>
      <c r="O30" s="29">
        <v>124</v>
      </c>
      <c r="P30" s="13"/>
    </row>
    <row r="31" spans="2:16" x14ac:dyDescent="0.25">
      <c r="B31" t="s">
        <v>59</v>
      </c>
      <c r="C31" s="35">
        <f t="shared" ref="C31:O31" si="4">C33-(C5+C15+C23+C28)</f>
        <v>774.5</v>
      </c>
      <c r="D31" s="35">
        <f t="shared" si="4"/>
        <v>1441</v>
      </c>
      <c r="E31" s="35">
        <f t="shared" si="4"/>
        <v>2192.4000000000005</v>
      </c>
      <c r="F31" s="35">
        <f t="shared" si="4"/>
        <v>814.29999999999927</v>
      </c>
      <c r="G31" s="35">
        <f t="shared" si="4"/>
        <v>678.40000000000055</v>
      </c>
      <c r="H31" s="35">
        <f t="shared" si="4"/>
        <v>126.49999999999636</v>
      </c>
      <c r="I31" s="35">
        <f t="shared" si="4"/>
        <v>684.80000000000109</v>
      </c>
      <c r="J31" s="35">
        <f t="shared" si="4"/>
        <v>693.30000000000109</v>
      </c>
      <c r="K31" s="35">
        <f t="shared" si="4"/>
        <v>494.5</v>
      </c>
      <c r="L31" s="35">
        <f t="shared" si="4"/>
        <v>548.99999999999818</v>
      </c>
      <c r="M31" s="35">
        <f t="shared" si="4"/>
        <v>614.5</v>
      </c>
      <c r="N31" s="35">
        <f t="shared" si="4"/>
        <v>391.52000000000044</v>
      </c>
      <c r="O31" s="36">
        <f t="shared" si="4"/>
        <v>275.93999999999505</v>
      </c>
      <c r="P31" s="13"/>
    </row>
    <row r="32" spans="2:16" x14ac:dyDescent="0.25">
      <c r="B32" s="37"/>
      <c r="O32" s="38"/>
      <c r="P32" s="13"/>
    </row>
    <row r="33" spans="2:36" x14ac:dyDescent="0.25">
      <c r="B33" s="39" t="s">
        <v>60</v>
      </c>
      <c r="C33" s="33">
        <v>6960</v>
      </c>
      <c r="D33" s="33">
        <v>8312.1</v>
      </c>
      <c r="E33" s="33">
        <v>9498.6</v>
      </c>
      <c r="F33" s="33">
        <v>9353.4</v>
      </c>
      <c r="G33" s="33">
        <v>8768</v>
      </c>
      <c r="H33" s="33">
        <v>11302.8</v>
      </c>
      <c r="I33" s="33">
        <v>11439.1</v>
      </c>
      <c r="J33" s="33">
        <v>13532.8</v>
      </c>
      <c r="K33" s="33">
        <v>12729</v>
      </c>
      <c r="L33" s="33">
        <v>15557.7</v>
      </c>
      <c r="M33" s="33">
        <v>17600.8</v>
      </c>
      <c r="N33" s="33">
        <v>19292</v>
      </c>
      <c r="O33" s="34">
        <v>19799</v>
      </c>
      <c r="P33" s="40"/>
    </row>
    <row r="34" spans="2:36" x14ac:dyDescent="0.25">
      <c r="B34" t="s">
        <v>61</v>
      </c>
      <c r="C34" s="28">
        <v>1626.7</v>
      </c>
      <c r="D34" s="28">
        <v>1807.4</v>
      </c>
      <c r="E34" s="28">
        <v>1860.1</v>
      </c>
      <c r="F34" s="28">
        <v>1788</v>
      </c>
      <c r="G34" s="28">
        <v>1673.5</v>
      </c>
      <c r="H34" s="28">
        <v>2170.1999999999998</v>
      </c>
      <c r="I34" s="28">
        <v>2170.8000000000002</v>
      </c>
      <c r="J34" s="28">
        <v>2403.8000000000002</v>
      </c>
      <c r="K34" s="28">
        <v>2225</v>
      </c>
      <c r="L34" s="28">
        <v>2447.8000000000002</v>
      </c>
      <c r="M34" s="28">
        <v>3008.3</v>
      </c>
      <c r="N34" s="28">
        <v>3371.7</v>
      </c>
      <c r="O34" s="29">
        <v>3577</v>
      </c>
      <c r="P34" s="35"/>
    </row>
    <row r="35" spans="2:36" x14ac:dyDescent="0.25">
      <c r="B35" s="39" t="s">
        <v>62</v>
      </c>
      <c r="C35" s="33">
        <f t="shared" ref="C35:O35" si="5">C33-C34</f>
        <v>5333.3</v>
      </c>
      <c r="D35" s="33">
        <f t="shared" si="5"/>
        <v>6504.7000000000007</v>
      </c>
      <c r="E35" s="33">
        <f t="shared" si="5"/>
        <v>7638.5</v>
      </c>
      <c r="F35" s="33">
        <f t="shared" si="5"/>
        <v>7565.4</v>
      </c>
      <c r="G35" s="33">
        <f t="shared" si="5"/>
        <v>7094.5</v>
      </c>
      <c r="H35" s="33">
        <f t="shared" si="5"/>
        <v>9132.5999999999985</v>
      </c>
      <c r="I35" s="33">
        <f t="shared" si="5"/>
        <v>9268.2999999999993</v>
      </c>
      <c r="J35" s="33">
        <f t="shared" si="5"/>
        <v>11129</v>
      </c>
      <c r="K35" s="33">
        <f t="shared" si="5"/>
        <v>10504</v>
      </c>
      <c r="L35" s="33">
        <f t="shared" si="5"/>
        <v>13109.900000000001</v>
      </c>
      <c r="M35" s="33">
        <f t="shared" si="5"/>
        <v>14592.5</v>
      </c>
      <c r="N35" s="33">
        <f t="shared" si="5"/>
        <v>15920.3</v>
      </c>
      <c r="O35" s="34">
        <f t="shared" si="5"/>
        <v>16222</v>
      </c>
      <c r="P35" s="40"/>
    </row>
    <row r="36" spans="2:36" x14ac:dyDescent="0.25">
      <c r="B36" t="s">
        <v>63</v>
      </c>
      <c r="C36" s="28">
        <v>1985.1</v>
      </c>
      <c r="D36" s="28">
        <v>2356.5</v>
      </c>
      <c r="E36" s="28">
        <v>2409.1</v>
      </c>
      <c r="F36" s="28">
        <v>2562.6999999999998</v>
      </c>
      <c r="G36" s="28">
        <v>2522.8000000000002</v>
      </c>
      <c r="H36" s="28">
        <v>2711.2</v>
      </c>
      <c r="I36" s="28">
        <v>2734.1</v>
      </c>
      <c r="J36" s="28">
        <v>3022.5</v>
      </c>
      <c r="K36" s="28">
        <v>2734</v>
      </c>
      <c r="L36" s="28">
        <v>3336.1</v>
      </c>
      <c r="M36" s="28">
        <v>3465.7</v>
      </c>
      <c r="N36" s="28">
        <v>3801.5</v>
      </c>
      <c r="O36" s="29">
        <v>3510</v>
      </c>
      <c r="P36" s="35"/>
    </row>
    <row r="37" spans="2:36" ht="15.75" customHeight="1" x14ac:dyDescent="0.25">
      <c r="B37" t="s">
        <v>64</v>
      </c>
      <c r="C37" s="28">
        <v>1749.2</v>
      </c>
      <c r="D37" s="28">
        <v>1925.4</v>
      </c>
      <c r="E37" s="28">
        <v>1803.9</v>
      </c>
      <c r="F37" s="28">
        <v>1924.6</v>
      </c>
      <c r="G37" s="28">
        <v>1952.2</v>
      </c>
      <c r="H37" s="28">
        <v>2117.3000000000002</v>
      </c>
      <c r="I37" s="28">
        <v>2099.8000000000002</v>
      </c>
      <c r="J37" s="28">
        <v>2424.5</v>
      </c>
      <c r="K37" s="28">
        <v>2468</v>
      </c>
      <c r="L37" s="28">
        <v>2753</v>
      </c>
      <c r="M37" s="28">
        <v>2740.7</v>
      </c>
      <c r="N37" s="28">
        <v>3131.4</v>
      </c>
      <c r="O37" s="29">
        <v>2934</v>
      </c>
      <c r="P37" s="35"/>
    </row>
    <row r="38" spans="2:36" x14ac:dyDescent="0.25">
      <c r="B38" t="s">
        <v>65</v>
      </c>
      <c r="C38" s="28">
        <v>105</v>
      </c>
      <c r="D38" s="28">
        <v>97.1</v>
      </c>
      <c r="E38" s="28">
        <v>2975.1</v>
      </c>
      <c r="F38" s="28">
        <v>622.6</v>
      </c>
      <c r="G38" s="28">
        <v>110.5</v>
      </c>
      <c r="H38" s="28">
        <v>154.30000000000001</v>
      </c>
      <c r="I38" s="28">
        <v>2826.4</v>
      </c>
      <c r="J38" s="28">
        <v>189.2</v>
      </c>
      <c r="K38" s="28">
        <v>1572</v>
      </c>
      <c r="L38" s="28">
        <v>153</v>
      </c>
      <c r="M38" s="28">
        <v>655.7</v>
      </c>
      <c r="N38" s="28">
        <v>528.79999999999995</v>
      </c>
      <c r="O38" s="29">
        <v>584</v>
      </c>
      <c r="P38" s="35"/>
    </row>
    <row r="39" spans="2:36" x14ac:dyDescent="0.25">
      <c r="B39" t="s">
        <v>66</v>
      </c>
      <c r="C39" s="28">
        <v>0</v>
      </c>
      <c r="D39" s="28">
        <v>0</v>
      </c>
      <c r="E39" s="28">
        <v>0</v>
      </c>
      <c r="F39" s="28">
        <v>67.7</v>
      </c>
      <c r="G39" s="28">
        <v>0</v>
      </c>
      <c r="H39" s="28">
        <v>435</v>
      </c>
      <c r="I39" s="28">
        <v>81.599999999999994</v>
      </c>
      <c r="J39" s="28">
        <v>344</v>
      </c>
      <c r="K39" s="28">
        <v>35</v>
      </c>
      <c r="L39" s="28">
        <v>0</v>
      </c>
      <c r="M39" s="28">
        <v>364.9</v>
      </c>
      <c r="N39" s="28">
        <v>84.1</v>
      </c>
      <c r="O39" s="29">
        <v>279</v>
      </c>
      <c r="P39" s="35"/>
    </row>
    <row r="40" spans="2:36" x14ac:dyDescent="0.25">
      <c r="B40" t="s">
        <v>67</v>
      </c>
      <c r="C40" s="28">
        <v>-35.700000000000003</v>
      </c>
      <c r="D40" s="28">
        <v>36.799999999999997</v>
      </c>
      <c r="E40" s="28">
        <v>23.2</v>
      </c>
      <c r="F40" s="28">
        <v>121</v>
      </c>
      <c r="G40" s="28">
        <v>-27.1</v>
      </c>
      <c r="H40" s="28">
        <v>197.6</v>
      </c>
      <c r="I40" s="28">
        <v>-62</v>
      </c>
      <c r="J40" s="28">
        <v>110.2</v>
      </c>
      <c r="K40" s="28">
        <v>239</v>
      </c>
      <c r="L40" s="28">
        <v>90.6</v>
      </c>
      <c r="M40" s="28">
        <v>133.1</v>
      </c>
      <c r="N40" s="28">
        <v>108.3</v>
      </c>
      <c r="O40" s="29">
        <v>65</v>
      </c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</row>
    <row r="41" spans="2:36" x14ac:dyDescent="0.25">
      <c r="B41" t="s">
        <v>68</v>
      </c>
      <c r="C41" s="28">
        <f t="shared" ref="C41:O41" si="6">C35-(SUM(C36:C40))</f>
        <v>1529.6999999999998</v>
      </c>
      <c r="D41" s="28">
        <f t="shared" si="6"/>
        <v>2088.9000000000005</v>
      </c>
      <c r="E41" s="28">
        <f t="shared" si="6"/>
        <v>427.19999999999982</v>
      </c>
      <c r="F41" s="28">
        <f t="shared" si="6"/>
        <v>2266.8000000000002</v>
      </c>
      <c r="G41" s="28">
        <f t="shared" si="6"/>
        <v>2536.1000000000004</v>
      </c>
      <c r="H41" s="28">
        <f t="shared" si="6"/>
        <v>3517.199999999998</v>
      </c>
      <c r="I41" s="28">
        <f t="shared" si="6"/>
        <v>1588.3999999999996</v>
      </c>
      <c r="J41" s="28">
        <f t="shared" si="6"/>
        <v>5038.6000000000004</v>
      </c>
      <c r="K41" s="28">
        <f t="shared" si="6"/>
        <v>3456</v>
      </c>
      <c r="L41" s="28">
        <f t="shared" si="6"/>
        <v>6777.2000000000007</v>
      </c>
      <c r="M41" s="28">
        <f t="shared" si="6"/>
        <v>7232.4000000000005</v>
      </c>
      <c r="N41" s="28">
        <f t="shared" si="6"/>
        <v>8266.1999999999989</v>
      </c>
      <c r="O41" s="29">
        <f t="shared" si="6"/>
        <v>8850</v>
      </c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</row>
    <row r="42" spans="2:36" x14ac:dyDescent="0.25">
      <c r="B42" t="s">
        <v>69</v>
      </c>
      <c r="C42" s="28">
        <v>184.8</v>
      </c>
      <c r="D42" s="28">
        <v>325.7</v>
      </c>
      <c r="E42" s="28">
        <v>484.6</v>
      </c>
      <c r="F42" s="28">
        <v>319.10000000000002</v>
      </c>
      <c r="G42" s="28">
        <v>293.2</v>
      </c>
      <c r="H42" s="28">
        <v>550.20000000000005</v>
      </c>
      <c r="I42" s="28">
        <v>618.1</v>
      </c>
      <c r="J42" s="28">
        <v>628.9</v>
      </c>
      <c r="K42" s="28">
        <v>697</v>
      </c>
      <c r="L42" s="28">
        <v>1115.9000000000001</v>
      </c>
      <c r="M42" s="28">
        <v>1649.9</v>
      </c>
      <c r="N42" s="28">
        <v>1628.5</v>
      </c>
      <c r="O42" s="29">
        <v>1454</v>
      </c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</row>
    <row r="43" spans="2:36" x14ac:dyDescent="0.25">
      <c r="B43" s="39" t="s">
        <v>70</v>
      </c>
      <c r="C43" s="33">
        <f t="shared" ref="C43:O43" si="7">C41-C42</f>
        <v>1344.8999999999999</v>
      </c>
      <c r="D43" s="33">
        <f t="shared" si="7"/>
        <v>1763.2000000000005</v>
      </c>
      <c r="E43" s="33">
        <f t="shared" si="7"/>
        <v>-57.400000000000205</v>
      </c>
      <c r="F43" s="33">
        <f t="shared" si="7"/>
        <v>1947.7000000000003</v>
      </c>
      <c r="G43" s="33">
        <f t="shared" si="7"/>
        <v>2242.9000000000005</v>
      </c>
      <c r="H43" s="33">
        <f t="shared" si="7"/>
        <v>2966.9999999999982</v>
      </c>
      <c r="I43" s="33">
        <f t="shared" si="7"/>
        <v>970.29999999999961</v>
      </c>
      <c r="J43" s="33">
        <f t="shared" si="7"/>
        <v>4409.7000000000007</v>
      </c>
      <c r="K43" s="33">
        <f t="shared" si="7"/>
        <v>2759</v>
      </c>
      <c r="L43" s="33">
        <f t="shared" si="7"/>
        <v>5661.3000000000011</v>
      </c>
      <c r="M43" s="33">
        <f t="shared" si="7"/>
        <v>5582.5</v>
      </c>
      <c r="N43" s="33">
        <f t="shared" si="7"/>
        <v>6637.6999999999989</v>
      </c>
      <c r="O43" s="34">
        <f t="shared" si="7"/>
        <v>7396</v>
      </c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</row>
    <row r="44" spans="2:36" x14ac:dyDescent="0.25">
      <c r="B44" t="s">
        <v>71</v>
      </c>
      <c r="C44" s="13">
        <f t="shared" ref="C44:O44" si="8">C43/C45</f>
        <v>1.4888741281966122</v>
      </c>
      <c r="D44" s="13">
        <f t="shared" si="8"/>
        <v>1.9526024363233672</v>
      </c>
      <c r="E44" s="13">
        <f t="shared" si="8"/>
        <v>-6.3791953767504114E-2</v>
      </c>
      <c r="F44" s="13">
        <f t="shared" si="8"/>
        <v>2.1617092119866816</v>
      </c>
      <c r="G44" s="13">
        <f t="shared" si="8"/>
        <v>2.4816331046691755</v>
      </c>
      <c r="H44" s="13">
        <f t="shared" si="8"/>
        <v>3.2813536828135348</v>
      </c>
      <c r="I44" s="13">
        <f t="shared" si="8"/>
        <v>1.0721546961325963</v>
      </c>
      <c r="J44" s="13">
        <f t="shared" si="8"/>
        <v>4.8779867256637175</v>
      </c>
      <c r="K44" s="13">
        <f t="shared" si="8"/>
        <v>3.0635132134132799</v>
      </c>
      <c r="L44" s="13">
        <f t="shared" si="8"/>
        <v>6.2917314958879764</v>
      </c>
      <c r="M44" s="13">
        <f t="shared" si="8"/>
        <v>6.2110591900311531</v>
      </c>
      <c r="N44" s="13">
        <f t="shared" si="8"/>
        <v>7.3916481069042304</v>
      </c>
      <c r="O44" s="41">
        <f t="shared" si="8"/>
        <v>8.2553856457193877</v>
      </c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 spans="2:36" x14ac:dyDescent="0.25">
      <c r="B45" t="s">
        <v>8</v>
      </c>
      <c r="C45" s="11">
        <v>903.3</v>
      </c>
      <c r="D45" s="11">
        <v>903</v>
      </c>
      <c r="E45" s="11">
        <v>899.8</v>
      </c>
      <c r="F45" s="11">
        <v>901</v>
      </c>
      <c r="G45" s="11">
        <v>903.8</v>
      </c>
      <c r="H45" s="11">
        <v>904.2</v>
      </c>
      <c r="I45" s="11">
        <v>905</v>
      </c>
      <c r="J45" s="11">
        <v>904</v>
      </c>
      <c r="K45" s="11">
        <v>900.6</v>
      </c>
      <c r="L45" s="11">
        <v>899.8</v>
      </c>
      <c r="M45" s="11">
        <v>898.8</v>
      </c>
      <c r="N45" s="11">
        <v>898</v>
      </c>
      <c r="O45" s="42">
        <v>895.9</v>
      </c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</row>
    <row r="46" spans="2:36" x14ac:dyDescent="0.25"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41"/>
    </row>
    <row r="47" spans="2:36" x14ac:dyDescent="0.25">
      <c r="B47" s="43" t="s">
        <v>72</v>
      </c>
      <c r="C47" s="44">
        <v>0</v>
      </c>
      <c r="D47" s="44">
        <v>0</v>
      </c>
      <c r="E47" s="44">
        <v>0</v>
      </c>
      <c r="F47" s="44">
        <v>0</v>
      </c>
      <c r="G47" s="45">
        <f t="shared" ref="G47:O47" si="9">(G33-C33)/C33</f>
        <v>0.25977011494252872</v>
      </c>
      <c r="H47" s="45">
        <f t="shared" si="9"/>
        <v>0.35980077236799352</v>
      </c>
      <c r="I47" s="45">
        <f t="shared" si="9"/>
        <v>0.20429326427052408</v>
      </c>
      <c r="J47" s="45">
        <f t="shared" si="9"/>
        <v>0.44683216798169645</v>
      </c>
      <c r="K47" s="45">
        <f t="shared" si="9"/>
        <v>0.45175638686131386</v>
      </c>
      <c r="L47" s="45">
        <f t="shared" si="9"/>
        <v>0.37644654421913171</v>
      </c>
      <c r="M47" s="45">
        <f t="shared" si="9"/>
        <v>0.53865251636929468</v>
      </c>
      <c r="N47" s="45">
        <f t="shared" si="9"/>
        <v>0.42557342161267447</v>
      </c>
      <c r="O47" s="46">
        <f t="shared" si="9"/>
        <v>0.55542462094430045</v>
      </c>
      <c r="P47" s="47">
        <f>AVERAGE(G47:O47)</f>
        <v>0.402061089952162</v>
      </c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</row>
    <row r="48" spans="2:36" x14ac:dyDescent="0.25">
      <c r="B48" s="43" t="s">
        <v>73</v>
      </c>
      <c r="C48" s="45">
        <f t="shared" ref="C48:O48" si="10">C35/C33</f>
        <v>0.76627873563218396</v>
      </c>
      <c r="D48" s="45">
        <f t="shared" si="10"/>
        <v>0.78255795767615888</v>
      </c>
      <c r="E48" s="45">
        <f t="shared" si="10"/>
        <v>0.80417114101025411</v>
      </c>
      <c r="F48" s="45">
        <f t="shared" si="10"/>
        <v>0.80883956636089549</v>
      </c>
      <c r="G48" s="45">
        <f t="shared" si="10"/>
        <v>0.80913549270072993</v>
      </c>
      <c r="H48" s="45">
        <f t="shared" si="10"/>
        <v>0.80799447924408108</v>
      </c>
      <c r="I48" s="45">
        <f t="shared" si="10"/>
        <v>0.81022982577300651</v>
      </c>
      <c r="J48" s="45">
        <f t="shared" si="10"/>
        <v>0.82237231023882718</v>
      </c>
      <c r="K48" s="45">
        <f t="shared" si="10"/>
        <v>0.82520229397438916</v>
      </c>
      <c r="L48" s="45">
        <f t="shared" si="10"/>
        <v>0.8426631185843666</v>
      </c>
      <c r="M48" s="45">
        <f t="shared" si="10"/>
        <v>0.82908163265306123</v>
      </c>
      <c r="N48" s="45">
        <f t="shared" si="10"/>
        <v>0.82522807381297947</v>
      </c>
      <c r="O48" s="46">
        <f t="shared" si="10"/>
        <v>0.81933430981362698</v>
      </c>
      <c r="P48" s="47">
        <f>AVERAGE(C48:O48)</f>
        <v>0.81177607211342762</v>
      </c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2:36" x14ac:dyDescent="0.25">
      <c r="B49" s="43" t="s">
        <v>74</v>
      </c>
      <c r="C49" s="45">
        <f t="shared" ref="C49:O49" si="11">C36/C35</f>
        <v>0.37220857630360188</v>
      </c>
      <c r="D49" s="45">
        <f t="shared" si="11"/>
        <v>0.36227650775593029</v>
      </c>
      <c r="E49" s="45">
        <f t="shared" si="11"/>
        <v>0.31538914708385152</v>
      </c>
      <c r="F49" s="45">
        <f t="shared" si="11"/>
        <v>0.33873952467813995</v>
      </c>
      <c r="G49" s="45">
        <f t="shared" si="11"/>
        <v>0.3555994079921066</v>
      </c>
      <c r="H49" s="45">
        <f t="shared" si="11"/>
        <v>0.29687055165013254</v>
      </c>
      <c r="I49" s="45">
        <f t="shared" si="11"/>
        <v>0.29499476710939437</v>
      </c>
      <c r="J49" s="45">
        <f t="shared" si="11"/>
        <v>0.27158774373259054</v>
      </c>
      <c r="K49" s="45">
        <f t="shared" si="11"/>
        <v>0.26028179741051027</v>
      </c>
      <c r="L49" s="45">
        <f t="shared" si="11"/>
        <v>0.25447181137918667</v>
      </c>
      <c r="M49" s="45">
        <f t="shared" si="11"/>
        <v>0.23749871509336987</v>
      </c>
      <c r="N49" s="45">
        <f t="shared" si="11"/>
        <v>0.23878318875900581</v>
      </c>
      <c r="O49" s="46">
        <f t="shared" si="11"/>
        <v>0.21637282702502775</v>
      </c>
      <c r="P49" s="47">
        <f>O49</f>
        <v>0.21637282702502775</v>
      </c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2:36" x14ac:dyDescent="0.25">
      <c r="B50" s="43" t="s">
        <v>75</v>
      </c>
      <c r="C50" s="45">
        <f t="shared" ref="C50:O50" si="12">C37/C35</f>
        <v>0.32797704985656162</v>
      </c>
      <c r="D50" s="45">
        <f t="shared" si="12"/>
        <v>0.29600135286792623</v>
      </c>
      <c r="E50" s="45">
        <f t="shared" si="12"/>
        <v>0.23615893172743341</v>
      </c>
      <c r="F50" s="45">
        <f t="shared" si="12"/>
        <v>0.25439500885610805</v>
      </c>
      <c r="G50" s="45">
        <f t="shared" si="12"/>
        <v>0.27517090704066532</v>
      </c>
      <c r="H50" s="45">
        <f t="shared" si="12"/>
        <v>0.23183978275627976</v>
      </c>
      <c r="I50" s="45">
        <f t="shared" si="12"/>
        <v>0.22655718956011353</v>
      </c>
      <c r="J50" s="45">
        <f t="shared" si="12"/>
        <v>0.21785425465001348</v>
      </c>
      <c r="K50" s="45">
        <f t="shared" si="12"/>
        <v>0.23495811119573495</v>
      </c>
      <c r="L50" s="45">
        <f t="shared" si="12"/>
        <v>0.20999397401963399</v>
      </c>
      <c r="M50" s="45">
        <f t="shared" si="12"/>
        <v>0.18781565872879902</v>
      </c>
      <c r="N50" s="45">
        <f t="shared" si="12"/>
        <v>0.19669227338680806</v>
      </c>
      <c r="O50" s="46">
        <f t="shared" si="12"/>
        <v>0.18086549130810012</v>
      </c>
      <c r="P50" s="47">
        <f>O50</f>
        <v>0.18086549130810012</v>
      </c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2:36" x14ac:dyDescent="0.25">
      <c r="B51" s="43" t="s">
        <v>76</v>
      </c>
      <c r="C51" s="45">
        <f t="shared" ref="C51:O51" si="13">C38/C35</f>
        <v>1.9687623047644046E-2</v>
      </c>
      <c r="D51" s="45">
        <f t="shared" si="13"/>
        <v>1.4927667686442108E-2</v>
      </c>
      <c r="E51" s="45">
        <f t="shared" si="13"/>
        <v>0.38948746481639063</v>
      </c>
      <c r="F51" s="45">
        <f t="shared" si="13"/>
        <v>8.2295714701139402E-2</v>
      </c>
      <c r="G51" s="45">
        <f t="shared" si="13"/>
        <v>1.5575445767848334E-2</v>
      </c>
      <c r="H51" s="45">
        <f t="shared" si="13"/>
        <v>1.6895517158311984E-2</v>
      </c>
      <c r="I51" s="45">
        <f t="shared" si="13"/>
        <v>0.30495344345780784</v>
      </c>
      <c r="J51" s="45">
        <f t="shared" si="13"/>
        <v>1.7000628987330398E-2</v>
      </c>
      <c r="K51" s="45">
        <f t="shared" si="13"/>
        <v>0.14965727341964966</v>
      </c>
      <c r="L51" s="45">
        <f t="shared" si="13"/>
        <v>1.1670569569561933E-2</v>
      </c>
      <c r="M51" s="45">
        <f t="shared" si="13"/>
        <v>4.4934041459653934E-2</v>
      </c>
      <c r="N51" s="45">
        <f t="shared" si="13"/>
        <v>3.3215454482641654E-2</v>
      </c>
      <c r="O51" s="46">
        <f t="shared" si="13"/>
        <v>3.6000493157440513E-2</v>
      </c>
      <c r="P51" s="47">
        <f>O51</f>
        <v>3.6000493157440513E-2</v>
      </c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2:36" x14ac:dyDescent="0.25">
      <c r="B52" s="43" t="s">
        <v>77</v>
      </c>
      <c r="C52" s="45">
        <f t="shared" ref="C52:O52" si="14">C42/C41</f>
        <v>0.12080800156893511</v>
      </c>
      <c r="D52" s="45">
        <f t="shared" si="14"/>
        <v>0.15591938340753503</v>
      </c>
      <c r="E52" s="45">
        <f t="shared" si="14"/>
        <v>1.1343632958801504</v>
      </c>
      <c r="F52" s="45">
        <f t="shared" si="14"/>
        <v>0.14077113110993472</v>
      </c>
      <c r="G52" s="45">
        <f t="shared" si="14"/>
        <v>0.11561058317889671</v>
      </c>
      <c r="H52" s="45">
        <f t="shared" si="14"/>
        <v>0.15643125213237813</v>
      </c>
      <c r="I52" s="45">
        <f t="shared" si="14"/>
        <v>0.38913371946612957</v>
      </c>
      <c r="J52" s="45">
        <f t="shared" si="14"/>
        <v>0.12481641725876234</v>
      </c>
      <c r="K52" s="45">
        <f t="shared" si="14"/>
        <v>0.20167824074074073</v>
      </c>
      <c r="L52" s="45">
        <f t="shared" si="14"/>
        <v>0.16465501977217731</v>
      </c>
      <c r="M52" s="45">
        <f t="shared" si="14"/>
        <v>0.22812620983352691</v>
      </c>
      <c r="N52" s="45">
        <f t="shared" si="14"/>
        <v>0.19700708910986914</v>
      </c>
      <c r="O52" s="46">
        <f t="shared" si="14"/>
        <v>0.16429378531073446</v>
      </c>
      <c r="P52" s="47">
        <f>AVERAGE(C52:O52)</f>
        <v>0.25335493298229006</v>
      </c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5" spans="2:36" ht="16.5" customHeight="1" thickBot="1" x14ac:dyDescent="0.3">
      <c r="B55" s="22" t="s">
        <v>78</v>
      </c>
      <c r="C55" s="23" t="str">
        <f t="shared" ref="C55:K55" si="15">G4</f>
        <v>Q1'24</v>
      </c>
      <c r="D55" s="23" t="str">
        <f t="shared" si="15"/>
        <v>Q2'24</v>
      </c>
      <c r="E55" s="23" t="str">
        <f t="shared" si="15"/>
        <v>Q3'24</v>
      </c>
      <c r="F55" s="23" t="str">
        <f t="shared" si="15"/>
        <v>Q4'24</v>
      </c>
      <c r="G55" s="23" t="str">
        <f t="shared" si="15"/>
        <v>Q1'25</v>
      </c>
      <c r="H55" s="23" t="str">
        <f t="shared" si="15"/>
        <v>Q2'25</v>
      </c>
      <c r="I55" s="23" t="str">
        <f t="shared" si="15"/>
        <v>Q3'25</v>
      </c>
      <c r="J55" s="23" t="str">
        <f t="shared" si="15"/>
        <v>Q4'25</v>
      </c>
      <c r="K55" s="23" t="str">
        <f t="shared" si="15"/>
        <v>Q1'26</v>
      </c>
    </row>
    <row r="56" spans="2:36" x14ac:dyDescent="0.25">
      <c r="B56" s="48" t="str">
        <f>B5</f>
        <v>Diabetes</v>
      </c>
      <c r="C56" s="49">
        <f t="shared" ref="C56:K59" si="16">IFERROR((G5-C5)/C5,"")</f>
        <v>0.3272686821743751</v>
      </c>
      <c r="D56" s="49">
        <f t="shared" si="16"/>
        <v>0.84461552905830484</v>
      </c>
      <c r="E56" s="49">
        <f t="shared" si="16"/>
        <v>0.59057256757348775</v>
      </c>
      <c r="F56" s="49">
        <f t="shared" si="16"/>
        <v>0.6037182171166815</v>
      </c>
      <c r="G56" s="49">
        <f t="shared" si="16"/>
        <v>0.70360575132235725</v>
      </c>
      <c r="H56" s="49">
        <f t="shared" si="16"/>
        <v>0.4233470758894487</v>
      </c>
      <c r="I56" s="49">
        <f t="shared" si="16"/>
        <v>0.79737247989423821</v>
      </c>
      <c r="J56" s="49">
        <f t="shared" si="16"/>
        <v>0.62075044350474762</v>
      </c>
      <c r="K56" s="49">
        <f t="shared" si="16"/>
        <v>0.72634743631791865</v>
      </c>
    </row>
    <row r="57" spans="2:36" x14ac:dyDescent="0.25">
      <c r="B57" s="50" t="str">
        <f>B6</f>
        <v>Mounjaro</v>
      </c>
      <c r="C57" s="49">
        <f t="shared" si="16"/>
        <v>2.177660510114336</v>
      </c>
      <c r="D57" s="49">
        <f t="shared" si="16"/>
        <v>2.1548433193834851</v>
      </c>
      <c r="E57" s="49">
        <f t="shared" si="16"/>
        <v>1.2086851628468034</v>
      </c>
      <c r="F57" s="49">
        <f t="shared" si="16"/>
        <v>0.60047152702212558</v>
      </c>
      <c r="G57" s="49">
        <f t="shared" si="16"/>
        <v>1.1267644616662054</v>
      </c>
      <c r="H57" s="49">
        <f t="shared" si="16"/>
        <v>0.68205642552090051</v>
      </c>
      <c r="I57" s="49">
        <f t="shared" si="16"/>
        <v>1.0930703247984068</v>
      </c>
      <c r="J57" s="49">
        <f t="shared" si="16"/>
        <v>1.0988668555240793</v>
      </c>
      <c r="K57" s="49">
        <f t="shared" si="16"/>
        <v>1.2545549193128578</v>
      </c>
    </row>
    <row r="58" spans="2:36" x14ac:dyDescent="0.25">
      <c r="B58" s="50" t="str">
        <f>B7</f>
        <v>Zepbound</v>
      </c>
      <c r="C58" s="49" t="str">
        <f t="shared" si="16"/>
        <v/>
      </c>
      <c r="D58" s="49" t="str">
        <f t="shared" si="16"/>
        <v/>
      </c>
      <c r="E58" s="49" t="str">
        <f t="shared" si="16"/>
        <v/>
      </c>
      <c r="F58" s="49">
        <f t="shared" si="16"/>
        <v>9.8475540386803182</v>
      </c>
      <c r="G58" s="49">
        <f t="shared" si="16"/>
        <v>3.4684963277928103</v>
      </c>
      <c r="H58" s="49">
        <f t="shared" si="16"/>
        <v>1.7199163449163446</v>
      </c>
      <c r="I58" s="49">
        <f t="shared" si="16"/>
        <v>1.8525997773890921</v>
      </c>
      <c r="J58" s="49">
        <f t="shared" si="16"/>
        <v>1.2343995804929209</v>
      </c>
      <c r="K58" s="49">
        <f t="shared" si="16"/>
        <v>0.79930795847750868</v>
      </c>
      <c r="L58" s="49"/>
    </row>
    <row r="59" spans="2:36" x14ac:dyDescent="0.25">
      <c r="B59" s="50" t="str">
        <f>B8</f>
        <v>Trulicity</v>
      </c>
      <c r="C59" s="49">
        <f t="shared" si="16"/>
        <v>-0.26341611451115271</v>
      </c>
      <c r="D59" s="49">
        <f t="shared" si="16"/>
        <v>-0.3127724137931035</v>
      </c>
      <c r="E59" s="49">
        <f t="shared" si="16"/>
        <v>-0.22239483747609934</v>
      </c>
      <c r="F59" s="49">
        <f t="shared" si="16"/>
        <v>-0.2510633199544719</v>
      </c>
      <c r="G59" s="49">
        <f t="shared" si="16"/>
        <v>-0.24809448602623083</v>
      </c>
      <c r="H59" s="49">
        <f t="shared" si="16"/>
        <v>-0.12315350032113027</v>
      </c>
      <c r="I59" s="49">
        <f t="shared" si="16"/>
        <v>-0.19179345320424168</v>
      </c>
      <c r="J59" s="49">
        <f t="shared" si="16"/>
        <v>-0.17053271476563753</v>
      </c>
      <c r="K59" s="49">
        <f t="shared" si="16"/>
        <v>-0.16073059360730593</v>
      </c>
      <c r="L59" s="49"/>
    </row>
    <row r="60" spans="2:36" x14ac:dyDescent="0.25">
      <c r="B60" s="31" t="s">
        <v>13</v>
      </c>
      <c r="C60" s="49"/>
      <c r="D60" s="49"/>
      <c r="E60" s="49"/>
      <c r="F60" s="49"/>
      <c r="G60" s="49"/>
      <c r="H60" s="49"/>
      <c r="I60" s="49"/>
      <c r="J60" s="49"/>
      <c r="K60" s="49"/>
      <c r="L60" s="49"/>
    </row>
    <row r="61" spans="2:36" x14ac:dyDescent="0.25">
      <c r="B61" s="31" t="s">
        <v>16</v>
      </c>
      <c r="C61" s="49"/>
      <c r="D61" s="49"/>
      <c r="E61" s="49"/>
      <c r="F61" s="49"/>
      <c r="G61" s="49"/>
      <c r="H61" s="49"/>
      <c r="I61" s="49"/>
      <c r="J61" s="49"/>
      <c r="K61" s="49"/>
      <c r="L61" s="49"/>
    </row>
    <row r="62" spans="2:36" x14ac:dyDescent="0.25">
      <c r="B62" s="50" t="str">
        <f t="shared" ref="B62:B82" si="17">B11</f>
        <v>Basaglar</v>
      </c>
      <c r="C62" s="49">
        <f t="shared" ref="C62:C82" si="18">IFERROR((G11-C11)/C11,"")</f>
        <v>-0.24701385570950796</v>
      </c>
      <c r="D62" s="49">
        <f t="shared" ref="D62:D82" si="19">IFERROR((H11-D11)/D11,"")</f>
        <v>0.17250324254215321</v>
      </c>
      <c r="E62" s="49">
        <f t="shared" ref="E62:E82" si="20">IFERROR((I11-E11)/E11,"")</f>
        <v>-0.1002227171492205</v>
      </c>
      <c r="F62" s="49">
        <f t="shared" ref="F62:F82" si="21">IFERROR((J11-F11)/F11,"")</f>
        <v>-4.4816414686824672E-2</v>
      </c>
      <c r="G62" s="49">
        <f t="shared" ref="G62:G82" si="22">IFERROR((K11-G11)/G11,"")</f>
        <v>0.10152284263959391</v>
      </c>
      <c r="H62" s="49">
        <f t="shared" ref="H62:H82" si="23">IFERROR((L11-H11)/H11,"")</f>
        <v>-0.19800884955752218</v>
      </c>
      <c r="I62" s="49">
        <f t="shared" ref="I62:I82" si="24">IFERROR((M11-I11)/I11,"")</f>
        <v>3.712871287128678E-3</v>
      </c>
      <c r="J62" s="49">
        <f t="shared" ref="J62:J82" si="25">IFERROR((N11-J11)/J11,"")</f>
        <v>0</v>
      </c>
      <c r="K62" s="49">
        <f t="shared" ref="K62:K82" si="26">IFERROR((O11-K11)/K11,"")</f>
        <v>-5.7603686635944701E-2</v>
      </c>
      <c r="L62" s="49"/>
    </row>
    <row r="63" spans="2:36" x14ac:dyDescent="0.25">
      <c r="B63" s="50" t="str">
        <f t="shared" si="17"/>
        <v>Humalog</v>
      </c>
      <c r="C63" s="49">
        <f t="shared" si="18"/>
        <v>0.16880017357344343</v>
      </c>
      <c r="D63" s="49">
        <f t="shared" si="19"/>
        <v>0.43415077202543156</v>
      </c>
      <c r="E63" s="49">
        <f t="shared" si="20"/>
        <v>0.3520485584218514</v>
      </c>
      <c r="F63" s="49">
        <f t="shared" si="21"/>
        <v>0.69094380796508437</v>
      </c>
      <c r="G63" s="49">
        <f t="shared" si="22"/>
        <v>-2.7844811583441617E-3</v>
      </c>
      <c r="H63" s="49">
        <f t="shared" si="23"/>
        <v>-0.20345155161494616</v>
      </c>
      <c r="I63" s="49">
        <f t="shared" si="24"/>
        <v>0.12065095398428731</v>
      </c>
      <c r="J63" s="49">
        <f t="shared" si="25"/>
        <v>-4.1619616067107526E-2</v>
      </c>
      <c r="K63" s="49">
        <f t="shared" si="26"/>
        <v>0.13384214445271775</v>
      </c>
      <c r="L63" s="49"/>
    </row>
    <row r="64" spans="2:36" x14ac:dyDescent="0.25">
      <c r="B64" s="50" t="str">
        <f t="shared" si="17"/>
        <v xml:space="preserve">Humulin </v>
      </c>
      <c r="C64" s="49">
        <f t="shared" si="18"/>
        <v>-0.18174603174603179</v>
      </c>
      <c r="D64" s="49">
        <f t="shared" si="19"/>
        <v>8.9137847053092953E-2</v>
      </c>
      <c r="E64" s="49">
        <f t="shared" si="20"/>
        <v>1.9351717464925289E-3</v>
      </c>
      <c r="F64" s="49">
        <f t="shared" si="21"/>
        <v>0.49016480595427908</v>
      </c>
      <c r="G64" s="49">
        <f t="shared" si="22"/>
        <v>-0.16003879728419013</v>
      </c>
      <c r="H64" s="49">
        <f t="shared" si="23"/>
        <v>-0.21645796064400719</v>
      </c>
      <c r="I64" s="49">
        <f t="shared" si="24"/>
        <v>-0.147271849348141</v>
      </c>
      <c r="J64" s="49">
        <f t="shared" si="25"/>
        <v>0</v>
      </c>
      <c r="K64" s="49">
        <f t="shared" si="26"/>
        <v>-5.7736720554272522E-2</v>
      </c>
      <c r="L64" s="49"/>
    </row>
    <row r="65" spans="2:12" x14ac:dyDescent="0.25">
      <c r="B65" s="50" t="str">
        <f t="shared" si="17"/>
        <v>Jardiance</v>
      </c>
      <c r="C65" s="49">
        <f t="shared" si="18"/>
        <v>0.18874458874458874</v>
      </c>
      <c r="D65" s="49">
        <f t="shared" si="19"/>
        <v>0.86024240610504288</v>
      </c>
      <c r="E65" s="49">
        <f t="shared" si="20"/>
        <v>-2.054794520547942E-2</v>
      </c>
      <c r="F65" s="49">
        <f t="shared" si="21"/>
        <v>0.50156621977195848</v>
      </c>
      <c r="G65" s="49">
        <f t="shared" si="22"/>
        <v>0.4770575382374363</v>
      </c>
      <c r="H65" s="49">
        <f t="shared" si="23"/>
        <v>-0.44498069498069498</v>
      </c>
      <c r="I65" s="49">
        <f t="shared" si="24"/>
        <v>0.39714452214452217</v>
      </c>
      <c r="J65" s="49">
        <f t="shared" si="25"/>
        <v>-0.35914552736982647</v>
      </c>
      <c r="K65" s="49">
        <f t="shared" si="26"/>
        <v>9.8619329388560162E-2</v>
      </c>
      <c r="L65" s="49"/>
    </row>
    <row r="66" spans="2:12" x14ac:dyDescent="0.25">
      <c r="B66" s="48" t="str">
        <f t="shared" si="17"/>
        <v xml:space="preserve">Oncology </v>
      </c>
      <c r="C66" s="49">
        <f t="shared" si="18"/>
        <v>0.35016260162601603</v>
      </c>
      <c r="D66" s="49">
        <f t="shared" si="19"/>
        <v>0.34544975635453734</v>
      </c>
      <c r="E66" s="49">
        <f t="shared" si="20"/>
        <v>0.31684098453059428</v>
      </c>
      <c r="F66" s="49">
        <f t="shared" si="21"/>
        <v>0.34097454210344419</v>
      </c>
      <c r="G66" s="49">
        <f t="shared" si="22"/>
        <v>0.11597519118444037</v>
      </c>
      <c r="H66" s="49">
        <f t="shared" si="23"/>
        <v>0.13429913860610809</v>
      </c>
      <c r="I66" s="49">
        <f t="shared" si="24"/>
        <v>0.10624940549795496</v>
      </c>
      <c r="J66" s="49">
        <f t="shared" si="25"/>
        <v>6.0261145949660762E-2</v>
      </c>
      <c r="K66" s="49">
        <f t="shared" si="26"/>
        <v>0.22397884854044131</v>
      </c>
      <c r="L66" s="49"/>
    </row>
    <row r="67" spans="2:12" x14ac:dyDescent="0.25">
      <c r="B67" s="50" t="str">
        <f t="shared" si="17"/>
        <v>Verzenio</v>
      </c>
      <c r="C67" s="49">
        <f t="shared" si="18"/>
        <v>0.39872153415900918</v>
      </c>
      <c r="D67" s="49">
        <f t="shared" si="19"/>
        <v>0.43709538195943048</v>
      </c>
      <c r="E67" s="49">
        <f t="shared" si="20"/>
        <v>0.31638146510286475</v>
      </c>
      <c r="F67" s="49">
        <f t="shared" si="21"/>
        <v>0.35760433036493788</v>
      </c>
      <c r="G67" s="49">
        <f t="shared" si="22"/>
        <v>0.10339902884890045</v>
      </c>
      <c r="H67" s="49">
        <f t="shared" si="23"/>
        <v>0.11817704031834211</v>
      </c>
      <c r="I67" s="49">
        <f t="shared" si="24"/>
        <v>7.3687285474330025E-2</v>
      </c>
      <c r="J67" s="49">
        <f t="shared" si="25"/>
        <v>3.1511254019292605E-2</v>
      </c>
      <c r="K67" s="49">
        <f t="shared" si="26"/>
        <v>0.12347916127362145</v>
      </c>
      <c r="L67" s="49"/>
    </row>
    <row r="68" spans="2:12" x14ac:dyDescent="0.25">
      <c r="B68" s="50" t="str">
        <f t="shared" si="17"/>
        <v>Cyramza</v>
      </c>
      <c r="C68" s="49">
        <f t="shared" si="18"/>
        <v>-2.9138513513513535E-2</v>
      </c>
      <c r="D68" s="49">
        <f t="shared" si="19"/>
        <v>-4.3795620437956227E-2</v>
      </c>
      <c r="E68" s="49">
        <f t="shared" si="20"/>
        <v>5.3101294065149511E-2</v>
      </c>
      <c r="F68" s="49">
        <f t="shared" si="21"/>
        <v>1.9716088328075823E-2</v>
      </c>
      <c r="G68" s="49">
        <f t="shared" si="22"/>
        <v>-2.1748586341887775E-2</v>
      </c>
      <c r="H68" s="49">
        <f t="shared" si="23"/>
        <v>1.9284853354760878E-2</v>
      </c>
      <c r="I68" s="49">
        <f t="shared" si="24"/>
        <v>4.025423728813559E-2</v>
      </c>
      <c r="J68" s="49">
        <f t="shared" si="25"/>
        <v>0</v>
      </c>
      <c r="K68" s="49">
        <f t="shared" si="26"/>
        <v>0.15117830146731867</v>
      </c>
      <c r="L68" s="49"/>
    </row>
    <row r="69" spans="2:12" x14ac:dyDescent="0.25">
      <c r="B69" s="50" t="str">
        <f t="shared" si="17"/>
        <v>Erbitux</v>
      </c>
      <c r="C69" s="49">
        <f t="shared" si="18"/>
        <v>0.11316397228637404</v>
      </c>
      <c r="D69" s="49">
        <f t="shared" si="19"/>
        <v>-4.1230769230769161E-2</v>
      </c>
      <c r="E69" s="49">
        <f t="shared" si="20"/>
        <v>-1.2345679012345715E-2</v>
      </c>
      <c r="F69" s="49">
        <f t="shared" si="21"/>
        <v>0.16511318242343528</v>
      </c>
      <c r="G69" s="49">
        <f t="shared" si="22"/>
        <v>3.0428769017980677E-2</v>
      </c>
      <c r="H69" s="49">
        <f t="shared" si="23"/>
        <v>0.17907573812580216</v>
      </c>
      <c r="I69" s="49">
        <f t="shared" si="24"/>
        <v>0.30657894736842101</v>
      </c>
      <c r="J69" s="49">
        <f t="shared" si="25"/>
        <v>0</v>
      </c>
      <c r="K69" s="49">
        <f t="shared" si="26"/>
        <v>0.22818791946308725</v>
      </c>
      <c r="L69" s="49"/>
    </row>
    <row r="70" spans="2:12" x14ac:dyDescent="0.25">
      <c r="B70" s="50" t="str">
        <f t="shared" si="17"/>
        <v>Retevmo</v>
      </c>
      <c r="C70" s="49">
        <f t="shared" si="18"/>
        <v>0.34630350194552539</v>
      </c>
      <c r="D70" s="49">
        <f t="shared" si="19"/>
        <v>0.39449541284403661</v>
      </c>
      <c r="E70" s="49">
        <f t="shared" si="20"/>
        <v>0.79810725552050477</v>
      </c>
      <c r="F70" s="49">
        <f t="shared" si="21"/>
        <v>0.22615803814713886</v>
      </c>
      <c r="G70" s="49">
        <f t="shared" si="22"/>
        <v>0.31502890173410397</v>
      </c>
      <c r="H70" s="49">
        <f t="shared" si="23"/>
        <v>0.37390350877192974</v>
      </c>
      <c r="I70" s="49">
        <f t="shared" si="24"/>
        <v>-1.7543859649122806E-2</v>
      </c>
      <c r="J70" s="49">
        <f t="shared" si="25"/>
        <v>0.3</v>
      </c>
      <c r="K70" s="49">
        <f t="shared" si="26"/>
        <v>0.65934065934065933</v>
      </c>
      <c r="L70" s="49"/>
    </row>
    <row r="71" spans="2:12" x14ac:dyDescent="0.25">
      <c r="B71" s="50" t="str">
        <f t="shared" si="17"/>
        <v>Tyvyt</v>
      </c>
      <c r="C71" s="49">
        <f t="shared" si="18"/>
        <v>0.91311475409836074</v>
      </c>
      <c r="D71" s="49">
        <f t="shared" si="19"/>
        <v>0.18725868725868733</v>
      </c>
      <c r="E71" s="49">
        <f t="shared" si="20"/>
        <v>0.30495221546481316</v>
      </c>
      <c r="F71" s="49">
        <f t="shared" si="21"/>
        <v>0.19718309859154937</v>
      </c>
      <c r="G71" s="49">
        <f t="shared" si="22"/>
        <v>0.17823479005998283</v>
      </c>
      <c r="H71" s="49">
        <f t="shared" si="23"/>
        <v>0.11626016260162611</v>
      </c>
      <c r="I71" s="49">
        <f t="shared" si="24"/>
        <v>-5.592543275632475E-2</v>
      </c>
      <c r="J71" s="49">
        <f t="shared" si="25"/>
        <v>0</v>
      </c>
      <c r="K71" s="49">
        <f t="shared" si="26"/>
        <v>0.26181818181818184</v>
      </c>
      <c r="L71" s="49"/>
    </row>
    <row r="72" spans="2:12" x14ac:dyDescent="0.25">
      <c r="B72" s="50" t="str">
        <f t="shared" si="17"/>
        <v>Jaypirca</v>
      </c>
      <c r="C72" s="49" t="str">
        <f t="shared" si="18"/>
        <v/>
      </c>
      <c r="D72" s="49" t="str">
        <f t="shared" si="19"/>
        <v/>
      </c>
      <c r="E72" s="49" t="str">
        <f t="shared" si="20"/>
        <v/>
      </c>
      <c r="F72" s="49" t="str">
        <f t="shared" si="21"/>
        <v/>
      </c>
      <c r="G72" s="49">
        <f t="shared" si="22"/>
        <v>0.84</v>
      </c>
      <c r="H72" s="49">
        <f t="shared" si="23"/>
        <v>0.33441558441558428</v>
      </c>
      <c r="I72" s="49">
        <f t="shared" si="24"/>
        <v>0.76202219482120859</v>
      </c>
      <c r="J72" s="49">
        <f t="shared" si="25"/>
        <v>0.34595070422535223</v>
      </c>
      <c r="K72" s="49">
        <f t="shared" si="26"/>
        <v>0.79347826086956519</v>
      </c>
      <c r="L72" s="49"/>
    </row>
    <row r="73" spans="2:12" x14ac:dyDescent="0.25">
      <c r="B73" s="50" t="str">
        <f t="shared" si="17"/>
        <v>Inluriyo</v>
      </c>
      <c r="C73" s="49" t="str">
        <f t="shared" si="18"/>
        <v/>
      </c>
      <c r="D73" s="49" t="str">
        <f t="shared" si="19"/>
        <v/>
      </c>
      <c r="E73" s="49" t="str">
        <f t="shared" si="20"/>
        <v/>
      </c>
      <c r="F73" s="49" t="str">
        <f t="shared" si="21"/>
        <v/>
      </c>
      <c r="G73" s="49" t="str">
        <f t="shared" si="22"/>
        <v/>
      </c>
      <c r="H73" s="49" t="str">
        <f t="shared" si="23"/>
        <v/>
      </c>
      <c r="I73" s="49" t="str">
        <f t="shared" si="24"/>
        <v/>
      </c>
      <c r="J73" s="49" t="str">
        <f t="shared" si="25"/>
        <v/>
      </c>
      <c r="K73" s="49" t="str">
        <f t="shared" si="26"/>
        <v/>
      </c>
      <c r="L73" s="49"/>
    </row>
    <row r="74" spans="2:12" x14ac:dyDescent="0.25">
      <c r="B74" s="48" t="str">
        <f t="shared" si="17"/>
        <v>Immunology</v>
      </c>
      <c r="C74" s="49">
        <f t="shared" si="18"/>
        <v>0.10332054504564099</v>
      </c>
      <c r="D74" s="49">
        <f t="shared" si="19"/>
        <v>0.17284351972258369</v>
      </c>
      <c r="E74" s="49">
        <f t="shared" si="20"/>
        <v>0.21545715457154563</v>
      </c>
      <c r="F74" s="49">
        <f t="shared" si="21"/>
        <v>0.25561715786402123</v>
      </c>
      <c r="G74" s="49">
        <f t="shared" si="22"/>
        <v>0.30467625899280565</v>
      </c>
      <c r="H74" s="49">
        <f t="shared" si="23"/>
        <v>0.16012196248729529</v>
      </c>
      <c r="I74" s="49">
        <f t="shared" si="24"/>
        <v>0.14892899308483737</v>
      </c>
      <c r="J74" s="49">
        <f t="shared" si="25"/>
        <v>0.18948020760709575</v>
      </c>
      <c r="K74" s="49">
        <f t="shared" si="26"/>
        <v>0.10532120209539578</v>
      </c>
      <c r="L74" s="49"/>
    </row>
    <row r="75" spans="2:12" x14ac:dyDescent="0.25">
      <c r="B75" s="50" t="str">
        <f t="shared" si="17"/>
        <v>Ebglyss</v>
      </c>
      <c r="C75" s="49" t="str">
        <f t="shared" si="18"/>
        <v/>
      </c>
      <c r="D75" s="49" t="str">
        <f t="shared" si="19"/>
        <v/>
      </c>
      <c r="E75" s="49" t="str">
        <f t="shared" si="20"/>
        <v/>
      </c>
      <c r="F75" s="49" t="str">
        <f t="shared" si="21"/>
        <v/>
      </c>
      <c r="G75" s="49">
        <f t="shared" si="22"/>
        <v>18.419354838709676</v>
      </c>
      <c r="H75" s="49">
        <f t="shared" si="23"/>
        <v>19.186046511627907</v>
      </c>
      <c r="I75" s="49">
        <f t="shared" si="24"/>
        <v>7.5302013422818783</v>
      </c>
      <c r="J75" s="49">
        <f t="shared" si="25"/>
        <v>5.4754901960784315</v>
      </c>
      <c r="K75" s="49">
        <f t="shared" si="26"/>
        <v>1.4086378737541527</v>
      </c>
      <c r="L75" s="49"/>
    </row>
    <row r="76" spans="2:12" x14ac:dyDescent="0.25">
      <c r="B76" s="50" t="str">
        <f t="shared" si="17"/>
        <v>Olumiant</v>
      </c>
      <c r="C76" s="49">
        <f t="shared" si="18"/>
        <v>-5.024027959807776E-2</v>
      </c>
      <c r="D76" s="49">
        <f t="shared" si="19"/>
        <v>4.0201005025125552E-2</v>
      </c>
      <c r="E76" s="49">
        <f t="shared" si="20"/>
        <v>8.3837510803802959E-2</v>
      </c>
      <c r="F76" s="49">
        <f t="shared" si="21"/>
        <v>7.4332648870636647E-2</v>
      </c>
      <c r="G76" s="49">
        <f t="shared" si="22"/>
        <v>5.1977920883164594E-2</v>
      </c>
      <c r="H76" s="49">
        <f t="shared" si="23"/>
        <v>8.2125603864734373E-2</v>
      </c>
      <c r="I76" s="49">
        <f t="shared" si="24"/>
        <v>7.2169059011164133E-2</v>
      </c>
      <c r="J76" s="49">
        <f t="shared" si="25"/>
        <v>0</v>
      </c>
      <c r="K76" s="49">
        <f t="shared" si="26"/>
        <v>6.9960647135986015E-2</v>
      </c>
      <c r="L76" s="49"/>
    </row>
    <row r="77" spans="2:12" x14ac:dyDescent="0.25">
      <c r="B77" s="50" t="str">
        <f t="shared" si="17"/>
        <v>Omvoh</v>
      </c>
      <c r="C77" s="49" t="str">
        <f t="shared" si="18"/>
        <v/>
      </c>
      <c r="D77" s="49" t="str">
        <f t="shared" si="19"/>
        <v/>
      </c>
      <c r="E77" s="49" t="str">
        <f t="shared" si="20"/>
        <v/>
      </c>
      <c r="F77" s="49" t="str">
        <f t="shared" si="21"/>
        <v/>
      </c>
      <c r="G77" s="49">
        <f t="shared" si="22"/>
        <v>2.9574468085106385</v>
      </c>
      <c r="H77" s="49">
        <f t="shared" si="23"/>
        <v>1.9218749999999998</v>
      </c>
      <c r="I77" s="49">
        <f t="shared" si="24"/>
        <v>0.6024691358024693</v>
      </c>
      <c r="J77" s="49">
        <f t="shared" si="25"/>
        <v>0.57996485061511438</v>
      </c>
      <c r="K77" s="49">
        <f t="shared" si="26"/>
        <v>1.150537634408602</v>
      </c>
      <c r="L77" s="49"/>
    </row>
    <row r="78" spans="2:12" x14ac:dyDescent="0.25">
      <c r="B78" s="50" t="str">
        <f t="shared" si="17"/>
        <v>Taltz</v>
      </c>
      <c r="C78" s="49">
        <f t="shared" si="18"/>
        <v>0.14629981024667937</v>
      </c>
      <c r="D78" s="49">
        <f t="shared" si="19"/>
        <v>0.17161528626225325</v>
      </c>
      <c r="E78" s="49">
        <f t="shared" si="20"/>
        <v>0.18194033861865086</v>
      </c>
      <c r="F78" s="49">
        <f t="shared" si="21"/>
        <v>0.21335712464950291</v>
      </c>
      <c r="G78" s="49">
        <f t="shared" si="22"/>
        <v>0.26138056613143512</v>
      </c>
      <c r="H78" s="49">
        <f t="shared" si="23"/>
        <v>2.7767673093246001E-2</v>
      </c>
      <c r="I78" s="49">
        <f t="shared" si="24"/>
        <v>2.4897680763983604E-2</v>
      </c>
      <c r="J78" s="49">
        <f t="shared" si="25"/>
        <v>0.10493697478991607</v>
      </c>
      <c r="K78" s="49">
        <f t="shared" si="26"/>
        <v>-3.805774278215223E-2</v>
      </c>
      <c r="L78" s="49"/>
    </row>
    <row r="79" spans="2:12" x14ac:dyDescent="0.25">
      <c r="B79" s="48" t="str">
        <f t="shared" si="17"/>
        <v xml:space="preserve">Neuroscience </v>
      </c>
      <c r="C79" s="49">
        <f t="shared" si="18"/>
        <v>0.46273493195074511</v>
      </c>
      <c r="D79" s="49">
        <f t="shared" si="19"/>
        <v>0.13408151210868274</v>
      </c>
      <c r="E79" s="49">
        <f t="shared" si="20"/>
        <v>0.21246290801186951</v>
      </c>
      <c r="F79" s="49">
        <f t="shared" si="21"/>
        <v>0.38473938742611496</v>
      </c>
      <c r="G79" s="49">
        <f t="shared" si="22"/>
        <v>-0.35268054940186089</v>
      </c>
      <c r="H79" s="49">
        <f t="shared" si="23"/>
        <v>0.30052083333333329</v>
      </c>
      <c r="I79" s="49">
        <f t="shared" si="24"/>
        <v>0.20460107684777279</v>
      </c>
      <c r="J79" s="49">
        <f t="shared" si="25"/>
        <v>0.43647652308886331</v>
      </c>
      <c r="K79" s="49">
        <f t="shared" si="26"/>
        <v>0.78685831622176605</v>
      </c>
      <c r="L79" s="49"/>
    </row>
    <row r="80" spans="2:12" x14ac:dyDescent="0.25">
      <c r="B80" s="50" t="str">
        <f t="shared" si="17"/>
        <v>Emgality</v>
      </c>
      <c r="C80" s="49">
        <f t="shared" si="18"/>
        <v>0.46273493195074511</v>
      </c>
      <c r="D80" s="49">
        <f t="shared" si="19"/>
        <v>0.13408151210868274</v>
      </c>
      <c r="E80" s="49">
        <f t="shared" si="20"/>
        <v>0.20415430267062318</v>
      </c>
      <c r="F80" s="49">
        <f t="shared" si="21"/>
        <v>0.34228909188608286</v>
      </c>
      <c r="G80" s="49">
        <f t="shared" si="22"/>
        <v>-0.44793974302171025</v>
      </c>
      <c r="H80" s="49">
        <f t="shared" si="23"/>
        <v>4.7395833333333304E-2</v>
      </c>
      <c r="I80" s="49">
        <f t="shared" si="24"/>
        <v>-0.13405618531296212</v>
      </c>
      <c r="J80" s="49">
        <f t="shared" si="25"/>
        <v>0.10000000000000007</v>
      </c>
      <c r="K80" s="49">
        <f t="shared" si="26"/>
        <v>0.10000000000000007</v>
      </c>
      <c r="L80" s="49"/>
    </row>
    <row r="81" spans="2:16" x14ac:dyDescent="0.25">
      <c r="B81" s="50" t="str">
        <f t="shared" si="17"/>
        <v>Kisunla</v>
      </c>
      <c r="C81" s="49" t="str">
        <f t="shared" si="18"/>
        <v/>
      </c>
      <c r="D81" s="49" t="str">
        <f t="shared" si="19"/>
        <v/>
      </c>
      <c r="E81" s="49" t="str">
        <f t="shared" si="20"/>
        <v/>
      </c>
      <c r="F81" s="49" t="str">
        <f t="shared" si="21"/>
        <v/>
      </c>
      <c r="G81" s="49" t="str">
        <f t="shared" si="22"/>
        <v/>
      </c>
      <c r="H81" s="49" t="str">
        <f t="shared" si="23"/>
        <v/>
      </c>
      <c r="I81" s="49">
        <f t="shared" si="24"/>
        <v>49.285714285714292</v>
      </c>
      <c r="J81" s="49">
        <f t="shared" si="25"/>
        <v>11.075949367088606</v>
      </c>
      <c r="K81" s="49">
        <f t="shared" si="26"/>
        <v>4.7674418604651159</v>
      </c>
      <c r="L81" s="49"/>
    </row>
    <row r="82" spans="2:16" x14ac:dyDescent="0.25">
      <c r="B82" s="48" t="str">
        <f t="shared" si="17"/>
        <v>Other / Misc</v>
      </c>
      <c r="C82" s="49">
        <f t="shared" si="18"/>
        <v>-0.12408005164622267</v>
      </c>
      <c r="D82" s="49">
        <f t="shared" si="19"/>
        <v>-0.91221374045801784</v>
      </c>
      <c r="E82" s="49">
        <f t="shared" si="20"/>
        <v>-0.68764823937237685</v>
      </c>
      <c r="F82" s="49">
        <f t="shared" si="21"/>
        <v>-0.14859388431781689</v>
      </c>
      <c r="G82" s="49">
        <f t="shared" si="22"/>
        <v>-0.27107900943396285</v>
      </c>
      <c r="H82" s="49">
        <f t="shared" si="23"/>
        <v>3.3399209486167112</v>
      </c>
      <c r="I82" s="49">
        <f t="shared" si="24"/>
        <v>-0.10265771028037526</v>
      </c>
      <c r="J82" s="49">
        <f t="shared" si="25"/>
        <v>-0.43528054233376628</v>
      </c>
      <c r="K82" s="49">
        <f t="shared" si="26"/>
        <v>-0.44198179979778551</v>
      </c>
      <c r="L82" s="49"/>
    </row>
    <row r="85" spans="2:16" ht="16.5" customHeight="1" thickBot="1" x14ac:dyDescent="0.3">
      <c r="B85" s="22" t="s">
        <v>79</v>
      </c>
      <c r="C85" s="23" t="s">
        <v>80</v>
      </c>
      <c r="D85" s="23" t="s">
        <v>81</v>
      </c>
      <c r="E85" s="24" t="s">
        <v>82</v>
      </c>
      <c r="F85" s="23" t="s">
        <v>83</v>
      </c>
      <c r="G85" s="23" t="s">
        <v>84</v>
      </c>
      <c r="H85" s="23" t="s">
        <v>85</v>
      </c>
      <c r="I85" s="23" t="s">
        <v>86</v>
      </c>
      <c r="J85" s="23" t="s">
        <v>87</v>
      </c>
      <c r="K85" s="23" t="s">
        <v>88</v>
      </c>
      <c r="L85" s="23" t="s">
        <v>291</v>
      </c>
      <c r="M85" s="23" t="s">
        <v>292</v>
      </c>
      <c r="N85" s="23" t="s">
        <v>293</v>
      </c>
      <c r="O85" s="23" t="s">
        <v>294</v>
      </c>
      <c r="P85" s="23" t="s">
        <v>295</v>
      </c>
    </row>
    <row r="86" spans="2:16" ht="15" customHeight="1" x14ac:dyDescent="0.25">
      <c r="B86" s="25" t="s">
        <v>54</v>
      </c>
      <c r="C86" s="51">
        <f t="shared" ref="C86:C112" si="27">SUM(C5:F5)</f>
        <v>18459.800000000003</v>
      </c>
      <c r="D86" s="51">
        <f t="shared" ref="D86:D112" si="28">SUM(G5:J5)</f>
        <v>29452.299999999996</v>
      </c>
      <c r="E86" s="52">
        <f t="shared" ref="E86:E112" si="29">SUM(K5:N5)</f>
        <v>47910.900000000009</v>
      </c>
      <c r="F86" s="51">
        <f t="shared" ref="F86:P86" si="30">SUM(F87:F95)</f>
        <v>62644.829999999994</v>
      </c>
      <c r="G86" s="51">
        <f t="shared" si="30"/>
        <v>79223.729999999981</v>
      </c>
      <c r="H86" s="51">
        <f t="shared" si="30"/>
        <v>91107.186050000004</v>
      </c>
      <c r="I86" s="51">
        <f t="shared" si="30"/>
        <v>103324.4097225</v>
      </c>
      <c r="J86" s="51">
        <f t="shared" si="30"/>
        <v>103506.52734827501</v>
      </c>
      <c r="K86" s="51">
        <f t="shared" si="30"/>
        <v>106974.84204704325</v>
      </c>
      <c r="L86" s="51">
        <f t="shared" si="30"/>
        <v>111206.39867689701</v>
      </c>
      <c r="M86" s="51">
        <f t="shared" si="30"/>
        <v>115513.6775729377</v>
      </c>
      <c r="N86" s="51">
        <f t="shared" si="30"/>
        <v>122887.09361008476</v>
      </c>
      <c r="O86" s="51">
        <f t="shared" si="30"/>
        <v>126318.86750171064</v>
      </c>
      <c r="P86" s="51">
        <f t="shared" si="30"/>
        <v>129802.66685568141</v>
      </c>
    </row>
    <row r="87" spans="2:16" ht="15" customHeight="1" x14ac:dyDescent="0.25">
      <c r="B87" t="s">
        <v>7</v>
      </c>
      <c r="C87" s="35">
        <f t="shared" si="27"/>
        <v>5163.1000000000004</v>
      </c>
      <c r="D87" s="35">
        <f t="shared" si="28"/>
        <v>11540</v>
      </c>
      <c r="E87" s="36">
        <f t="shared" si="29"/>
        <v>22965</v>
      </c>
      <c r="F87" s="35">
        <f>E87*(1.4)</f>
        <v>32150.999999999996</v>
      </c>
      <c r="G87" s="35">
        <f>F87*(1.3)</f>
        <v>41796.299999999996</v>
      </c>
      <c r="H87" s="35">
        <f>G87*(1.1)</f>
        <v>45975.93</v>
      </c>
      <c r="I87" s="35">
        <f>H87*(1.1)</f>
        <v>50573.523000000001</v>
      </c>
      <c r="J87" s="35">
        <f>I87*(0.98)</f>
        <v>49562.052539999997</v>
      </c>
      <c r="K87" s="35">
        <f t="shared" ref="K87:P88" si="31">J87*(0.98)</f>
        <v>48570.811489199994</v>
      </c>
      <c r="L87" s="35">
        <f t="shared" si="31"/>
        <v>47599.395259415993</v>
      </c>
      <c r="M87" s="35">
        <f t="shared" si="31"/>
        <v>46647.407354227675</v>
      </c>
      <c r="N87" s="35">
        <f t="shared" si="31"/>
        <v>45714.459207143118</v>
      </c>
      <c r="O87" s="35">
        <f t="shared" si="31"/>
        <v>44800.170023000253</v>
      </c>
      <c r="P87" s="35">
        <f t="shared" si="31"/>
        <v>43904.166622540244</v>
      </c>
    </row>
    <row r="88" spans="2:16" ht="15" customHeight="1" x14ac:dyDescent="0.25">
      <c r="B88" t="s">
        <v>9</v>
      </c>
      <c r="C88" s="35">
        <f t="shared" si="27"/>
        <v>175.8</v>
      </c>
      <c r="D88" s="35">
        <f t="shared" si="28"/>
        <v>4925.3999999999996</v>
      </c>
      <c r="E88" s="36">
        <f t="shared" si="29"/>
        <v>13542.4</v>
      </c>
      <c r="F88" s="35">
        <f>E88*(1.4)</f>
        <v>18959.359999999997</v>
      </c>
      <c r="G88" s="35">
        <f>F88*(1.3)</f>
        <v>24647.167999999998</v>
      </c>
      <c r="H88" s="35">
        <f>G88*(1.1)</f>
        <v>27111.8848</v>
      </c>
      <c r="I88" s="35">
        <f>H88*(1.1)</f>
        <v>29823.073280000001</v>
      </c>
      <c r="J88" s="35">
        <f>I88*(0.98)</f>
        <v>29226.611814399999</v>
      </c>
      <c r="K88" s="35">
        <f t="shared" si="31"/>
        <v>28642.079578112</v>
      </c>
      <c r="L88" s="35">
        <f t="shared" si="31"/>
        <v>28069.237986549761</v>
      </c>
      <c r="M88" s="35">
        <f t="shared" si="31"/>
        <v>27507.853226818766</v>
      </c>
      <c r="N88" s="35">
        <f t="shared" si="31"/>
        <v>26957.696162282391</v>
      </c>
      <c r="O88" s="35">
        <f t="shared" si="31"/>
        <v>26418.542239036742</v>
      </c>
      <c r="P88" s="35">
        <f t="shared" si="31"/>
        <v>25890.171394256005</v>
      </c>
    </row>
    <row r="89" spans="2:16" ht="15" customHeight="1" x14ac:dyDescent="0.25">
      <c r="B89" t="s">
        <v>11</v>
      </c>
      <c r="C89" s="35">
        <f t="shared" si="27"/>
        <v>7132.5</v>
      </c>
      <c r="D89" s="35">
        <f t="shared" si="28"/>
        <v>5253.5</v>
      </c>
      <c r="E89" s="36">
        <f t="shared" si="29"/>
        <v>4276</v>
      </c>
      <c r="F89" s="35">
        <f>E89*0.8</f>
        <v>3420.8</v>
      </c>
      <c r="G89" s="35">
        <f t="shared" ref="G89:P89" si="32">F89*0.8</f>
        <v>2736.6400000000003</v>
      </c>
      <c r="H89" s="35">
        <f t="shared" si="32"/>
        <v>2189.3120000000004</v>
      </c>
      <c r="I89" s="35">
        <f t="shared" si="32"/>
        <v>1751.4496000000004</v>
      </c>
      <c r="J89" s="35">
        <f t="shared" si="32"/>
        <v>1401.1596800000004</v>
      </c>
      <c r="K89" s="35">
        <f t="shared" si="32"/>
        <v>1120.9277440000003</v>
      </c>
      <c r="L89" s="35">
        <f t="shared" si="32"/>
        <v>896.74219520000031</v>
      </c>
      <c r="M89" s="35">
        <f t="shared" si="32"/>
        <v>717.39375616000029</v>
      </c>
      <c r="N89" s="35">
        <f t="shared" si="32"/>
        <v>573.91500492800026</v>
      </c>
      <c r="O89" s="35">
        <f t="shared" si="32"/>
        <v>459.13200394240022</v>
      </c>
      <c r="P89" s="35">
        <f t="shared" si="32"/>
        <v>367.30560315392017</v>
      </c>
    </row>
    <row r="90" spans="2:16" ht="15" customHeight="1" x14ac:dyDescent="0.25">
      <c r="B90" s="31" t="s">
        <v>13</v>
      </c>
      <c r="C90" s="35">
        <f t="shared" si="27"/>
        <v>0</v>
      </c>
      <c r="D90" s="35">
        <f t="shared" si="28"/>
        <v>0</v>
      </c>
      <c r="E90" s="36">
        <f t="shared" si="29"/>
        <v>0</v>
      </c>
      <c r="F90" s="35">
        <v>0</v>
      </c>
      <c r="G90" s="35">
        <v>500</v>
      </c>
      <c r="H90" s="35">
        <v>4000</v>
      </c>
      <c r="I90" s="35">
        <v>8000</v>
      </c>
      <c r="J90" s="35">
        <v>12000</v>
      </c>
      <c r="K90" s="35">
        <v>16000</v>
      </c>
      <c r="L90" s="35">
        <v>20000</v>
      </c>
      <c r="M90" s="35">
        <v>24000</v>
      </c>
      <c r="N90" s="35">
        <v>28000</v>
      </c>
      <c r="O90" s="35">
        <v>32000</v>
      </c>
      <c r="P90" s="35">
        <v>36000</v>
      </c>
    </row>
    <row r="91" spans="2:16" ht="15" customHeight="1" x14ac:dyDescent="0.25">
      <c r="B91" s="31" t="s">
        <v>16</v>
      </c>
      <c r="C91" s="35">
        <f t="shared" si="27"/>
        <v>0</v>
      </c>
      <c r="D91" s="35">
        <f t="shared" si="28"/>
        <v>0</v>
      </c>
      <c r="E91" s="36">
        <f t="shared" si="29"/>
        <v>0</v>
      </c>
      <c r="F91" s="35">
        <v>300</v>
      </c>
      <c r="G91" s="35">
        <v>1500</v>
      </c>
      <c r="H91" s="35">
        <v>3500</v>
      </c>
      <c r="I91" s="35">
        <v>4500</v>
      </c>
      <c r="J91" s="35">
        <v>8000</v>
      </c>
      <c r="K91" s="35">
        <v>10000</v>
      </c>
      <c r="L91" s="35">
        <v>12000</v>
      </c>
      <c r="M91" s="35">
        <v>14000</v>
      </c>
      <c r="N91" s="35">
        <v>19000</v>
      </c>
      <c r="O91" s="35">
        <v>20000</v>
      </c>
      <c r="P91" s="35">
        <v>21000</v>
      </c>
    </row>
    <row r="92" spans="2:16" ht="15" customHeight="1" x14ac:dyDescent="0.25">
      <c r="B92" t="s">
        <v>18</v>
      </c>
      <c r="C92" s="35">
        <f t="shared" si="27"/>
        <v>728.3</v>
      </c>
      <c r="D92" s="35">
        <f t="shared" si="28"/>
        <v>676.9</v>
      </c>
      <c r="E92" s="36">
        <f t="shared" si="29"/>
        <v>657.7</v>
      </c>
      <c r="F92" s="35">
        <v>591.92999999999995</v>
      </c>
      <c r="G92" s="35">
        <v>532.73699999999997</v>
      </c>
      <c r="H92" s="35">
        <v>479.4633</v>
      </c>
      <c r="I92" s="35">
        <v>431.51697000000001</v>
      </c>
      <c r="J92" s="35">
        <v>388.365273</v>
      </c>
      <c r="K92" s="35">
        <v>349.5287457</v>
      </c>
      <c r="L92" s="35">
        <v>349.5287457</v>
      </c>
      <c r="M92" s="35">
        <v>349.5287457</v>
      </c>
      <c r="N92" s="35">
        <v>349.5287457</v>
      </c>
      <c r="O92" s="35">
        <v>349.5287457</v>
      </c>
      <c r="P92" s="35">
        <v>349.5287457</v>
      </c>
    </row>
    <row r="93" spans="2:16" ht="15" customHeight="1" x14ac:dyDescent="0.25">
      <c r="B93" t="s">
        <v>19</v>
      </c>
      <c r="C93" s="35">
        <f t="shared" si="27"/>
        <v>1663.2999999999997</v>
      </c>
      <c r="D93" s="35">
        <f t="shared" si="28"/>
        <v>2324.8000000000002</v>
      </c>
      <c r="E93" s="36">
        <f t="shared" si="29"/>
        <v>2233.5</v>
      </c>
      <c r="F93" s="35">
        <v>2121.8249999999998</v>
      </c>
      <c r="G93" s="35">
        <v>2015.7337500000001</v>
      </c>
      <c r="H93" s="35">
        <v>1914.9470624999999</v>
      </c>
      <c r="I93" s="35">
        <v>1819.1997093750001</v>
      </c>
      <c r="J93" s="35">
        <v>1728.23972390625</v>
      </c>
      <c r="K93" s="35">
        <v>1641.82773771094</v>
      </c>
      <c r="L93" s="35">
        <v>1641.82773771094</v>
      </c>
      <c r="M93" s="35">
        <v>1641.82773771094</v>
      </c>
      <c r="N93" s="35">
        <v>1641.82773771094</v>
      </c>
      <c r="O93" s="35">
        <v>1641.82773771094</v>
      </c>
      <c r="P93" s="35">
        <v>1641.82773771094</v>
      </c>
    </row>
    <row r="94" spans="2:16" ht="15" customHeight="1" x14ac:dyDescent="0.25">
      <c r="B94" t="s">
        <v>55</v>
      </c>
      <c r="C94" s="35">
        <f t="shared" si="27"/>
        <v>852.10000000000014</v>
      </c>
      <c r="D94" s="35">
        <f t="shared" si="28"/>
        <v>917.2</v>
      </c>
      <c r="E94" s="36">
        <f t="shared" si="29"/>
        <v>805.3</v>
      </c>
      <c r="F94" s="35">
        <v>765.03499999999997</v>
      </c>
      <c r="G94" s="35">
        <v>726.78324999999995</v>
      </c>
      <c r="H94" s="35">
        <v>690.44408750000002</v>
      </c>
      <c r="I94" s="35">
        <v>655.92188312500002</v>
      </c>
      <c r="J94" s="35">
        <v>623.12578896875004</v>
      </c>
      <c r="K94" s="35">
        <v>591.96949952031196</v>
      </c>
      <c r="L94" s="35">
        <v>591.96949952031196</v>
      </c>
      <c r="M94" s="35">
        <v>591.96949952031196</v>
      </c>
      <c r="N94" s="35">
        <v>591.96949952031196</v>
      </c>
      <c r="O94" s="35">
        <v>591.96949952031196</v>
      </c>
      <c r="P94" s="35">
        <v>591.96949952031196</v>
      </c>
    </row>
    <row r="95" spans="2:16" ht="15" customHeight="1" x14ac:dyDescent="0.25">
      <c r="B95" t="s">
        <v>21</v>
      </c>
      <c r="C95" s="35">
        <f t="shared" si="27"/>
        <v>2744.7</v>
      </c>
      <c r="D95" s="35">
        <f t="shared" si="28"/>
        <v>3814.5</v>
      </c>
      <c r="E95" s="36">
        <f t="shared" si="29"/>
        <v>3431</v>
      </c>
      <c r="F95" s="35">
        <v>4334.88</v>
      </c>
      <c r="G95" s="35">
        <v>4768.3680000000004</v>
      </c>
      <c r="H95" s="35">
        <v>5245.2048000000004</v>
      </c>
      <c r="I95" s="35">
        <v>5769.7252799999997</v>
      </c>
      <c r="J95" s="35">
        <v>576.97252800000001</v>
      </c>
      <c r="K95" s="35">
        <v>57.697252800000001</v>
      </c>
      <c r="L95" s="35">
        <v>57.697252800000001</v>
      </c>
      <c r="M95" s="35">
        <v>57.697252800000001</v>
      </c>
      <c r="N95" s="35">
        <v>57.697252800000001</v>
      </c>
      <c r="O95" s="35">
        <v>57.697252800000001</v>
      </c>
      <c r="P95" s="35">
        <v>57.697252800000001</v>
      </c>
    </row>
    <row r="96" spans="2:16" x14ac:dyDescent="0.25">
      <c r="B96" s="25" t="s">
        <v>56</v>
      </c>
      <c r="C96" s="51">
        <f t="shared" si="27"/>
        <v>6081.5</v>
      </c>
      <c r="D96" s="51">
        <f t="shared" si="28"/>
        <v>8134.7</v>
      </c>
      <c r="E96" s="52">
        <f t="shared" si="29"/>
        <v>8965.4000000000015</v>
      </c>
      <c r="F96" s="51">
        <f t="shared" ref="F96:K96" si="33">SUM(F97:F103)</f>
        <v>9295.0861999999979</v>
      </c>
      <c r="G96" s="51">
        <f t="shared" si="33"/>
        <v>9523.8690619999998</v>
      </c>
      <c r="H96" s="51">
        <f t="shared" si="33"/>
        <v>9824.6268776200013</v>
      </c>
      <c r="I96" s="51">
        <f t="shared" si="33"/>
        <v>10212.3080686462</v>
      </c>
      <c r="J96" s="51">
        <f t="shared" si="33"/>
        <v>3660.6567469583701</v>
      </c>
      <c r="K96" s="51">
        <f t="shared" si="33"/>
        <v>3070.226972684899</v>
      </c>
      <c r="L96" s="51">
        <f t="shared" ref="L96:P96" si="34">SUM(L97:L103)</f>
        <v>3070.226972684899</v>
      </c>
      <c r="M96" s="51">
        <f t="shared" si="34"/>
        <v>3070.226972684899</v>
      </c>
      <c r="N96" s="51">
        <f t="shared" si="34"/>
        <v>3070.226972684899</v>
      </c>
      <c r="O96" s="51">
        <f t="shared" si="34"/>
        <v>3070.226972684899</v>
      </c>
      <c r="P96" s="51">
        <f t="shared" si="34"/>
        <v>3070.226972684899</v>
      </c>
    </row>
    <row r="97" spans="2:16" x14ac:dyDescent="0.25">
      <c r="B97" t="s">
        <v>23</v>
      </c>
      <c r="C97" s="35">
        <f t="shared" si="27"/>
        <v>3863.2999999999997</v>
      </c>
      <c r="D97" s="35">
        <f t="shared" si="28"/>
        <v>5306.5</v>
      </c>
      <c r="E97" s="36">
        <f t="shared" si="29"/>
        <v>5722.4</v>
      </c>
      <c r="F97" s="35">
        <v>5887.4111999999996</v>
      </c>
      <c r="G97" s="35">
        <v>5946.285312</v>
      </c>
      <c r="H97" s="35">
        <v>6005.7481651199996</v>
      </c>
      <c r="I97" s="35">
        <v>6065.8056467712004</v>
      </c>
      <c r="J97" s="35">
        <v>606.58056467712004</v>
      </c>
      <c r="K97" s="35">
        <v>60.658056467712001</v>
      </c>
      <c r="L97" s="35">
        <v>60.658056467712001</v>
      </c>
      <c r="M97" s="35">
        <v>60.658056467712001</v>
      </c>
      <c r="N97" s="35">
        <v>60.658056467712001</v>
      </c>
      <c r="O97" s="35">
        <v>60.658056467712001</v>
      </c>
      <c r="P97" s="35">
        <v>60.658056467712001</v>
      </c>
    </row>
    <row r="98" spans="2:16" x14ac:dyDescent="0.25">
      <c r="B98" t="s">
        <v>24</v>
      </c>
      <c r="C98" s="35">
        <f t="shared" si="27"/>
        <v>974.80000000000007</v>
      </c>
      <c r="D98" s="35">
        <f t="shared" si="28"/>
        <v>973.4</v>
      </c>
      <c r="E98" s="36">
        <f t="shared" si="29"/>
        <v>982.7</v>
      </c>
      <c r="F98" s="35">
        <v>933.56500000000005</v>
      </c>
      <c r="G98" s="35">
        <v>886.88675000000001</v>
      </c>
      <c r="H98" s="35">
        <v>842.54241249999995</v>
      </c>
      <c r="I98" s="35">
        <v>800.41529187499998</v>
      </c>
      <c r="J98" s="35">
        <v>760.39452728125002</v>
      </c>
      <c r="K98" s="35">
        <v>722.37480091718703</v>
      </c>
      <c r="L98" s="35">
        <v>722.37480091718703</v>
      </c>
      <c r="M98" s="35">
        <v>722.37480091718703</v>
      </c>
      <c r="N98" s="35">
        <v>722.37480091718703</v>
      </c>
      <c r="O98" s="35">
        <v>722.37480091718703</v>
      </c>
      <c r="P98" s="35">
        <v>722.37480091718703</v>
      </c>
    </row>
    <row r="99" spans="2:16" x14ac:dyDescent="0.25">
      <c r="B99" t="s">
        <v>25</v>
      </c>
      <c r="C99" s="35">
        <f t="shared" si="27"/>
        <v>596.5</v>
      </c>
      <c r="D99" s="35">
        <f t="shared" si="28"/>
        <v>627.4</v>
      </c>
      <c r="E99" s="36">
        <f t="shared" si="29"/>
        <v>706.3</v>
      </c>
      <c r="F99" s="35">
        <v>635.66999999999996</v>
      </c>
      <c r="G99" s="35">
        <v>572.10299999999995</v>
      </c>
      <c r="H99" s="35">
        <v>514.89269999999999</v>
      </c>
      <c r="I99" s="35">
        <v>463.40343000000001</v>
      </c>
      <c r="J99" s="35">
        <v>417.063087</v>
      </c>
      <c r="K99" s="35">
        <v>375.35677829999997</v>
      </c>
      <c r="L99" s="35">
        <v>375.35677829999997</v>
      </c>
      <c r="M99" s="35">
        <v>375.35677829999997</v>
      </c>
      <c r="N99" s="35">
        <v>375.35677829999997</v>
      </c>
      <c r="O99" s="35">
        <v>375.35677829999997</v>
      </c>
      <c r="P99" s="35">
        <v>375.35677829999997</v>
      </c>
    </row>
    <row r="100" spans="2:16" x14ac:dyDescent="0.25">
      <c r="B100" t="s">
        <v>27</v>
      </c>
      <c r="C100" s="35">
        <f t="shared" si="27"/>
        <v>253.60000000000002</v>
      </c>
      <c r="D100" s="35">
        <f t="shared" si="28"/>
        <v>364.4</v>
      </c>
      <c r="E100" s="36">
        <f t="shared" si="29"/>
        <v>445.3</v>
      </c>
      <c r="F100" s="35">
        <v>578.89</v>
      </c>
      <c r="G100" s="35">
        <v>752.55700000000002</v>
      </c>
      <c r="H100" s="35">
        <v>978.32410000000004</v>
      </c>
      <c r="I100" s="35">
        <v>1271.82133</v>
      </c>
      <c r="J100" s="35">
        <v>127.18213299999999</v>
      </c>
      <c r="K100" s="35">
        <v>12.7182133</v>
      </c>
      <c r="L100" s="35">
        <v>12.7182133</v>
      </c>
      <c r="M100" s="35">
        <v>12.7182133</v>
      </c>
      <c r="N100" s="35">
        <v>12.7182133</v>
      </c>
      <c r="O100" s="35">
        <v>12.7182133</v>
      </c>
      <c r="P100" s="35">
        <v>12.7182133</v>
      </c>
    </row>
    <row r="101" spans="2:16" x14ac:dyDescent="0.25">
      <c r="B101" t="s">
        <v>28</v>
      </c>
      <c r="C101" s="35">
        <f t="shared" si="27"/>
        <v>393.29999999999995</v>
      </c>
      <c r="D101" s="35">
        <f t="shared" si="28"/>
        <v>525.9</v>
      </c>
      <c r="E101" s="36">
        <f t="shared" si="29"/>
        <v>552.6</v>
      </c>
      <c r="F101" s="35">
        <v>497.34</v>
      </c>
      <c r="G101" s="35">
        <v>447.60599999999999</v>
      </c>
      <c r="H101" s="35">
        <v>402.84539999999998</v>
      </c>
      <c r="I101" s="35">
        <v>362.56085999999999</v>
      </c>
      <c r="J101" s="35">
        <v>326.30477400000001</v>
      </c>
      <c r="K101" s="35">
        <v>293.67429659999999</v>
      </c>
      <c r="L101" s="35">
        <v>293.67429659999999</v>
      </c>
      <c r="M101" s="35">
        <v>293.67429659999999</v>
      </c>
      <c r="N101" s="35">
        <v>293.67429659999999</v>
      </c>
      <c r="O101" s="35">
        <v>293.67429659999999</v>
      </c>
      <c r="P101" s="35">
        <v>293.67429659999999</v>
      </c>
    </row>
    <row r="102" spans="2:16" x14ac:dyDescent="0.25">
      <c r="B102" t="s">
        <v>30</v>
      </c>
      <c r="C102" s="35">
        <f t="shared" si="27"/>
        <v>0</v>
      </c>
      <c r="D102" s="35">
        <f t="shared" si="28"/>
        <v>337.1</v>
      </c>
      <c r="E102" s="36">
        <f t="shared" si="29"/>
        <v>511.1</v>
      </c>
      <c r="F102" s="35">
        <v>562.21</v>
      </c>
      <c r="G102" s="35">
        <v>618.43100000000004</v>
      </c>
      <c r="H102" s="35">
        <v>680.27409999999998</v>
      </c>
      <c r="I102" s="35">
        <v>748.30151000000001</v>
      </c>
      <c r="J102" s="35">
        <v>823.13166100000001</v>
      </c>
      <c r="K102" s="35">
        <v>905.4448271</v>
      </c>
      <c r="L102" s="35">
        <v>905.4448271</v>
      </c>
      <c r="M102" s="35">
        <v>905.4448271</v>
      </c>
      <c r="N102" s="35">
        <v>905.4448271</v>
      </c>
      <c r="O102" s="35">
        <v>905.4448271</v>
      </c>
      <c r="P102" s="35">
        <v>905.4448271</v>
      </c>
    </row>
    <row r="103" spans="2:16" x14ac:dyDescent="0.25">
      <c r="B103" t="s">
        <v>31</v>
      </c>
      <c r="C103" s="35">
        <f t="shared" si="27"/>
        <v>0</v>
      </c>
      <c r="D103" s="35">
        <f t="shared" si="28"/>
        <v>0</v>
      </c>
      <c r="E103" s="36">
        <f t="shared" si="29"/>
        <v>45</v>
      </c>
      <c r="F103" s="35">
        <v>200</v>
      </c>
      <c r="G103" s="35">
        <v>300</v>
      </c>
      <c r="H103" s="35">
        <v>400</v>
      </c>
      <c r="I103" s="35">
        <v>500</v>
      </c>
      <c r="J103" s="35">
        <v>600</v>
      </c>
      <c r="K103" s="35">
        <v>700</v>
      </c>
      <c r="L103" s="35">
        <v>700</v>
      </c>
      <c r="M103" s="35">
        <v>700</v>
      </c>
      <c r="N103" s="35">
        <v>700</v>
      </c>
      <c r="O103" s="35">
        <v>700</v>
      </c>
      <c r="P103" s="35">
        <v>700</v>
      </c>
    </row>
    <row r="104" spans="2:16" x14ac:dyDescent="0.25">
      <c r="B104" s="25" t="s">
        <v>57</v>
      </c>
      <c r="C104" s="51">
        <f t="shared" si="27"/>
        <v>3682.3999999999996</v>
      </c>
      <c r="D104" s="51">
        <f t="shared" si="28"/>
        <v>4393</v>
      </c>
      <c r="E104" s="52">
        <f t="shared" si="29"/>
        <v>5241.6000000000004</v>
      </c>
      <c r="F104" s="51">
        <f t="shared" ref="F104:K104" si="35">SUM(F105:F108)</f>
        <v>6062.5159999999996</v>
      </c>
      <c r="G104" s="51">
        <f t="shared" si="35"/>
        <v>6780.1265599999997</v>
      </c>
      <c r="H104" s="51">
        <f t="shared" si="35"/>
        <v>7365.8160856000004</v>
      </c>
      <c r="I104" s="51">
        <f t="shared" si="35"/>
        <v>8009.151332456001</v>
      </c>
      <c r="J104" s="51">
        <f t="shared" si="35"/>
        <v>7491.2379372456016</v>
      </c>
      <c r="K104" s="51">
        <f t="shared" si="35"/>
        <v>7849.7015989245629</v>
      </c>
      <c r="L104" s="51">
        <f t="shared" ref="L104:P104" si="36">SUM(L105:L108)</f>
        <v>8150.0194413645631</v>
      </c>
      <c r="M104" s="51">
        <f t="shared" si="36"/>
        <v>8465.3531759265643</v>
      </c>
      <c r="N104" s="51">
        <f t="shared" si="36"/>
        <v>8796.4535972166632</v>
      </c>
      <c r="O104" s="51">
        <f t="shared" si="36"/>
        <v>9144.1090395712708</v>
      </c>
      <c r="P104" s="51">
        <f t="shared" si="36"/>
        <v>9509.1472540436062</v>
      </c>
    </row>
    <row r="105" spans="2:16" x14ac:dyDescent="0.25">
      <c r="B105" t="s">
        <v>32</v>
      </c>
      <c r="C105" s="35">
        <f t="shared" si="27"/>
        <v>0</v>
      </c>
      <c r="D105" s="35">
        <f t="shared" si="28"/>
        <v>42.7</v>
      </c>
      <c r="E105" s="36">
        <f t="shared" si="29"/>
        <v>406.20000000000005</v>
      </c>
      <c r="F105" s="35">
        <v>446.82</v>
      </c>
      <c r="G105" s="35">
        <v>491.50200000000001</v>
      </c>
      <c r="H105" s="35">
        <v>540.65219999999999</v>
      </c>
      <c r="I105" s="35">
        <v>594.71741999999995</v>
      </c>
      <c r="J105" s="35">
        <v>654.18916200000001</v>
      </c>
      <c r="K105" s="35">
        <v>719.60807820000105</v>
      </c>
      <c r="L105" s="35">
        <v>719.60807820000105</v>
      </c>
      <c r="M105" s="35">
        <v>719.60807820000105</v>
      </c>
      <c r="N105" s="35">
        <v>719.60807820000105</v>
      </c>
      <c r="O105" s="35">
        <v>719.60807820000105</v>
      </c>
      <c r="P105" s="35">
        <v>719.60807820000105</v>
      </c>
    </row>
    <row r="106" spans="2:16" x14ac:dyDescent="0.25">
      <c r="B106" t="s">
        <v>33</v>
      </c>
      <c r="C106" s="35">
        <f t="shared" si="27"/>
        <v>922.7</v>
      </c>
      <c r="D106" s="35">
        <f t="shared" si="28"/>
        <v>957.50000000000011</v>
      </c>
      <c r="E106" s="36">
        <f t="shared" si="29"/>
        <v>1005.6</v>
      </c>
      <c r="F106" s="35">
        <v>1015.6559999999999</v>
      </c>
      <c r="G106" s="35">
        <v>1025.8125600000001</v>
      </c>
      <c r="H106" s="35">
        <v>1036.0706855999999</v>
      </c>
      <c r="I106" s="35">
        <v>1046.4313924559999</v>
      </c>
      <c r="J106" s="35">
        <v>104.6431392456</v>
      </c>
      <c r="K106" s="35">
        <v>10.464313924560001</v>
      </c>
      <c r="L106" s="35">
        <v>10.464313924560001</v>
      </c>
      <c r="M106" s="35">
        <v>10.464313924560001</v>
      </c>
      <c r="N106" s="35">
        <v>10.464313924560001</v>
      </c>
      <c r="O106" s="35">
        <v>10.464313924560001</v>
      </c>
      <c r="P106" s="35">
        <v>10.464313924560001</v>
      </c>
    </row>
    <row r="107" spans="2:16" x14ac:dyDescent="0.25">
      <c r="B107" t="s">
        <v>34</v>
      </c>
      <c r="C107" s="35">
        <f t="shared" si="27"/>
        <v>0</v>
      </c>
      <c r="D107" s="35">
        <f t="shared" si="28"/>
        <v>132.4</v>
      </c>
      <c r="E107" s="36">
        <f t="shared" si="29"/>
        <v>266.8</v>
      </c>
      <c r="F107" s="35">
        <v>506.92</v>
      </c>
      <c r="G107" s="35">
        <v>760.38</v>
      </c>
      <c r="H107" s="35">
        <v>836.41800000000001</v>
      </c>
      <c r="I107" s="35">
        <v>920.0598</v>
      </c>
      <c r="J107" s="35">
        <v>1012.06578</v>
      </c>
      <c r="K107" s="35">
        <v>1113.2723579999999</v>
      </c>
      <c r="L107" s="35">
        <v>1113.2723579999999</v>
      </c>
      <c r="M107" s="35">
        <v>1113.2723579999999</v>
      </c>
      <c r="N107" s="35">
        <v>1113.2723579999999</v>
      </c>
      <c r="O107" s="35">
        <v>1113.2723579999999</v>
      </c>
      <c r="P107" s="35">
        <v>1113.2723579999999</v>
      </c>
    </row>
    <row r="108" spans="2:16" x14ac:dyDescent="0.25">
      <c r="B108" t="s">
        <v>35</v>
      </c>
      <c r="C108" s="35">
        <f t="shared" si="27"/>
        <v>2759.7000000000003</v>
      </c>
      <c r="D108" s="35">
        <f t="shared" si="28"/>
        <v>3260.4</v>
      </c>
      <c r="E108" s="36">
        <f t="shared" si="29"/>
        <v>3563</v>
      </c>
      <c r="F108" s="35">
        <v>4093.12</v>
      </c>
      <c r="G108" s="35">
        <v>4502.4319999999998</v>
      </c>
      <c r="H108" s="35">
        <v>4952.6752000000006</v>
      </c>
      <c r="I108" s="35">
        <v>5447.9427200000009</v>
      </c>
      <c r="J108" s="35">
        <v>5720.3398560000014</v>
      </c>
      <c r="K108" s="35">
        <v>6006.3568488000019</v>
      </c>
      <c r="L108" s="35">
        <v>6306.6746912400022</v>
      </c>
      <c r="M108" s="35">
        <v>6622.0084258020024</v>
      </c>
      <c r="N108" s="35">
        <v>6953.1088470921031</v>
      </c>
      <c r="O108" s="35">
        <v>7300.764289446709</v>
      </c>
      <c r="P108" s="35">
        <v>7665.8025039190452</v>
      </c>
    </row>
    <row r="109" spans="2:16" x14ac:dyDescent="0.25">
      <c r="B109" s="25" t="s">
        <v>58</v>
      </c>
      <c r="C109" s="51">
        <f t="shared" si="27"/>
        <v>678.2</v>
      </c>
      <c r="D109" s="51">
        <f t="shared" si="28"/>
        <v>879.7</v>
      </c>
      <c r="E109" s="52">
        <f t="shared" si="29"/>
        <v>1012.08</v>
      </c>
      <c r="F109" s="51">
        <f>SUM(F110:F111)</f>
        <v>1043.4317999999998</v>
      </c>
      <c r="G109" s="51">
        <f t="shared" ref="G109:K109" si="37">SUM(G110:G111)</f>
        <v>1077.2202179999999</v>
      </c>
      <c r="H109" s="51">
        <f t="shared" si="37"/>
        <v>1113.6819301800001</v>
      </c>
      <c r="I109" s="51">
        <f t="shared" si="37"/>
        <v>1153.0772104818</v>
      </c>
      <c r="J109" s="51">
        <f t="shared" si="37"/>
        <v>1195.6922896866181</v>
      </c>
      <c r="K109" s="51">
        <f t="shared" si="37"/>
        <v>1241.841950393484</v>
      </c>
      <c r="L109" s="51">
        <f t="shared" ref="L109:P109" si="38">SUM(L110:L111)</f>
        <v>1241.841950393484</v>
      </c>
      <c r="M109" s="51">
        <f t="shared" si="38"/>
        <v>1241.841950393484</v>
      </c>
      <c r="N109" s="51">
        <f t="shared" si="38"/>
        <v>1241.841950393484</v>
      </c>
      <c r="O109" s="51">
        <f t="shared" si="38"/>
        <v>1241.841950393484</v>
      </c>
      <c r="P109" s="51">
        <f t="shared" si="38"/>
        <v>1241.841950393484</v>
      </c>
    </row>
    <row r="110" spans="2:16" x14ac:dyDescent="0.25">
      <c r="B110" t="s">
        <v>36</v>
      </c>
      <c r="C110" s="35">
        <f t="shared" si="27"/>
        <v>678.2</v>
      </c>
      <c r="D110" s="35">
        <f t="shared" si="28"/>
        <v>870.40000000000009</v>
      </c>
      <c r="E110" s="36">
        <f t="shared" si="29"/>
        <v>776.18000000000006</v>
      </c>
      <c r="F110" s="35">
        <v>783.94179999999994</v>
      </c>
      <c r="G110" s="35">
        <v>791.78121799999997</v>
      </c>
      <c r="H110" s="35">
        <v>799.69903018000002</v>
      </c>
      <c r="I110" s="35">
        <v>807.69602048180002</v>
      </c>
      <c r="J110" s="35">
        <v>815.77298068661798</v>
      </c>
      <c r="K110" s="35">
        <v>823.93071049348396</v>
      </c>
      <c r="L110" s="35">
        <v>823.93071049348396</v>
      </c>
      <c r="M110" s="35">
        <v>823.93071049348396</v>
      </c>
      <c r="N110" s="35">
        <v>823.93071049348396</v>
      </c>
      <c r="O110" s="35">
        <v>823.93071049348396</v>
      </c>
      <c r="P110" s="35">
        <v>823.93071049348396</v>
      </c>
    </row>
    <row r="111" spans="2:16" x14ac:dyDescent="0.25">
      <c r="B111" t="s">
        <v>37</v>
      </c>
      <c r="C111" s="35">
        <f t="shared" si="27"/>
        <v>0</v>
      </c>
      <c r="D111" s="35">
        <f t="shared" si="28"/>
        <v>9.3000000000000007</v>
      </c>
      <c r="E111" s="36">
        <f t="shared" si="29"/>
        <v>235.9</v>
      </c>
      <c r="F111" s="35">
        <v>259.49</v>
      </c>
      <c r="G111" s="35">
        <v>285.43900000000002</v>
      </c>
      <c r="H111" s="35">
        <v>313.98289999999997</v>
      </c>
      <c r="I111" s="35">
        <v>345.38119</v>
      </c>
      <c r="J111" s="35">
        <v>379.919309</v>
      </c>
      <c r="K111" s="35">
        <v>417.9112399</v>
      </c>
      <c r="L111" s="35">
        <v>417.9112399</v>
      </c>
      <c r="M111" s="35">
        <v>417.9112399</v>
      </c>
      <c r="N111" s="35">
        <v>417.9112399</v>
      </c>
      <c r="O111" s="35">
        <v>417.9112399</v>
      </c>
      <c r="P111" s="35">
        <v>417.9112399</v>
      </c>
    </row>
    <row r="112" spans="2:16" x14ac:dyDescent="0.25">
      <c r="B112" s="50" t="s">
        <v>89</v>
      </c>
      <c r="C112" s="35">
        <f t="shared" si="27"/>
        <v>5222.2</v>
      </c>
      <c r="D112" s="35">
        <f t="shared" si="28"/>
        <v>2182.9999999999991</v>
      </c>
      <c r="E112" s="36">
        <f t="shared" si="29"/>
        <v>2049.5199999999986</v>
      </c>
      <c r="F112" s="35">
        <f>2000</f>
        <v>2000</v>
      </c>
      <c r="G112" s="35">
        <f>2000</f>
        <v>2000</v>
      </c>
      <c r="H112" s="35">
        <f>2000</f>
        <v>2000</v>
      </c>
      <c r="I112" s="35">
        <f>2000</f>
        <v>2000</v>
      </c>
      <c r="J112" s="35">
        <f>2000</f>
        <v>2000</v>
      </c>
      <c r="K112" s="35">
        <f>2000</f>
        <v>2000</v>
      </c>
      <c r="L112" s="35">
        <f>2000</f>
        <v>2000</v>
      </c>
      <c r="M112" s="35">
        <f>2000</f>
        <v>2000</v>
      </c>
      <c r="N112" s="35">
        <f>2000</f>
        <v>2000</v>
      </c>
      <c r="O112" s="35">
        <f>2000</f>
        <v>2000</v>
      </c>
      <c r="P112" s="35">
        <f>2000</f>
        <v>2000</v>
      </c>
    </row>
    <row r="113" spans="2:89" x14ac:dyDescent="0.25">
      <c r="B113" s="39" t="s">
        <v>60</v>
      </c>
      <c r="C113" s="51">
        <f>C86+C96+C104+C109+C112</f>
        <v>34124.100000000006</v>
      </c>
      <c r="D113" s="51">
        <f t="shared" ref="D113:K113" si="39">D86+D96+D104+D109+D112</f>
        <v>45042.69999999999</v>
      </c>
      <c r="E113" s="52">
        <f t="shared" si="39"/>
        <v>65179.500000000007</v>
      </c>
      <c r="F113" s="51">
        <f t="shared" si="39"/>
        <v>81045.864000000001</v>
      </c>
      <c r="G113" s="51">
        <f t="shared" si="39"/>
        <v>98604.945839999986</v>
      </c>
      <c r="H113" s="51">
        <f t="shared" si="39"/>
        <v>111411.31094340001</v>
      </c>
      <c r="I113" s="51">
        <f t="shared" si="39"/>
        <v>124698.94633408402</v>
      </c>
      <c r="J113" s="51">
        <f t="shared" si="39"/>
        <v>117854.11432216559</v>
      </c>
      <c r="K113" s="51">
        <f t="shared" si="39"/>
        <v>121136.61256904621</v>
      </c>
      <c r="L113" s="51">
        <f t="shared" ref="L113:P113" si="40">L86+L96+L104+L109+L112</f>
        <v>125668.48704133996</v>
      </c>
      <c r="M113" s="51">
        <f t="shared" si="40"/>
        <v>130291.09967194265</v>
      </c>
      <c r="N113" s="51">
        <f t="shared" si="40"/>
        <v>137995.61613037981</v>
      </c>
      <c r="O113" s="51">
        <f t="shared" si="40"/>
        <v>141775.0454643603</v>
      </c>
      <c r="P113" s="51">
        <f t="shared" si="40"/>
        <v>145623.88303280339</v>
      </c>
    </row>
    <row r="114" spans="2:89" x14ac:dyDescent="0.25">
      <c r="B114" t="s">
        <v>61</v>
      </c>
      <c r="C114" s="35">
        <f t="shared" ref="C114:C123" si="41">SUM(C34:F34)</f>
        <v>7082.2000000000007</v>
      </c>
      <c r="D114" s="35">
        <f t="shared" ref="D114:D123" si="42">SUM(G34:J34)</f>
        <v>8418.2999999999993</v>
      </c>
      <c r="E114" s="36">
        <f t="shared" ref="E114:E123" si="43">SUM(K34:N34)</f>
        <v>11052.8</v>
      </c>
      <c r="F114" s="35">
        <f>F113*(1-$P$48)</f>
        <v>15254.770861040954</v>
      </c>
      <c r="G114" s="35">
        <f t="shared" ref="G114:P114" si="44">G113*(1-$P$48)</f>
        <v>18559.810215047532</v>
      </c>
      <c r="H114" s="35">
        <f t="shared" si="44"/>
        <v>20970.274556759017</v>
      </c>
      <c r="I114" s="35">
        <f t="shared" si="44"/>
        <v>23471.325482318189</v>
      </c>
      <c r="J114" s="35">
        <f t="shared" si="44"/>
        <v>22182.964315311154</v>
      </c>
      <c r="K114" s="35">
        <f t="shared" si="44"/>
        <v>22800.809028619809</v>
      </c>
      <c r="L114" s="35">
        <f t="shared" si="44"/>
        <v>23653.81624248383</v>
      </c>
      <c r="M114" s="35">
        <f t="shared" si="44"/>
        <v>24523.902548913949</v>
      </c>
      <c r="N114" s="35">
        <f t="shared" si="44"/>
        <v>25974.076899187734</v>
      </c>
      <c r="O114" s="35">
        <f t="shared" si="44"/>
        <v>26685.455933599274</v>
      </c>
      <c r="P114" s="35">
        <f t="shared" si="44"/>
        <v>27409.899258529036</v>
      </c>
    </row>
    <row r="115" spans="2:89" x14ac:dyDescent="0.25">
      <c r="B115" s="39" t="s">
        <v>62</v>
      </c>
      <c r="C115" s="51">
        <f t="shared" si="41"/>
        <v>27041.9</v>
      </c>
      <c r="D115" s="51">
        <f t="shared" si="42"/>
        <v>36624.399999999994</v>
      </c>
      <c r="E115" s="52">
        <f t="shared" si="43"/>
        <v>54126.7</v>
      </c>
      <c r="F115" s="51">
        <f t="shared" ref="F115:K115" si="45">F113*($P$48)</f>
        <v>65791.093138959055</v>
      </c>
      <c r="G115" s="51">
        <f t="shared" si="45"/>
        <v>80045.135624952454</v>
      </c>
      <c r="H115" s="51">
        <f t="shared" si="45"/>
        <v>90441.03638664099</v>
      </c>
      <c r="I115" s="51">
        <f t="shared" si="45"/>
        <v>101227.62085176582</v>
      </c>
      <c r="J115" s="51">
        <f t="shared" si="45"/>
        <v>95671.150006854441</v>
      </c>
      <c r="K115" s="51">
        <f t="shared" si="45"/>
        <v>98335.803540426394</v>
      </c>
      <c r="L115" s="51">
        <f t="shared" ref="L115:P115" si="46">L113*($P$48)</f>
        <v>102014.67079885614</v>
      </c>
      <c r="M115" s="51">
        <f t="shared" si="46"/>
        <v>105767.1971230287</v>
      </c>
      <c r="N115" s="51">
        <f t="shared" si="46"/>
        <v>112021.53923119207</v>
      </c>
      <c r="O115" s="51">
        <f t="shared" si="46"/>
        <v>115089.58953076103</v>
      </c>
      <c r="P115" s="51">
        <f t="shared" si="46"/>
        <v>118213.98377427435</v>
      </c>
    </row>
    <row r="116" spans="2:89" x14ac:dyDescent="0.25">
      <c r="B116" t="s">
        <v>63</v>
      </c>
      <c r="C116" s="35">
        <f t="shared" si="41"/>
        <v>9313.4000000000015</v>
      </c>
      <c r="D116" s="35">
        <f t="shared" si="42"/>
        <v>10990.6</v>
      </c>
      <c r="E116" s="36">
        <f t="shared" si="43"/>
        <v>13337.3</v>
      </c>
      <c r="F116" s="35">
        <f t="shared" ref="F116:K116" si="47">F115*$P$49</f>
        <v>14235.404815543478</v>
      </c>
      <c r="G116" s="35">
        <f t="shared" si="47"/>
        <v>17319.592284772723</v>
      </c>
      <c r="H116" s="35">
        <f t="shared" si="47"/>
        <v>19568.982722050911</v>
      </c>
      <c r="I116" s="35">
        <f t="shared" si="47"/>
        <v>21902.906496714219</v>
      </c>
      <c r="J116" s="35">
        <f t="shared" si="47"/>
        <v>20700.637191718597</v>
      </c>
      <c r="K116" s="35">
        <f t="shared" si="47"/>
        <v>21277.19580981979</v>
      </c>
      <c r="L116" s="35">
        <f t="shared" ref="L116:P116" si="48">L115*$P$49</f>
        <v>22073.20271877605</v>
      </c>
      <c r="M116" s="35">
        <f t="shared" si="48"/>
        <v>22885.147448023101</v>
      </c>
      <c r="N116" s="35">
        <f t="shared" si="48"/>
        <v>24238.417131148082</v>
      </c>
      <c r="O116" s="35">
        <f t="shared" si="48"/>
        <v>24902.259847920803</v>
      </c>
      <c r="P116" s="35">
        <f t="shared" si="48"/>
        <v>25578.293863130501</v>
      </c>
    </row>
    <row r="117" spans="2:89" x14ac:dyDescent="0.25">
      <c r="B117" t="s">
        <v>64</v>
      </c>
      <c r="C117" s="35">
        <f t="shared" si="41"/>
        <v>7403.1</v>
      </c>
      <c r="D117" s="35">
        <f t="shared" si="42"/>
        <v>8593.7999999999993</v>
      </c>
      <c r="E117" s="36">
        <f t="shared" si="43"/>
        <v>11093.1</v>
      </c>
      <c r="F117" s="35">
        <f t="shared" ref="F117:K117" si="49">F115*$P$50</f>
        <v>11899.338384274804</v>
      </c>
      <c r="G117" s="35">
        <f t="shared" si="49"/>
        <v>14477.402781630533</v>
      </c>
      <c r="H117" s="35">
        <f t="shared" si="49"/>
        <v>16357.662480483583</v>
      </c>
      <c r="I117" s="35">
        <f t="shared" si="49"/>
        <v>18308.583379304706</v>
      </c>
      <c r="J117" s="35">
        <f t="shared" si="49"/>
        <v>17303.609550000674</v>
      </c>
      <c r="K117" s="35">
        <f t="shared" si="49"/>
        <v>17785.553420516029</v>
      </c>
      <c r="L117" s="35">
        <f t="shared" ref="L117:P117" si="50">L115*$P$50</f>
        <v>18450.933554669209</v>
      </c>
      <c r="M117" s="35">
        <f t="shared" si="50"/>
        <v>19129.636071937261</v>
      </c>
      <c r="N117" s="35">
        <f t="shared" si="50"/>
        <v>20260.830730139165</v>
      </c>
      <c r="O117" s="35">
        <f t="shared" si="50"/>
        <v>20815.735154928669</v>
      </c>
      <c r="P117" s="35">
        <f t="shared" si="50"/>
        <v>21380.830254821907</v>
      </c>
    </row>
    <row r="118" spans="2:89" x14ac:dyDescent="0.25">
      <c r="B118" t="s">
        <v>65</v>
      </c>
      <c r="C118" s="35">
        <f t="shared" si="41"/>
        <v>3799.7999999999997</v>
      </c>
      <c r="D118" s="35">
        <f t="shared" si="42"/>
        <v>3280.4</v>
      </c>
      <c r="E118" s="36">
        <f t="shared" si="43"/>
        <v>2909.5</v>
      </c>
      <c r="F118" s="35">
        <f t="shared" ref="F118:K118" si="51">F115*$P$51</f>
        <v>2368.5117983696268</v>
      </c>
      <c r="G118" s="35">
        <f t="shared" si="51"/>
        <v>2881.6643573524989</v>
      </c>
      <c r="H118" s="35">
        <f t="shared" si="51"/>
        <v>3255.9219115890974</v>
      </c>
      <c r="I118" s="35">
        <f t="shared" si="51"/>
        <v>3644.2442718179782</v>
      </c>
      <c r="J118" s="35">
        <f t="shared" si="51"/>
        <v>3444.2085811862285</v>
      </c>
      <c r="K118" s="35">
        <f t="shared" si="51"/>
        <v>3540.1374224885349</v>
      </c>
      <c r="L118" s="35">
        <f t="shared" ref="L118:P118" si="52">L115*$P$51</f>
        <v>3672.578458052767</v>
      </c>
      <c r="M118" s="35">
        <f t="shared" si="52"/>
        <v>3807.6712563092569</v>
      </c>
      <c r="N118" s="35">
        <f t="shared" si="52"/>
        <v>4032.8306565784842</v>
      </c>
      <c r="O118" s="35">
        <f t="shared" si="52"/>
        <v>4143.2819803947996</v>
      </c>
      <c r="P118" s="35">
        <f t="shared" si="52"/>
        <v>4255.7617139795475</v>
      </c>
    </row>
    <row r="119" spans="2:89" x14ac:dyDescent="0.25">
      <c r="B119" t="s">
        <v>66</v>
      </c>
      <c r="C119" s="35">
        <f t="shared" si="41"/>
        <v>67.7</v>
      </c>
      <c r="D119" s="35">
        <f t="shared" si="42"/>
        <v>860.6</v>
      </c>
      <c r="E119" s="36">
        <f t="shared" si="43"/>
        <v>484</v>
      </c>
      <c r="F119" s="35">
        <f>SUM(O39:P39)</f>
        <v>279</v>
      </c>
      <c r="G119" s="35">
        <f t="shared" ref="G119:K120" si="53">AVERAGE(C119:F119)</f>
        <v>422.82500000000005</v>
      </c>
      <c r="H119" s="35">
        <f t="shared" si="53"/>
        <v>511.60624999999999</v>
      </c>
      <c r="I119" s="35">
        <f t="shared" si="53"/>
        <v>424.35781250000002</v>
      </c>
      <c r="J119" s="35">
        <f t="shared" si="53"/>
        <v>409.447265625</v>
      </c>
      <c r="K119" s="35">
        <f t="shared" si="53"/>
        <v>442.05908203125</v>
      </c>
      <c r="L119" s="35">
        <f t="shared" ref="L119:L120" si="54">AVERAGE(H119:K119)</f>
        <v>446.86760253906249</v>
      </c>
      <c r="M119" s="35">
        <f t="shared" ref="M119:M120" si="55">AVERAGE(I119:L119)</f>
        <v>430.68294067382811</v>
      </c>
      <c r="N119" s="35">
        <f t="shared" ref="N119:N120" si="56">AVERAGE(J119:M119)</f>
        <v>432.26422271728518</v>
      </c>
      <c r="O119" s="35">
        <f t="shared" ref="O119:O120" si="57">AVERAGE(K119:N119)</f>
        <v>437.96846199035645</v>
      </c>
      <c r="P119" s="35">
        <f t="shared" ref="P119:P120" si="58">AVERAGE(L119:O119)</f>
        <v>436.94580698013306</v>
      </c>
    </row>
    <row r="120" spans="2:89" x14ac:dyDescent="0.25">
      <c r="B120" t="s">
        <v>67</v>
      </c>
      <c r="C120" s="35">
        <f t="shared" si="41"/>
        <v>145.29999999999998</v>
      </c>
      <c r="D120" s="35">
        <f t="shared" si="42"/>
        <v>218.7</v>
      </c>
      <c r="E120" s="36">
        <f t="shared" si="43"/>
        <v>571</v>
      </c>
      <c r="F120" s="35">
        <f>SUM(O40:P40)</f>
        <v>65</v>
      </c>
      <c r="G120" s="35">
        <f t="shared" si="53"/>
        <v>250</v>
      </c>
      <c r="H120" s="35">
        <f t="shared" si="53"/>
        <v>276.17500000000001</v>
      </c>
      <c r="I120" s="35">
        <f t="shared" si="53"/>
        <v>290.54374999999999</v>
      </c>
      <c r="J120" s="35">
        <f t="shared" si="53"/>
        <v>220.4296875</v>
      </c>
      <c r="K120" s="35">
        <f t="shared" si="53"/>
        <v>259.287109375</v>
      </c>
      <c r="L120" s="35">
        <f t="shared" si="54"/>
        <v>261.60888671875</v>
      </c>
      <c r="M120" s="35">
        <f t="shared" si="55"/>
        <v>257.96735839843751</v>
      </c>
      <c r="N120" s="35">
        <f t="shared" si="56"/>
        <v>249.82326049804686</v>
      </c>
      <c r="O120" s="35">
        <f t="shared" si="57"/>
        <v>257.17165374755859</v>
      </c>
      <c r="P120" s="35">
        <f t="shared" si="58"/>
        <v>256.64278984069824</v>
      </c>
    </row>
    <row r="121" spans="2:89" x14ac:dyDescent="0.25">
      <c r="B121" t="s">
        <v>68</v>
      </c>
      <c r="C121" s="35">
        <f t="shared" si="41"/>
        <v>6312.6</v>
      </c>
      <c r="D121" s="35">
        <f t="shared" si="42"/>
        <v>12680.3</v>
      </c>
      <c r="E121" s="36">
        <f t="shared" si="43"/>
        <v>25731.800000000003</v>
      </c>
      <c r="F121" s="35">
        <f t="shared" ref="F121:K121" si="59">F115-SUM(F116:F120)</f>
        <v>36943.838140771149</v>
      </c>
      <c r="G121" s="35">
        <f t="shared" si="59"/>
        <v>44693.651201196699</v>
      </c>
      <c r="H121" s="35">
        <f t="shared" si="59"/>
        <v>50470.688022517403</v>
      </c>
      <c r="I121" s="35">
        <f t="shared" si="59"/>
        <v>56656.985141428922</v>
      </c>
      <c r="J121" s="35">
        <f t="shared" si="59"/>
        <v>53592.817730823946</v>
      </c>
      <c r="K121" s="35">
        <f t="shared" si="59"/>
        <v>55031.570696195791</v>
      </c>
      <c r="L121" s="35">
        <f t="shared" ref="L121:P121" si="60">L115-SUM(L116:L120)</f>
        <v>57109.479578100305</v>
      </c>
      <c r="M121" s="35">
        <f t="shared" si="60"/>
        <v>59256.09204768682</v>
      </c>
      <c r="N121" s="35">
        <f t="shared" si="60"/>
        <v>62807.373230111007</v>
      </c>
      <c r="O121" s="35">
        <f t="shared" si="60"/>
        <v>64533.172431778847</v>
      </c>
      <c r="P121" s="35">
        <f t="shared" si="60"/>
        <v>66305.509345521568</v>
      </c>
    </row>
    <row r="122" spans="2:89" x14ac:dyDescent="0.25">
      <c r="B122" t="s">
        <v>69</v>
      </c>
      <c r="C122" s="35">
        <f t="shared" si="41"/>
        <v>1314.2</v>
      </c>
      <c r="D122" s="35">
        <f t="shared" si="42"/>
        <v>2090.4</v>
      </c>
      <c r="E122" s="36">
        <f t="shared" si="43"/>
        <v>5091.3</v>
      </c>
      <c r="F122" s="35">
        <f t="shared" ref="F122:K122" si="61">F121*0.25</f>
        <v>9235.9595351927874</v>
      </c>
      <c r="G122" s="35">
        <f t="shared" si="61"/>
        <v>11173.412800299175</v>
      </c>
      <c r="H122" s="35">
        <f t="shared" si="61"/>
        <v>12617.672005629351</v>
      </c>
      <c r="I122" s="35">
        <f t="shared" si="61"/>
        <v>14164.246285357231</v>
      </c>
      <c r="J122" s="35">
        <f t="shared" si="61"/>
        <v>13398.204432705987</v>
      </c>
      <c r="K122" s="35">
        <f t="shared" si="61"/>
        <v>13757.892674048948</v>
      </c>
      <c r="L122" s="35">
        <f t="shared" ref="L122:P122" si="62">L121*0.25</f>
        <v>14277.369894525076</v>
      </c>
      <c r="M122" s="35">
        <f t="shared" si="62"/>
        <v>14814.023011921705</v>
      </c>
      <c r="N122" s="35">
        <f t="shared" si="62"/>
        <v>15701.843307527752</v>
      </c>
      <c r="O122" s="35">
        <f t="shared" si="62"/>
        <v>16133.293107944712</v>
      </c>
      <c r="P122" s="35">
        <f t="shared" si="62"/>
        <v>16576.377336380392</v>
      </c>
    </row>
    <row r="123" spans="2:89" x14ac:dyDescent="0.25">
      <c r="B123" s="39" t="s">
        <v>70</v>
      </c>
      <c r="C123" s="51">
        <f t="shared" si="41"/>
        <v>4998.4000000000005</v>
      </c>
      <c r="D123" s="51">
        <f t="shared" si="42"/>
        <v>10589.899999999998</v>
      </c>
      <c r="E123" s="52">
        <f t="shared" si="43"/>
        <v>20640.5</v>
      </c>
      <c r="F123" s="51">
        <f t="shared" ref="F123:J123" si="63">F121-F122</f>
        <v>27707.878605578364</v>
      </c>
      <c r="G123" s="51">
        <f t="shared" si="63"/>
        <v>33520.23840089752</v>
      </c>
      <c r="H123" s="51">
        <f t="shared" si="63"/>
        <v>37853.016016888054</v>
      </c>
      <c r="I123" s="51">
        <f t="shared" si="63"/>
        <v>42492.738856071694</v>
      </c>
      <c r="J123" s="51">
        <f t="shared" si="63"/>
        <v>40194.613298117962</v>
      </c>
      <c r="K123" s="51">
        <f>K121-K122</f>
        <v>41273.678022146843</v>
      </c>
      <c r="L123" s="51">
        <f t="shared" ref="L123:P123" si="64">L121-L122</f>
        <v>42832.109683575225</v>
      </c>
      <c r="M123" s="51">
        <f t="shared" si="64"/>
        <v>44442.069035765118</v>
      </c>
      <c r="N123" s="51">
        <f t="shared" si="64"/>
        <v>47105.529922583257</v>
      </c>
      <c r="O123" s="51">
        <f t="shared" si="64"/>
        <v>48399.879323834131</v>
      </c>
      <c r="P123" s="51">
        <f t="shared" si="64"/>
        <v>49729.132009141176</v>
      </c>
      <c r="Q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1"/>
      <c r="AT123" s="51"/>
      <c r="AU123" s="51"/>
      <c r="AV123" s="51"/>
      <c r="AW123" s="51"/>
      <c r="AX123" s="51"/>
      <c r="AY123" s="51"/>
      <c r="AZ123" s="51"/>
      <c r="BA123" s="51"/>
      <c r="BB123" s="51"/>
      <c r="BC123" s="51"/>
      <c r="BD123" s="51"/>
      <c r="BE123" s="51"/>
      <c r="BF123" s="51"/>
      <c r="BG123" s="51"/>
      <c r="BH123" s="51"/>
      <c r="BI123" s="51"/>
      <c r="BJ123" s="51"/>
      <c r="BK123" s="51"/>
      <c r="BL123" s="51"/>
      <c r="BM123" s="51"/>
      <c r="BN123" s="51"/>
      <c r="BO123" s="51"/>
      <c r="BP123" s="51"/>
      <c r="BQ123" s="51"/>
      <c r="BR123" s="51"/>
      <c r="BS123" s="51"/>
      <c r="BT123" s="51"/>
      <c r="BU123" s="51"/>
      <c r="BV123" s="51"/>
      <c r="BW123" s="51"/>
      <c r="BX123" s="51"/>
      <c r="BY123" s="51"/>
      <c r="BZ123" s="51"/>
      <c r="CA123" s="51"/>
      <c r="CB123" s="51"/>
      <c r="CC123" s="51"/>
      <c r="CD123" s="51"/>
      <c r="CE123" s="51"/>
      <c r="CF123" s="51"/>
      <c r="CG123" s="51"/>
      <c r="CH123" s="51"/>
    </row>
    <row r="124" spans="2:89" x14ac:dyDescent="0.25">
      <c r="B124" t="s">
        <v>71</v>
      </c>
      <c r="C124" s="13">
        <f t="shared" ref="C124:K124" si="65">C123/C125</f>
        <v>5.5428460536164792</v>
      </c>
      <c r="D124" s="13">
        <f t="shared" si="65"/>
        <v>11.711252419131874</v>
      </c>
      <c r="E124" s="41">
        <f t="shared" si="65"/>
        <v>22.951740242410764</v>
      </c>
      <c r="F124" s="13">
        <f t="shared" si="65"/>
        <v>30.927423379370872</v>
      </c>
      <c r="G124" s="13">
        <f t="shared" si="65"/>
        <v>37.32973818241274</v>
      </c>
      <c r="H124" s="13">
        <f t="shared" si="65"/>
        <v>42.154926239643693</v>
      </c>
      <c r="I124" s="13">
        <f t="shared" si="65"/>
        <v>47.321943155043925</v>
      </c>
      <c r="J124" s="13">
        <f t="shared" si="65"/>
        <v>44.762640790821273</v>
      </c>
      <c r="K124" s="13">
        <f t="shared" si="65"/>
        <v>45.964338796310308</v>
      </c>
      <c r="L124" s="13">
        <f t="shared" ref="L124:P124" si="66">L123/L125</f>
        <v>47.646820939513013</v>
      </c>
      <c r="M124" s="13">
        <f t="shared" si="66"/>
        <v>49.382820196416596</v>
      </c>
      <c r="N124" s="13">
        <f t="shared" si="66"/>
        <v>52.284288720332157</v>
      </c>
      <c r="O124" s="13">
        <f t="shared" si="66"/>
        <v>53.661377375502113</v>
      </c>
      <c r="P124" s="13">
        <f t="shared" si="66"/>
        <v>55.074070556665568</v>
      </c>
      <c r="Q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  <c r="CE124" s="13"/>
      <c r="CF124" s="13"/>
      <c r="CG124" s="13"/>
      <c r="CH124" s="13"/>
      <c r="CI124" s="13"/>
      <c r="CJ124" s="13"/>
      <c r="CK124" s="13"/>
    </row>
    <row r="125" spans="2:89" x14ac:dyDescent="0.25">
      <c r="B125" t="s">
        <v>8</v>
      </c>
      <c r="C125" s="53">
        <f>AVERAGE(C45:F45)</f>
        <v>901.77499999999998</v>
      </c>
      <c r="D125" s="53">
        <f>AVERAGE(G45:J45)</f>
        <v>904.25</v>
      </c>
      <c r="E125" s="54">
        <f>AVERAGE(K45:N45)</f>
        <v>899.3</v>
      </c>
      <c r="F125" s="53">
        <f>AVERAGE(O45:P45)</f>
        <v>895.9</v>
      </c>
      <c r="G125" s="53">
        <v>897.95</v>
      </c>
      <c r="H125" s="53">
        <v>897.95</v>
      </c>
      <c r="I125" s="53">
        <v>897.95</v>
      </c>
      <c r="J125" s="53">
        <v>897.95</v>
      </c>
      <c r="K125" s="53">
        <v>897.95</v>
      </c>
      <c r="L125" s="53">
        <v>898.95</v>
      </c>
      <c r="M125" s="53">
        <v>899.95</v>
      </c>
      <c r="N125" s="53">
        <v>900.95</v>
      </c>
      <c r="O125" s="53">
        <v>901.95</v>
      </c>
      <c r="P125" s="53">
        <v>902.95</v>
      </c>
    </row>
    <row r="129" spans="2:16" ht="18.75" x14ac:dyDescent="0.3">
      <c r="B129" s="55" t="s">
        <v>38</v>
      </c>
    </row>
    <row r="131" spans="2:16" ht="16.5" thickBot="1" x14ac:dyDescent="0.3">
      <c r="B131" s="56" t="s">
        <v>79</v>
      </c>
      <c r="C131" s="57" t="s">
        <v>80</v>
      </c>
      <c r="D131" s="57" t="s">
        <v>81</v>
      </c>
      <c r="E131" s="57" t="s">
        <v>82</v>
      </c>
      <c r="F131" s="57" t="s">
        <v>83</v>
      </c>
      <c r="G131" s="57" t="s">
        <v>84</v>
      </c>
      <c r="H131" s="57" t="s">
        <v>85</v>
      </c>
      <c r="I131" s="57" t="s">
        <v>86</v>
      </c>
      <c r="J131" s="57" t="s">
        <v>87</v>
      </c>
      <c r="K131" s="57" t="s">
        <v>88</v>
      </c>
      <c r="L131" s="57" t="s">
        <v>291</v>
      </c>
      <c r="M131" s="57" t="s">
        <v>292</v>
      </c>
      <c r="N131" s="57" t="s">
        <v>293</v>
      </c>
      <c r="O131" s="57" t="s">
        <v>294</v>
      </c>
      <c r="P131" s="57" t="s">
        <v>295</v>
      </c>
    </row>
    <row r="132" spans="2:16" x14ac:dyDescent="0.25">
      <c r="B132" s="75"/>
      <c r="C132" s="76"/>
      <c r="D132" s="76"/>
      <c r="E132" s="76"/>
      <c r="F132" s="76"/>
      <c r="G132" s="76"/>
      <c r="H132" s="76"/>
      <c r="I132" s="76"/>
      <c r="J132" s="76"/>
      <c r="K132" s="76"/>
    </row>
    <row r="133" spans="2:16" x14ac:dyDescent="0.25">
      <c r="B133" s="75"/>
      <c r="C133" s="76"/>
      <c r="D133" s="76"/>
      <c r="E133" s="76"/>
      <c r="F133" s="76"/>
      <c r="G133" s="76"/>
      <c r="H133" s="76"/>
      <c r="I133" s="76"/>
      <c r="J133" s="76"/>
      <c r="K133" s="76"/>
    </row>
    <row r="134" spans="2:16" x14ac:dyDescent="0.25">
      <c r="B134" s="75"/>
      <c r="C134" s="76"/>
      <c r="D134" s="76"/>
      <c r="E134" s="76"/>
      <c r="F134" s="76"/>
      <c r="G134" s="76"/>
      <c r="H134" s="76"/>
      <c r="I134" s="76"/>
      <c r="J134" s="76"/>
      <c r="K134" s="76"/>
    </row>
    <row r="135" spans="2:16" x14ac:dyDescent="0.25">
      <c r="B135" s="75"/>
      <c r="C135" s="76"/>
      <c r="D135" s="76"/>
      <c r="E135" s="76"/>
      <c r="F135" s="76"/>
      <c r="G135" s="76"/>
      <c r="H135" s="76"/>
      <c r="I135" s="76"/>
      <c r="J135" s="76"/>
      <c r="K135" s="76"/>
    </row>
    <row r="136" spans="2:16" x14ac:dyDescent="0.25">
      <c r="B136" s="75"/>
      <c r="C136" s="76"/>
      <c r="D136" s="76"/>
      <c r="E136" s="76"/>
      <c r="F136" s="76"/>
      <c r="G136" s="76"/>
      <c r="H136" s="76"/>
      <c r="I136" s="76"/>
      <c r="J136" s="76"/>
      <c r="K136" s="76"/>
    </row>
    <row r="137" spans="2:16" x14ac:dyDescent="0.25">
      <c r="B137" s="75"/>
      <c r="C137" s="76"/>
      <c r="D137" s="76"/>
      <c r="E137" s="76"/>
      <c r="F137" s="76"/>
      <c r="G137" s="76"/>
      <c r="H137" s="76"/>
      <c r="I137" s="76"/>
      <c r="J137" s="76"/>
      <c r="K137" s="76"/>
    </row>
    <row r="138" spans="2:16" x14ac:dyDescent="0.25">
      <c r="B138" s="75"/>
      <c r="C138" s="76"/>
      <c r="D138" s="76"/>
      <c r="E138" s="76"/>
      <c r="F138" s="76"/>
      <c r="G138" s="76"/>
      <c r="H138" s="76"/>
      <c r="I138" s="76"/>
      <c r="J138" s="76"/>
      <c r="K138" s="76"/>
    </row>
    <row r="139" spans="2:16" x14ac:dyDescent="0.25">
      <c r="B139" s="75"/>
      <c r="C139" s="76"/>
      <c r="D139" s="76"/>
      <c r="E139" s="76"/>
      <c r="F139" s="76"/>
      <c r="G139" s="76"/>
      <c r="H139" s="76"/>
      <c r="I139" s="76"/>
      <c r="J139" s="76"/>
      <c r="K139" s="76"/>
    </row>
    <row r="140" spans="2:16" x14ac:dyDescent="0.25">
      <c r="B140" s="75"/>
      <c r="C140" s="76"/>
      <c r="D140" s="76"/>
      <c r="E140" s="76"/>
      <c r="F140" s="76"/>
      <c r="G140" s="76"/>
      <c r="H140" s="76"/>
      <c r="I140" s="76"/>
      <c r="J140" s="76"/>
      <c r="K140" s="76"/>
    </row>
    <row r="141" spans="2:16" x14ac:dyDescent="0.25">
      <c r="B141" s="75"/>
      <c r="C141" s="76"/>
      <c r="D141" s="76"/>
      <c r="E141" s="76"/>
      <c r="F141" s="76"/>
      <c r="G141" s="76"/>
      <c r="H141" s="76"/>
      <c r="I141" s="76"/>
      <c r="J141" s="76"/>
      <c r="K141" s="76"/>
    </row>
    <row r="142" spans="2:16" x14ac:dyDescent="0.25">
      <c r="B142" s="75"/>
      <c r="C142" s="76"/>
      <c r="D142" s="76"/>
      <c r="E142" s="76"/>
      <c r="F142" s="76"/>
      <c r="G142" s="76"/>
      <c r="H142" s="76"/>
      <c r="I142" s="76"/>
      <c r="J142" s="76"/>
      <c r="K142" s="76"/>
    </row>
    <row r="143" spans="2:16" x14ac:dyDescent="0.25">
      <c r="B143" s="75"/>
      <c r="C143" s="76"/>
      <c r="D143" s="76"/>
      <c r="E143" s="76"/>
      <c r="F143" s="76"/>
      <c r="G143" s="76"/>
      <c r="H143" s="76"/>
      <c r="I143" s="76"/>
      <c r="J143" s="76"/>
      <c r="K143" s="76"/>
    </row>
    <row r="144" spans="2:16" x14ac:dyDescent="0.25">
      <c r="B144" s="75"/>
      <c r="C144" s="76"/>
      <c r="D144" s="76"/>
      <c r="E144" s="76"/>
      <c r="F144" s="76"/>
      <c r="G144" s="76"/>
      <c r="H144" s="76"/>
      <c r="I144" s="76"/>
      <c r="J144" s="76"/>
      <c r="K144" s="76"/>
    </row>
    <row r="145" spans="2:16" x14ac:dyDescent="0.25">
      <c r="B145" s="75"/>
      <c r="C145" s="76"/>
      <c r="D145" s="76"/>
      <c r="E145" s="76"/>
      <c r="F145" s="76"/>
      <c r="G145" s="76"/>
      <c r="H145" s="76"/>
      <c r="I145" s="76"/>
      <c r="J145" s="76"/>
      <c r="K145" s="76"/>
    </row>
    <row r="146" spans="2:16" x14ac:dyDescent="0.25">
      <c r="B146" s="75"/>
      <c r="C146" s="76"/>
      <c r="D146" s="76"/>
      <c r="E146" s="76"/>
      <c r="F146" s="76"/>
      <c r="G146" s="76"/>
      <c r="H146" s="76"/>
      <c r="I146" s="76"/>
      <c r="J146" s="76"/>
      <c r="K146" s="76"/>
    </row>
    <row r="147" spans="2:16" x14ac:dyDescent="0.25">
      <c r="B147" s="75"/>
      <c r="C147" s="76"/>
      <c r="D147" s="76"/>
      <c r="E147" s="76"/>
      <c r="F147" s="76"/>
      <c r="G147" s="76"/>
      <c r="H147" s="76"/>
      <c r="I147" s="76"/>
      <c r="J147" s="76"/>
      <c r="K147" s="76"/>
    </row>
    <row r="148" spans="2:16" x14ac:dyDescent="0.25">
      <c r="B148" s="75"/>
      <c r="C148" s="76"/>
      <c r="D148" s="76"/>
      <c r="E148" s="76"/>
      <c r="F148" s="76"/>
      <c r="G148" s="76"/>
      <c r="H148" s="76"/>
      <c r="I148" s="76"/>
      <c r="J148" s="76"/>
      <c r="K148" s="76"/>
    </row>
    <row r="149" spans="2:16" x14ac:dyDescent="0.25">
      <c r="B149" s="75"/>
      <c r="C149" s="76"/>
      <c r="D149" s="76"/>
      <c r="E149" s="76"/>
      <c r="F149" s="76"/>
      <c r="G149" s="76"/>
      <c r="H149" s="76"/>
      <c r="I149" s="76"/>
      <c r="J149" s="76"/>
      <c r="K149" s="76"/>
    </row>
    <row r="150" spans="2:16" x14ac:dyDescent="0.25">
      <c r="B150" s="58" t="s">
        <v>60</v>
      </c>
      <c r="C150" s="59">
        <f>SUM(Model!C33:F33)</f>
        <v>34124.1</v>
      </c>
      <c r="D150" s="59">
        <f>SUM(Model!G33:J33)</f>
        <v>45042.7</v>
      </c>
      <c r="E150" s="59">
        <f>SUM(Model!K33:N33)</f>
        <v>65179.5</v>
      </c>
      <c r="F150" s="59">
        <f>Model!F86+Model!F96+Model!F104+Model!F109</f>
        <v>79045.864000000001</v>
      </c>
      <c r="G150" s="59">
        <f>Model!G86+Model!G96+Model!G104+Model!G109</f>
        <v>96604.945839999986</v>
      </c>
      <c r="H150" s="59">
        <f>Model!H86+Model!H96+Model!H104+Model!H109</f>
        <v>109411.31094340001</v>
      </c>
      <c r="I150" s="59">
        <f>Model!I86+Model!I96+Model!I104+Model!I109</f>
        <v>122698.94633408402</v>
      </c>
      <c r="J150" s="59">
        <f>Model!J86+Model!J96+Model!J104+Model!J109</f>
        <v>115854.11432216559</v>
      </c>
      <c r="K150" s="59">
        <f>Model!K86+Model!K96+Model!K104+Model!K109</f>
        <v>119136.61256904621</v>
      </c>
      <c r="L150" s="59">
        <f>Model!L86+Model!L96+Model!L104+Model!L109</f>
        <v>123668.48704133996</v>
      </c>
      <c r="M150" s="59">
        <f>Model!M86+Model!M96+Model!M104+Model!M109</f>
        <v>128291.09967194265</v>
      </c>
      <c r="N150" s="59">
        <f>Model!N86+Model!N96+Model!N104+Model!N109</f>
        <v>135995.61613037981</v>
      </c>
      <c r="O150" s="59">
        <f>Model!O86+Model!O96+Model!O104+Model!O109</f>
        <v>139775.0454643603</v>
      </c>
      <c r="P150" s="59">
        <f>Model!P86+Model!P96+Model!P104+Model!P109</f>
        <v>143623.88303280339</v>
      </c>
    </row>
    <row r="151" spans="2:16" x14ac:dyDescent="0.25">
      <c r="B151" s="60" t="s">
        <v>61</v>
      </c>
      <c r="C151" s="61">
        <f>Model!C114</f>
        <v>7082.2000000000007</v>
      </c>
      <c r="D151" s="61">
        <f>Model!D114</f>
        <v>8418.2999999999993</v>
      </c>
      <c r="E151" s="61">
        <f>Model!E114</f>
        <v>11052.8</v>
      </c>
      <c r="F151" s="61">
        <f>F150-F152</f>
        <v>14878.323005267812</v>
      </c>
      <c r="G151" s="61">
        <f>G150-G152</f>
        <v>18183.362359274382</v>
      </c>
      <c r="H151" s="61">
        <f>H150-H152</f>
        <v>20593.826700985868</v>
      </c>
      <c r="I151" s="61">
        <f>I150-I152</f>
        <v>23094.877626545043</v>
      </c>
      <c r="J151" s="61">
        <f>J150-J152</f>
        <v>21806.516459538005</v>
      </c>
      <c r="K151" s="61">
        <f>K150-K152</f>
        <v>22424.361172846664</v>
      </c>
      <c r="L151" s="61">
        <f>L150-L152</f>
        <v>23277.368386710688</v>
      </c>
      <c r="M151" s="61">
        <f>M150-M152</f>
        <v>24147.454693140797</v>
      </c>
      <c r="N151" s="61">
        <f>N150-N152</f>
        <v>25597.629043414592</v>
      </c>
      <c r="O151" s="61">
        <f>O150-O152</f>
        <v>26309.008077826133</v>
      </c>
      <c r="P151" s="61">
        <f>P150-P152</f>
        <v>27033.451402755891</v>
      </c>
    </row>
    <row r="152" spans="2:16" x14ac:dyDescent="0.25">
      <c r="B152" s="58" t="s">
        <v>62</v>
      </c>
      <c r="C152" s="59">
        <v>27041.9</v>
      </c>
      <c r="D152" s="59">
        <v>36624.399999999994</v>
      </c>
      <c r="E152" s="59">
        <v>54126.7</v>
      </c>
      <c r="F152" s="59">
        <v>64167.54099473219</v>
      </c>
      <c r="G152" s="59">
        <v>78421.583480725603</v>
      </c>
      <c r="H152" s="59">
        <v>88817.484242414139</v>
      </c>
      <c r="I152" s="59">
        <v>99604.068707538972</v>
      </c>
      <c r="J152" s="59">
        <v>94047.59786262759</v>
      </c>
      <c r="K152" s="59">
        <v>96712.251396199543</v>
      </c>
      <c r="L152" s="59">
        <v>100391.11865462927</v>
      </c>
      <c r="M152" s="59">
        <v>104143.64497880185</v>
      </c>
      <c r="N152" s="59">
        <v>110397.98708696522</v>
      </c>
      <c r="O152" s="59">
        <v>113466.03738653417</v>
      </c>
      <c r="P152" s="59">
        <v>116590.4316300475</v>
      </c>
    </row>
    <row r="153" spans="2:16" x14ac:dyDescent="0.25">
      <c r="B153" s="60" t="s">
        <v>63</v>
      </c>
      <c r="C153" s="61">
        <v>9313.4000000000015</v>
      </c>
      <c r="D153" s="61">
        <v>10990.6</v>
      </c>
      <c r="E153" s="61">
        <v>13337.3</v>
      </c>
      <c r="F153" s="61">
        <v>13884.112248274565</v>
      </c>
      <c r="G153" s="61">
        <v>16968.299717503814</v>
      </c>
      <c r="H153" s="61">
        <v>19217.690154782002</v>
      </c>
      <c r="I153" s="61">
        <v>21551.61392944531</v>
      </c>
      <c r="J153" s="61">
        <v>20349.344624449688</v>
      </c>
      <c r="K153" s="61">
        <v>20925.903242550881</v>
      </c>
      <c r="L153" s="61">
        <v>21721.910151507138</v>
      </c>
      <c r="M153" s="61">
        <v>22533.854880754192</v>
      </c>
      <c r="N153" s="61">
        <v>23887.124563879173</v>
      </c>
      <c r="O153" s="61">
        <v>24550.96728065189</v>
      </c>
      <c r="P153" s="61">
        <v>25227.001295861592</v>
      </c>
    </row>
    <row r="154" spans="2:16" x14ac:dyDescent="0.25">
      <c r="B154" s="60" t="s">
        <v>64</v>
      </c>
      <c r="C154" s="61">
        <v>7403.1</v>
      </c>
      <c r="D154" s="61">
        <v>8593.7999999999993</v>
      </c>
      <c r="E154" s="61">
        <v>11093.1</v>
      </c>
      <c r="F154" s="61">
        <v>11605.693828044892</v>
      </c>
      <c r="G154" s="61">
        <v>14183.758225400625</v>
      </c>
      <c r="H154" s="61">
        <v>16064.017924253674</v>
      </c>
      <c r="I154" s="61">
        <v>18014.938823074797</v>
      </c>
      <c r="J154" s="61">
        <v>17009.964993770765</v>
      </c>
      <c r="K154" s="61">
        <v>17491.908864286121</v>
      </c>
      <c r="L154" s="61">
        <v>18157.288998439297</v>
      </c>
      <c r="M154" s="61">
        <v>18835.991515707352</v>
      </c>
      <c r="N154" s="61">
        <v>19967.186173909256</v>
      </c>
      <c r="O154" s="61">
        <v>20522.09059869876</v>
      </c>
      <c r="P154" s="61">
        <v>21087.185698591999</v>
      </c>
    </row>
    <row r="155" spans="2:16" x14ac:dyDescent="0.25">
      <c r="B155" s="60" t="s">
        <v>65</v>
      </c>
      <c r="C155" s="61">
        <v>3799.7999999999997</v>
      </c>
      <c r="D155" s="61">
        <v>3280.4</v>
      </c>
      <c r="E155" s="61">
        <v>2909.5</v>
      </c>
      <c r="F155" s="61">
        <v>2310.0631205106397</v>
      </c>
      <c r="G155" s="61">
        <v>2823.2156794935122</v>
      </c>
      <c r="H155" s="61">
        <v>3197.4732337301107</v>
      </c>
      <c r="I155" s="61">
        <v>3585.7955939589915</v>
      </c>
      <c r="J155" s="61">
        <v>3385.7599033272418</v>
      </c>
      <c r="K155" s="61">
        <v>3481.6887446295482</v>
      </c>
      <c r="L155" s="61">
        <v>3614.1297801937799</v>
      </c>
      <c r="M155" s="61">
        <v>3749.2225784502702</v>
      </c>
      <c r="N155" s="61">
        <v>3974.3819787194975</v>
      </c>
      <c r="O155" s="61">
        <v>4084.8333025358129</v>
      </c>
      <c r="P155" s="61">
        <v>4197.3130361205613</v>
      </c>
    </row>
    <row r="156" spans="2:16" x14ac:dyDescent="0.25">
      <c r="B156" s="60" t="s">
        <v>66</v>
      </c>
      <c r="C156" s="61">
        <v>67.7</v>
      </c>
      <c r="D156" s="61">
        <v>860.6</v>
      </c>
      <c r="E156" s="61">
        <v>484</v>
      </c>
      <c r="F156" s="61">
        <v>279</v>
      </c>
      <c r="G156" s="61">
        <v>422.82500000000005</v>
      </c>
      <c r="H156" s="61">
        <v>511.60624999999999</v>
      </c>
      <c r="I156" s="61">
        <v>424.35781250000002</v>
      </c>
      <c r="J156" s="61">
        <v>409.447265625</v>
      </c>
      <c r="K156" s="61">
        <v>442.05908203125</v>
      </c>
      <c r="L156" s="61">
        <v>446.86760253906249</v>
      </c>
      <c r="M156" s="61">
        <v>430.68294067382811</v>
      </c>
      <c r="N156" s="61">
        <v>432.26422271728518</v>
      </c>
      <c r="O156" s="61">
        <v>437.96846199035645</v>
      </c>
      <c r="P156" s="61">
        <v>436.94580698013306</v>
      </c>
    </row>
    <row r="157" spans="2:16" x14ac:dyDescent="0.25">
      <c r="B157" s="60" t="s">
        <v>67</v>
      </c>
      <c r="C157" s="61">
        <v>145.29999999999998</v>
      </c>
      <c r="D157" s="61">
        <v>218.7</v>
      </c>
      <c r="E157" s="61">
        <v>571</v>
      </c>
      <c r="F157" s="61">
        <v>65</v>
      </c>
      <c r="G157" s="61">
        <v>250</v>
      </c>
      <c r="H157" s="61">
        <v>276.17500000000001</v>
      </c>
      <c r="I157" s="61">
        <v>290.54374999999999</v>
      </c>
      <c r="J157" s="61">
        <v>220.4296875</v>
      </c>
      <c r="K157" s="61">
        <v>259.287109375</v>
      </c>
      <c r="L157" s="61">
        <v>261.60888671875</v>
      </c>
      <c r="M157" s="61">
        <v>257.96735839843751</v>
      </c>
      <c r="N157" s="61">
        <v>249.82326049804686</v>
      </c>
      <c r="O157" s="61">
        <v>257.17165374755859</v>
      </c>
      <c r="P157" s="61">
        <v>256.64278984069824</v>
      </c>
    </row>
    <row r="158" spans="2:16" x14ac:dyDescent="0.25">
      <c r="B158" s="58" t="s">
        <v>68</v>
      </c>
      <c r="C158" s="59">
        <f>C152-SUM(C153:C157)</f>
        <v>6312.6000000000022</v>
      </c>
      <c r="D158" s="59">
        <f>D152-SUM(D153:D157)</f>
        <v>12680.299999999992</v>
      </c>
      <c r="E158" s="59">
        <f>E152-SUM(E153:E157)</f>
        <v>25731.799999999996</v>
      </c>
      <c r="F158" s="59">
        <f>F152-SUM(F153:F157)</f>
        <v>36023.67179790209</v>
      </c>
      <c r="G158" s="59">
        <f>G152-SUM(G153:G157)</f>
        <v>43773.484858327654</v>
      </c>
      <c r="H158" s="59">
        <f>H152-SUM(H153:H157)</f>
        <v>49550.521679648351</v>
      </c>
      <c r="I158" s="59">
        <f>I152-SUM(I153:I157)</f>
        <v>55736.818798559885</v>
      </c>
      <c r="J158" s="59">
        <f>J152-SUM(J153:J157)</f>
        <v>52672.651387954895</v>
      </c>
      <c r="K158" s="59">
        <f>K152-SUM(K153:K157)</f>
        <v>54111.40435332674</v>
      </c>
      <c r="L158" s="59">
        <f>L152-SUM(L153:L157)</f>
        <v>56189.313235231253</v>
      </c>
      <c r="M158" s="59">
        <f>M152-SUM(M153:M157)</f>
        <v>58335.925704817768</v>
      </c>
      <c r="N158" s="59">
        <f>N152-SUM(N153:N157)</f>
        <v>61887.20688724197</v>
      </c>
      <c r="O158" s="59">
        <f>O152-SUM(O153:O157)</f>
        <v>63613.006088909788</v>
      </c>
      <c r="P158" s="59">
        <f>P152-SUM(P153:P157)</f>
        <v>65385.343002652524</v>
      </c>
    </row>
    <row r="159" spans="2:16" x14ac:dyDescent="0.25">
      <c r="B159" s="60" t="s">
        <v>69</v>
      </c>
      <c r="C159" s="61">
        <v>1314.2</v>
      </c>
      <c r="D159" s="61">
        <v>2090.4</v>
      </c>
      <c r="E159" s="61">
        <v>5091.3</v>
      </c>
      <c r="F159" s="61">
        <v>9005.9179494755226</v>
      </c>
      <c r="G159" s="61">
        <v>10943.371214581914</v>
      </c>
      <c r="H159" s="61">
        <v>12387.630419912088</v>
      </c>
      <c r="I159" s="61">
        <v>13934.204699639971</v>
      </c>
      <c r="J159" s="61">
        <v>13168.162846988724</v>
      </c>
      <c r="K159" s="61">
        <v>13527.851088331685</v>
      </c>
      <c r="L159" s="61">
        <v>14047.328308807813</v>
      </c>
      <c r="M159" s="61">
        <v>14583.981426204442</v>
      </c>
      <c r="N159" s="61">
        <v>15471.801721810492</v>
      </c>
      <c r="O159" s="61">
        <v>15903.251522227447</v>
      </c>
      <c r="P159" s="61">
        <v>16346.335750663131</v>
      </c>
    </row>
    <row r="160" spans="2:16" x14ac:dyDescent="0.25">
      <c r="B160" s="58" t="s">
        <v>70</v>
      </c>
      <c r="C160" s="59">
        <f>C158-C159</f>
        <v>4998.4000000000024</v>
      </c>
      <c r="D160" s="59">
        <f>D158-D159</f>
        <v>10589.899999999992</v>
      </c>
      <c r="E160" s="59">
        <f>E158-E159</f>
        <v>20640.499999999996</v>
      </c>
      <c r="F160" s="59">
        <f>F158-F159</f>
        <v>27017.753848426568</v>
      </c>
      <c r="G160" s="59">
        <f>G158-G159</f>
        <v>32830.113643745739</v>
      </c>
      <c r="H160" s="59">
        <f>H158-H159</f>
        <v>37162.891259736265</v>
      </c>
      <c r="I160" s="59">
        <f>I158-I159</f>
        <v>41802.614098919912</v>
      </c>
      <c r="J160" s="59">
        <f>J158-J159</f>
        <v>39504.488540966173</v>
      </c>
      <c r="K160" s="59">
        <f>K158-K159</f>
        <v>40583.553264995055</v>
      </c>
      <c r="L160" s="59">
        <f>L158-L159</f>
        <v>42141.984926423436</v>
      </c>
      <c r="M160" s="59">
        <f>M158-M159</f>
        <v>43751.94427861333</v>
      </c>
      <c r="N160" s="59">
        <f>N158-N159</f>
        <v>46415.405165431475</v>
      </c>
      <c r="O160" s="59">
        <f>O158-O159</f>
        <v>47709.754566682343</v>
      </c>
      <c r="P160" s="59">
        <f>P158-P159</f>
        <v>49039.007251989395</v>
      </c>
    </row>
    <row r="161" spans="2:16" x14ac:dyDescent="0.25">
      <c r="B161" s="60" t="s">
        <v>71</v>
      </c>
      <c r="C161" s="62">
        <f>C160/C162</f>
        <v>5.542846053616481</v>
      </c>
      <c r="D161" s="62">
        <f>D160/D162</f>
        <v>11.711252419131869</v>
      </c>
      <c r="E161" s="62">
        <f>E160/E162</f>
        <v>22.951740242410761</v>
      </c>
      <c r="F161" s="62">
        <f>F160/F162</f>
        <v>30.157108883163936</v>
      </c>
      <c r="G161" s="62">
        <f>G160/G162</f>
        <v>36.561182297172152</v>
      </c>
      <c r="H161" s="62">
        <f>H160/H162</f>
        <v>41.386370354403098</v>
      </c>
      <c r="I161" s="62">
        <f>I160/I162</f>
        <v>46.553387269803338</v>
      </c>
      <c r="J161" s="62">
        <f>J160/J162</f>
        <v>43.994084905580678</v>
      </c>
      <c r="K161" s="62">
        <f>K160/K162</f>
        <v>45.19578291106972</v>
      </c>
      <c r="L161" s="62">
        <f>L160/L162</f>
        <v>46.879120002695849</v>
      </c>
      <c r="M161" s="62">
        <f>M160/M162</f>
        <v>48.615972308031921</v>
      </c>
      <c r="N161" s="62">
        <f>N160/N162</f>
        <v>51.51829198671566</v>
      </c>
      <c r="O161" s="62">
        <f>O160/O162</f>
        <v>52.896229909288031</v>
      </c>
      <c r="P161" s="62">
        <f>P160/P162</f>
        <v>54.309770476758835</v>
      </c>
    </row>
    <row r="162" spans="2:16" x14ac:dyDescent="0.25">
      <c r="B162" s="60" t="s">
        <v>8</v>
      </c>
      <c r="C162" s="63">
        <v>901.77499999999998</v>
      </c>
      <c r="D162" s="63">
        <v>904.25</v>
      </c>
      <c r="E162" s="63">
        <v>899.3</v>
      </c>
      <c r="F162" s="63">
        <v>895.9</v>
      </c>
      <c r="G162" s="63">
        <v>897.95</v>
      </c>
      <c r="H162" s="63">
        <v>897.95</v>
      </c>
      <c r="I162" s="63">
        <v>897.95</v>
      </c>
      <c r="J162" s="63">
        <v>897.95</v>
      </c>
      <c r="K162" s="63">
        <v>897.95</v>
      </c>
      <c r="L162" s="63">
        <v>898.95</v>
      </c>
      <c r="M162" s="63">
        <v>899.95</v>
      </c>
      <c r="N162" s="63">
        <v>900.95</v>
      </c>
      <c r="O162" s="63">
        <v>901.95</v>
      </c>
      <c r="P162" s="63">
        <v>902.95</v>
      </c>
    </row>
    <row r="164" spans="2:16" ht="16.5" thickBot="1" x14ac:dyDescent="0.3">
      <c r="B164" s="56" t="s">
        <v>90</v>
      </c>
      <c r="C164" s="57" t="s">
        <v>80</v>
      </c>
      <c r="D164" s="57" t="s">
        <v>81</v>
      </c>
      <c r="E164" s="57" t="s">
        <v>82</v>
      </c>
      <c r="F164" s="57" t="s">
        <v>83</v>
      </c>
      <c r="G164" s="57" t="s">
        <v>84</v>
      </c>
      <c r="H164" s="57" t="s">
        <v>85</v>
      </c>
      <c r="I164" s="57" t="s">
        <v>86</v>
      </c>
      <c r="J164" s="57" t="s">
        <v>87</v>
      </c>
      <c r="K164" s="57" t="s">
        <v>88</v>
      </c>
      <c r="L164" s="57" t="s">
        <v>291</v>
      </c>
      <c r="M164" s="57" t="s">
        <v>292</v>
      </c>
      <c r="N164" s="57" t="s">
        <v>293</v>
      </c>
      <c r="O164" s="57" t="s">
        <v>294</v>
      </c>
      <c r="P164" s="57" t="s">
        <v>295</v>
      </c>
    </row>
    <row r="165" spans="2:16" x14ac:dyDescent="0.25">
      <c r="B165" s="60" t="s">
        <v>91</v>
      </c>
      <c r="C165" s="61">
        <v>2818.6</v>
      </c>
      <c r="D165" s="61">
        <v>3268</v>
      </c>
      <c r="E165" s="61">
        <v>7268</v>
      </c>
      <c r="F165" s="61">
        <f>F228</f>
        <v>13367.445358564193</v>
      </c>
      <c r="G165" s="61">
        <f>G228</f>
        <v>23224.764525561484</v>
      </c>
      <c r="H165" s="61">
        <f>H228</f>
        <v>36873.691594488089</v>
      </c>
      <c r="I165" s="61">
        <f>I228</f>
        <v>53275.311306065298</v>
      </c>
      <c r="J165" s="61">
        <f>J228</f>
        <v>72211.955425738008</v>
      </c>
      <c r="K165" s="61">
        <f>K228</f>
        <v>88819.518423962814</v>
      </c>
      <c r="L165" s="61">
        <f>L228</f>
        <v>105537.08277828094</v>
      </c>
      <c r="M165" s="61">
        <f>M228</f>
        <v>122626.72147998157</v>
      </c>
      <c r="N165" s="61">
        <f>N228</f>
        <v>140080.59816605205</v>
      </c>
      <c r="O165" s="61">
        <f>O228</f>
        <v>158497.66911270362</v>
      </c>
      <c r="P165" s="61">
        <f>P228</f>
        <v>176869.11806477729</v>
      </c>
    </row>
    <row r="166" spans="2:16" x14ac:dyDescent="0.25">
      <c r="B166" s="60" t="s">
        <v>92</v>
      </c>
      <c r="C166" s="61">
        <v>9090.5</v>
      </c>
      <c r="D166" s="61">
        <v>11006</v>
      </c>
      <c r="E166" s="61">
        <v>17760</v>
      </c>
      <c r="F166" s="61">
        <f>F$150*F$231</f>
        <v>21538.283427151175</v>
      </c>
      <c r="G166" s="61">
        <f>G$150*G$231</f>
        <v>26322.752370275928</v>
      </c>
      <c r="H166" s="61">
        <f>H$150*H$231</f>
        <v>29812.209089587741</v>
      </c>
      <c r="I166" s="61">
        <f>I$150*I$231</f>
        <v>33432.801523382848</v>
      </c>
      <c r="J166" s="61">
        <f>J$150*J$231</f>
        <v>31567.73326523924</v>
      </c>
      <c r="K166" s="61">
        <f>K$150*K$231</f>
        <v>32462.142839792585</v>
      </c>
      <c r="L166" s="61">
        <f>L$150*L$231</f>
        <v>33696.980336673303</v>
      </c>
      <c r="M166" s="61">
        <f>M$150*M$231</f>
        <v>34956.542013573307</v>
      </c>
      <c r="N166" s="61">
        <f>N$150*N$231</f>
        <v>37055.855636749984</v>
      </c>
      <c r="O166" s="61">
        <f>O$150*O$231</f>
        <v>38085.668154052102</v>
      </c>
      <c r="P166" s="61">
        <f>P$150*P$231</f>
        <v>39134.392909773596</v>
      </c>
    </row>
    <row r="167" spans="2:16" x14ac:dyDescent="0.25">
      <c r="B167" s="60" t="s">
        <v>93</v>
      </c>
      <c r="C167" s="61">
        <v>2245.6999999999998</v>
      </c>
      <c r="D167" s="61">
        <v>2270</v>
      </c>
      <c r="E167" s="61">
        <v>2395</v>
      </c>
      <c r="F167" s="61">
        <f>F$150*F$232</f>
        <v>2904.5151355871099</v>
      </c>
      <c r="G167" s="61">
        <f>G$150*G$232</f>
        <v>3549.718013897007</v>
      </c>
      <c r="H167" s="61">
        <f>H$150*H$232</f>
        <v>4020.2838271150135</v>
      </c>
      <c r="I167" s="61">
        <f>I$150*I$232</f>
        <v>4508.5337639922254</v>
      </c>
      <c r="J167" s="61">
        <f>J$150*J$232</f>
        <v>4257.022588414864</v>
      </c>
      <c r="K167" s="61">
        <f>K$150*K$232</f>
        <v>4377.6369426409483</v>
      </c>
      <c r="L167" s="61">
        <f>L$150*L$232</f>
        <v>4544.1592289601676</v>
      </c>
      <c r="M167" s="61">
        <f>M$150*M$232</f>
        <v>4714.0156600511309</v>
      </c>
      <c r="N167" s="61">
        <f>N$150*N$232</f>
        <v>4997.1156672306424</v>
      </c>
      <c r="O167" s="61">
        <f>O$150*O$232</f>
        <v>5135.989596224932</v>
      </c>
      <c r="P167" s="61">
        <f>P$150*P$232</f>
        <v>5277.4139087222848</v>
      </c>
    </row>
    <row r="168" spans="2:16" x14ac:dyDescent="0.25">
      <c r="B168" s="60" t="s">
        <v>94</v>
      </c>
      <c r="C168" s="61">
        <v>5772.8</v>
      </c>
      <c r="D168" s="61">
        <v>7589</v>
      </c>
      <c r="E168" s="61">
        <v>13744</v>
      </c>
      <c r="F168" s="61">
        <f>F$151*F$233</f>
        <v>18500.983586457805</v>
      </c>
      <c r="G168" s="61">
        <f>G$151*G$233</f>
        <v>22610.753136387804</v>
      </c>
      <c r="H168" s="61">
        <f>H$151*H$233</f>
        <v>25608.13134937299</v>
      </c>
      <c r="I168" s="61">
        <f>I$151*I$233</f>
        <v>28718.152694270691</v>
      </c>
      <c r="J168" s="61">
        <f>J$151*J$233</f>
        <v>27116.09386036935</v>
      </c>
      <c r="K168" s="61">
        <f>K$151*K$233</f>
        <v>27884.374996345232</v>
      </c>
      <c r="L168" s="61">
        <f>L$151*L$233</f>
        <v>28945.077365640536</v>
      </c>
      <c r="M168" s="61">
        <f>M$151*M$233</f>
        <v>30027.017344250067</v>
      </c>
      <c r="N168" s="61">
        <f>N$151*N$233</f>
        <v>31830.288575988907</v>
      </c>
      <c r="O168" s="61">
        <f>O$151*O$233</f>
        <v>32714.878313336205</v>
      </c>
      <c r="P168" s="61">
        <f>P$151*P$233</f>
        <v>33615.713310606996</v>
      </c>
    </row>
    <row r="169" spans="2:16" x14ac:dyDescent="0.25">
      <c r="B169" s="60" t="s">
        <v>95</v>
      </c>
      <c r="C169" s="61">
        <v>5540.8</v>
      </c>
      <c r="D169" s="61">
        <v>8341</v>
      </c>
      <c r="E169" s="61">
        <v>14315</v>
      </c>
      <c r="F169" s="61">
        <f>F$150*F$234</f>
        <v>17360.390048404792</v>
      </c>
      <c r="G169" s="61">
        <f>G$150*G$234</f>
        <v>21216.790550703823</v>
      </c>
      <c r="H169" s="61">
        <f>H$150*H$234</f>
        <v>24029.379116973454</v>
      </c>
      <c r="I169" s="61">
        <f>I$150*I$234</f>
        <v>26947.666317974406</v>
      </c>
      <c r="J169" s="61">
        <f>J$150*J$234</f>
        <v>25444.375095264622</v>
      </c>
      <c r="K169" s="61">
        <f>K$150*K$234</f>
        <v>26165.291371150386</v>
      </c>
      <c r="L169" s="61">
        <f>L$150*L$234</f>
        <v>27160.600986457117</v>
      </c>
      <c r="M169" s="61">
        <f>M$150*M$234</f>
        <v>28175.838903395379</v>
      </c>
      <c r="N169" s="61">
        <f>N$150*N$234</f>
        <v>29867.937693697975</v>
      </c>
      <c r="O169" s="61">
        <f>O$150*O$234</f>
        <v>30697.992096016656</v>
      </c>
      <c r="P169" s="61">
        <f>P$150*P$234</f>
        <v>31543.290231047809</v>
      </c>
    </row>
    <row r="170" spans="2:16" x14ac:dyDescent="0.25">
      <c r="B170" s="60" t="s">
        <v>96</v>
      </c>
      <c r="C170" s="61">
        <v>258.60000000000002</v>
      </c>
      <c r="D170" s="61">
        <v>266</v>
      </c>
      <c r="E170" s="61">
        <v>147</v>
      </c>
      <c r="F170" s="61">
        <f>F$150*F$235</f>
        <v>178.27295404229858</v>
      </c>
      <c r="G170" s="61">
        <f>G$150*G$235</f>
        <v>217.87413279451357</v>
      </c>
      <c r="H170" s="61">
        <f>H$150*H$235</f>
        <v>246.75646036989852</v>
      </c>
      <c r="I170" s="61">
        <f>I$150*I$235</f>
        <v>276.72420179827014</v>
      </c>
      <c r="J170" s="61">
        <f>J$150*J$235</f>
        <v>261.28698141836531</v>
      </c>
      <c r="K170" s="61">
        <f>K$150*K$235</f>
        <v>268.6900336401751</v>
      </c>
      <c r="L170" s="61">
        <f>L$150*L$235</f>
        <v>278.91081697584326</v>
      </c>
      <c r="M170" s="61">
        <f>M$150*M$235</f>
        <v>289.33624301775205</v>
      </c>
      <c r="N170" s="61">
        <f>N$150*N$235</f>
        <v>306.71231861499143</v>
      </c>
      <c r="O170" s="61">
        <f>O$150*O$235</f>
        <v>315.23610465347178</v>
      </c>
      <c r="P170" s="61">
        <f>P$150*P$235</f>
        <v>323.91642780049091</v>
      </c>
    </row>
    <row r="171" spans="2:16" x14ac:dyDescent="0.25">
      <c r="B171" s="58" t="s">
        <v>97</v>
      </c>
      <c r="C171" s="59">
        <v>25726.999999999996</v>
      </c>
      <c r="D171" s="59">
        <v>32740</v>
      </c>
      <c r="E171" s="59">
        <v>55629</v>
      </c>
      <c r="F171" s="59">
        <f>SUM(F165:F170)</f>
        <v>73849.890510207391</v>
      </c>
      <c r="G171" s="59">
        <f>SUM(G165:G170)</f>
        <v>97142.65272962056</v>
      </c>
      <c r="H171" s="59">
        <f>SUM(H165:H170)</f>
        <v>120590.45143790719</v>
      </c>
      <c r="I171" s="59">
        <f>SUM(I165:I170)</f>
        <v>147159.18980748375</v>
      </c>
      <c r="J171" s="59">
        <f>SUM(J165:J170)</f>
        <v>160858.46721644449</v>
      </c>
      <c r="K171" s="59">
        <f>SUM(K165:K170)</f>
        <v>179977.65460753217</v>
      </c>
      <c r="L171" s="59">
        <f>SUM(L165:L170)</f>
        <v>200162.81151298789</v>
      </c>
      <c r="M171" s="59">
        <f>SUM(M165:M170)</f>
        <v>220789.47164426922</v>
      </c>
      <c r="N171" s="59">
        <f>SUM(N165:N170)</f>
        <v>244138.50805833456</v>
      </c>
      <c r="O171" s="59">
        <f>SUM(O165:O170)</f>
        <v>265447.433376987</v>
      </c>
      <c r="P171" s="59">
        <f>SUM(P165:P170)</f>
        <v>286763.84485272848</v>
      </c>
    </row>
    <row r="172" spans="2:16" x14ac:dyDescent="0.25">
      <c r="B172" s="60" t="s">
        <v>98</v>
      </c>
      <c r="C172" s="61">
        <v>3052.2</v>
      </c>
      <c r="D172" s="61">
        <v>3216</v>
      </c>
      <c r="E172" s="61">
        <v>2802</v>
      </c>
      <c r="F172" s="61">
        <f>E172</f>
        <v>2802</v>
      </c>
      <c r="G172" s="61">
        <f>F172</f>
        <v>2802</v>
      </c>
      <c r="H172" s="61">
        <f>G172</f>
        <v>2802</v>
      </c>
      <c r="I172" s="61">
        <f>H172</f>
        <v>2802</v>
      </c>
      <c r="J172" s="61">
        <f>I172</f>
        <v>2802</v>
      </c>
      <c r="K172" s="61">
        <f>J172</f>
        <v>2802</v>
      </c>
      <c r="L172" s="61">
        <f>K172</f>
        <v>2802</v>
      </c>
      <c r="M172" s="61">
        <f>L172</f>
        <v>2802</v>
      </c>
      <c r="N172" s="61">
        <f>M172</f>
        <v>2802</v>
      </c>
      <c r="O172" s="61">
        <f>N172</f>
        <v>2802</v>
      </c>
      <c r="P172" s="61">
        <f>O172</f>
        <v>2802</v>
      </c>
    </row>
    <row r="173" spans="2:16" x14ac:dyDescent="0.25">
      <c r="B173" s="60" t="s">
        <v>99</v>
      </c>
      <c r="C173" s="61">
        <v>4939.7</v>
      </c>
      <c r="D173" s="61">
        <v>5770</v>
      </c>
      <c r="E173" s="61">
        <v>5898</v>
      </c>
      <c r="F173" s="61">
        <f>E173</f>
        <v>5898</v>
      </c>
      <c r="G173" s="61">
        <f>F173</f>
        <v>5898</v>
      </c>
      <c r="H173" s="61">
        <f>G173</f>
        <v>5898</v>
      </c>
      <c r="I173" s="61">
        <f>H173</f>
        <v>5898</v>
      </c>
      <c r="J173" s="61">
        <f>I173</f>
        <v>5898</v>
      </c>
      <c r="K173" s="61">
        <f>J173</f>
        <v>5898</v>
      </c>
      <c r="L173" s="61">
        <f>K173</f>
        <v>5898</v>
      </c>
      <c r="M173" s="61">
        <f>L173</f>
        <v>5898</v>
      </c>
      <c r="N173" s="61">
        <f>M173</f>
        <v>5898</v>
      </c>
      <c r="O173" s="61">
        <f>N173</f>
        <v>5898</v>
      </c>
      <c r="P173" s="61">
        <f>O173</f>
        <v>5898</v>
      </c>
    </row>
    <row r="174" spans="2:16" x14ac:dyDescent="0.25">
      <c r="B174" s="60" t="s">
        <v>100</v>
      </c>
      <c r="C174" s="61">
        <v>6906.6</v>
      </c>
      <c r="D174" s="61">
        <v>6166</v>
      </c>
      <c r="E174" s="61">
        <v>6521</v>
      </c>
      <c r="F174" s="61">
        <f>E174</f>
        <v>6521</v>
      </c>
      <c r="G174" s="61">
        <f>F174</f>
        <v>6521</v>
      </c>
      <c r="H174" s="61">
        <f>G174</f>
        <v>6521</v>
      </c>
      <c r="I174" s="61">
        <f>H174</f>
        <v>6521</v>
      </c>
      <c r="J174" s="61">
        <f>I174</f>
        <v>6521</v>
      </c>
      <c r="K174" s="61">
        <f>J174</f>
        <v>6521</v>
      </c>
      <c r="L174" s="61">
        <f>K174</f>
        <v>6521</v>
      </c>
      <c r="M174" s="61">
        <f>L174</f>
        <v>6521</v>
      </c>
      <c r="N174" s="61">
        <f>M174</f>
        <v>6521</v>
      </c>
      <c r="O174" s="61">
        <f>N174</f>
        <v>6521</v>
      </c>
      <c r="P174" s="61">
        <f>O174</f>
        <v>6521</v>
      </c>
    </row>
    <row r="175" spans="2:16" x14ac:dyDescent="0.25">
      <c r="B175" s="60" t="s">
        <v>101</v>
      </c>
      <c r="C175" s="61">
        <v>5477.3</v>
      </c>
      <c r="D175" s="61">
        <v>8001</v>
      </c>
      <c r="E175" s="61">
        <v>9959</v>
      </c>
      <c r="F175" s="61">
        <f>E175</f>
        <v>9959</v>
      </c>
      <c r="G175" s="61">
        <f>F175</f>
        <v>9959</v>
      </c>
      <c r="H175" s="61">
        <f>G175</f>
        <v>9959</v>
      </c>
      <c r="I175" s="61">
        <f>H175</f>
        <v>9959</v>
      </c>
      <c r="J175" s="61">
        <f>I175</f>
        <v>9959</v>
      </c>
      <c r="K175" s="61">
        <f>J175</f>
        <v>9959</v>
      </c>
      <c r="L175" s="61">
        <f>K175</f>
        <v>9959</v>
      </c>
      <c r="M175" s="61">
        <f>L175</f>
        <v>9959</v>
      </c>
      <c r="N175" s="61">
        <f>M175</f>
        <v>9959</v>
      </c>
      <c r="O175" s="61">
        <f>N175</f>
        <v>9959</v>
      </c>
      <c r="P175" s="61">
        <f>O175</f>
        <v>9959</v>
      </c>
    </row>
    <row r="176" spans="2:16" x14ac:dyDescent="0.25">
      <c r="B176" s="60" t="s">
        <v>102</v>
      </c>
      <c r="C176" s="61">
        <v>12913.6</v>
      </c>
      <c r="D176" s="61">
        <v>17102</v>
      </c>
      <c r="E176" s="61">
        <v>24675</v>
      </c>
      <c r="F176" s="61">
        <f>E176-F208-F196</f>
        <v>31762.25947906934</v>
      </c>
      <c r="G176" s="61">
        <f>F176-G208-G196</f>
        <v>40423.867860369595</v>
      </c>
      <c r="H176" s="61">
        <f>G176-H208-H196</f>
        <v>50233.696121605557</v>
      </c>
      <c r="I176" s="61">
        <f>H176-I208-I196</f>
        <v>61234.89500125924</v>
      </c>
      <c r="J176" s="61">
        <f>I176-J208-J196</f>
        <v>71622.38560948323</v>
      </c>
      <c r="K176" s="61">
        <f>J176-K208-K196</f>
        <v>82304.185314198767</v>
      </c>
      <c r="L176" s="61">
        <f>K176-L208-L196</f>
        <v>93392.313303360861</v>
      </c>
      <c r="M176" s="61">
        <f>L176-M208-M196</f>
        <v>104894.90516863801</v>
      </c>
      <c r="N176" s="61">
        <f>M176-N208-N196</f>
        <v>117088.28469235236</v>
      </c>
      <c r="O176" s="61">
        <f>N176-O208-O196</f>
        <v>129620.52819980058</v>
      </c>
      <c r="P176" s="61">
        <f>O176-P208-P196</f>
        <v>142497.85883970582</v>
      </c>
    </row>
    <row r="177" spans="2:16" x14ac:dyDescent="0.25">
      <c r="B177" s="60" t="s">
        <v>103</v>
      </c>
      <c r="C177" s="61">
        <v>4989.8999999999996</v>
      </c>
      <c r="D177" s="61">
        <v>5720</v>
      </c>
      <c r="E177" s="61">
        <v>6992</v>
      </c>
      <c r="F177" s="61">
        <f>E177</f>
        <v>6992</v>
      </c>
      <c r="G177" s="61">
        <f>F177</f>
        <v>6992</v>
      </c>
      <c r="H177" s="61">
        <f>G177</f>
        <v>6992</v>
      </c>
      <c r="I177" s="61">
        <f>H177</f>
        <v>6992</v>
      </c>
      <c r="J177" s="61">
        <f>I177</f>
        <v>6992</v>
      </c>
      <c r="K177" s="61">
        <f>J177</f>
        <v>6992</v>
      </c>
      <c r="L177" s="61">
        <f>K177</f>
        <v>6992</v>
      </c>
      <c r="M177" s="61">
        <f>L177</f>
        <v>6992</v>
      </c>
      <c r="N177" s="61">
        <f>M177</f>
        <v>6992</v>
      </c>
      <c r="O177" s="61">
        <f>N177</f>
        <v>6992</v>
      </c>
      <c r="P177" s="61">
        <f>O177</f>
        <v>6992</v>
      </c>
    </row>
    <row r="178" spans="2:16" x14ac:dyDescent="0.25">
      <c r="B178" s="58" t="s">
        <v>104</v>
      </c>
      <c r="C178" s="59">
        <v>64006.3</v>
      </c>
      <c r="D178" s="59">
        <v>78715</v>
      </c>
      <c r="E178" s="59">
        <v>112476</v>
      </c>
      <c r="F178" s="59">
        <f>F171+SUM(F172:F177)</f>
        <v>137784.14998927672</v>
      </c>
      <c r="G178" s="59">
        <f>G171+SUM(G172:G177)</f>
        <v>169738.52058999013</v>
      </c>
      <c r="H178" s="59">
        <f>H171+SUM(H172:H177)</f>
        <v>202996.14755951276</v>
      </c>
      <c r="I178" s="59">
        <f>I171+SUM(I172:I177)</f>
        <v>240566.08480874298</v>
      </c>
      <c r="J178" s="59">
        <f>J171+SUM(J172:J177)</f>
        <v>264652.85282592772</v>
      </c>
      <c r="K178" s="59">
        <f>K171+SUM(K172:K177)</f>
        <v>294453.83992173092</v>
      </c>
      <c r="L178" s="59">
        <f>L171+SUM(L172:L177)</f>
        <v>325727.12481634878</v>
      </c>
      <c r="M178" s="59">
        <f>M171+SUM(M172:M177)</f>
        <v>357856.37681290723</v>
      </c>
      <c r="N178" s="59">
        <f>N171+SUM(N172:N177)</f>
        <v>393398.79275068687</v>
      </c>
      <c r="O178" s="59">
        <f>O171+SUM(O172:O177)</f>
        <v>427239.96157678758</v>
      </c>
      <c r="P178" s="59">
        <f>P171+SUM(P172:P177)</f>
        <v>461433.7036924343</v>
      </c>
    </row>
    <row r="180" spans="2:16" x14ac:dyDescent="0.25">
      <c r="B180" s="60" t="s">
        <v>105</v>
      </c>
      <c r="C180" s="61">
        <v>6904.5</v>
      </c>
      <c r="D180" s="61">
        <v>5117</v>
      </c>
      <c r="E180" s="61">
        <v>1635</v>
      </c>
      <c r="F180" s="61">
        <f>E180+F218</f>
        <v>1635</v>
      </c>
      <c r="G180" s="61">
        <f>F180+G218</f>
        <v>1635</v>
      </c>
      <c r="H180" s="61">
        <f>G180+H218</f>
        <v>1635</v>
      </c>
      <c r="I180" s="61">
        <f>H180+I218</f>
        <v>1635</v>
      </c>
      <c r="J180" s="61">
        <f>I180+J218</f>
        <v>1635</v>
      </c>
      <c r="K180" s="61">
        <f>J180+K218</f>
        <v>1635</v>
      </c>
      <c r="L180" s="61">
        <f>K180+L218</f>
        <v>1635</v>
      </c>
      <c r="M180" s="61">
        <f>L180+M218</f>
        <v>1635</v>
      </c>
      <c r="N180" s="61">
        <f>M180+N218</f>
        <v>1635</v>
      </c>
      <c r="O180" s="61">
        <f>N180+O218</f>
        <v>1635</v>
      </c>
      <c r="P180" s="61">
        <f>O180+P218</f>
        <v>1635</v>
      </c>
    </row>
    <row r="181" spans="2:16" x14ac:dyDescent="0.25">
      <c r="B181" s="60" t="s">
        <v>106</v>
      </c>
      <c r="C181" s="61">
        <v>2598.8000000000002</v>
      </c>
      <c r="D181" s="61">
        <v>3229</v>
      </c>
      <c r="E181" s="61">
        <v>5379</v>
      </c>
      <c r="F181" s="61">
        <f>F$151*F$236</f>
        <v>7240.744376568432</v>
      </c>
      <c r="G181" s="61">
        <f>G$151*G$236</f>
        <v>8849.1880908490984</v>
      </c>
      <c r="H181" s="61">
        <f>H$151*H$236</f>
        <v>10022.274339950329</v>
      </c>
      <c r="I181" s="61">
        <f>I$151*I$236</f>
        <v>11239.445819447181</v>
      </c>
      <c r="J181" s="61">
        <f>J$151*J$236</f>
        <v>10612.446804054622</v>
      </c>
      <c r="K181" s="61">
        <f>K$151*K$236</f>
        <v>10913.129591482901</v>
      </c>
      <c r="L181" s="61">
        <f>L$151*L$236</f>
        <v>11328.257505077156</v>
      </c>
      <c r="M181" s="61">
        <f>M$151*M$236</f>
        <v>11751.69719839356</v>
      </c>
      <c r="N181" s="61">
        <f>N$151*N$236</f>
        <v>12457.444866868766</v>
      </c>
      <c r="O181" s="61">
        <f>O$151*O$236</f>
        <v>12803.647442333777</v>
      </c>
      <c r="P181" s="61">
        <f>P$151*P$236</f>
        <v>13156.207937845969</v>
      </c>
    </row>
    <row r="182" spans="2:16" x14ac:dyDescent="0.25">
      <c r="B182" s="60" t="s">
        <v>107</v>
      </c>
      <c r="C182" s="61">
        <v>1650.4</v>
      </c>
      <c r="D182" s="61">
        <v>2094</v>
      </c>
      <c r="E182" s="61">
        <v>2375</v>
      </c>
      <c r="F182" s="61">
        <f>F$150*F$237</f>
        <v>2880.2603119078854</v>
      </c>
      <c r="G182" s="61">
        <f>G$150*G$237</f>
        <v>3520.0752747412907</v>
      </c>
      <c r="H182" s="61">
        <f>H$150*H$237</f>
        <v>3986.7115195816937</v>
      </c>
      <c r="I182" s="61">
        <f>I$150*I$237</f>
        <v>4470.8842127271537</v>
      </c>
      <c r="J182" s="61">
        <f>J$150*J$237</f>
        <v>4221.4733392422968</v>
      </c>
      <c r="K182" s="61">
        <f>K$150*K$237</f>
        <v>4341.0804754790197</v>
      </c>
      <c r="L182" s="61">
        <f>L$150*L$237</f>
        <v>4506.2121790314804</v>
      </c>
      <c r="M182" s="61">
        <f>M$150*M$237</f>
        <v>4674.65018481062</v>
      </c>
      <c r="N182" s="61">
        <f>N$150*N$237</f>
        <v>4955.3861000721399</v>
      </c>
      <c r="O182" s="61">
        <f>O$150*O$237</f>
        <v>5093.1003302856834</v>
      </c>
      <c r="P182" s="61">
        <f>P$150*P$237</f>
        <v>5233.3436464365031</v>
      </c>
    </row>
    <row r="183" spans="2:16" x14ac:dyDescent="0.25">
      <c r="B183" s="60" t="s">
        <v>108</v>
      </c>
      <c r="C183" s="61">
        <v>11689</v>
      </c>
      <c r="D183" s="61">
        <v>11539</v>
      </c>
      <c r="E183" s="61">
        <v>17382</v>
      </c>
      <c r="F183" s="61">
        <f>F$150*F$238</f>
        <v>21079.867259613835</v>
      </c>
      <c r="G183" s="61">
        <f>G$150*G$238</f>
        <v>25762.504600232893</v>
      </c>
      <c r="H183" s="61">
        <f>H$150*H$238</f>
        <v>29177.692477208002</v>
      </c>
      <c r="I183" s="61">
        <f>I$150*I$238</f>
        <v>32721.225004473006</v>
      </c>
      <c r="J183" s="61">
        <f>J$150*J$238</f>
        <v>30895.852455877728</v>
      </c>
      <c r="K183" s="61">
        <f>K$150*K$238</f>
        <v>31771.225610432131</v>
      </c>
      <c r="L183" s="61">
        <f>L$150*L$238</f>
        <v>32979.781093021134</v>
      </c>
      <c r="M183" s="61">
        <f>M$150*M$238</f>
        <v>34212.534531527657</v>
      </c>
      <c r="N183" s="61">
        <f>N$150*N$238</f>
        <v>36267.166817454294</v>
      </c>
      <c r="O183" s="61">
        <f>O$150*O$238</f>
        <v>37275.061027800315</v>
      </c>
      <c r="P183" s="61">
        <f>P$150*P$238</f>
        <v>38301.464952572336</v>
      </c>
    </row>
    <row r="184" spans="2:16" x14ac:dyDescent="0.25">
      <c r="B184" s="60" t="s">
        <v>109</v>
      </c>
      <c r="C184" s="61">
        <v>4450.5</v>
      </c>
      <c r="D184" s="61">
        <v>6397</v>
      </c>
      <c r="E184" s="61">
        <v>8457</v>
      </c>
      <c r="F184" s="61">
        <f>F$150*F$239</f>
        <v>10256.152192759993</v>
      </c>
      <c r="G184" s="61">
        <f>G$150*G$239</f>
        <v>12534.432251994567</v>
      </c>
      <c r="H184" s="61">
        <f>H$150*H$239</f>
        <v>14196.050240464161</v>
      </c>
      <c r="I184" s="61">
        <f>I$150*I$239</f>
        <v>15920.112752435174</v>
      </c>
      <c r="J184" s="61">
        <f>J$150*J$239</f>
        <v>15032.000012619834</v>
      </c>
      <c r="K184" s="61">
        <f>K$150*K$239</f>
        <v>15457.902139421501</v>
      </c>
      <c r="L184" s="61">
        <f>L$150*L$239</f>
        <v>16045.910062344939</v>
      </c>
      <c r="M184" s="61">
        <f>M$150*M$239</f>
        <v>16645.691205449857</v>
      </c>
      <c r="N184" s="61">
        <f>N$150*N$239</f>
        <v>17645.347472972669</v>
      </c>
      <c r="O184" s="61">
        <f>O$150*O$239</f>
        <v>18135.726102410958</v>
      </c>
      <c r="P184" s="61">
        <f>P$150*P$239</f>
        <v>18635.110407542528</v>
      </c>
    </row>
    <row r="185" spans="2:16" x14ac:dyDescent="0.25">
      <c r="B185" s="58" t="s">
        <v>110</v>
      </c>
      <c r="C185" s="59">
        <v>27293.199999999997</v>
      </c>
      <c r="D185" s="59">
        <v>28376</v>
      </c>
      <c r="E185" s="59">
        <v>35228</v>
      </c>
      <c r="F185" s="59">
        <f>SUM(F180:F184)</f>
        <v>43092.024140850146</v>
      </c>
      <c r="G185" s="59">
        <f>SUM(G180:G184)</f>
        <v>52301.200217817852</v>
      </c>
      <c r="H185" s="59">
        <f>SUM(H180:H184)</f>
        <v>59017.72857720418</v>
      </c>
      <c r="I185" s="59">
        <f>SUM(I180:I184)</f>
        <v>65986.667789082509</v>
      </c>
      <c r="J185" s="59">
        <f>SUM(J180:J184)</f>
        <v>62396.772611794484</v>
      </c>
      <c r="K185" s="59">
        <f>SUM(K180:K184)</f>
        <v>64118.337816815554</v>
      </c>
      <c r="L185" s="59">
        <f>SUM(L180:L184)</f>
        <v>66495.160839474702</v>
      </c>
      <c r="M185" s="59">
        <f>SUM(M180:M184)</f>
        <v>68919.573120181696</v>
      </c>
      <c r="N185" s="59">
        <f>SUM(N180:N184)</f>
        <v>72960.345257367866</v>
      </c>
      <c r="O185" s="59">
        <f>SUM(O180:O184)</f>
        <v>74942.534902830739</v>
      </c>
      <c r="P185" s="59">
        <f>SUM(P180:P184)</f>
        <v>76961.126944397329</v>
      </c>
    </row>
    <row r="186" spans="2:16" x14ac:dyDescent="0.25">
      <c r="B186" s="60" t="s">
        <v>111</v>
      </c>
      <c r="C186" s="61">
        <v>18320.8</v>
      </c>
      <c r="D186" s="61">
        <v>28527</v>
      </c>
      <c r="E186" s="61">
        <v>40868</v>
      </c>
      <c r="F186" s="61">
        <f>E186+F219+F220</f>
        <v>40868</v>
      </c>
      <c r="G186" s="61">
        <f>F186+G219+G220</f>
        <v>40868</v>
      </c>
      <c r="H186" s="61">
        <f>G186+H219+H220</f>
        <v>40868</v>
      </c>
      <c r="I186" s="61">
        <f>H186+I219+I220</f>
        <v>40868</v>
      </c>
      <c r="J186" s="61">
        <f>I186+J219+J220</f>
        <v>40868</v>
      </c>
      <c r="K186" s="61">
        <f>J186+K219+K220</f>
        <v>40868</v>
      </c>
      <c r="L186" s="61">
        <f>K186+L219+L220</f>
        <v>40868</v>
      </c>
      <c r="M186" s="61">
        <f>L186+M219+M220</f>
        <v>40868</v>
      </c>
      <c r="N186" s="61">
        <f>M186+N219+N220</f>
        <v>40868</v>
      </c>
      <c r="O186" s="61">
        <f>N186+O219+O220</f>
        <v>40868</v>
      </c>
      <c r="P186" s="61">
        <f>O186+P219+P220</f>
        <v>40868</v>
      </c>
    </row>
    <row r="187" spans="2:16" x14ac:dyDescent="0.25">
      <c r="B187" s="60" t="s">
        <v>112</v>
      </c>
      <c r="C187" s="61">
        <v>3849.2</v>
      </c>
      <c r="D187" s="61">
        <v>4061</v>
      </c>
      <c r="E187" s="61">
        <v>5875</v>
      </c>
      <c r="F187" s="61">
        <f>E187</f>
        <v>5875</v>
      </c>
      <c r="G187" s="61">
        <f>F187</f>
        <v>5875</v>
      </c>
      <c r="H187" s="61">
        <f>G187</f>
        <v>5875</v>
      </c>
      <c r="I187" s="61">
        <f>H187</f>
        <v>5875</v>
      </c>
      <c r="J187" s="61">
        <f>I187</f>
        <v>5875</v>
      </c>
      <c r="K187" s="61">
        <f>J187</f>
        <v>5875</v>
      </c>
      <c r="L187" s="61">
        <f>K187</f>
        <v>5875</v>
      </c>
      <c r="M187" s="61">
        <f>L187</f>
        <v>5875</v>
      </c>
      <c r="N187" s="61">
        <f>M187</f>
        <v>5875</v>
      </c>
      <c r="O187" s="61">
        <f>N187</f>
        <v>5875</v>
      </c>
      <c r="P187" s="61">
        <f>O187</f>
        <v>5875</v>
      </c>
    </row>
    <row r="188" spans="2:16" x14ac:dyDescent="0.25">
      <c r="B188" s="60" t="s">
        <v>113</v>
      </c>
      <c r="C188" s="61">
        <v>3679.4</v>
      </c>
      <c r="D188" s="61">
        <v>3479</v>
      </c>
      <c r="E188" s="61">
        <v>3970</v>
      </c>
      <c r="F188" s="61">
        <f>E188</f>
        <v>3970</v>
      </c>
      <c r="G188" s="61">
        <f>F188</f>
        <v>3970</v>
      </c>
      <c r="H188" s="61">
        <f>G188</f>
        <v>3970</v>
      </c>
      <c r="I188" s="61">
        <f>H188</f>
        <v>3970</v>
      </c>
      <c r="J188" s="61">
        <f>I188</f>
        <v>3970</v>
      </c>
      <c r="K188" s="61">
        <f>J188</f>
        <v>3970</v>
      </c>
      <c r="L188" s="61">
        <f>K188</f>
        <v>3970</v>
      </c>
      <c r="M188" s="61">
        <f>L188</f>
        <v>3970</v>
      </c>
      <c r="N188" s="61">
        <f>M188</f>
        <v>3970</v>
      </c>
      <c r="O188" s="61">
        <f>N188</f>
        <v>3970</v>
      </c>
      <c r="P188" s="61">
        <f>O188</f>
        <v>3970</v>
      </c>
    </row>
    <row r="189" spans="2:16" x14ac:dyDescent="0.25">
      <c r="B189" s="58" t="s">
        <v>114</v>
      </c>
      <c r="C189" s="59">
        <v>25849.4</v>
      </c>
      <c r="D189" s="59">
        <v>36067</v>
      </c>
      <c r="E189" s="59">
        <v>50713</v>
      </c>
      <c r="F189" s="59">
        <f>SUM(F186:F188)</f>
        <v>50713</v>
      </c>
      <c r="G189" s="59">
        <f>SUM(G186:G188)</f>
        <v>50713</v>
      </c>
      <c r="H189" s="59">
        <f>SUM(H186:H188)</f>
        <v>50713</v>
      </c>
      <c r="I189" s="59">
        <f>SUM(I186:I188)</f>
        <v>50713</v>
      </c>
      <c r="J189" s="59">
        <f>SUM(J186:J188)</f>
        <v>50713</v>
      </c>
      <c r="K189" s="59">
        <f>SUM(K186:K188)</f>
        <v>50713</v>
      </c>
      <c r="L189" s="59">
        <f>SUM(L186:L188)</f>
        <v>50713</v>
      </c>
      <c r="M189" s="59">
        <f>SUM(M186:M188)</f>
        <v>50713</v>
      </c>
      <c r="N189" s="59">
        <f>SUM(N186:N188)</f>
        <v>50713</v>
      </c>
      <c r="O189" s="59">
        <f>SUM(O186:O188)</f>
        <v>50713</v>
      </c>
      <c r="P189" s="59">
        <f>SUM(P186:P188)</f>
        <v>50713</v>
      </c>
    </row>
    <row r="190" spans="2:16" x14ac:dyDescent="0.25">
      <c r="B190" s="58" t="s">
        <v>115</v>
      </c>
      <c r="C190" s="59">
        <v>10863.7</v>
      </c>
      <c r="D190" s="59">
        <v>14272</v>
      </c>
      <c r="E190" s="59">
        <v>26535</v>
      </c>
      <c r="F190" s="59">
        <f>E190+F160+F198+F217+F221</f>
        <v>43979.125848426571</v>
      </c>
      <c r="G190" s="59">
        <f>F190+G160+G198+G217+G221</f>
        <v>66724.320372172311</v>
      </c>
      <c r="H190" s="59">
        <f>G190+H160+H198+H217+H221</f>
        <v>93265.418982308576</v>
      </c>
      <c r="I190" s="59">
        <f>H190+I160+I198+I217+I221</f>
        <v>123866.4170196605</v>
      </c>
      <c r="J190" s="59">
        <f>I190+J160+J198+J217+J221</f>
        <v>151543.08021413322</v>
      </c>
      <c r="K190" s="59">
        <f>J190+K160+K198+K217+K221</f>
        <v>179622.50210491536</v>
      </c>
      <c r="L190" s="59">
        <f>K190+L160+L198+L217+L221</f>
        <v>208518.96397687407</v>
      </c>
      <c r="M190" s="59">
        <f>L190+M160+M198+M217+M221</f>
        <v>238223.80369272555</v>
      </c>
      <c r="N190" s="59">
        <f>M190+N160+N198+N217+N221</f>
        <v>269725.44749331911</v>
      </c>
      <c r="O190" s="59">
        <f>N190+O160+O198+O217+O221</f>
        <v>301584.42667395686</v>
      </c>
      <c r="P190" s="59">
        <f>O190+P160+P198+P217+P221</f>
        <v>333759.57674803701</v>
      </c>
    </row>
    <row r="191" spans="2:16" x14ac:dyDescent="0.25">
      <c r="B191" s="58" t="s">
        <v>116</v>
      </c>
      <c r="C191" s="59">
        <v>64006.3</v>
      </c>
      <c r="D191" s="59">
        <v>78715</v>
      </c>
      <c r="E191" s="59">
        <v>112476</v>
      </c>
      <c r="F191" s="59">
        <f>F185+F189+F190</f>
        <v>137784.14998927672</v>
      </c>
      <c r="G191" s="59">
        <f>G185+G189+G190</f>
        <v>169738.52058999016</v>
      </c>
      <c r="H191" s="59">
        <f>H185+H189+H190</f>
        <v>202996.14755951276</v>
      </c>
      <c r="I191" s="59">
        <f>I185+I189+I190</f>
        <v>240566.08480874301</v>
      </c>
      <c r="J191" s="59">
        <f>J185+J189+J190</f>
        <v>264652.85282592772</v>
      </c>
      <c r="K191" s="59">
        <f>K185+K189+K190</f>
        <v>294453.83992173092</v>
      </c>
      <c r="L191" s="59">
        <f>L185+L189+L190</f>
        <v>325727.12481634878</v>
      </c>
      <c r="M191" s="59">
        <f>M185+M189+M190</f>
        <v>357856.37681290723</v>
      </c>
      <c r="N191" s="59">
        <f>N185+N189+N190</f>
        <v>393398.79275068699</v>
      </c>
      <c r="O191" s="59">
        <f>O185+O189+O190</f>
        <v>427239.96157678758</v>
      </c>
      <c r="P191" s="59">
        <f>P185+P189+P190</f>
        <v>461433.70369243436</v>
      </c>
    </row>
    <row r="192" spans="2:16" x14ac:dyDescent="0.25">
      <c r="B192" s="64" t="s">
        <v>117</v>
      </c>
      <c r="C192" s="65">
        <v>0</v>
      </c>
      <c r="D192" s="65">
        <v>0</v>
      </c>
      <c r="E192" s="65">
        <v>0</v>
      </c>
      <c r="F192" s="65">
        <f>F178-F191</f>
        <v>0</v>
      </c>
      <c r="G192" s="65">
        <f>G178-G191</f>
        <v>0</v>
      </c>
      <c r="H192" s="65">
        <f>H178-H191</f>
        <v>0</v>
      </c>
      <c r="I192" s="65">
        <f>I178-I191</f>
        <v>0</v>
      </c>
      <c r="J192" s="65">
        <f>J178-J191</f>
        <v>0</v>
      </c>
      <c r="K192" s="65">
        <f>K178-K191</f>
        <v>0</v>
      </c>
      <c r="L192" s="65">
        <f>L178-L191</f>
        <v>0</v>
      </c>
      <c r="M192" s="65">
        <f>M178-M191</f>
        <v>0</v>
      </c>
      <c r="N192" s="65">
        <f>N178-N191</f>
        <v>0</v>
      </c>
      <c r="O192" s="65">
        <f>O178-O191</f>
        <v>0</v>
      </c>
      <c r="P192" s="65">
        <f>P178-P191</f>
        <v>0</v>
      </c>
    </row>
    <row r="194" spans="2:16" ht="16.5" thickBot="1" x14ac:dyDescent="0.3">
      <c r="B194" s="56" t="s">
        <v>118</v>
      </c>
      <c r="C194" s="57" t="s">
        <v>80</v>
      </c>
      <c r="D194" s="57" t="s">
        <v>81</v>
      </c>
      <c r="E194" s="57" t="s">
        <v>82</v>
      </c>
      <c r="F194" s="57" t="s">
        <v>83</v>
      </c>
      <c r="G194" s="57" t="s">
        <v>84</v>
      </c>
      <c r="H194" s="57" t="s">
        <v>85</v>
      </c>
      <c r="I194" s="57" t="s">
        <v>86</v>
      </c>
      <c r="J194" s="57" t="s">
        <v>87</v>
      </c>
      <c r="K194" s="57" t="s">
        <v>88</v>
      </c>
      <c r="L194" s="57" t="s">
        <v>291</v>
      </c>
      <c r="M194" s="57" t="s">
        <v>292</v>
      </c>
      <c r="N194" s="57" t="s">
        <v>293</v>
      </c>
      <c r="O194" s="57" t="s">
        <v>294</v>
      </c>
      <c r="P194" s="57" t="s">
        <v>295</v>
      </c>
    </row>
    <row r="195" spans="2:16" x14ac:dyDescent="0.25">
      <c r="B195" s="60" t="s">
        <v>119</v>
      </c>
      <c r="C195" s="61">
        <v>5240</v>
      </c>
      <c r="D195" s="61">
        <v>10590</v>
      </c>
      <c r="E195" s="61">
        <v>20640</v>
      </c>
      <c r="F195" s="61">
        <f>F160</f>
        <v>27017.753848426568</v>
      </c>
      <c r="G195" s="61">
        <f>G160</f>
        <v>32830.113643745739</v>
      </c>
      <c r="H195" s="61">
        <f>H160</f>
        <v>37162.891259736265</v>
      </c>
      <c r="I195" s="61">
        <f>I160</f>
        <v>41802.614098919912</v>
      </c>
      <c r="J195" s="61">
        <f>J160</f>
        <v>39504.488540966173</v>
      </c>
      <c r="K195" s="61">
        <f>K160</f>
        <v>40583.553264995055</v>
      </c>
      <c r="L195" s="61">
        <f>L160</f>
        <v>42141.984926423436</v>
      </c>
      <c r="M195" s="61">
        <f>M160</f>
        <v>43751.94427861333</v>
      </c>
      <c r="N195" s="61">
        <f>N160</f>
        <v>46415.405165431475</v>
      </c>
      <c r="O195" s="61">
        <f>O160</f>
        <v>47709.754566682343</v>
      </c>
      <c r="P195" s="61">
        <f>P160</f>
        <v>49039.007251989395</v>
      </c>
    </row>
    <row r="196" spans="2:16" x14ac:dyDescent="0.25">
      <c r="B196" s="60" t="s">
        <v>120</v>
      </c>
      <c r="C196" s="61">
        <v>1527</v>
      </c>
      <c r="D196" s="61">
        <v>1767</v>
      </c>
      <c r="E196" s="61">
        <v>1997</v>
      </c>
      <c r="F196" s="61">
        <f>F$150*F$241</f>
        <v>2421.844144370546</v>
      </c>
      <c r="G196" s="61">
        <f>G$150*G$241</f>
        <v>2959.8275046982558</v>
      </c>
      <c r="H196" s="61">
        <f>H$150*H$241</f>
        <v>3352.1949072019547</v>
      </c>
      <c r="I196" s="61">
        <f>I$150*I$241</f>
        <v>3759.3076938173167</v>
      </c>
      <c r="J196" s="61">
        <f>J$150*J$241</f>
        <v>3549.5925298807861</v>
      </c>
      <c r="K196" s="61">
        <f>K$150*K$241</f>
        <v>3650.1632461185691</v>
      </c>
      <c r="L196" s="61">
        <f>L$150*L$241</f>
        <v>3789.0129353793127</v>
      </c>
      <c r="M196" s="61">
        <f>M$150*M$241</f>
        <v>3930.6427027649715</v>
      </c>
      <c r="N196" s="61">
        <f>N$150*N$241</f>
        <v>4166.6972807764478</v>
      </c>
      <c r="O196" s="61">
        <f>O$150*O$241</f>
        <v>4282.493204033899</v>
      </c>
      <c r="P196" s="61">
        <f>P$150*P$241</f>
        <v>4400.4156892352412</v>
      </c>
    </row>
    <row r="197" spans="2:16" x14ac:dyDescent="0.25">
      <c r="B197" s="60" t="s">
        <v>121</v>
      </c>
      <c r="C197" s="61">
        <v>-2341</v>
      </c>
      <c r="D197" s="61">
        <v>-2683</v>
      </c>
      <c r="E197" s="61">
        <v>-1707</v>
      </c>
      <c r="F197" s="61">
        <v>0</v>
      </c>
      <c r="G197" s="61">
        <v>0</v>
      </c>
      <c r="H197" s="61">
        <v>0</v>
      </c>
      <c r="I197" s="61">
        <v>0</v>
      </c>
      <c r="J197" s="61">
        <v>0</v>
      </c>
      <c r="K197" s="61">
        <v>0</v>
      </c>
      <c r="L197" s="61">
        <v>0</v>
      </c>
      <c r="M197" s="61">
        <v>0</v>
      </c>
      <c r="N197" s="61">
        <v>0</v>
      </c>
      <c r="O197" s="61">
        <v>0</v>
      </c>
      <c r="P197" s="61">
        <v>0</v>
      </c>
    </row>
    <row r="198" spans="2:16" x14ac:dyDescent="0.25">
      <c r="B198" s="60" t="s">
        <v>122</v>
      </c>
      <c r="C198" s="61">
        <v>629</v>
      </c>
      <c r="D198" s="61">
        <v>646</v>
      </c>
      <c r="E198" s="61">
        <v>626</v>
      </c>
      <c r="F198" s="61">
        <f>F$242</f>
        <v>626</v>
      </c>
      <c r="G198" s="61">
        <f>G$242</f>
        <v>626</v>
      </c>
      <c r="H198" s="61">
        <f>H$242</f>
        <v>626</v>
      </c>
      <c r="I198" s="61">
        <f>I$242</f>
        <v>626</v>
      </c>
      <c r="J198" s="61">
        <f>J$242</f>
        <v>626</v>
      </c>
      <c r="K198" s="61">
        <f>K$242</f>
        <v>626</v>
      </c>
      <c r="L198" s="61">
        <f>L$242</f>
        <v>626</v>
      </c>
      <c r="M198" s="61">
        <f>M$242</f>
        <v>626</v>
      </c>
      <c r="N198" s="61">
        <f>N$242</f>
        <v>626</v>
      </c>
      <c r="O198" s="61">
        <f>O$242</f>
        <v>626</v>
      </c>
      <c r="P198" s="61">
        <f>P$242</f>
        <v>626</v>
      </c>
    </row>
    <row r="199" spans="2:16" x14ac:dyDescent="0.25">
      <c r="B199" s="60" t="s">
        <v>123</v>
      </c>
      <c r="C199" s="61">
        <v>-1879</v>
      </c>
      <c r="D199" s="61">
        <v>-224</v>
      </c>
      <c r="E199" s="61">
        <v>-180</v>
      </c>
      <c r="F199" s="61">
        <v>0</v>
      </c>
      <c r="G199" s="61">
        <v>0</v>
      </c>
      <c r="H199" s="61">
        <v>0</v>
      </c>
      <c r="I199" s="61">
        <v>0</v>
      </c>
      <c r="J199" s="61">
        <v>0</v>
      </c>
      <c r="K199" s="61">
        <v>0</v>
      </c>
      <c r="L199" s="61">
        <v>0</v>
      </c>
      <c r="M199" s="61">
        <v>0</v>
      </c>
      <c r="N199" s="61">
        <v>0</v>
      </c>
      <c r="O199" s="61">
        <v>0</v>
      </c>
      <c r="P199" s="61">
        <v>0</v>
      </c>
    </row>
    <row r="200" spans="2:16" x14ac:dyDescent="0.25">
      <c r="B200" s="60" t="s">
        <v>124</v>
      </c>
      <c r="C200" s="61">
        <v>3800</v>
      </c>
      <c r="D200" s="61">
        <v>3280</v>
      </c>
      <c r="E200" s="61">
        <v>2910</v>
      </c>
      <c r="F200" s="61">
        <f>F155</f>
        <v>2310.0631205106397</v>
      </c>
      <c r="G200" s="61">
        <f>G155</f>
        <v>2823.2156794935122</v>
      </c>
      <c r="H200" s="61">
        <f>H155</f>
        <v>3197.4732337301107</v>
      </c>
      <c r="I200" s="61">
        <f>I155</f>
        <v>3585.7955939589915</v>
      </c>
      <c r="J200" s="61">
        <f>J155</f>
        <v>3385.7599033272418</v>
      </c>
      <c r="K200" s="61">
        <f>K155</f>
        <v>3481.6887446295482</v>
      </c>
      <c r="L200" s="61">
        <f>L155</f>
        <v>3614.1297801937799</v>
      </c>
      <c r="M200" s="61">
        <f>M155</f>
        <v>3749.2225784502702</v>
      </c>
      <c r="N200" s="61">
        <f>N155</f>
        <v>3974.3819787194975</v>
      </c>
      <c r="O200" s="61">
        <f>O155</f>
        <v>4084.8333025358129</v>
      </c>
      <c r="P200" s="61">
        <f>P155</f>
        <v>4197.3130361205613</v>
      </c>
    </row>
    <row r="201" spans="2:16" x14ac:dyDescent="0.25">
      <c r="B201" s="60" t="s">
        <v>125</v>
      </c>
      <c r="C201" s="61">
        <v>319</v>
      </c>
      <c r="D201" s="61">
        <v>826</v>
      </c>
      <c r="E201" s="61">
        <v>620</v>
      </c>
      <c r="F201" s="61">
        <v>0</v>
      </c>
      <c r="G201" s="61">
        <v>0</v>
      </c>
      <c r="H201" s="61">
        <v>0</v>
      </c>
      <c r="I201" s="61">
        <v>0</v>
      </c>
      <c r="J201" s="61">
        <v>0</v>
      </c>
      <c r="K201" s="61">
        <v>0</v>
      </c>
      <c r="L201" s="61">
        <v>0</v>
      </c>
      <c r="M201" s="61">
        <v>0</v>
      </c>
      <c r="N201" s="61">
        <v>0</v>
      </c>
      <c r="O201" s="61">
        <v>0</v>
      </c>
      <c r="P201" s="61">
        <v>0</v>
      </c>
    </row>
    <row r="202" spans="2:16" x14ac:dyDescent="0.25">
      <c r="B202" s="60" t="s">
        <v>126</v>
      </c>
      <c r="C202" s="61">
        <v>-2451</v>
      </c>
      <c r="D202" s="61">
        <v>-2155</v>
      </c>
      <c r="E202" s="61">
        <v>-7000</v>
      </c>
      <c r="F202" s="61">
        <f>-(F166+F167-E166-E167)</f>
        <v>-4287.7985627382841</v>
      </c>
      <c r="G202" s="61">
        <f>-(G166+G167-F166-F167)</f>
        <v>-5429.6718214346511</v>
      </c>
      <c r="H202" s="61">
        <f>-(H166+H167-G166-G167)</f>
        <v>-3960.0225325298161</v>
      </c>
      <c r="I202" s="61">
        <f>-(I166+I167-H166-H167)</f>
        <v>-4108.8423706723152</v>
      </c>
      <c r="J202" s="61">
        <f>-(J166+J167-I166-I167)</f>
        <v>2116.57943372097</v>
      </c>
      <c r="K202" s="61">
        <f>-(K166+K167-J166-J167)</f>
        <v>-1015.023928779432</v>
      </c>
      <c r="L202" s="61">
        <f>-(L166+L167-K166-K167)</f>
        <v>-1401.3597831999386</v>
      </c>
      <c r="M202" s="61">
        <f>-(M166+M167-L166-L167)</f>
        <v>-1429.4181079909695</v>
      </c>
      <c r="N202" s="61">
        <f>-(N166+N167-M166-M167)</f>
        <v>-2382.4136303561845</v>
      </c>
      <c r="O202" s="61">
        <f>-(O166+O167-N166-N167)</f>
        <v>-1168.6864462964113</v>
      </c>
      <c r="P202" s="61">
        <f>-(P166+P167-O166-O167)</f>
        <v>-1190.1490682188487</v>
      </c>
    </row>
    <row r="203" spans="2:16" x14ac:dyDescent="0.25">
      <c r="B203" s="60" t="s">
        <v>127</v>
      </c>
      <c r="C203" s="61">
        <v>-1425</v>
      </c>
      <c r="D203" s="61">
        <v>-2507</v>
      </c>
      <c r="E203" s="61">
        <v>-4671</v>
      </c>
      <c r="F203" s="61">
        <f>-(F168-E168)</f>
        <v>-4756.9835864578054</v>
      </c>
      <c r="G203" s="61">
        <f>-(G168-F168)</f>
        <v>-4109.7695499299989</v>
      </c>
      <c r="H203" s="61">
        <f>-(H168-G168)</f>
        <v>-2997.3782129851861</v>
      </c>
      <c r="I203" s="61">
        <f>-(I168-H168)</f>
        <v>-3110.0213448977011</v>
      </c>
      <c r="J203" s="61">
        <f>-(J168-I168)</f>
        <v>1602.0588339013411</v>
      </c>
      <c r="K203" s="61">
        <f>-(K168-J168)</f>
        <v>-768.28113597588163</v>
      </c>
      <c r="L203" s="61">
        <f>-(L168-K168)</f>
        <v>-1060.7023692953044</v>
      </c>
      <c r="M203" s="61">
        <f>-(M168-L168)</f>
        <v>-1081.939978609531</v>
      </c>
      <c r="N203" s="61">
        <f>-(N168-M168)</f>
        <v>-1803.2712317388396</v>
      </c>
      <c r="O203" s="61">
        <f>-(O168-N168)</f>
        <v>-884.58973734729807</v>
      </c>
      <c r="P203" s="61">
        <f>-(P168-O168)</f>
        <v>-900.83499727079106</v>
      </c>
    </row>
    <row r="204" spans="2:16" x14ac:dyDescent="0.25">
      <c r="B204" s="60" t="s">
        <v>128</v>
      </c>
      <c r="C204" s="61">
        <v>-3453</v>
      </c>
      <c r="D204" s="61">
        <v>-3331</v>
      </c>
      <c r="E204" s="61">
        <v>-6609</v>
      </c>
      <c r="F204" s="61">
        <f>-(F169+F170-E169-E170)</f>
        <v>-3076.6630024470905</v>
      </c>
      <c r="G204" s="61">
        <f>-(G169+G170-F169-F170)</f>
        <v>-3896.0016810512461</v>
      </c>
      <c r="H204" s="61">
        <f>-(H169+H170-G169-G170)</f>
        <v>-2841.4708938450167</v>
      </c>
      <c r="I204" s="61">
        <f>-(I169+I170-H169-H170)</f>
        <v>-2948.2549424293256</v>
      </c>
      <c r="J204" s="61">
        <f>-(J169+J170-I169-I170)</f>
        <v>1518.7284430896891</v>
      </c>
      <c r="K204" s="61">
        <f>-(K169+K170-J169-J170)</f>
        <v>-728.31932810757257</v>
      </c>
      <c r="L204" s="61">
        <f>-(L169+L170-K169-K170)</f>
        <v>-1005.5303986423995</v>
      </c>
      <c r="M204" s="61">
        <f>-(M169+M170-L169-L170)</f>
        <v>-1025.66334298017</v>
      </c>
      <c r="N204" s="61">
        <f>-(N169+N170-M169-M170)</f>
        <v>-1709.4748658998351</v>
      </c>
      <c r="O204" s="61">
        <f>-(O169+O170-N169-N170)</f>
        <v>-838.57818835716137</v>
      </c>
      <c r="P204" s="61">
        <f>-(P169+P170-O169-O170)</f>
        <v>-853.97845817817119</v>
      </c>
    </row>
    <row r="205" spans="2:16" x14ac:dyDescent="0.25">
      <c r="B205" s="60" t="s">
        <v>129</v>
      </c>
      <c r="C205" s="61">
        <v>4274</v>
      </c>
      <c r="D205" s="61">
        <v>2609</v>
      </c>
      <c r="E205" s="61">
        <v>10187</v>
      </c>
      <c r="F205" s="61">
        <f>(F181+F182+F183+F184+F187+F188)-(E181+E182+E183+E184+E187+E188)</f>
        <v>7864.0241408501461</v>
      </c>
      <c r="G205" s="61">
        <f>(G181+G182+G183+G184+G187+G188)-(F181+F182+F183+F184+F187+F188)</f>
        <v>9209.1760769677057</v>
      </c>
      <c r="H205" s="61">
        <f>(H181+H182+H183+H184+H187+H188)-(G181+G182+G183+G184+G187+G188)</f>
        <v>6716.5283593863278</v>
      </c>
      <c r="I205" s="61">
        <f>(I181+I182+I183+I184+I187+I188)-(H181+H182+H183+H184+H187+H188)</f>
        <v>6968.9392118783289</v>
      </c>
      <c r="J205" s="61">
        <f>(J181+J182+J183+J184+J187+J188)-(I181+I182+I183+I184+I187+I188)</f>
        <v>-3589.8951772880246</v>
      </c>
      <c r="K205" s="61">
        <f>(K181+K182+K183+K184+K187+K188)-(J181+J182+J183+J184+J187+J188)</f>
        <v>1721.5652050210774</v>
      </c>
      <c r="L205" s="61">
        <f>(L181+L182+L183+L184+L187+L188)-(K181+K182+K183+K184+K187+K188)</f>
        <v>2376.8230226591404</v>
      </c>
      <c r="M205" s="61">
        <f>(M181+M182+M183+M184+M187+M188)-(L181+L182+L183+L184+L187+L188)</f>
        <v>2424.4122807069944</v>
      </c>
      <c r="N205" s="61">
        <f>(N181+N182+N183+N184+N187+N188)-(M181+M182+M183+M184+M187+M188)</f>
        <v>4040.7721371861699</v>
      </c>
      <c r="O205" s="61">
        <f>(O181+O182+O183+O184+O187+O188)-(N181+N182+N183+N184+N187+N188)</f>
        <v>1982.1896454628732</v>
      </c>
      <c r="P205" s="61">
        <f>(P181+P182+P183+P184+P187+P188)-(O181+O182+O183+O184+O187+O188)</f>
        <v>2018.5920415665896</v>
      </c>
    </row>
    <row r="206" spans="2:16" x14ac:dyDescent="0.25">
      <c r="B206" s="58" t="s">
        <v>130</v>
      </c>
      <c r="C206" s="59">
        <v>4240</v>
      </c>
      <c r="D206" s="59">
        <v>8818</v>
      </c>
      <c r="E206" s="59">
        <v>16813</v>
      </c>
      <c r="F206" s="59">
        <f>SUM(F195:F205)</f>
        <v>28118.240102514719</v>
      </c>
      <c r="G206" s="59">
        <f>SUM(G195:G205)</f>
        <v>35012.889852489316</v>
      </c>
      <c r="H206" s="59">
        <f>SUM(H195:H205)</f>
        <v>41256.216120694633</v>
      </c>
      <c r="I206" s="59">
        <f>SUM(I195:I205)</f>
        <v>46575.537940575203</v>
      </c>
      <c r="J206" s="59">
        <f>SUM(J195:J205)</f>
        <v>48713.312507598181</v>
      </c>
      <c r="K206" s="59">
        <f>SUM(K195:K205)</f>
        <v>47551.346067901373</v>
      </c>
      <c r="L206" s="59">
        <f>SUM(L195:L205)</f>
        <v>49080.358113518028</v>
      </c>
      <c r="M206" s="59">
        <f>SUM(M195:M205)</f>
        <v>50945.200410954894</v>
      </c>
      <c r="N206" s="59">
        <f>SUM(N195:N205)</f>
        <v>53328.096834118733</v>
      </c>
      <c r="O206" s="59">
        <f>SUM(O195:O205)</f>
        <v>55793.416346714061</v>
      </c>
      <c r="P206" s="59">
        <f>SUM(P195:P205)</f>
        <v>57336.365495243968</v>
      </c>
    </row>
    <row r="208" spans="2:16" x14ac:dyDescent="0.25">
      <c r="B208" s="60" t="s">
        <v>131</v>
      </c>
      <c r="C208" s="61">
        <v>-3448</v>
      </c>
      <c r="D208" s="61">
        <v>-5058</v>
      </c>
      <c r="E208" s="61">
        <v>-7841</v>
      </c>
      <c r="F208" s="61">
        <f>-F$150*F$240</f>
        <v>-9509.1036234398853</v>
      </c>
      <c r="G208" s="61">
        <f>-G$150*G$240</f>
        <v>-11621.435885998511</v>
      </c>
      <c r="H208" s="61">
        <f>-H$150*H$240</f>
        <v>-13162.023168437921</v>
      </c>
      <c r="I208" s="61">
        <f>-I$150*I$240</f>
        <v>-14760.506573470997</v>
      </c>
      <c r="J208" s="61">
        <f>-J$150*J$240</f>
        <v>-13937.083138104779</v>
      </c>
      <c r="K208" s="61">
        <f>-K$150*K$240</f>
        <v>-14331.962950834102</v>
      </c>
      <c r="L208" s="61">
        <f>-L$150*L$240</f>
        <v>-14877.140924541407</v>
      </c>
      <c r="M208" s="61">
        <f>-M$150*M$240</f>
        <v>-15433.234568042135</v>
      </c>
      <c r="N208" s="61">
        <f>-N$150*N$240</f>
        <v>-16360.076804490802</v>
      </c>
      <c r="O208" s="61">
        <f>-O$150*O$240</f>
        <v>-16814.736711482125</v>
      </c>
      <c r="P208" s="61">
        <f>-P$150*P$240</f>
        <v>-17277.746329140475</v>
      </c>
    </row>
    <row r="209" spans="2:16" x14ac:dyDescent="0.25">
      <c r="B209" s="60" t="s">
        <v>132</v>
      </c>
      <c r="C209" s="61">
        <v>508</v>
      </c>
      <c r="D209" s="61">
        <v>374</v>
      </c>
      <c r="E209" s="61">
        <v>964</v>
      </c>
      <c r="F209" s="61">
        <v>0</v>
      </c>
      <c r="G209" s="61">
        <v>0</v>
      </c>
      <c r="H209" s="61">
        <v>0</v>
      </c>
      <c r="I209" s="61">
        <v>0</v>
      </c>
      <c r="J209" s="61">
        <v>0</v>
      </c>
      <c r="K209" s="61">
        <v>0</v>
      </c>
      <c r="L209" s="61">
        <v>0</v>
      </c>
      <c r="M209" s="61">
        <v>0</v>
      </c>
      <c r="N209" s="61">
        <v>0</v>
      </c>
      <c r="O209" s="61">
        <v>0</v>
      </c>
      <c r="P209" s="61">
        <v>0</v>
      </c>
    </row>
    <row r="210" spans="2:16" x14ac:dyDescent="0.25">
      <c r="B210" s="60" t="s">
        <v>133</v>
      </c>
      <c r="C210" s="61">
        <v>-731</v>
      </c>
      <c r="D210" s="61">
        <v>-677</v>
      </c>
      <c r="E210" s="61">
        <v>-645</v>
      </c>
      <c r="F210" s="61">
        <v>0</v>
      </c>
      <c r="G210" s="61">
        <v>0</v>
      </c>
      <c r="H210" s="61">
        <v>0</v>
      </c>
      <c r="I210" s="61">
        <v>0</v>
      </c>
      <c r="J210" s="61">
        <v>0</v>
      </c>
      <c r="K210" s="61">
        <v>0</v>
      </c>
      <c r="L210" s="61">
        <v>0</v>
      </c>
      <c r="M210" s="61">
        <v>0</v>
      </c>
      <c r="N210" s="61">
        <v>0</v>
      </c>
      <c r="O210" s="61">
        <v>0</v>
      </c>
      <c r="P210" s="61">
        <v>0</v>
      </c>
    </row>
    <row r="211" spans="2:16" x14ac:dyDescent="0.25">
      <c r="B211" s="60" t="s">
        <v>134</v>
      </c>
      <c r="C211" s="61">
        <v>1604</v>
      </c>
      <c r="D211" s="61">
        <v>601</v>
      </c>
      <c r="E211" s="61">
        <v>218</v>
      </c>
      <c r="F211" s="61">
        <v>0</v>
      </c>
      <c r="G211" s="61">
        <v>0</v>
      </c>
      <c r="H211" s="61">
        <v>0</v>
      </c>
      <c r="I211" s="61">
        <v>0</v>
      </c>
      <c r="J211" s="61">
        <v>0</v>
      </c>
      <c r="K211" s="61">
        <v>0</v>
      </c>
      <c r="L211" s="61">
        <v>0</v>
      </c>
      <c r="M211" s="61">
        <v>0</v>
      </c>
      <c r="N211" s="61">
        <v>0</v>
      </c>
      <c r="O211" s="61">
        <v>0</v>
      </c>
      <c r="P211" s="61">
        <v>0</v>
      </c>
    </row>
    <row r="212" spans="2:16" x14ac:dyDescent="0.25">
      <c r="B212" s="60" t="s">
        <v>135</v>
      </c>
      <c r="C212" s="61">
        <v>-3944</v>
      </c>
      <c r="D212" s="61">
        <v>-3346</v>
      </c>
      <c r="E212" s="61">
        <v>-3008</v>
      </c>
      <c r="F212" s="61">
        <f>-F200</f>
        <v>-2310.0631205106397</v>
      </c>
      <c r="G212" s="61">
        <f>-G200</f>
        <v>-2823.2156794935122</v>
      </c>
      <c r="H212" s="61">
        <f>-H200</f>
        <v>-3197.4732337301107</v>
      </c>
      <c r="I212" s="61">
        <f>-I200</f>
        <v>-3585.7955939589915</v>
      </c>
      <c r="J212" s="61">
        <f>-J200</f>
        <v>-3385.7599033272418</v>
      </c>
      <c r="K212" s="61">
        <f>-K200</f>
        <v>-3481.6887446295482</v>
      </c>
      <c r="L212" s="61">
        <f>-L200</f>
        <v>-3614.1297801937799</v>
      </c>
      <c r="M212" s="61">
        <f>-M200</f>
        <v>-3749.2225784502702</v>
      </c>
      <c r="N212" s="61">
        <f>-N200</f>
        <v>-3974.3819787194975</v>
      </c>
      <c r="O212" s="61">
        <f>-O200</f>
        <v>-4084.8333025358129</v>
      </c>
      <c r="P212" s="61">
        <f>-P200</f>
        <v>-4197.3130361205613</v>
      </c>
    </row>
    <row r="213" spans="2:16" x14ac:dyDescent="0.25">
      <c r="B213" s="60" t="s">
        <v>136</v>
      </c>
      <c r="C213" s="61">
        <v>-1044</v>
      </c>
      <c r="D213" s="61">
        <v>-948</v>
      </c>
      <c r="E213" s="61">
        <v>-661</v>
      </c>
      <c r="F213" s="61">
        <v>0</v>
      </c>
      <c r="G213" s="61">
        <v>0</v>
      </c>
      <c r="H213" s="61">
        <v>0</v>
      </c>
      <c r="I213" s="61">
        <v>0</v>
      </c>
      <c r="J213" s="61">
        <v>0</v>
      </c>
      <c r="K213" s="61">
        <v>0</v>
      </c>
      <c r="L213" s="61">
        <v>0</v>
      </c>
      <c r="M213" s="61">
        <v>0</v>
      </c>
      <c r="N213" s="61">
        <v>0</v>
      </c>
      <c r="O213" s="61">
        <v>0</v>
      </c>
      <c r="P213" s="61">
        <v>0</v>
      </c>
    </row>
    <row r="214" spans="2:16" x14ac:dyDescent="0.25">
      <c r="B214" s="60" t="s">
        <v>137</v>
      </c>
      <c r="C214" s="61">
        <v>-98</v>
      </c>
      <c r="D214" s="61">
        <v>-248</v>
      </c>
      <c r="E214" s="61">
        <v>1</v>
      </c>
      <c r="F214" s="61">
        <v>0</v>
      </c>
      <c r="G214" s="61">
        <v>0</v>
      </c>
      <c r="H214" s="61">
        <v>0</v>
      </c>
      <c r="I214" s="61">
        <v>0</v>
      </c>
      <c r="J214" s="61">
        <v>0</v>
      </c>
      <c r="K214" s="61">
        <v>0</v>
      </c>
      <c r="L214" s="61">
        <v>0</v>
      </c>
      <c r="M214" s="61">
        <v>0</v>
      </c>
      <c r="N214" s="61">
        <v>0</v>
      </c>
      <c r="O214" s="61">
        <v>0</v>
      </c>
      <c r="P214" s="61">
        <v>0</v>
      </c>
    </row>
    <row r="215" spans="2:16" x14ac:dyDescent="0.25">
      <c r="B215" s="58" t="s">
        <v>138</v>
      </c>
      <c r="C215" s="59">
        <v>-7153</v>
      </c>
      <c r="D215" s="59">
        <v>-9302</v>
      </c>
      <c r="E215" s="59">
        <v>-10972</v>
      </c>
      <c r="F215" s="59">
        <f>SUM(F208:F214)</f>
        <v>-11819.166743950525</v>
      </c>
      <c r="G215" s="59">
        <f>SUM(G208:G214)</f>
        <v>-14444.651565492024</v>
      </c>
      <c r="H215" s="59">
        <f>SUM(H208:H214)</f>
        <v>-16359.496402168032</v>
      </c>
      <c r="I215" s="59">
        <f>SUM(I208:I214)</f>
        <v>-18346.302167429989</v>
      </c>
      <c r="J215" s="59">
        <f>SUM(J208:J214)</f>
        <v>-17322.843041432021</v>
      </c>
      <c r="K215" s="59">
        <f>SUM(K208:K214)</f>
        <v>-17813.65169546365</v>
      </c>
      <c r="L215" s="59">
        <f>SUM(L208:L214)</f>
        <v>-18491.270704735187</v>
      </c>
      <c r="M215" s="59">
        <f>SUM(M208:M214)</f>
        <v>-19182.457146492405</v>
      </c>
      <c r="N215" s="59">
        <f>SUM(N208:N214)</f>
        <v>-20334.458783210299</v>
      </c>
      <c r="O215" s="59">
        <f>SUM(O208:O214)</f>
        <v>-20899.570014017936</v>
      </c>
      <c r="P215" s="59">
        <f>SUM(P208:P214)</f>
        <v>-21475.059365261037</v>
      </c>
    </row>
    <row r="217" spans="2:16" x14ac:dyDescent="0.25">
      <c r="B217" s="60" t="s">
        <v>139</v>
      </c>
      <c r="C217" s="61">
        <v>-4069</v>
      </c>
      <c r="D217" s="61">
        <v>-4680</v>
      </c>
      <c r="E217" s="61">
        <v>-5384</v>
      </c>
      <c r="F217" s="61">
        <f>-F$244</f>
        <v>-6199.6279999999997</v>
      </c>
      <c r="G217" s="61">
        <f>-G$244</f>
        <v>-6710.9191200000005</v>
      </c>
      <c r="H217" s="61">
        <f>-H$244</f>
        <v>-7247.7926496000009</v>
      </c>
      <c r="I217" s="61">
        <f>-I$244</f>
        <v>-7827.6160615680019</v>
      </c>
      <c r="J217" s="61">
        <f>-J$244</f>
        <v>-8453.8253464934423</v>
      </c>
      <c r="K217" s="61">
        <f>-K$244</f>
        <v>-9130.1313742129169</v>
      </c>
      <c r="L217" s="61">
        <f>-L$244</f>
        <v>-9871.5230544647238</v>
      </c>
      <c r="M217" s="61">
        <f>-M$244</f>
        <v>-10673.104562761855</v>
      </c>
      <c r="N217" s="61">
        <f>-N$244</f>
        <v>-11539.761364837956</v>
      </c>
      <c r="O217" s="61">
        <f>-O$244</f>
        <v>-12476.775386044557</v>
      </c>
      <c r="P217" s="61">
        <f>-P$244</f>
        <v>-13489.857177909251</v>
      </c>
    </row>
    <row r="218" spans="2:16" x14ac:dyDescent="0.25">
      <c r="B218" s="60" t="s">
        <v>140</v>
      </c>
      <c r="C218" s="61">
        <v>4691</v>
      </c>
      <c r="D218" s="61">
        <v>-1852</v>
      </c>
      <c r="E218" s="61">
        <v>-4338</v>
      </c>
      <c r="F218" s="61">
        <f>F$246</f>
        <v>0</v>
      </c>
      <c r="G218" s="61">
        <f>G$246</f>
        <v>0</v>
      </c>
      <c r="H218" s="61">
        <f>H$246</f>
        <v>0</v>
      </c>
      <c r="I218" s="61">
        <f>I$246</f>
        <v>0</v>
      </c>
      <c r="J218" s="61">
        <f>J$246</f>
        <v>0</v>
      </c>
      <c r="K218" s="61">
        <f>K$246</f>
        <v>0</v>
      </c>
      <c r="L218" s="61">
        <f>L$246</f>
        <v>0</v>
      </c>
      <c r="M218" s="61">
        <f>M$246</f>
        <v>0</v>
      </c>
      <c r="N218" s="61">
        <f>N$246</f>
        <v>0</v>
      </c>
      <c r="O218" s="61">
        <f>O$246</f>
        <v>0</v>
      </c>
      <c r="P218" s="61">
        <f>P$246</f>
        <v>0</v>
      </c>
    </row>
    <row r="219" spans="2:16" x14ac:dyDescent="0.25">
      <c r="B219" s="60" t="s">
        <v>141</v>
      </c>
      <c r="C219" s="61">
        <v>3959</v>
      </c>
      <c r="D219" s="61">
        <v>11417</v>
      </c>
      <c r="E219" s="61">
        <v>13167</v>
      </c>
      <c r="F219" s="61">
        <f>F$247</f>
        <v>0</v>
      </c>
      <c r="G219" s="61">
        <f>G$247</f>
        <v>0</v>
      </c>
      <c r="H219" s="61">
        <f>H$247</f>
        <v>0</v>
      </c>
      <c r="I219" s="61">
        <f>I$247</f>
        <v>0</v>
      </c>
      <c r="J219" s="61">
        <f>J$247</f>
        <v>0</v>
      </c>
      <c r="K219" s="61">
        <f>K$247</f>
        <v>0</v>
      </c>
      <c r="L219" s="61">
        <f>L$247</f>
        <v>0</v>
      </c>
      <c r="M219" s="61">
        <f>M$247</f>
        <v>0</v>
      </c>
      <c r="N219" s="61">
        <f>N$247</f>
        <v>0</v>
      </c>
      <c r="O219" s="61">
        <f>O$247</f>
        <v>0</v>
      </c>
      <c r="P219" s="61">
        <f>P$247</f>
        <v>0</v>
      </c>
    </row>
    <row r="220" spans="2:16" x14ac:dyDescent="0.25">
      <c r="B220" s="60" t="s">
        <v>142</v>
      </c>
      <c r="C220" s="61">
        <v>0</v>
      </c>
      <c r="D220" s="61">
        <v>-664</v>
      </c>
      <c r="E220" s="61">
        <v>-778</v>
      </c>
      <c r="F220" s="61">
        <v>0</v>
      </c>
      <c r="G220" s="61">
        <v>0</v>
      </c>
      <c r="H220" s="61">
        <v>0</v>
      </c>
      <c r="I220" s="61">
        <v>0</v>
      </c>
      <c r="J220" s="61">
        <v>0</v>
      </c>
      <c r="K220" s="61">
        <v>0</v>
      </c>
      <c r="L220" s="61">
        <v>0</v>
      </c>
      <c r="M220" s="61">
        <v>0</v>
      </c>
      <c r="N220" s="61">
        <v>0</v>
      </c>
      <c r="O220" s="61">
        <v>0</v>
      </c>
      <c r="P220" s="61">
        <v>0</v>
      </c>
    </row>
    <row r="221" spans="2:16" x14ac:dyDescent="0.25">
      <c r="B221" s="60" t="s">
        <v>143</v>
      </c>
      <c r="C221" s="61">
        <v>-750</v>
      </c>
      <c r="D221" s="61">
        <v>-2500</v>
      </c>
      <c r="E221" s="61">
        <v>-4108</v>
      </c>
      <c r="F221" s="61">
        <f>-F$245</f>
        <v>-4000</v>
      </c>
      <c r="G221" s="61">
        <f>-G$245</f>
        <v>-4000</v>
      </c>
      <c r="H221" s="61">
        <f>-H$245</f>
        <v>-4000</v>
      </c>
      <c r="I221" s="61">
        <f>-I$245</f>
        <v>-4000</v>
      </c>
      <c r="J221" s="61">
        <f>-J$245</f>
        <v>-4000</v>
      </c>
      <c r="K221" s="61">
        <f>-K$245</f>
        <v>-4000</v>
      </c>
      <c r="L221" s="61">
        <f>-L$245</f>
        <v>-4000</v>
      </c>
      <c r="M221" s="61">
        <f>-M$245</f>
        <v>-4000</v>
      </c>
      <c r="N221" s="61">
        <f>-N$245</f>
        <v>-4000</v>
      </c>
      <c r="O221" s="61">
        <f>-O$245</f>
        <v>-4000</v>
      </c>
      <c r="P221" s="61">
        <f>-P$245</f>
        <v>-4000</v>
      </c>
    </row>
    <row r="222" spans="2:16" x14ac:dyDescent="0.25">
      <c r="B222" s="60" t="s">
        <v>144</v>
      </c>
      <c r="C222" s="61">
        <v>-335</v>
      </c>
      <c r="D222" s="61">
        <v>-491</v>
      </c>
      <c r="E222" s="61">
        <v>-772</v>
      </c>
      <c r="F222" s="61">
        <v>0</v>
      </c>
      <c r="G222" s="61">
        <v>0</v>
      </c>
      <c r="H222" s="61">
        <v>0</v>
      </c>
      <c r="I222" s="61">
        <v>0</v>
      </c>
      <c r="J222" s="61">
        <v>0</v>
      </c>
      <c r="K222" s="61">
        <v>0</v>
      </c>
      <c r="L222" s="61">
        <v>0</v>
      </c>
      <c r="M222" s="61">
        <v>0</v>
      </c>
      <c r="N222" s="61">
        <v>0</v>
      </c>
      <c r="O222" s="61">
        <v>0</v>
      </c>
      <c r="P222" s="61">
        <v>0</v>
      </c>
    </row>
    <row r="223" spans="2:16" x14ac:dyDescent="0.25">
      <c r="B223" s="58" t="s">
        <v>145</v>
      </c>
      <c r="C223" s="59">
        <v>3496</v>
      </c>
      <c r="D223" s="59">
        <v>1230</v>
      </c>
      <c r="E223" s="59">
        <v>-2213</v>
      </c>
      <c r="F223" s="59">
        <f>SUM(F217:F222)</f>
        <v>-10199.628000000001</v>
      </c>
      <c r="G223" s="59">
        <f>SUM(G217:G222)</f>
        <v>-10710.91912</v>
      </c>
      <c r="H223" s="59">
        <f>SUM(H217:H222)</f>
        <v>-11247.7926496</v>
      </c>
      <c r="I223" s="59">
        <f>SUM(I217:I222)</f>
        <v>-11827.616061568002</v>
      </c>
      <c r="J223" s="59">
        <f>SUM(J217:J222)</f>
        <v>-12453.825346493442</v>
      </c>
      <c r="K223" s="59">
        <f>SUM(K217:K222)</f>
        <v>-13130.131374212917</v>
      </c>
      <c r="L223" s="59">
        <f>SUM(L217:L222)</f>
        <v>-13871.523054464724</v>
      </c>
      <c r="M223" s="59">
        <f>SUM(M217:M222)</f>
        <v>-14673.104562761855</v>
      </c>
      <c r="N223" s="59">
        <f>SUM(N217:N222)</f>
        <v>-15539.761364837956</v>
      </c>
      <c r="O223" s="59">
        <f>SUM(O217:O222)</f>
        <v>-16476.775386044559</v>
      </c>
      <c r="P223" s="59">
        <f>SUM(P217:P222)</f>
        <v>-17489.857177909253</v>
      </c>
    </row>
    <row r="225" spans="2:19" x14ac:dyDescent="0.25">
      <c r="B225" s="60" t="s">
        <v>146</v>
      </c>
      <c r="C225" s="61">
        <v>169</v>
      </c>
      <c r="D225" s="61">
        <v>-297</v>
      </c>
      <c r="E225" s="61">
        <v>372</v>
      </c>
      <c r="F225" s="61">
        <v>0</v>
      </c>
      <c r="G225" s="61">
        <v>0</v>
      </c>
      <c r="H225" s="61">
        <v>0</v>
      </c>
      <c r="I225" s="61">
        <v>0</v>
      </c>
      <c r="J225" s="61">
        <v>0</v>
      </c>
      <c r="K225" s="61">
        <v>0</v>
      </c>
      <c r="L225" s="61">
        <v>0</v>
      </c>
      <c r="M225" s="61">
        <v>0</v>
      </c>
      <c r="N225" s="61">
        <v>0</v>
      </c>
      <c r="O225" s="61">
        <v>0</v>
      </c>
      <c r="P225" s="61">
        <v>0</v>
      </c>
    </row>
    <row r="226" spans="2:19" x14ac:dyDescent="0.25">
      <c r="B226" s="58" t="s">
        <v>147</v>
      </c>
      <c r="C226" s="59">
        <v>752</v>
      </c>
      <c r="D226" s="59">
        <v>449</v>
      </c>
      <c r="E226" s="59">
        <v>4000</v>
      </c>
      <c r="F226" s="59">
        <f>F206+F215+F223+F225</f>
        <v>6099.4453585641932</v>
      </c>
      <c r="G226" s="59">
        <f>G206+G215+G223+G225</f>
        <v>9857.319166997293</v>
      </c>
      <c r="H226" s="59">
        <f>H206+H215+H223+H225</f>
        <v>13648.927068926601</v>
      </c>
      <c r="I226" s="59">
        <f>I206+I215+I223+I225</f>
        <v>16401.619711577212</v>
      </c>
      <c r="J226" s="59">
        <f>J206+J215+J223+J225</f>
        <v>18936.644119672717</v>
      </c>
      <c r="K226" s="59">
        <f>K206+K215+K223+K225</f>
        <v>16607.562998224807</v>
      </c>
      <c r="L226" s="59">
        <f>L206+L215+L223+L225</f>
        <v>16717.564354318118</v>
      </c>
      <c r="M226" s="59">
        <f>M206+M215+M223+M225</f>
        <v>17089.638701700635</v>
      </c>
      <c r="N226" s="59">
        <f>N206+N215+N223+N225</f>
        <v>17453.876686070478</v>
      </c>
      <c r="O226" s="59">
        <f>O206+O215+O223+O225</f>
        <v>18417.070946651562</v>
      </c>
      <c r="P226" s="59">
        <f>P206+P215+P223+P225</f>
        <v>18371.448952073675</v>
      </c>
    </row>
    <row r="227" spans="2:19" x14ac:dyDescent="0.25">
      <c r="B227" s="60" t="s">
        <v>148</v>
      </c>
      <c r="C227" s="61">
        <v>2067</v>
      </c>
      <c r="D227" s="61">
        <v>2818.6</v>
      </c>
      <c r="E227" s="61">
        <v>3268</v>
      </c>
      <c r="F227" s="61">
        <f>E165</f>
        <v>7268</v>
      </c>
      <c r="G227" s="61">
        <f>F165</f>
        <v>13367.445358564193</v>
      </c>
      <c r="H227" s="61">
        <f>G165</f>
        <v>23224.764525561484</v>
      </c>
      <c r="I227" s="61">
        <f>H165</f>
        <v>36873.691594488089</v>
      </c>
      <c r="J227" s="61">
        <f>I165</f>
        <v>53275.311306065298</v>
      </c>
      <c r="K227" s="61">
        <f>J165</f>
        <v>72211.955425738008</v>
      </c>
      <c r="L227" s="61">
        <f>K165</f>
        <v>88819.518423962814</v>
      </c>
      <c r="M227" s="61">
        <f>L165</f>
        <v>105537.08277828094</v>
      </c>
      <c r="N227" s="61">
        <f>M165</f>
        <v>122626.72147998157</v>
      </c>
      <c r="O227" s="61">
        <f>N165</f>
        <v>140080.59816605205</v>
      </c>
      <c r="P227" s="61">
        <f>O165</f>
        <v>158497.66911270362</v>
      </c>
    </row>
    <row r="228" spans="2:19" x14ac:dyDescent="0.25">
      <c r="B228" s="58" t="s">
        <v>149</v>
      </c>
      <c r="C228" s="59">
        <v>2819</v>
      </c>
      <c r="D228" s="59">
        <v>3267.6</v>
      </c>
      <c r="E228" s="59">
        <v>7268</v>
      </c>
      <c r="F228" s="59">
        <f>F227+F226</f>
        <v>13367.445358564193</v>
      </c>
      <c r="G228" s="59">
        <f>G227+G226</f>
        <v>23224.764525561484</v>
      </c>
      <c r="H228" s="59">
        <f>H227+H226</f>
        <v>36873.691594488089</v>
      </c>
      <c r="I228" s="59">
        <f>I227+I226</f>
        <v>53275.311306065298</v>
      </c>
      <c r="J228" s="59">
        <f>J227+J226</f>
        <v>72211.955425738008</v>
      </c>
      <c r="K228" s="59">
        <f>K227+K226</f>
        <v>88819.518423962814</v>
      </c>
      <c r="L228" s="59">
        <f>L227+L226</f>
        <v>105537.08277828094</v>
      </c>
      <c r="M228" s="59">
        <f>M227+M226</f>
        <v>122626.72147998157</v>
      </c>
      <c r="N228" s="59">
        <f>N227+N226</f>
        <v>140080.59816605205</v>
      </c>
      <c r="O228" s="59">
        <f>O227+O226</f>
        <v>158497.66911270362</v>
      </c>
      <c r="P228" s="59">
        <f>P227+P226</f>
        <v>176869.11806477729</v>
      </c>
    </row>
    <row r="230" spans="2:19" ht="16.5" thickBot="1" x14ac:dyDescent="0.3">
      <c r="B230" s="56" t="s">
        <v>150</v>
      </c>
      <c r="C230" s="57" t="s">
        <v>80</v>
      </c>
      <c r="D230" s="57" t="s">
        <v>81</v>
      </c>
      <c r="E230" s="57" t="s">
        <v>82</v>
      </c>
      <c r="F230" s="57" t="s">
        <v>83</v>
      </c>
      <c r="G230" s="57" t="s">
        <v>84</v>
      </c>
      <c r="H230" s="57" t="s">
        <v>85</v>
      </c>
      <c r="I230" s="57" t="s">
        <v>86</v>
      </c>
      <c r="J230" s="57" t="s">
        <v>87</v>
      </c>
      <c r="K230" s="57" t="s">
        <v>88</v>
      </c>
      <c r="L230" s="57" t="s">
        <v>291</v>
      </c>
      <c r="M230" s="57" t="s">
        <v>292</v>
      </c>
      <c r="N230" s="57" t="s">
        <v>293</v>
      </c>
      <c r="O230" s="57" t="s">
        <v>294</v>
      </c>
      <c r="P230" s="57" t="s">
        <v>295</v>
      </c>
      <c r="R230" s="66" t="s">
        <v>151</v>
      </c>
      <c r="S230" s="66"/>
    </row>
    <row r="231" spans="2:19" x14ac:dyDescent="0.25">
      <c r="B231" s="64" t="s">
        <v>152</v>
      </c>
      <c r="C231" s="67">
        <f>C166/C150</f>
        <v>0.26639530419849899</v>
      </c>
      <c r="D231" s="67">
        <f>D166/D150</f>
        <v>0.24434592064862898</v>
      </c>
      <c r="E231" s="67">
        <f>E166/E150</f>
        <v>0.27247830989805077</v>
      </c>
      <c r="F231" s="67">
        <f>$E$231</f>
        <v>0.27247830989805077</v>
      </c>
      <c r="G231" s="67">
        <f>$E$231</f>
        <v>0.27247830989805077</v>
      </c>
      <c r="H231" s="67">
        <f>$E$231</f>
        <v>0.27247830989805077</v>
      </c>
      <c r="I231" s="67">
        <f>$E$231</f>
        <v>0.27247830989805077</v>
      </c>
      <c r="J231" s="67">
        <f>$E$231</f>
        <v>0.27247830989805077</v>
      </c>
      <c r="K231" s="67">
        <f>$E$231</f>
        <v>0.27247830989805077</v>
      </c>
      <c r="L231" s="67">
        <f>$E$231</f>
        <v>0.27247830989805077</v>
      </c>
      <c r="M231" s="67">
        <f>$E$231</f>
        <v>0.27247830989805077</v>
      </c>
      <c r="N231" s="67">
        <f>$E$231</f>
        <v>0.27247830989805077</v>
      </c>
      <c r="O231" s="67">
        <f>$E$231</f>
        <v>0.27247830989805077</v>
      </c>
      <c r="P231" s="67">
        <f>$E$231</f>
        <v>0.27247830989805077</v>
      </c>
      <c r="R231" s="60" t="s">
        <v>153</v>
      </c>
      <c r="S231" s="62">
        <v>6.92</v>
      </c>
    </row>
    <row r="232" spans="2:19" x14ac:dyDescent="0.25">
      <c r="B232" s="64" t="s">
        <v>154</v>
      </c>
      <c r="C232" s="67">
        <f>C167/C150</f>
        <v>6.5809794250983905E-2</v>
      </c>
      <c r="D232" s="67">
        <f>D167/D150</f>
        <v>5.0396623648227133E-2</v>
      </c>
      <c r="E232" s="67">
        <f>E167/E150</f>
        <v>3.6744681993571601E-2</v>
      </c>
      <c r="F232" s="67">
        <f>$E$232</f>
        <v>3.6744681993571601E-2</v>
      </c>
      <c r="G232" s="67">
        <f>$E$232</f>
        <v>3.6744681993571601E-2</v>
      </c>
      <c r="H232" s="67">
        <f>$E$232</f>
        <v>3.6744681993571601E-2</v>
      </c>
      <c r="I232" s="67">
        <f>$E$232</f>
        <v>3.6744681993571601E-2</v>
      </c>
      <c r="J232" s="67">
        <f>$E$232</f>
        <v>3.6744681993571601E-2</v>
      </c>
      <c r="K232" s="67">
        <f>$E$232</f>
        <v>3.6744681993571601E-2</v>
      </c>
      <c r="L232" s="67">
        <f>$E$232</f>
        <v>3.6744681993571601E-2</v>
      </c>
      <c r="M232" s="67">
        <f>$E$232</f>
        <v>3.6744681993571601E-2</v>
      </c>
      <c r="N232" s="67">
        <f>$E$232</f>
        <v>3.6744681993571601E-2</v>
      </c>
      <c r="O232" s="67">
        <f>$E$232</f>
        <v>3.6744681993571601E-2</v>
      </c>
      <c r="P232" s="67">
        <f>$E$232</f>
        <v>3.6744681993571601E-2</v>
      </c>
      <c r="R232" s="60" t="s">
        <v>155</v>
      </c>
      <c r="S232" s="68">
        <v>0.08</v>
      </c>
    </row>
    <row r="233" spans="2:19" x14ac:dyDescent="0.25">
      <c r="B233" s="64" t="s">
        <v>156</v>
      </c>
      <c r="C233" s="67">
        <f>C168/C151</f>
        <v>0.81511394764338763</v>
      </c>
      <c r="D233" s="67">
        <f>D168/D151</f>
        <v>0.90148842402860441</v>
      </c>
      <c r="E233" s="67">
        <f>E168/E151</f>
        <v>1.2434858135495079</v>
      </c>
      <c r="F233" s="67">
        <f>$E$233</f>
        <v>1.2434858135495079</v>
      </c>
      <c r="G233" s="67">
        <f>$E$233</f>
        <v>1.2434858135495079</v>
      </c>
      <c r="H233" s="67">
        <f>$E$233</f>
        <v>1.2434858135495079</v>
      </c>
      <c r="I233" s="67">
        <f>$E$233</f>
        <v>1.2434858135495079</v>
      </c>
      <c r="J233" s="67">
        <f>$E$233</f>
        <v>1.2434858135495079</v>
      </c>
      <c r="K233" s="67">
        <f>$E$233</f>
        <v>1.2434858135495079</v>
      </c>
      <c r="L233" s="67">
        <f>$E$233</f>
        <v>1.2434858135495079</v>
      </c>
      <c r="M233" s="67">
        <f>$E$233</f>
        <v>1.2434858135495079</v>
      </c>
      <c r="N233" s="67">
        <f>$E$233</f>
        <v>1.2434858135495079</v>
      </c>
      <c r="O233" s="67">
        <f>$E$233</f>
        <v>1.2434858135495079</v>
      </c>
      <c r="P233" s="67">
        <f>$E$233</f>
        <v>1.2434858135495079</v>
      </c>
      <c r="R233" s="60" t="s">
        <v>157</v>
      </c>
      <c r="S233" s="61">
        <v>4000</v>
      </c>
    </row>
    <row r="234" spans="2:19" x14ac:dyDescent="0.25">
      <c r="B234" s="64" t="s">
        <v>158</v>
      </c>
      <c r="C234" s="67">
        <f>C169/C150</f>
        <v>0.1623720479074906</v>
      </c>
      <c r="D234" s="67">
        <f>D169/D150</f>
        <v>0.1851798404624945</v>
      </c>
      <c r="E234" s="67">
        <f>E169/E150</f>
        <v>0.21962426836658766</v>
      </c>
      <c r="F234" s="67">
        <f>$E$234</f>
        <v>0.21962426836658766</v>
      </c>
      <c r="G234" s="67">
        <f>$E$234</f>
        <v>0.21962426836658766</v>
      </c>
      <c r="H234" s="67">
        <f>$E$234</f>
        <v>0.21962426836658766</v>
      </c>
      <c r="I234" s="67">
        <f>$E$234</f>
        <v>0.21962426836658766</v>
      </c>
      <c r="J234" s="67">
        <f>$E$234</f>
        <v>0.21962426836658766</v>
      </c>
      <c r="K234" s="67">
        <f>$E$234</f>
        <v>0.21962426836658766</v>
      </c>
      <c r="L234" s="67">
        <f>$E$234</f>
        <v>0.21962426836658766</v>
      </c>
      <c r="M234" s="67">
        <f>$E$234</f>
        <v>0.21962426836658766</v>
      </c>
      <c r="N234" s="67">
        <f>$E$234</f>
        <v>0.21962426836658766</v>
      </c>
      <c r="O234" s="67">
        <f>$E$234</f>
        <v>0.21962426836658766</v>
      </c>
      <c r="P234" s="67">
        <f>$E$234</f>
        <v>0.21962426836658766</v>
      </c>
      <c r="R234" s="60" t="s">
        <v>159</v>
      </c>
      <c r="S234" s="61">
        <v>0</v>
      </c>
    </row>
    <row r="235" spans="2:19" x14ac:dyDescent="0.25">
      <c r="B235" s="64" t="s">
        <v>160</v>
      </c>
      <c r="C235" s="67">
        <f>C170/C150</f>
        <v>7.5782218432134483E-3</v>
      </c>
      <c r="D235" s="67">
        <f>D170/D150</f>
        <v>5.9055074407173645E-3</v>
      </c>
      <c r="E235" s="67">
        <f>E170/E150</f>
        <v>2.2553103353048121E-3</v>
      </c>
      <c r="F235" s="67">
        <f>$E$235</f>
        <v>2.2553103353048121E-3</v>
      </c>
      <c r="G235" s="67">
        <f>$E$235</f>
        <v>2.2553103353048121E-3</v>
      </c>
      <c r="H235" s="67">
        <f>$E$235</f>
        <v>2.2553103353048121E-3</v>
      </c>
      <c r="I235" s="67">
        <f>$E$235</f>
        <v>2.2553103353048121E-3</v>
      </c>
      <c r="J235" s="67">
        <f>$E$235</f>
        <v>2.2553103353048121E-3</v>
      </c>
      <c r="K235" s="67">
        <f>$E$235</f>
        <v>2.2553103353048121E-3</v>
      </c>
      <c r="L235" s="67">
        <f>$E$235</f>
        <v>2.2553103353048121E-3</v>
      </c>
      <c r="M235" s="67">
        <f>$E$235</f>
        <v>2.2553103353048121E-3</v>
      </c>
      <c r="N235" s="67">
        <f>$E$235</f>
        <v>2.2553103353048121E-3</v>
      </c>
      <c r="O235" s="67">
        <f>$E$235</f>
        <v>2.2553103353048121E-3</v>
      </c>
      <c r="P235" s="67">
        <f>$E$235</f>
        <v>2.2553103353048121E-3</v>
      </c>
      <c r="R235" s="60" t="s">
        <v>161</v>
      </c>
      <c r="S235" s="61">
        <v>0</v>
      </c>
    </row>
    <row r="236" spans="2:19" x14ac:dyDescent="0.25">
      <c r="B236" s="64" t="s">
        <v>162</v>
      </c>
      <c r="C236" s="67">
        <f>C181/C151</f>
        <v>0.36694812346446021</v>
      </c>
      <c r="D236" s="67">
        <f>D181/D151</f>
        <v>0.38356912915909391</v>
      </c>
      <c r="E236" s="67">
        <f>E181/E151</f>
        <v>0.48666401273885351</v>
      </c>
      <c r="F236" s="67">
        <f>$E$236</f>
        <v>0.48666401273885351</v>
      </c>
      <c r="G236" s="67">
        <f>$E$236</f>
        <v>0.48666401273885351</v>
      </c>
      <c r="H236" s="67">
        <f>$E$236</f>
        <v>0.48666401273885351</v>
      </c>
      <c r="I236" s="67">
        <f>$E$236</f>
        <v>0.48666401273885351</v>
      </c>
      <c r="J236" s="67">
        <f>$E$236</f>
        <v>0.48666401273885351</v>
      </c>
      <c r="K236" s="67">
        <f>$E$236</f>
        <v>0.48666401273885351</v>
      </c>
      <c r="L236" s="67">
        <f>$E$236</f>
        <v>0.48666401273885351</v>
      </c>
      <c r="M236" s="67">
        <f>$E$236</f>
        <v>0.48666401273885351</v>
      </c>
      <c r="N236" s="67">
        <f>$E$236</f>
        <v>0.48666401273885351</v>
      </c>
      <c r="O236" s="67">
        <f>$E$236</f>
        <v>0.48666401273885351</v>
      </c>
      <c r="P236" s="67">
        <f>$E$236</f>
        <v>0.48666401273885351</v>
      </c>
    </row>
    <row r="237" spans="2:19" x14ac:dyDescent="0.25">
      <c r="B237" s="64" t="s">
        <v>163</v>
      </c>
      <c r="C237" s="67">
        <f>C182/C150</f>
        <v>4.8364645514460458E-2</v>
      </c>
      <c r="D237" s="67">
        <f>D182/D150</f>
        <v>4.6489220228805112E-2</v>
      </c>
      <c r="E237" s="67">
        <f>E182/E150</f>
        <v>3.6437837049992712E-2</v>
      </c>
      <c r="F237" s="67">
        <f>$E$237</f>
        <v>3.6437837049992712E-2</v>
      </c>
      <c r="G237" s="67">
        <f>$E$237</f>
        <v>3.6437837049992712E-2</v>
      </c>
      <c r="H237" s="67">
        <f>$E$237</f>
        <v>3.6437837049992712E-2</v>
      </c>
      <c r="I237" s="67">
        <f>$E$237</f>
        <v>3.6437837049992712E-2</v>
      </c>
      <c r="J237" s="67">
        <f>$E$237</f>
        <v>3.6437837049992712E-2</v>
      </c>
      <c r="K237" s="67">
        <f>$E$237</f>
        <v>3.6437837049992712E-2</v>
      </c>
      <c r="L237" s="67">
        <f>$E$237</f>
        <v>3.6437837049992712E-2</v>
      </c>
      <c r="M237" s="67">
        <f>$E$237</f>
        <v>3.6437837049992712E-2</v>
      </c>
      <c r="N237" s="67">
        <f>$E$237</f>
        <v>3.6437837049992712E-2</v>
      </c>
      <c r="O237" s="67">
        <f>$E$237</f>
        <v>3.6437837049992712E-2</v>
      </c>
      <c r="P237" s="67">
        <f>$E$237</f>
        <v>3.6437837049992712E-2</v>
      </c>
    </row>
    <row r="238" spans="2:19" x14ac:dyDescent="0.25">
      <c r="B238" s="64" t="s">
        <v>164</v>
      </c>
      <c r="C238" s="67">
        <f>C183/C150</f>
        <v>0.34254383265785765</v>
      </c>
      <c r="D238" s="67">
        <f>D183/D150</f>
        <v>0.2561791366858559</v>
      </c>
      <c r="E238" s="67">
        <f>E183/E150</f>
        <v>0.26667894046440982</v>
      </c>
      <c r="F238" s="67">
        <f>$E$238</f>
        <v>0.26667894046440982</v>
      </c>
      <c r="G238" s="67">
        <f>$E$238</f>
        <v>0.26667894046440982</v>
      </c>
      <c r="H238" s="67">
        <f>$E$238</f>
        <v>0.26667894046440982</v>
      </c>
      <c r="I238" s="67">
        <f>$E$238</f>
        <v>0.26667894046440982</v>
      </c>
      <c r="J238" s="67">
        <f>$E$238</f>
        <v>0.26667894046440982</v>
      </c>
      <c r="K238" s="67">
        <f>$E$238</f>
        <v>0.26667894046440982</v>
      </c>
      <c r="L238" s="67">
        <f>$E$238</f>
        <v>0.26667894046440982</v>
      </c>
      <c r="M238" s="67">
        <f>$E$238</f>
        <v>0.26667894046440982</v>
      </c>
      <c r="N238" s="67">
        <f>$E$238</f>
        <v>0.26667894046440982</v>
      </c>
      <c r="O238" s="67">
        <f>$E$238</f>
        <v>0.26667894046440982</v>
      </c>
      <c r="P238" s="67">
        <f>$E$238</f>
        <v>0.26667894046440982</v>
      </c>
    </row>
    <row r="239" spans="2:19" x14ac:dyDescent="0.25">
      <c r="B239" s="64" t="s">
        <v>165</v>
      </c>
      <c r="C239" s="67">
        <f>C184/C150</f>
        <v>0.13042102209289036</v>
      </c>
      <c r="D239" s="67">
        <f>D184/D150</f>
        <v>0.14202079360251496</v>
      </c>
      <c r="E239" s="67">
        <f>E184/E150</f>
        <v>0.12974938439233194</v>
      </c>
      <c r="F239" s="67">
        <f>$E$239</f>
        <v>0.12974938439233194</v>
      </c>
      <c r="G239" s="67">
        <f>$E$239</f>
        <v>0.12974938439233194</v>
      </c>
      <c r="H239" s="67">
        <f>$E$239</f>
        <v>0.12974938439233194</v>
      </c>
      <c r="I239" s="67">
        <f>$E$239</f>
        <v>0.12974938439233194</v>
      </c>
      <c r="J239" s="67">
        <f>$E$239</f>
        <v>0.12974938439233194</v>
      </c>
      <c r="K239" s="67">
        <f>$E$239</f>
        <v>0.12974938439233194</v>
      </c>
      <c r="L239" s="67">
        <f>$E$239</f>
        <v>0.12974938439233194</v>
      </c>
      <c r="M239" s="67">
        <f>$E$239</f>
        <v>0.12974938439233194</v>
      </c>
      <c r="N239" s="67">
        <f>$E$239</f>
        <v>0.12974938439233194</v>
      </c>
      <c r="O239" s="67">
        <f>$E$239</f>
        <v>0.12974938439233194</v>
      </c>
      <c r="P239" s="67">
        <f>$E$239</f>
        <v>0.12974938439233194</v>
      </c>
    </row>
    <row r="240" spans="2:19" x14ac:dyDescent="0.25">
      <c r="B240" s="64" t="s">
        <v>166</v>
      </c>
      <c r="C240" s="67">
        <f>-C208/C150</f>
        <v>0.10104295790951263</v>
      </c>
      <c r="D240" s="67">
        <f>-D208/D150</f>
        <v>0.11229344599679859</v>
      </c>
      <c r="E240" s="67">
        <f>-E208/E150</f>
        <v>0.12029856013010226</v>
      </c>
      <c r="F240" s="67">
        <f>$E$240</f>
        <v>0.12029856013010226</v>
      </c>
      <c r="G240" s="67">
        <f>$E$240</f>
        <v>0.12029856013010226</v>
      </c>
      <c r="H240" s="67">
        <f>$E$240</f>
        <v>0.12029856013010226</v>
      </c>
      <c r="I240" s="67">
        <f>$E$240</f>
        <v>0.12029856013010226</v>
      </c>
      <c r="J240" s="67">
        <f>$E$240</f>
        <v>0.12029856013010226</v>
      </c>
      <c r="K240" s="67">
        <f>$E$240</f>
        <v>0.12029856013010226</v>
      </c>
      <c r="L240" s="67">
        <f>$E$240</f>
        <v>0.12029856013010226</v>
      </c>
      <c r="M240" s="67">
        <f>$E$240</f>
        <v>0.12029856013010226</v>
      </c>
      <c r="N240" s="67">
        <f>$E$240</f>
        <v>0.12029856013010226</v>
      </c>
      <c r="O240" s="67">
        <f>$E$240</f>
        <v>0.12029856013010226</v>
      </c>
      <c r="P240" s="67">
        <f>$E$240</f>
        <v>0.12029856013010226</v>
      </c>
    </row>
    <row r="241" spans="2:19" x14ac:dyDescent="0.25">
      <c r="B241" s="64" t="s">
        <v>167</v>
      </c>
      <c r="C241" s="67">
        <f>C196/C150</f>
        <v>4.4748432925703539E-2</v>
      </c>
      <c r="D241" s="67">
        <f>D196/D150</f>
        <v>3.9229442284765347E-2</v>
      </c>
      <c r="E241" s="67">
        <f>E196/E150</f>
        <v>3.0638467616351767E-2</v>
      </c>
      <c r="F241" s="67">
        <f>$E$241</f>
        <v>3.0638467616351767E-2</v>
      </c>
      <c r="G241" s="67">
        <f>$E$241</f>
        <v>3.0638467616351767E-2</v>
      </c>
      <c r="H241" s="67">
        <f>$E$241</f>
        <v>3.0638467616351767E-2</v>
      </c>
      <c r="I241" s="67">
        <f>$E$241</f>
        <v>3.0638467616351767E-2</v>
      </c>
      <c r="J241" s="67">
        <f>$E$241</f>
        <v>3.0638467616351767E-2</v>
      </c>
      <c r="K241" s="67">
        <f>$E$241</f>
        <v>3.0638467616351767E-2</v>
      </c>
      <c r="L241" s="67">
        <f>$E$241</f>
        <v>3.0638467616351767E-2</v>
      </c>
      <c r="M241" s="67">
        <f>$E$241</f>
        <v>3.0638467616351767E-2</v>
      </c>
      <c r="N241" s="67">
        <f>$E$241</f>
        <v>3.0638467616351767E-2</v>
      </c>
      <c r="O241" s="67">
        <f>$E$241</f>
        <v>3.0638467616351767E-2</v>
      </c>
      <c r="P241" s="67">
        <f>$E$241</f>
        <v>3.0638467616351767E-2</v>
      </c>
    </row>
    <row r="242" spans="2:19" x14ac:dyDescent="0.25">
      <c r="B242" s="64" t="s">
        <v>168</v>
      </c>
      <c r="C242" s="65">
        <f>C198</f>
        <v>629</v>
      </c>
      <c r="D242" s="65">
        <f>D198</f>
        <v>646</v>
      </c>
      <c r="E242" s="65">
        <f>E198</f>
        <v>626</v>
      </c>
      <c r="F242" s="65">
        <f>$E$242</f>
        <v>626</v>
      </c>
      <c r="G242" s="65">
        <f>$E$242</f>
        <v>626</v>
      </c>
      <c r="H242" s="65">
        <f>$E$242</f>
        <v>626</v>
      </c>
      <c r="I242" s="65">
        <f>$E$242</f>
        <v>626</v>
      </c>
      <c r="J242" s="65">
        <f>$E$242</f>
        <v>626</v>
      </c>
      <c r="K242" s="65">
        <f>$E$242</f>
        <v>626</v>
      </c>
      <c r="L242" s="65">
        <f>$E$242</f>
        <v>626</v>
      </c>
      <c r="M242" s="65">
        <f>$E$242</f>
        <v>626</v>
      </c>
      <c r="N242" s="65">
        <f>$E$242</f>
        <v>626</v>
      </c>
      <c r="O242" s="65">
        <f>$E$242</f>
        <v>626</v>
      </c>
      <c r="P242" s="65">
        <f>$E$242</f>
        <v>626</v>
      </c>
    </row>
    <row r="243" spans="2:19" x14ac:dyDescent="0.25">
      <c r="B243" s="64" t="s">
        <v>169</v>
      </c>
      <c r="F243" s="69">
        <f>$S$231</f>
        <v>6.92</v>
      </c>
      <c r="G243" s="69">
        <f>F243*(1+$S$232)</f>
        <v>7.4736000000000002</v>
      </c>
      <c r="H243" s="69">
        <f>G243*(1+$S$232)</f>
        <v>8.0714880000000004</v>
      </c>
      <c r="I243" s="69">
        <f>H243*(1+$S$232)</f>
        <v>8.7172070400000017</v>
      </c>
      <c r="J243" s="69">
        <f>I243*(1+$S$232)</f>
        <v>9.4145836032000023</v>
      </c>
      <c r="K243" s="69">
        <f>J243*(1+$S$232)</f>
        <v>10.167750291456002</v>
      </c>
      <c r="L243" s="69">
        <f>K243*(1+$S$232)</f>
        <v>10.981170314772482</v>
      </c>
      <c r="M243" s="69">
        <f>L243*(1+$S$232)</f>
        <v>11.859663939954281</v>
      </c>
      <c r="N243" s="69">
        <f>M243*(1+$S$232)</f>
        <v>12.808437055150625</v>
      </c>
      <c r="O243" s="69">
        <f>N243*(1+$S$232)</f>
        <v>13.833112019562677</v>
      </c>
      <c r="P243" s="69">
        <f>O243*(1+$S$232)</f>
        <v>14.939760981127693</v>
      </c>
    </row>
    <row r="244" spans="2:19" x14ac:dyDescent="0.25">
      <c r="B244" s="64" t="s">
        <v>170</v>
      </c>
      <c r="F244" s="65">
        <f>F243*F162</f>
        <v>6199.6279999999997</v>
      </c>
      <c r="G244" s="65">
        <f>G243*G162</f>
        <v>6710.9191200000005</v>
      </c>
      <c r="H244" s="65">
        <f>H243*H162</f>
        <v>7247.7926496000009</v>
      </c>
      <c r="I244" s="65">
        <f>I243*I162</f>
        <v>7827.6160615680019</v>
      </c>
      <c r="J244" s="65">
        <f>J243*J162</f>
        <v>8453.8253464934423</v>
      </c>
      <c r="K244" s="65">
        <f>K243*K162</f>
        <v>9130.1313742129169</v>
      </c>
      <c r="L244" s="65">
        <f>L243*L162</f>
        <v>9871.5230544647238</v>
      </c>
      <c r="M244" s="65">
        <f>M243*M162</f>
        <v>10673.104562761855</v>
      </c>
      <c r="N244" s="65">
        <f>N243*N162</f>
        <v>11539.761364837956</v>
      </c>
      <c r="O244" s="65">
        <f>O243*O162</f>
        <v>12476.775386044557</v>
      </c>
      <c r="P244" s="65">
        <f>P243*P162</f>
        <v>13489.857177909251</v>
      </c>
    </row>
    <row r="245" spans="2:19" x14ac:dyDescent="0.25">
      <c r="B245" s="64" t="s">
        <v>171</v>
      </c>
      <c r="F245" s="65">
        <f>$S$233</f>
        <v>4000</v>
      </c>
      <c r="G245" s="65">
        <f>$S$233</f>
        <v>4000</v>
      </c>
      <c r="H245" s="65">
        <f>$S$233</f>
        <v>4000</v>
      </c>
      <c r="I245" s="65">
        <f>$S$233</f>
        <v>4000</v>
      </c>
      <c r="J245" s="65">
        <f>$S$233</f>
        <v>4000</v>
      </c>
      <c r="K245" s="65">
        <f>$S$233</f>
        <v>4000</v>
      </c>
      <c r="L245" s="65">
        <f>$S$233</f>
        <v>4000</v>
      </c>
      <c r="M245" s="65">
        <f>$S$233</f>
        <v>4000</v>
      </c>
      <c r="N245" s="65">
        <f>$S$233</f>
        <v>4000</v>
      </c>
      <c r="O245" s="65">
        <f>$S$233</f>
        <v>4000</v>
      </c>
      <c r="P245" s="65">
        <f>$S$233</f>
        <v>4000</v>
      </c>
    </row>
    <row r="246" spans="2:19" x14ac:dyDescent="0.25">
      <c r="B246" s="64" t="s">
        <v>172</v>
      </c>
      <c r="F246" s="65">
        <f>$S$234</f>
        <v>0</v>
      </c>
      <c r="G246" s="65">
        <f>$S$234</f>
        <v>0</v>
      </c>
      <c r="H246" s="65">
        <f>$S$234</f>
        <v>0</v>
      </c>
      <c r="I246" s="65">
        <f>$S$234</f>
        <v>0</v>
      </c>
      <c r="J246" s="65">
        <f>$S$234</f>
        <v>0</v>
      </c>
      <c r="K246" s="65">
        <f>$S$234</f>
        <v>0</v>
      </c>
      <c r="L246" s="65">
        <f>$S$234</f>
        <v>0</v>
      </c>
      <c r="M246" s="65">
        <f>$S$234</f>
        <v>0</v>
      </c>
      <c r="N246" s="65">
        <f>$S$234</f>
        <v>0</v>
      </c>
      <c r="O246" s="65">
        <f>$S$234</f>
        <v>0</v>
      </c>
      <c r="P246" s="65">
        <f>$S$234</f>
        <v>0</v>
      </c>
    </row>
    <row r="247" spans="2:19" x14ac:dyDescent="0.25">
      <c r="B247" s="64" t="s">
        <v>173</v>
      </c>
      <c r="F247" s="65">
        <f>$S$235</f>
        <v>0</v>
      </c>
      <c r="G247" s="65">
        <f>$S$235</f>
        <v>0</v>
      </c>
      <c r="H247" s="65">
        <f>$S$235</f>
        <v>0</v>
      </c>
      <c r="I247" s="65">
        <f>$S$235</f>
        <v>0</v>
      </c>
      <c r="J247" s="65">
        <f>$S$235</f>
        <v>0</v>
      </c>
      <c r="K247" s="65">
        <f>$S$235</f>
        <v>0</v>
      </c>
      <c r="L247" s="65">
        <f>$S$235</f>
        <v>0</v>
      </c>
      <c r="M247" s="65">
        <f>$S$235</f>
        <v>0</v>
      </c>
      <c r="N247" s="65">
        <f>$S$235</f>
        <v>0</v>
      </c>
      <c r="O247" s="65">
        <f>$S$235</f>
        <v>0</v>
      </c>
      <c r="P247" s="65">
        <f>$S$235</f>
        <v>0</v>
      </c>
    </row>
    <row r="249" spans="2:19" ht="16.5" thickBot="1" x14ac:dyDescent="0.3">
      <c r="B249" s="56" t="s">
        <v>174</v>
      </c>
      <c r="C249" s="57" t="s">
        <v>80</v>
      </c>
      <c r="D249" s="57" t="s">
        <v>81</v>
      </c>
      <c r="E249" s="57" t="s">
        <v>82</v>
      </c>
      <c r="F249" s="57" t="s">
        <v>83</v>
      </c>
      <c r="G249" s="57" t="s">
        <v>84</v>
      </c>
      <c r="H249" s="57" t="s">
        <v>85</v>
      </c>
      <c r="I249" s="57" t="s">
        <v>86</v>
      </c>
      <c r="J249" s="57" t="s">
        <v>87</v>
      </c>
      <c r="K249" s="57" t="s">
        <v>88</v>
      </c>
      <c r="L249" s="57" t="s">
        <v>291</v>
      </c>
      <c r="M249" s="57" t="s">
        <v>292</v>
      </c>
      <c r="N249" s="57" t="s">
        <v>293</v>
      </c>
      <c r="O249" s="57" t="s">
        <v>294</v>
      </c>
      <c r="P249" s="57" t="s">
        <v>295</v>
      </c>
      <c r="R249" s="66" t="s">
        <v>175</v>
      </c>
      <c r="S249" s="66"/>
    </row>
    <row r="250" spans="2:19" x14ac:dyDescent="0.25">
      <c r="B250" s="60" t="s">
        <v>176</v>
      </c>
      <c r="F250" s="61">
        <v>36088.67179790209</v>
      </c>
      <c r="G250" s="61">
        <v>44023.484858327654</v>
      </c>
      <c r="H250" s="61">
        <v>49826.696679648354</v>
      </c>
      <c r="I250" s="61">
        <v>56027.362548559882</v>
      </c>
      <c r="J250" s="61">
        <v>52893.081075454895</v>
      </c>
      <c r="K250" s="61">
        <v>54370.69146270174</v>
      </c>
      <c r="L250" s="61">
        <v>56450.922121950003</v>
      </c>
      <c r="M250" s="61">
        <v>58593.893063216208</v>
      </c>
      <c r="N250" s="61">
        <v>62137.030147740013</v>
      </c>
      <c r="O250" s="61">
        <v>63870.177742657346</v>
      </c>
      <c r="P250" s="61">
        <v>65641.985792493215</v>
      </c>
      <c r="R250" s="60" t="s">
        <v>177</v>
      </c>
      <c r="S250" s="60" t="s">
        <v>178</v>
      </c>
    </row>
    <row r="251" spans="2:19" x14ac:dyDescent="0.25">
      <c r="B251" s="60" t="s">
        <v>77</v>
      </c>
      <c r="F251" s="68">
        <v>0.25</v>
      </c>
      <c r="G251" s="68">
        <v>0.25</v>
      </c>
      <c r="H251" s="68">
        <v>0.25</v>
      </c>
      <c r="I251" s="68">
        <v>0.25</v>
      </c>
      <c r="J251" s="68">
        <v>0.25</v>
      </c>
      <c r="K251" s="68">
        <v>0.25</v>
      </c>
      <c r="L251" s="68">
        <v>0.25</v>
      </c>
      <c r="M251" s="68">
        <v>0.25</v>
      </c>
      <c r="N251" s="68">
        <v>0.25</v>
      </c>
      <c r="O251" s="68">
        <v>0.25</v>
      </c>
      <c r="P251" s="68">
        <v>0.25</v>
      </c>
      <c r="R251" s="60" t="s">
        <v>77</v>
      </c>
      <c r="S251" s="68">
        <v>0.25</v>
      </c>
    </row>
    <row r="252" spans="2:19" x14ac:dyDescent="0.25">
      <c r="B252" s="58" t="s">
        <v>179</v>
      </c>
      <c r="F252" s="59">
        <v>27066.503848426568</v>
      </c>
      <c r="G252" s="59">
        <v>33017.613643745739</v>
      </c>
      <c r="H252" s="59">
        <v>37370.022509736264</v>
      </c>
      <c r="I252" s="59">
        <v>42020.521911419914</v>
      </c>
      <c r="J252" s="59">
        <v>39669.810806591173</v>
      </c>
      <c r="K252" s="59">
        <v>40778.018597026305</v>
      </c>
      <c r="L252" s="59">
        <v>42338.191591462499</v>
      </c>
      <c r="M252" s="59">
        <v>43945.419797412156</v>
      </c>
      <c r="N252" s="59">
        <v>46602.772610805012</v>
      </c>
      <c r="O252" s="59">
        <v>47902.633306993012</v>
      </c>
      <c r="P252" s="59">
        <v>49231.489344369911</v>
      </c>
      <c r="R252" s="60" t="s">
        <v>180</v>
      </c>
      <c r="S252" s="68">
        <v>0.08</v>
      </c>
    </row>
    <row r="253" spans="2:19" x14ac:dyDescent="0.25">
      <c r="B253" s="60" t="s">
        <v>181</v>
      </c>
      <c r="F253" s="61">
        <v>2421.844144370546</v>
      </c>
      <c r="G253" s="61">
        <v>2959.8275046982558</v>
      </c>
      <c r="H253" s="61">
        <v>3352.1949072019547</v>
      </c>
      <c r="I253" s="61">
        <v>3759.3076938173167</v>
      </c>
      <c r="J253" s="61">
        <v>3549.5925298807861</v>
      </c>
      <c r="K253" s="61">
        <v>3650.1632461185691</v>
      </c>
      <c r="L253" s="61">
        <v>3789.0129353793127</v>
      </c>
      <c r="M253" s="61">
        <v>3930.6427027649715</v>
      </c>
      <c r="N253" s="61">
        <v>4166.6972807764478</v>
      </c>
      <c r="O253" s="61">
        <v>4282.493204033899</v>
      </c>
      <c r="P253" s="61">
        <v>4400.4156892352412</v>
      </c>
      <c r="R253" s="60" t="s">
        <v>182</v>
      </c>
      <c r="S253" s="68">
        <v>0.01</v>
      </c>
    </row>
    <row r="254" spans="2:19" x14ac:dyDescent="0.25">
      <c r="B254" s="60" t="s">
        <v>183</v>
      </c>
      <c r="F254" s="61">
        <v>-9509.1036234398853</v>
      </c>
      <c r="G254" s="61">
        <v>-11621.435885998511</v>
      </c>
      <c r="H254" s="61">
        <v>-13162.023168437921</v>
      </c>
      <c r="I254" s="61">
        <v>-14760.506573470997</v>
      </c>
      <c r="J254" s="61">
        <v>-13937.083138104779</v>
      </c>
      <c r="K254" s="61">
        <v>-14331.962950834102</v>
      </c>
      <c r="L254" s="61">
        <v>-14877.140924541407</v>
      </c>
      <c r="M254" s="61">
        <v>-15433.234568042135</v>
      </c>
      <c r="N254" s="61">
        <v>-16360.076804490802</v>
      </c>
      <c r="O254" s="61">
        <v>-16814.736711482125</v>
      </c>
      <c r="P254" s="61">
        <v>-17277.746329140475</v>
      </c>
    </row>
    <row r="255" spans="2:19" x14ac:dyDescent="0.25">
      <c r="B255" s="60" t="s">
        <v>184</v>
      </c>
      <c r="F255" s="61">
        <v>-4257.4210107930339</v>
      </c>
      <c r="G255" s="61">
        <v>-4226.2669754481976</v>
      </c>
      <c r="H255" s="61">
        <v>-3082.3432799736765</v>
      </c>
      <c r="I255" s="61">
        <v>-3198.1794461210156</v>
      </c>
      <c r="J255" s="61">
        <v>1647.4715334239663</v>
      </c>
      <c r="K255" s="61">
        <v>-790.05918784182722</v>
      </c>
      <c r="L255" s="61">
        <v>-1090.7695284784713</v>
      </c>
      <c r="M255" s="61">
        <v>-1112.6091488736784</v>
      </c>
      <c r="N255" s="61">
        <v>-1854.3875908087066</v>
      </c>
      <c r="O255" s="61">
        <v>-909.66472653800156</v>
      </c>
      <c r="P255" s="61">
        <v>-926.37048210120702</v>
      </c>
      <c r="R255" s="60" t="s">
        <v>296</v>
      </c>
      <c r="S255" s="61">
        <f>SUM(F259:P259)</f>
        <v>193180.43976630253</v>
      </c>
    </row>
    <row r="256" spans="2:19" x14ac:dyDescent="0.25">
      <c r="B256" s="58" t="s">
        <v>185</v>
      </c>
      <c r="F256" s="59">
        <v>15721.823358564194</v>
      </c>
      <c r="G256" s="59">
        <v>20129.738286997283</v>
      </c>
      <c r="H256" s="59">
        <v>24477.850968526622</v>
      </c>
      <c r="I256" s="59">
        <v>27821.143585645219</v>
      </c>
      <c r="J256" s="59">
        <v>30929.791731791145</v>
      </c>
      <c r="K256" s="59">
        <v>29306.159704468948</v>
      </c>
      <c r="L256" s="59">
        <v>30159.294073821937</v>
      </c>
      <c r="M256" s="59">
        <v>31330.218783261313</v>
      </c>
      <c r="N256" s="59">
        <v>32555.005496281949</v>
      </c>
      <c r="O256" s="59">
        <v>34460.725073006783</v>
      </c>
      <c r="P256" s="59">
        <v>35427.788222363466</v>
      </c>
      <c r="R256" s="60" t="s">
        <v>297</v>
      </c>
      <c r="S256" s="61">
        <f>P256*(1+S253)/(S252-S253)</f>
        <v>511172.37292267283</v>
      </c>
    </row>
    <row r="257" spans="2:19" x14ac:dyDescent="0.25">
      <c r="B257" s="60" t="s">
        <v>186</v>
      </c>
      <c r="F257" s="70">
        <v>1</v>
      </c>
      <c r="G257" s="70">
        <v>2</v>
      </c>
      <c r="H257" s="70">
        <v>3</v>
      </c>
      <c r="I257" s="70">
        <v>4</v>
      </c>
      <c r="J257" s="70">
        <v>5</v>
      </c>
      <c r="K257" s="70">
        <v>6</v>
      </c>
      <c r="L257" s="70">
        <v>7</v>
      </c>
      <c r="M257" s="70">
        <v>8</v>
      </c>
      <c r="N257" s="70">
        <v>9</v>
      </c>
      <c r="O257" s="70">
        <v>10</v>
      </c>
      <c r="P257" s="70">
        <v>11</v>
      </c>
      <c r="R257" s="60" t="s">
        <v>187</v>
      </c>
      <c r="S257" s="61">
        <f>S256*P258</f>
        <v>219233.06891349799</v>
      </c>
    </row>
    <row r="258" spans="2:19" x14ac:dyDescent="0.25">
      <c r="B258" s="60" t="s">
        <v>188</v>
      </c>
      <c r="F258" s="71">
        <v>0.92592592592592582</v>
      </c>
      <c r="G258" s="71">
        <v>0.85733882030178321</v>
      </c>
      <c r="H258" s="71">
        <v>0.79383224102016958</v>
      </c>
      <c r="I258" s="71">
        <v>0.73502985279645328</v>
      </c>
      <c r="J258" s="71">
        <v>0.68058319703375303</v>
      </c>
      <c r="K258" s="71">
        <v>0.63016962688310452</v>
      </c>
      <c r="L258" s="71">
        <v>0.58349039526213387</v>
      </c>
      <c r="M258" s="71">
        <v>0.54026888450197574</v>
      </c>
      <c r="N258" s="71">
        <v>0.50024896713145905</v>
      </c>
      <c r="O258" s="71">
        <v>0.46319348808468425</v>
      </c>
      <c r="P258" s="71">
        <v>0.42888285933767062</v>
      </c>
      <c r="R258" s="58" t="s">
        <v>189</v>
      </c>
      <c r="S258" s="59">
        <f>S255+S257</f>
        <v>412413.50867980055</v>
      </c>
    </row>
    <row r="259" spans="2:19" x14ac:dyDescent="0.25">
      <c r="B259" s="58" t="s">
        <v>190</v>
      </c>
      <c r="F259" s="59">
        <v>14557.2438505224</v>
      </c>
      <c r="G259" s="59">
        <v>17258.006075957888</v>
      </c>
      <c r="H259" s="59">
        <v>19431.307289703218</v>
      </c>
      <c r="I259" s="59">
        <v>20449.371074385796</v>
      </c>
      <c r="J259" s="59">
        <v>21050.29654041056</v>
      </c>
      <c r="K259" s="59">
        <v>18467.851726341869</v>
      </c>
      <c r="L259" s="59">
        <v>17597.658419961292</v>
      </c>
      <c r="M259" s="59">
        <v>16926.742353235437</v>
      </c>
      <c r="N259" s="59">
        <v>16285.607874474017</v>
      </c>
      <c r="O259" s="59">
        <v>15961.983448493347</v>
      </c>
      <c r="P259" s="59">
        <v>15194.371112816694</v>
      </c>
      <c r="R259" s="60" t="s">
        <v>191</v>
      </c>
      <c r="S259" s="61">
        <f>-Main!B7</f>
        <v>-42503</v>
      </c>
    </row>
    <row r="260" spans="2:19" x14ac:dyDescent="0.25">
      <c r="R260" s="60" t="s">
        <v>192</v>
      </c>
      <c r="S260" s="61">
        <f>Main!B6</f>
        <v>7268</v>
      </c>
    </row>
    <row r="261" spans="2:19" x14ac:dyDescent="0.25">
      <c r="B261" s="58" t="s">
        <v>193</v>
      </c>
      <c r="R261" s="58" t="s">
        <v>194</v>
      </c>
      <c r="S261" s="59">
        <f>SUM(S258:S260)</f>
        <v>377178.50867980055</v>
      </c>
    </row>
    <row r="262" spans="2:19" ht="16.5" thickBot="1" x14ac:dyDescent="0.3">
      <c r="B262" s="56" t="s">
        <v>195</v>
      </c>
      <c r="C262" s="72">
        <v>5.0000000000000001E-3</v>
      </c>
      <c r="D262" s="72">
        <v>0.01</v>
      </c>
      <c r="E262" s="72">
        <v>1.4999999999999999E-2</v>
      </c>
      <c r="F262" s="72">
        <v>0.02</v>
      </c>
      <c r="G262" s="72">
        <v>2.5000000000000001E-2</v>
      </c>
      <c r="R262" s="60" t="s">
        <v>196</v>
      </c>
      <c r="S262" s="63">
        <f>Main!B4</f>
        <v>895.9</v>
      </c>
    </row>
    <row r="263" spans="2:19" x14ac:dyDescent="0.25">
      <c r="B263" s="68">
        <v>6.5000000000000002E-2</v>
      </c>
      <c r="C263" s="62" cm="1">
        <f t="array" ref="C263">(SUMPRODUCT($F$256:$P$256/(1+$B263)^$F$257:$P$257)+$P$256*(1+C$262)/($B263-C$262)/(1+$B263)^$P$257-Main!$B$7+Main!$B$6)/Main!$B$4</f>
        <v>526.33797408519945</v>
      </c>
      <c r="D263" s="62" cm="1">
        <f t="array" ref="D263">(SUMPRODUCT($F$256:$P$256/(1+$B263)^$F$257:$P$257)+$P$256*(1+D$262)/($B263-D$262)/(1+$B263)^$P$257-Main!$B$7+Main!$B$6)/Main!$B$4</f>
        <v>558.25662228213798</v>
      </c>
      <c r="E263" s="62" cm="1">
        <f t="array" ref="E263">(SUMPRODUCT($F$256:$P$256/(1+$B263)^$F$257:$P$257)+$P$256*(1+E$262)/($B263-E$262)/(1+$B263)^$P$257-Main!$B$7+Main!$B$6)/Main!$B$4</f>
        <v>596.55900011846416</v>
      </c>
      <c r="F263" s="62" cm="1">
        <f t="array" ref="F263">(SUMPRODUCT($F$256:$P$256/(1+$B263)^$F$257:$P$257)+$P$256*(1+F$262)/($B263-F$262)/(1+$B263)^$P$257-Main!$B$7+Main!$B$6)/Main!$B$4</f>
        <v>643.37301747397419</v>
      </c>
      <c r="G263" s="62" cm="1">
        <f t="array" ref="G263">(SUMPRODUCT($F$256:$P$256/(1+$B263)^$F$257:$P$257)+$P$256*(1+G$262)/($B263-G$262)/(1+$B263)^$P$257-Main!$B$7+Main!$B$6)/Main!$B$4</f>
        <v>701.89053916836133</v>
      </c>
      <c r="R263" s="66" t="s">
        <v>197</v>
      </c>
      <c r="S263" s="73">
        <f>S261/S262</f>
        <v>421.00514418997716</v>
      </c>
    </row>
    <row r="264" spans="2:19" x14ac:dyDescent="0.25">
      <c r="B264" s="68">
        <v>7.0000000000000007E-2</v>
      </c>
      <c r="C264" s="62" cm="1">
        <f t="array" ref="C264">(SUMPRODUCT($F$256:$P$256/(1+$B264)^$F$257:$P$257)+$P$256*(1+C$262)/($B264-C$262)/(1+$B264)^$P$257-Main!$B$7+Main!$B$6)/Main!$B$4</f>
        <v>479.0053054261532</v>
      </c>
      <c r="D264" s="62" cm="1">
        <f t="array" ref="D264">(SUMPRODUCT($F$256:$P$256/(1+$B264)^$F$257:$P$257)+$P$256*(1+D$262)/($B264-D$262)/(1+$B264)^$P$257-Main!$B$7+Main!$B$6)/Main!$B$4</f>
        <v>504.77754286213241</v>
      </c>
      <c r="E264" s="62" cm="1">
        <f t="array" ref="E264">(SUMPRODUCT($F$256:$P$256/(1+$B264)^$F$257:$P$257)+$P$256*(1+E$262)/($B264-E$262)/(1+$B264)^$P$257-Main!$B$7+Main!$B$6)/Main!$B$4</f>
        <v>535.23564165010782</v>
      </c>
      <c r="F264" s="62" cm="1">
        <f t="array" ref="F264">(SUMPRODUCT($F$256:$P$256/(1+$B264)^$F$257:$P$257)+$P$256*(1+F$262)/($B264-F$262)/(1+$B264)^$P$257-Main!$B$7+Main!$B$6)/Main!$B$4</f>
        <v>571.78536019567844</v>
      </c>
      <c r="G264" s="62" cm="1">
        <f t="array" ref="G264">(SUMPRODUCT($F$256:$P$256/(1+$B264)^$F$257:$P$257)+$P$256*(1+G$262)/($B264-G$262)/(1+$B264)^$P$257-Main!$B$7+Main!$B$6)/Main!$B$4</f>
        <v>616.45723841804238</v>
      </c>
      <c r="R264" s="60" t="s">
        <v>198</v>
      </c>
      <c r="S264" s="62">
        <f>Main!B3</f>
        <v>1213.4000000000001</v>
      </c>
    </row>
    <row r="265" spans="2:19" x14ac:dyDescent="0.25">
      <c r="B265" s="68">
        <v>7.4999999999999997E-2</v>
      </c>
      <c r="C265" s="62" cm="1">
        <f t="array" ref="C265">(SUMPRODUCT($F$256:$P$256/(1+$B265)^$F$257:$P$257)+$P$256*(1+C$262)/($B265-C$262)/(1+$B265)^$P$257-Main!$B$7+Main!$B$6)/Main!$B$4</f>
        <v>438.53859132033477</v>
      </c>
      <c r="D265" s="62" cm="1">
        <f t="array" ref="D265">(SUMPRODUCT($F$256:$P$256/(1+$B265)^$F$257:$P$257)+$P$256*(1+D$262)/($B265-D$262)/(1+$B265)^$P$257-Main!$B$7+Main!$B$6)/Main!$B$4</f>
        <v>459.6228564385238</v>
      </c>
      <c r="E265" s="62" cm="1">
        <f t="array" ref="E265">(SUMPRODUCT($F$256:$P$256/(1+$B265)^$F$257:$P$257)+$P$256*(1+E$262)/($B265-E$262)/(1+$B265)^$P$257-Main!$B$7+Main!$B$6)/Main!$B$4</f>
        <v>484.22116574307773</v>
      </c>
      <c r="F265" s="62" cm="1">
        <f t="array" ref="F265">(SUMPRODUCT($F$256:$P$256/(1+$B265)^$F$257:$P$257)+$P$256*(1+F$262)/($B265-F$262)/(1+$B265)^$P$257-Main!$B$7+Main!$B$6)/Main!$B$4</f>
        <v>513.29189492118701</v>
      </c>
      <c r="G265" s="62" cm="1">
        <f t="array" ref="G265">(SUMPRODUCT($F$256:$P$256/(1+$B265)^$F$257:$P$257)+$P$256*(1+G$262)/($B265-G$262)/(1+$B265)^$P$257-Main!$B$7+Main!$B$6)/Main!$B$4</f>
        <v>548.17676993491784</v>
      </c>
      <c r="R265" s="60" t="s">
        <v>199</v>
      </c>
      <c r="S265" s="68">
        <f>S263/S264-1</f>
        <v>-0.65303680221692995</v>
      </c>
    </row>
    <row r="266" spans="2:19" x14ac:dyDescent="0.25">
      <c r="B266" s="68">
        <v>0.08</v>
      </c>
      <c r="C266" s="62" cm="1">
        <f t="array" ref="C266">(SUMPRODUCT($F$256:$P$256/(1+$B266)^$F$257:$P$257)+$P$256*(1+C$262)/($B266-C$262)/(1+$B266)^$P$257-Main!$B$7+Main!$B$6)/Main!$B$4</f>
        <v>403.56067940400294</v>
      </c>
      <c r="D266" s="62" cm="1">
        <f t="array" ref="D266">(SUMPRODUCT($F$256:$P$256/(1+$B266)^$F$257:$P$257)+$P$256*(1+D$262)/($B266-D$262)/(1+$B266)^$P$257-Main!$B$7+Main!$B$6)/Main!$B$4</f>
        <v>421.00514418997716</v>
      </c>
      <c r="E266" s="62" cm="1">
        <f t="array" ref="E266">(SUMPRODUCT($F$256:$P$256/(1+$B266)^$F$257:$P$257)+$P$256*(1+E$262)/($B266-E$262)/(1+$B266)^$P$257-Main!$B$7+Main!$B$6)/Main!$B$4</f>
        <v>441.13337278917817</v>
      </c>
      <c r="F266" s="62" cm="1">
        <f t="array" ref="F266">(SUMPRODUCT($F$256:$P$256/(1+$B266)^$F$257:$P$257)+$P$256*(1+F$262)/($B266-F$262)/(1+$B266)^$P$257-Main!$B$7+Main!$B$6)/Main!$B$4</f>
        <v>464.61630615491282</v>
      </c>
      <c r="G266" s="62" cm="1">
        <f t="array" ref="G266">(SUMPRODUCT($F$256:$P$256/(1+$B266)^$F$257:$P$257)+$P$256*(1+G$262)/($B266-G$262)/(1+$B266)^$P$257-Main!$B$7+Main!$B$6)/Main!$B$4</f>
        <v>492.36886376896263</v>
      </c>
    </row>
    <row r="267" spans="2:19" x14ac:dyDescent="0.25">
      <c r="B267" s="68">
        <v>8.5000000000000006E-2</v>
      </c>
      <c r="C267" s="62" cm="1">
        <f t="array" ref="C267">(SUMPRODUCT($F$256:$P$256/(1+$B267)^$F$257:$P$257)+$P$256*(1+C$262)/($B267-C$262)/(1+$B267)^$P$257-Main!$B$7+Main!$B$6)/Main!$B$4</f>
        <v>373.03888770730663</v>
      </c>
      <c r="D267" s="62" cm="1">
        <f t="array" ref="D267">(SUMPRODUCT($F$256:$P$256/(1+$B267)^$F$257:$P$257)+$P$256*(1+D$262)/($B267-D$262)/(1+$B267)^$P$257-Main!$B$7+Main!$B$6)/Main!$B$4</f>
        <v>387.61379749798937</v>
      </c>
      <c r="E267" s="62" cm="1">
        <f t="array" ref="E267">(SUMPRODUCT($F$256:$P$256/(1+$B267)^$F$257:$P$257)+$P$256*(1+E$262)/($B267-E$262)/(1+$B267)^$P$257-Main!$B$7+Main!$B$6)/Main!$B$4</f>
        <v>404.27083725876969</v>
      </c>
      <c r="F267" s="62" cm="1">
        <f t="array" ref="F267">(SUMPRODUCT($F$256:$P$256/(1+$B267)^$F$257:$P$257)+$P$256*(1+F$262)/($B267-F$262)/(1+$B267)^$P$257-Main!$B$7+Main!$B$6)/Main!$B$4</f>
        <v>423.49049852120856</v>
      </c>
      <c r="G267" s="62" cm="1">
        <f t="array" ref="G267">(SUMPRODUCT($F$256:$P$256/(1+$B267)^$F$257:$P$257)+$P$256*(1+G$262)/($B267-G$262)/(1+$B267)^$P$257-Main!$B$7+Main!$B$6)/Main!$B$4</f>
        <v>445.91343666072055</v>
      </c>
    </row>
    <row r="268" spans="2:19" x14ac:dyDescent="0.25">
      <c r="B268" s="68">
        <v>0.09</v>
      </c>
      <c r="C268" s="62" cm="1">
        <f t="array" ref="C268">(SUMPRODUCT($F$256:$P$256/(1+$B268)^$F$257:$P$257)+$P$256*(1+C$262)/($B268-C$262)/(1+$B268)^$P$257-Main!$B$7+Main!$B$6)/Main!$B$4</f>
        <v>346.1836803031099</v>
      </c>
      <c r="D268" s="62" cm="1">
        <f t="array" ref="D268">(SUMPRODUCT($F$256:$P$256/(1+$B268)^$F$257:$P$257)+$P$256*(1+D$262)/($B268-D$262)/(1+$B268)^$P$257-Main!$B$7+Main!$B$6)/Main!$B$4</f>
        <v>358.46600616794694</v>
      </c>
      <c r="E268" s="62" cm="1">
        <f t="array" ref="E268">(SUMPRODUCT($F$256:$P$256/(1+$B268)^$F$257:$P$257)+$P$256*(1+E$262)/($B268-E$262)/(1+$B268)^$P$257-Main!$B$7+Main!$B$6)/Main!$B$4</f>
        <v>372.38597548142877</v>
      </c>
      <c r="F268" s="62" cm="1">
        <f t="array" ref="F268">(SUMPRODUCT($F$256:$P$256/(1+$B268)^$F$257:$P$257)+$P$256*(1+F$262)/($B268-F$262)/(1+$B268)^$P$257-Main!$B$7+Main!$B$6)/Main!$B$4</f>
        <v>388.29451183969383</v>
      </c>
      <c r="G268" s="62" cm="1">
        <f t="array" ref="G268">(SUMPRODUCT($F$256:$P$256/(1+$B268)^$F$257:$P$257)+$P$256*(1+G$262)/($B268-G$262)/(1+$B268)^$P$257-Main!$B$7+Main!$B$6)/Main!$B$4</f>
        <v>406.65051532999962</v>
      </c>
    </row>
    <row r="271" spans="2:19" x14ac:dyDescent="0.25">
      <c r="B271" s="58" t="s">
        <v>200</v>
      </c>
    </row>
    <row r="272" spans="2:19" x14ac:dyDescent="0.25">
      <c r="B272" s="64" t="s">
        <v>298</v>
      </c>
    </row>
    <row r="273" spans="2:2" x14ac:dyDescent="0.25">
      <c r="B273" s="64" t="s">
        <v>201</v>
      </c>
    </row>
    <row r="274" spans="2:2" x14ac:dyDescent="0.25">
      <c r="B274" s="64" t="s">
        <v>202</v>
      </c>
    </row>
    <row r="275" spans="2:2" x14ac:dyDescent="0.25">
      <c r="B275" s="64" t="s">
        <v>203</v>
      </c>
    </row>
    <row r="276" spans="2:2" x14ac:dyDescent="0.25">
      <c r="B276" s="64" t="s">
        <v>204</v>
      </c>
    </row>
    <row r="277" spans="2:2" x14ac:dyDescent="0.25">
      <c r="B277" s="64" t="s">
        <v>299</v>
      </c>
    </row>
    <row r="278" spans="2:2" x14ac:dyDescent="0.25">
      <c r="B278" s="64" t="s">
        <v>205</v>
      </c>
    </row>
    <row r="280" spans="2:2" x14ac:dyDescent="0.25">
      <c r="B280" s="58" t="s">
        <v>206</v>
      </c>
    </row>
    <row r="281" spans="2:2" x14ac:dyDescent="0.25">
      <c r="B281" s="64" t="s">
        <v>207</v>
      </c>
    </row>
    <row r="282" spans="2:2" x14ac:dyDescent="0.25">
      <c r="B282" s="64" t="s">
        <v>208</v>
      </c>
    </row>
    <row r="283" spans="2:2" x14ac:dyDescent="0.25">
      <c r="B283" s="64" t="s">
        <v>209</v>
      </c>
    </row>
    <row r="284" spans="2:2" x14ac:dyDescent="0.25">
      <c r="B284" s="64" t="s">
        <v>210</v>
      </c>
    </row>
    <row r="285" spans="2:2" x14ac:dyDescent="0.25">
      <c r="B285" s="64" t="s">
        <v>211</v>
      </c>
    </row>
    <row r="286" spans="2:2" x14ac:dyDescent="0.25">
      <c r="B286" s="64" t="s">
        <v>212</v>
      </c>
    </row>
    <row r="287" spans="2:2" x14ac:dyDescent="0.25">
      <c r="B287" s="64" t="s">
        <v>213</v>
      </c>
    </row>
    <row r="289" spans="2:2" x14ac:dyDescent="0.25">
      <c r="B289" s="58" t="s">
        <v>214</v>
      </c>
    </row>
    <row r="290" spans="2:2" x14ac:dyDescent="0.25">
      <c r="B290" s="64" t="s">
        <v>215</v>
      </c>
    </row>
    <row r="291" spans="2:2" x14ac:dyDescent="0.25">
      <c r="B291" s="64" t="s">
        <v>216</v>
      </c>
    </row>
    <row r="292" spans="2:2" x14ac:dyDescent="0.25">
      <c r="B292" s="64" t="s">
        <v>217</v>
      </c>
    </row>
    <row r="293" spans="2:2" x14ac:dyDescent="0.25">
      <c r="B293" s="64" t="s">
        <v>218</v>
      </c>
    </row>
    <row r="294" spans="2:2" x14ac:dyDescent="0.25">
      <c r="B294" s="64" t="s">
        <v>219</v>
      </c>
    </row>
    <row r="295" spans="2:2" x14ac:dyDescent="0.25">
      <c r="B295" s="64" t="s">
        <v>220</v>
      </c>
    </row>
    <row r="296" spans="2:2" x14ac:dyDescent="0.25">
      <c r="B296" s="64" t="s">
        <v>221</v>
      </c>
    </row>
    <row r="297" spans="2:2" x14ac:dyDescent="0.25">
      <c r="B297" s="64" t="s">
        <v>222</v>
      </c>
    </row>
    <row r="298" spans="2:2" x14ac:dyDescent="0.25">
      <c r="B298" s="64" t="s">
        <v>300</v>
      </c>
    </row>
    <row r="299" spans="2:2" x14ac:dyDescent="0.25">
      <c r="B299" s="64" t="s">
        <v>301</v>
      </c>
    </row>
    <row r="300" spans="2:2" x14ac:dyDescent="0.25">
      <c r="B300" s="64" t="s">
        <v>302</v>
      </c>
    </row>
    <row r="301" spans="2:2" x14ac:dyDescent="0.25">
      <c r="B301" s="64" t="s">
        <v>223</v>
      </c>
    </row>
    <row r="302" spans="2:2" x14ac:dyDescent="0.25">
      <c r="B302" s="64" t="s">
        <v>224</v>
      </c>
    </row>
    <row r="303" spans="2:2" x14ac:dyDescent="0.25">
      <c r="B303" s="64" t="s">
        <v>225</v>
      </c>
    </row>
  </sheetData>
  <phoneticPr fontId="14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6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226</v>
      </c>
      <c r="C2" s="74" t="s">
        <v>7</v>
      </c>
    </row>
    <row r="3" spans="2:3" x14ac:dyDescent="0.25">
      <c r="B3" s="39" t="s">
        <v>227</v>
      </c>
      <c r="C3" s="74" t="s">
        <v>228</v>
      </c>
    </row>
    <row r="4" spans="2:3" x14ac:dyDescent="0.25">
      <c r="B4" s="39" t="s">
        <v>2</v>
      </c>
      <c r="C4" s="74" t="s">
        <v>229</v>
      </c>
    </row>
    <row r="5" spans="2:3" x14ac:dyDescent="0.25">
      <c r="B5" s="39" t="s">
        <v>230</v>
      </c>
      <c r="C5" s="74" t="s">
        <v>231</v>
      </c>
    </row>
    <row r="6" spans="2:3" x14ac:dyDescent="0.25">
      <c r="B6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6"/>
  <sheetViews>
    <sheetView zoomScale="130" zoomScaleNormal="130" workbookViewId="0">
      <selection activeCell="C5" sqref="C5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226</v>
      </c>
      <c r="C2" s="74" t="s">
        <v>9</v>
      </c>
    </row>
    <row r="3" spans="2:3" x14ac:dyDescent="0.25">
      <c r="B3" s="39" t="s">
        <v>227</v>
      </c>
      <c r="C3" s="74" t="s">
        <v>232</v>
      </c>
    </row>
    <row r="4" spans="2:3" x14ac:dyDescent="0.25">
      <c r="B4" s="39" t="s">
        <v>2</v>
      </c>
      <c r="C4" s="74" t="s">
        <v>233</v>
      </c>
    </row>
    <row r="5" spans="2:3" x14ac:dyDescent="0.25">
      <c r="B5" s="39" t="s">
        <v>230</v>
      </c>
      <c r="C5" s="74" t="s">
        <v>231</v>
      </c>
    </row>
    <row r="6" spans="2:3" x14ac:dyDescent="0.25">
      <c r="B6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6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226</v>
      </c>
      <c r="C2" s="74" t="s">
        <v>11</v>
      </c>
    </row>
    <row r="3" spans="2:3" x14ac:dyDescent="0.25">
      <c r="B3" s="39" t="s">
        <v>227</v>
      </c>
      <c r="C3" s="74" t="s">
        <v>234</v>
      </c>
    </row>
    <row r="4" spans="2:3" x14ac:dyDescent="0.25">
      <c r="B4" s="39" t="s">
        <v>2</v>
      </c>
      <c r="C4" s="74" t="s">
        <v>235</v>
      </c>
    </row>
    <row r="5" spans="2:3" x14ac:dyDescent="0.25">
      <c r="B5" s="39" t="s">
        <v>230</v>
      </c>
      <c r="C5" s="74" t="s">
        <v>236</v>
      </c>
    </row>
    <row r="6" spans="2:3" x14ac:dyDescent="0.25">
      <c r="B6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1E5F5"/>
  </sheetPr>
  <dimension ref="B2:C5"/>
  <sheetViews>
    <sheetView zoomScale="130" zoomScaleNormal="130" workbookViewId="0">
      <selection activeCell="C12" sqref="C12"/>
    </sheetView>
  </sheetViews>
  <sheetFormatPr defaultColWidth="11" defaultRowHeight="15.75" x14ac:dyDescent="0.25"/>
  <cols>
    <col min="2" max="2" width="11.5" customWidth="1"/>
    <col min="3" max="3" width="39.5" customWidth="1"/>
  </cols>
  <sheetData>
    <row r="2" spans="2:3" x14ac:dyDescent="0.25">
      <c r="B2" s="39" t="s">
        <v>226</v>
      </c>
      <c r="C2" s="74" t="s">
        <v>237</v>
      </c>
    </row>
    <row r="3" spans="2:3" x14ac:dyDescent="0.25">
      <c r="B3" s="39" t="s">
        <v>227</v>
      </c>
      <c r="C3" s="74" t="s">
        <v>13</v>
      </c>
    </row>
    <row r="4" spans="2:3" x14ac:dyDescent="0.25">
      <c r="B4" s="39" t="s">
        <v>2</v>
      </c>
      <c r="C4" s="74" t="s">
        <v>238</v>
      </c>
    </row>
    <row r="5" spans="2:3" x14ac:dyDescent="0.25">
      <c r="B5" s="39" t="s">
        <v>230</v>
      </c>
      <c r="C5" s="74" t="s">
        <v>239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6" customWidth="1"/>
  </cols>
  <sheetData>
    <row r="2" spans="2:3" x14ac:dyDescent="0.25">
      <c r="B2" s="39" t="s">
        <v>226</v>
      </c>
      <c r="C2" s="74" t="s">
        <v>16</v>
      </c>
    </row>
    <row r="3" spans="2:3" x14ac:dyDescent="0.25">
      <c r="B3" s="39" t="s">
        <v>227</v>
      </c>
      <c r="C3" s="74" t="s">
        <v>240</v>
      </c>
    </row>
    <row r="4" spans="2:3" x14ac:dyDescent="0.25">
      <c r="B4" s="39" t="s">
        <v>2</v>
      </c>
      <c r="C4" s="74" t="s">
        <v>241</v>
      </c>
    </row>
    <row r="5" spans="2:3" x14ac:dyDescent="0.25">
      <c r="B5" s="39" t="s">
        <v>230</v>
      </c>
      <c r="C5" s="74" t="s">
        <v>242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226</v>
      </c>
      <c r="C2" s="74" t="s">
        <v>18</v>
      </c>
    </row>
    <row r="3" spans="2:3" x14ac:dyDescent="0.25">
      <c r="B3" s="39" t="s">
        <v>227</v>
      </c>
      <c r="C3" s="74" t="s">
        <v>243</v>
      </c>
    </row>
    <row r="4" spans="2:3" x14ac:dyDescent="0.25">
      <c r="B4" s="39" t="s">
        <v>2</v>
      </c>
      <c r="C4" s="74" t="s">
        <v>244</v>
      </c>
    </row>
    <row r="5" spans="2:3" x14ac:dyDescent="0.25">
      <c r="B5" s="39" t="s">
        <v>230</v>
      </c>
      <c r="C5" s="74" t="s">
        <v>245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226</v>
      </c>
      <c r="C2" s="74" t="s">
        <v>19</v>
      </c>
    </row>
    <row r="3" spans="2:3" x14ac:dyDescent="0.25">
      <c r="B3" s="39" t="s">
        <v>227</v>
      </c>
      <c r="C3" s="74" t="s">
        <v>246</v>
      </c>
    </row>
    <row r="4" spans="2:3" x14ac:dyDescent="0.25">
      <c r="B4" s="39" t="s">
        <v>2</v>
      </c>
      <c r="C4" s="74" t="s">
        <v>244</v>
      </c>
    </row>
    <row r="5" spans="2:3" x14ac:dyDescent="0.25">
      <c r="B5" s="39" t="s">
        <v>230</v>
      </c>
      <c r="C5" s="74" t="s">
        <v>247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226</v>
      </c>
      <c r="C2" s="74" t="s">
        <v>20</v>
      </c>
    </row>
    <row r="3" spans="2:3" x14ac:dyDescent="0.25">
      <c r="B3" s="39" t="s">
        <v>227</v>
      </c>
      <c r="C3" s="74" t="s">
        <v>248</v>
      </c>
    </row>
    <row r="4" spans="2:3" x14ac:dyDescent="0.25">
      <c r="B4" s="39" t="s">
        <v>2</v>
      </c>
      <c r="C4" s="74" t="s">
        <v>244</v>
      </c>
    </row>
    <row r="5" spans="2:3" x14ac:dyDescent="0.25">
      <c r="B5" s="39" t="s">
        <v>230</v>
      </c>
      <c r="C5" s="74" t="s">
        <v>249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C6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226</v>
      </c>
      <c r="C2" s="74" t="s">
        <v>21</v>
      </c>
    </row>
    <row r="3" spans="2:3" x14ac:dyDescent="0.25">
      <c r="B3" s="39" t="s">
        <v>227</v>
      </c>
      <c r="C3" s="74" t="s">
        <v>250</v>
      </c>
    </row>
    <row r="4" spans="2:3" x14ac:dyDescent="0.25">
      <c r="B4" s="39" t="s">
        <v>2</v>
      </c>
      <c r="C4" s="74" t="s">
        <v>251</v>
      </c>
    </row>
    <row r="5" spans="2:3" x14ac:dyDescent="0.25">
      <c r="B5" s="39" t="s">
        <v>230</v>
      </c>
      <c r="C5" s="74" t="s">
        <v>252</v>
      </c>
    </row>
    <row r="6" spans="2:3" x14ac:dyDescent="0.25">
      <c r="B6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C6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226</v>
      </c>
      <c r="C2" s="74" t="s">
        <v>23</v>
      </c>
    </row>
    <row r="3" spans="2:3" x14ac:dyDescent="0.25">
      <c r="B3" s="39" t="s">
        <v>227</v>
      </c>
      <c r="C3" s="74" t="s">
        <v>253</v>
      </c>
    </row>
    <row r="4" spans="2:3" x14ac:dyDescent="0.25">
      <c r="B4" s="39" t="s">
        <v>2</v>
      </c>
      <c r="C4" s="74" t="s">
        <v>254</v>
      </c>
    </row>
    <row r="5" spans="2:3" x14ac:dyDescent="0.25">
      <c r="B5" s="39" t="s">
        <v>230</v>
      </c>
      <c r="C5" s="74" t="s">
        <v>255</v>
      </c>
    </row>
    <row r="6" spans="2:3" x14ac:dyDescent="0.25">
      <c r="B6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226</v>
      </c>
      <c r="C2" s="74" t="s">
        <v>24</v>
      </c>
    </row>
    <row r="3" spans="2:3" x14ac:dyDescent="0.25">
      <c r="B3" s="39" t="s">
        <v>227</v>
      </c>
      <c r="C3" s="74" t="s">
        <v>256</v>
      </c>
    </row>
    <row r="4" spans="2:3" x14ac:dyDescent="0.25">
      <c r="B4" s="39" t="s">
        <v>2</v>
      </c>
      <c r="C4" s="74" t="s">
        <v>257</v>
      </c>
    </row>
    <row r="5" spans="2:3" x14ac:dyDescent="0.25">
      <c r="B5" s="39" t="s">
        <v>230</v>
      </c>
      <c r="C5" s="74" t="s">
        <v>258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226</v>
      </c>
      <c r="C2" s="74" t="s">
        <v>25</v>
      </c>
    </row>
    <row r="3" spans="2:3" x14ac:dyDescent="0.25">
      <c r="B3" s="39" t="s">
        <v>227</v>
      </c>
      <c r="C3" s="74" t="s">
        <v>259</v>
      </c>
    </row>
    <row r="4" spans="2:3" x14ac:dyDescent="0.25">
      <c r="B4" s="39" t="s">
        <v>2</v>
      </c>
      <c r="C4" s="74" t="s">
        <v>260</v>
      </c>
    </row>
    <row r="5" spans="2:3" x14ac:dyDescent="0.25">
      <c r="B5" s="39" t="s">
        <v>230</v>
      </c>
      <c r="C5" s="74" t="s">
        <v>261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226</v>
      </c>
      <c r="C2" s="74" t="s">
        <v>27</v>
      </c>
    </row>
    <row r="3" spans="2:3" x14ac:dyDescent="0.25">
      <c r="B3" s="39" t="s">
        <v>227</v>
      </c>
      <c r="C3" s="74" t="s">
        <v>262</v>
      </c>
    </row>
    <row r="4" spans="2:3" x14ac:dyDescent="0.25">
      <c r="B4" s="39" t="s">
        <v>2</v>
      </c>
      <c r="C4" s="74" t="s">
        <v>263</v>
      </c>
    </row>
    <row r="5" spans="2:3" x14ac:dyDescent="0.25">
      <c r="B5" s="39" t="s">
        <v>230</v>
      </c>
      <c r="C5" s="74" t="s">
        <v>264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226</v>
      </c>
      <c r="C2" s="74" t="s">
        <v>28</v>
      </c>
    </row>
    <row r="3" spans="2:3" x14ac:dyDescent="0.25">
      <c r="B3" s="39" t="s">
        <v>227</v>
      </c>
      <c r="C3" s="74" t="s">
        <v>265</v>
      </c>
    </row>
    <row r="4" spans="2:3" x14ac:dyDescent="0.25">
      <c r="B4" s="39" t="s">
        <v>2</v>
      </c>
      <c r="C4" s="74" t="s">
        <v>266</v>
      </c>
    </row>
    <row r="5" spans="2:3" x14ac:dyDescent="0.25">
      <c r="B5" s="39" t="s">
        <v>230</v>
      </c>
      <c r="C5" s="74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226</v>
      </c>
      <c r="C2" s="74" t="s">
        <v>30</v>
      </c>
    </row>
    <row r="3" spans="2:3" x14ac:dyDescent="0.25">
      <c r="B3" s="39" t="s">
        <v>227</v>
      </c>
      <c r="C3" s="74" t="s">
        <v>268</v>
      </c>
    </row>
    <row r="4" spans="2:3" x14ac:dyDescent="0.25">
      <c r="B4" s="39" t="s">
        <v>2</v>
      </c>
      <c r="C4" s="74" t="s">
        <v>269</v>
      </c>
    </row>
    <row r="5" spans="2:3" x14ac:dyDescent="0.25">
      <c r="B5" s="39" t="s">
        <v>230</v>
      </c>
      <c r="C5" s="74" t="s">
        <v>270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C5"/>
  <sheetViews>
    <sheetView zoomScale="130" zoomScaleNormal="130" workbookViewId="0">
      <selection activeCell="C3" sqref="C3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39" t="s">
        <v>226</v>
      </c>
      <c r="C2" s="74" t="s">
        <v>31</v>
      </c>
    </row>
    <row r="3" spans="2:3" x14ac:dyDescent="0.25">
      <c r="B3" s="39" t="s">
        <v>227</v>
      </c>
      <c r="C3" s="74" t="s">
        <v>271</v>
      </c>
    </row>
    <row r="4" spans="2:3" x14ac:dyDescent="0.25">
      <c r="B4" s="39" t="s">
        <v>2</v>
      </c>
      <c r="C4" s="74" t="s">
        <v>254</v>
      </c>
    </row>
    <row r="5" spans="2:3" x14ac:dyDescent="0.25">
      <c r="B5" s="39" t="s">
        <v>230</v>
      </c>
      <c r="C5" s="74" t="s">
        <v>272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C5"/>
  <sheetViews>
    <sheetView workbookViewId="0">
      <selection activeCell="C10" sqref="C10"/>
    </sheetView>
  </sheetViews>
  <sheetFormatPr defaultColWidth="11" defaultRowHeight="15.75" x14ac:dyDescent="0.25"/>
  <cols>
    <col min="3" max="3" width="27.125" customWidth="1"/>
  </cols>
  <sheetData>
    <row r="2" spans="2:3" x14ac:dyDescent="0.25">
      <c r="B2" s="39" t="s">
        <v>226</v>
      </c>
      <c r="C2" s="74" t="s">
        <v>32</v>
      </c>
    </row>
    <row r="3" spans="2:3" x14ac:dyDescent="0.25">
      <c r="B3" s="39" t="s">
        <v>227</v>
      </c>
      <c r="C3" s="74" t="s">
        <v>273</v>
      </c>
    </row>
    <row r="4" spans="2:3" x14ac:dyDescent="0.25">
      <c r="B4" s="39" t="s">
        <v>2</v>
      </c>
      <c r="C4" s="74" t="s">
        <v>274</v>
      </c>
    </row>
    <row r="5" spans="2:3" x14ac:dyDescent="0.25">
      <c r="B5" s="39" t="s">
        <v>230</v>
      </c>
      <c r="C5" s="74" t="s">
        <v>275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2:C5"/>
  <sheetViews>
    <sheetView workbookViewId="0">
      <selection activeCell="C10" sqref="C10"/>
    </sheetView>
  </sheetViews>
  <sheetFormatPr defaultColWidth="11" defaultRowHeight="15.75" x14ac:dyDescent="0.25"/>
  <cols>
    <col min="3" max="3" width="46.625" customWidth="1"/>
  </cols>
  <sheetData>
    <row r="2" spans="2:3" x14ac:dyDescent="0.25">
      <c r="B2" s="39" t="s">
        <v>226</v>
      </c>
      <c r="C2" s="74" t="s">
        <v>33</v>
      </c>
    </row>
    <row r="3" spans="2:3" x14ac:dyDescent="0.25">
      <c r="B3" s="39" t="s">
        <v>227</v>
      </c>
      <c r="C3" s="74" t="s">
        <v>276</v>
      </c>
    </row>
    <row r="4" spans="2:3" x14ac:dyDescent="0.25">
      <c r="B4" s="39" t="s">
        <v>2</v>
      </c>
      <c r="C4" s="74" t="s">
        <v>277</v>
      </c>
    </row>
    <row r="5" spans="2:3" x14ac:dyDescent="0.25">
      <c r="B5" s="39" t="s">
        <v>230</v>
      </c>
      <c r="C5" s="74" t="s">
        <v>278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2:C5"/>
  <sheetViews>
    <sheetView workbookViewId="0">
      <selection activeCell="C10" sqref="C10"/>
    </sheetView>
  </sheetViews>
  <sheetFormatPr defaultColWidth="11" defaultRowHeight="15.75" x14ac:dyDescent="0.25"/>
  <cols>
    <col min="3" max="3" width="30.625" customWidth="1"/>
  </cols>
  <sheetData>
    <row r="2" spans="2:3" x14ac:dyDescent="0.25">
      <c r="B2" s="39" t="s">
        <v>226</v>
      </c>
      <c r="C2" s="74" t="s">
        <v>34</v>
      </c>
    </row>
    <row r="3" spans="2:3" x14ac:dyDescent="0.25">
      <c r="B3" s="39" t="s">
        <v>227</v>
      </c>
      <c r="C3" s="74" t="s">
        <v>279</v>
      </c>
    </row>
    <row r="4" spans="2:3" x14ac:dyDescent="0.25">
      <c r="B4" s="39" t="s">
        <v>2</v>
      </c>
      <c r="C4" s="74" t="s">
        <v>280</v>
      </c>
    </row>
    <row r="5" spans="2:3" x14ac:dyDescent="0.25">
      <c r="B5" s="39" t="s">
        <v>230</v>
      </c>
      <c r="C5" s="74" t="s">
        <v>281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2:C5"/>
  <sheetViews>
    <sheetView workbookViewId="0">
      <selection activeCell="C10" sqref="C10"/>
    </sheetView>
  </sheetViews>
  <sheetFormatPr defaultColWidth="11" defaultRowHeight="15.75" x14ac:dyDescent="0.25"/>
  <cols>
    <col min="3" max="3" width="27.125" customWidth="1"/>
  </cols>
  <sheetData>
    <row r="2" spans="2:3" x14ac:dyDescent="0.25">
      <c r="B2" s="39" t="s">
        <v>226</v>
      </c>
      <c r="C2" s="74" t="s">
        <v>35</v>
      </c>
    </row>
    <row r="3" spans="2:3" x14ac:dyDescent="0.25">
      <c r="B3" s="39" t="s">
        <v>227</v>
      </c>
      <c r="C3" s="74" t="s">
        <v>282</v>
      </c>
    </row>
    <row r="4" spans="2:3" x14ac:dyDescent="0.25">
      <c r="B4" s="39" t="s">
        <v>2</v>
      </c>
      <c r="C4" s="74" t="s">
        <v>283</v>
      </c>
    </row>
    <row r="5" spans="2:3" x14ac:dyDescent="0.25">
      <c r="B5" s="39" t="s">
        <v>230</v>
      </c>
      <c r="C5" s="74" t="s">
        <v>284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2:C5"/>
  <sheetViews>
    <sheetView workbookViewId="0">
      <selection activeCell="C10" sqref="C10"/>
    </sheetView>
  </sheetViews>
  <sheetFormatPr defaultColWidth="11" defaultRowHeight="15.75" x14ac:dyDescent="0.25"/>
  <cols>
    <col min="3" max="3" width="46.625" customWidth="1"/>
  </cols>
  <sheetData>
    <row r="2" spans="2:3" x14ac:dyDescent="0.25">
      <c r="B2" s="39" t="s">
        <v>226</v>
      </c>
      <c r="C2" s="74" t="s">
        <v>36</v>
      </c>
    </row>
    <row r="3" spans="2:3" x14ac:dyDescent="0.25">
      <c r="B3" s="39" t="s">
        <v>227</v>
      </c>
      <c r="C3" s="74" t="s">
        <v>285</v>
      </c>
    </row>
    <row r="4" spans="2:3" x14ac:dyDescent="0.25">
      <c r="B4" s="39" t="s">
        <v>2</v>
      </c>
      <c r="C4" s="74" t="s">
        <v>286</v>
      </c>
    </row>
    <row r="5" spans="2:3" x14ac:dyDescent="0.25">
      <c r="B5" s="39" t="s">
        <v>230</v>
      </c>
      <c r="C5" s="74" t="s">
        <v>287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2:C5"/>
  <sheetViews>
    <sheetView workbookViewId="0">
      <selection activeCell="C10" sqref="C10"/>
    </sheetView>
  </sheetViews>
  <sheetFormatPr defaultColWidth="11" defaultRowHeight="15.75" x14ac:dyDescent="0.25"/>
  <cols>
    <col min="3" max="3" width="27.125" customWidth="1"/>
  </cols>
  <sheetData>
    <row r="2" spans="2:3" x14ac:dyDescent="0.25">
      <c r="B2" s="39" t="s">
        <v>226</v>
      </c>
      <c r="C2" s="74" t="s">
        <v>37</v>
      </c>
    </row>
    <row r="3" spans="2:3" x14ac:dyDescent="0.25">
      <c r="B3" s="39" t="s">
        <v>227</v>
      </c>
      <c r="C3" s="74" t="s">
        <v>288</v>
      </c>
    </row>
    <row r="4" spans="2:3" x14ac:dyDescent="0.25">
      <c r="B4" s="39" t="s">
        <v>2</v>
      </c>
      <c r="C4" s="74" t="s">
        <v>289</v>
      </c>
    </row>
    <row r="5" spans="2:3" x14ac:dyDescent="0.25">
      <c r="B5" s="39" t="s">
        <v>230</v>
      </c>
      <c r="C5" s="74" t="s">
        <v>290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Main</vt:lpstr>
      <vt:lpstr>Model</vt:lpstr>
      <vt:lpstr>Mounjaro</vt:lpstr>
      <vt:lpstr>Zepbound</vt:lpstr>
      <vt:lpstr>Trulicity</vt:lpstr>
      <vt:lpstr>Retatrutide</vt:lpstr>
      <vt:lpstr>Foundayo</vt:lpstr>
      <vt:lpstr>Basaglar</vt:lpstr>
      <vt:lpstr>Humalog</vt:lpstr>
      <vt:lpstr>Humulin</vt:lpstr>
      <vt:lpstr>Jardiance</vt:lpstr>
      <vt:lpstr>Verzenio</vt:lpstr>
      <vt:lpstr>Cyramza</vt:lpstr>
      <vt:lpstr>Erbitux</vt:lpstr>
      <vt:lpstr>Retevmo</vt:lpstr>
      <vt:lpstr>Tyvyt</vt:lpstr>
      <vt:lpstr>Jaypirca</vt:lpstr>
      <vt:lpstr>Inluriyo</vt:lpstr>
      <vt:lpstr>Ebglyss</vt:lpstr>
      <vt:lpstr>Olumiant</vt:lpstr>
      <vt:lpstr>Omvoh</vt:lpstr>
      <vt:lpstr>Taltz</vt:lpstr>
      <vt:lpstr>Emgality</vt:lpstr>
      <vt:lpstr>Kisunla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 Heier</dc:creator>
  <dc:description/>
  <cp:lastModifiedBy>Sam Heier</cp:lastModifiedBy>
  <cp:revision>0</cp:revision>
  <dcterms:created xsi:type="dcterms:W3CDTF">2026-05-18T21:29:55Z</dcterms:created>
  <dcterms:modified xsi:type="dcterms:W3CDTF">2026-07-21T18:29:29Z</dcterms:modified>
  <dc:language>en-US</dc:language>
</cp:coreProperties>
</file>
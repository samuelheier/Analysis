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U:\Models\"/>
    </mc:Choice>
  </mc:AlternateContent>
  <xr:revisionPtr revIDLastSave="0" documentId="13_ncr:1_{4A23AF65-1709-444F-80C0-DFE0A7672B2A}" xr6:coauthVersionLast="47" xr6:coauthVersionMax="47" xr10:uidLastSave="{00000000-0000-0000-0000-000000000000}"/>
  <bookViews>
    <workbookView xWindow="-28920" yWindow="-120" windowWidth="29040" windowHeight="15720" tabRatio="686" activeTab="5" xr2:uid="{00000000-000D-0000-FFFF-FFFF00000000}"/>
  </bookViews>
  <sheets>
    <sheet name="IS Quarterly" sheetId="1" r:id="rId1"/>
    <sheet name="IS Annual" sheetId="2" r:id="rId2"/>
    <sheet name="BS Annual" sheetId="3" r:id="rId3"/>
    <sheet name="CF Quarterly" sheetId="4" r:id="rId4"/>
    <sheet name="CF Annual" sheetId="5" r:id="rId5"/>
    <sheet name="DCF Model" sheetId="6" r:id="rId6"/>
    <sheet name="Comps" sheetId="7" r:id="rId7"/>
    <sheet name="Liquidation" sheetId="8" r:id="rId8"/>
    <sheet name="Summary"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8" i="9" l="1"/>
  <c r="G18" i="8"/>
  <c r="E18" i="8"/>
  <c r="C13" i="8"/>
  <c r="C12" i="8"/>
  <c r="C11" i="8"/>
  <c r="C10" i="8"/>
  <c r="C9" i="8"/>
  <c r="C8" i="8"/>
  <c r="C7" i="8"/>
  <c r="C6" i="8"/>
  <c r="C5" i="8"/>
  <c r="C41" i="7"/>
  <c r="C38" i="7"/>
  <c r="C37" i="7"/>
  <c r="C35" i="7"/>
  <c r="R25" i="7"/>
  <c r="P25" i="7"/>
  <c r="O25" i="7"/>
  <c r="N25" i="7"/>
  <c r="Q25" i="7" s="1"/>
  <c r="R24" i="7"/>
  <c r="P24" i="7"/>
  <c r="O24" i="7"/>
  <c r="N24" i="7"/>
  <c r="Q24" i="7" s="1"/>
  <c r="R23" i="7"/>
  <c r="P23" i="7"/>
  <c r="O23" i="7"/>
  <c r="N23" i="7"/>
  <c r="Q23" i="7" s="1"/>
  <c r="R22" i="7"/>
  <c r="P22" i="7"/>
  <c r="O22" i="7"/>
  <c r="N22" i="7"/>
  <c r="Q22" i="7" s="1"/>
  <c r="R21" i="7"/>
  <c r="P21" i="7"/>
  <c r="O21" i="7"/>
  <c r="N21" i="7"/>
  <c r="N10" i="7"/>
  <c r="Q10" i="7" s="1"/>
  <c r="F10" i="7"/>
  <c r="H10" i="7" s="1"/>
  <c r="N9" i="7"/>
  <c r="Q9" i="7" s="1"/>
  <c r="F9" i="7"/>
  <c r="H9" i="7" s="1"/>
  <c r="N8" i="7"/>
  <c r="Q8" i="7" s="1"/>
  <c r="F8" i="7"/>
  <c r="H8" i="7" s="1"/>
  <c r="N7" i="7"/>
  <c r="Q7" i="7" s="1"/>
  <c r="F7" i="7"/>
  <c r="H7" i="7" s="1"/>
  <c r="N6" i="7"/>
  <c r="F6" i="7"/>
  <c r="H6" i="7" s="1"/>
  <c r="N97" i="6"/>
  <c r="I97" i="6"/>
  <c r="N96" i="6"/>
  <c r="N95" i="6"/>
  <c r="I95" i="6"/>
  <c r="C40" i="7" s="1"/>
  <c r="I84" i="6"/>
  <c r="N83" i="6"/>
  <c r="I82" i="6"/>
  <c r="I78" i="6"/>
  <c r="J54" i="6"/>
  <c r="I54" i="6"/>
  <c r="H54" i="6"/>
  <c r="G54" i="6"/>
  <c r="K50" i="6"/>
  <c r="J34" i="6"/>
  <c r="I34" i="6"/>
  <c r="H34" i="6"/>
  <c r="G34" i="6"/>
  <c r="J32" i="6"/>
  <c r="I32" i="6"/>
  <c r="I79" i="6" s="1"/>
  <c r="H32" i="6"/>
  <c r="G32" i="6"/>
  <c r="J30" i="6"/>
  <c r="I30" i="6"/>
  <c r="H30" i="6"/>
  <c r="G30" i="6"/>
  <c r="J29" i="6"/>
  <c r="I29" i="6"/>
  <c r="H29" i="6"/>
  <c r="G29" i="6"/>
  <c r="J27" i="6"/>
  <c r="I27" i="6"/>
  <c r="H27" i="6"/>
  <c r="G27" i="6"/>
  <c r="J26" i="6"/>
  <c r="I26" i="6"/>
  <c r="H26" i="6"/>
  <c r="G26" i="6"/>
  <c r="J25" i="6"/>
  <c r="I25" i="6"/>
  <c r="H25" i="6"/>
  <c r="G25" i="6"/>
  <c r="K24" i="6"/>
  <c r="L24" i="6" s="1"/>
  <c r="M24" i="6" s="1"/>
  <c r="N24" i="6" s="1"/>
  <c r="O24" i="6" s="1"/>
  <c r="J19" i="6"/>
  <c r="I19" i="6"/>
  <c r="H19" i="6"/>
  <c r="G19" i="6"/>
  <c r="J16" i="6"/>
  <c r="I16" i="6"/>
  <c r="H16" i="6"/>
  <c r="G16" i="6"/>
  <c r="Z13" i="6"/>
  <c r="I70" i="6" s="1"/>
  <c r="J12" i="6"/>
  <c r="I12" i="6"/>
  <c r="H12" i="6"/>
  <c r="G12" i="6"/>
  <c r="G52" i="6" s="1"/>
  <c r="K11" i="6"/>
  <c r="L11" i="6" s="1"/>
  <c r="M11" i="6" s="1"/>
  <c r="N11" i="6" s="1"/>
  <c r="O11" i="6" s="1"/>
  <c r="Z8" i="6"/>
  <c r="Z6" i="6"/>
  <c r="Z5" i="6"/>
  <c r="K20" i="6" s="1"/>
  <c r="I4" i="6" a="1"/>
  <c r="I4" i="6"/>
  <c r="I3" i="6"/>
  <c r="P37" i="4"/>
  <c r="O37" i="4"/>
  <c r="N37" i="4"/>
  <c r="M37" i="4"/>
  <c r="L37" i="4"/>
  <c r="K37" i="4"/>
  <c r="J37" i="4"/>
  <c r="I37" i="4"/>
  <c r="H37" i="4"/>
  <c r="G37" i="4"/>
  <c r="F37" i="4"/>
  <c r="E37" i="4"/>
  <c r="D37" i="4"/>
  <c r="C37" i="4"/>
  <c r="P36" i="4"/>
  <c r="O36" i="4"/>
  <c r="N36" i="4"/>
  <c r="M36" i="4"/>
  <c r="L36" i="4"/>
  <c r="K36" i="4"/>
  <c r="J36" i="4"/>
  <c r="I36" i="4"/>
  <c r="H36" i="4"/>
  <c r="G36" i="4"/>
  <c r="F36" i="4"/>
  <c r="E36" i="4"/>
  <c r="D36" i="4"/>
  <c r="C36" i="4"/>
  <c r="P35" i="4"/>
  <c r="O35" i="4"/>
  <c r="N35" i="4"/>
  <c r="M35" i="4"/>
  <c r="L35" i="4"/>
  <c r="K35" i="4"/>
  <c r="J35" i="4"/>
  <c r="I35" i="4"/>
  <c r="H35" i="4"/>
  <c r="G35" i="4"/>
  <c r="F35" i="4"/>
  <c r="E35" i="4"/>
  <c r="D35" i="4"/>
  <c r="C35" i="4"/>
  <c r="P34" i="4"/>
  <c r="O34" i="4"/>
  <c r="N34" i="4"/>
  <c r="M34" i="4"/>
  <c r="L34" i="4"/>
  <c r="K34" i="4"/>
  <c r="J34" i="4"/>
  <c r="I34" i="4"/>
  <c r="H34" i="4"/>
  <c r="G34" i="4"/>
  <c r="F34" i="4"/>
  <c r="E34" i="4"/>
  <c r="D34" i="4"/>
  <c r="C34" i="4"/>
  <c r="P33" i="4"/>
  <c r="O33" i="4"/>
  <c r="N33" i="4"/>
  <c r="M33" i="4"/>
  <c r="L33" i="4"/>
  <c r="K33" i="4"/>
  <c r="J33" i="4"/>
  <c r="I33" i="4"/>
  <c r="H33" i="4"/>
  <c r="G33" i="4"/>
  <c r="F33" i="4"/>
  <c r="E33" i="4"/>
  <c r="D33" i="4"/>
  <c r="C33" i="4"/>
  <c r="P32" i="4"/>
  <c r="O32" i="4"/>
  <c r="N32" i="4"/>
  <c r="M32" i="4"/>
  <c r="L32" i="4"/>
  <c r="K32" i="4"/>
  <c r="J32" i="4"/>
  <c r="I32" i="4"/>
  <c r="H32" i="4"/>
  <c r="G32" i="4"/>
  <c r="F32" i="4"/>
  <c r="E32" i="4"/>
  <c r="D32" i="4"/>
  <c r="C32" i="4"/>
  <c r="P31" i="4"/>
  <c r="O31" i="4"/>
  <c r="N31" i="4"/>
  <c r="M31" i="4"/>
  <c r="L31" i="4"/>
  <c r="K31" i="4"/>
  <c r="J31" i="4"/>
  <c r="I31" i="4"/>
  <c r="H31" i="4"/>
  <c r="G31" i="4"/>
  <c r="F31" i="4"/>
  <c r="E31" i="4"/>
  <c r="D31" i="4"/>
  <c r="C31" i="4"/>
  <c r="P30" i="4"/>
  <c r="O30" i="4"/>
  <c r="N30" i="4"/>
  <c r="M30" i="4"/>
  <c r="L30" i="4"/>
  <c r="K30" i="4"/>
  <c r="J30" i="4"/>
  <c r="I30" i="4"/>
  <c r="H30" i="4"/>
  <c r="G30" i="4"/>
  <c r="F30" i="4"/>
  <c r="E30" i="4"/>
  <c r="D30" i="4"/>
  <c r="C30" i="4"/>
  <c r="P29" i="4"/>
  <c r="O29" i="4"/>
  <c r="N29" i="4"/>
  <c r="M29" i="4"/>
  <c r="L29" i="4"/>
  <c r="K29" i="4"/>
  <c r="J29" i="4"/>
  <c r="I29" i="4"/>
  <c r="H29" i="4"/>
  <c r="G29" i="4"/>
  <c r="F29" i="4"/>
  <c r="E29" i="4"/>
  <c r="D29" i="4"/>
  <c r="C29" i="4"/>
  <c r="P28" i="4"/>
  <c r="O28" i="4"/>
  <c r="N28" i="4"/>
  <c r="M28" i="4"/>
  <c r="L28" i="4"/>
  <c r="K28" i="4"/>
  <c r="J28" i="4"/>
  <c r="I28" i="4"/>
  <c r="H28" i="4"/>
  <c r="G28" i="4"/>
  <c r="F28" i="4"/>
  <c r="E28" i="4"/>
  <c r="D28" i="4"/>
  <c r="C28" i="4"/>
  <c r="P27" i="4"/>
  <c r="O27" i="4"/>
  <c r="N27" i="4"/>
  <c r="M27" i="4"/>
  <c r="L27" i="4"/>
  <c r="K27" i="4"/>
  <c r="J27" i="4"/>
  <c r="I27" i="4"/>
  <c r="H27" i="4"/>
  <c r="G27" i="4"/>
  <c r="F27" i="4"/>
  <c r="E27" i="4"/>
  <c r="D27" i="4"/>
  <c r="C27" i="4"/>
  <c r="P26" i="4"/>
  <c r="O26" i="4"/>
  <c r="N26" i="4"/>
  <c r="M26" i="4"/>
  <c r="L26" i="4"/>
  <c r="K26" i="4"/>
  <c r="J26" i="4"/>
  <c r="I26" i="4"/>
  <c r="H26" i="4"/>
  <c r="G26" i="4"/>
  <c r="F26" i="4"/>
  <c r="E26" i="4"/>
  <c r="D26" i="4"/>
  <c r="C26" i="4"/>
  <c r="P25" i="4"/>
  <c r="O25" i="4"/>
  <c r="N25" i="4"/>
  <c r="M25" i="4"/>
  <c r="L25" i="4"/>
  <c r="K25" i="4"/>
  <c r="J25" i="4"/>
  <c r="I25" i="4"/>
  <c r="H25" i="4"/>
  <c r="G25" i="4"/>
  <c r="F25" i="4"/>
  <c r="E25" i="4"/>
  <c r="D25" i="4"/>
  <c r="C25" i="4"/>
  <c r="P23" i="4"/>
  <c r="O23" i="4"/>
  <c r="N23" i="4"/>
  <c r="M23" i="4"/>
  <c r="L23" i="4"/>
  <c r="K23" i="4"/>
  <c r="J23" i="4"/>
  <c r="I23" i="4"/>
  <c r="H23" i="4"/>
  <c r="G23" i="4"/>
  <c r="F23" i="4"/>
  <c r="E23" i="4"/>
  <c r="D23" i="4"/>
  <c r="C23" i="4"/>
  <c r="P22" i="4"/>
  <c r="O22" i="4"/>
  <c r="N22" i="4"/>
  <c r="M22" i="4"/>
  <c r="L22" i="4"/>
  <c r="K22" i="4"/>
  <c r="J22" i="4"/>
  <c r="I22" i="4"/>
  <c r="H22" i="4"/>
  <c r="G22" i="4"/>
  <c r="F22" i="4"/>
  <c r="E22" i="4"/>
  <c r="D22" i="4"/>
  <c r="C22" i="4"/>
  <c r="P21" i="4"/>
  <c r="O21" i="4"/>
  <c r="N21" i="4"/>
  <c r="M21" i="4"/>
  <c r="L21" i="4"/>
  <c r="K21" i="4"/>
  <c r="J21" i="4"/>
  <c r="I21" i="4"/>
  <c r="H21" i="4"/>
  <c r="G21" i="4"/>
  <c r="F21" i="4"/>
  <c r="E21" i="4"/>
  <c r="D21" i="4"/>
  <c r="C21" i="4"/>
  <c r="P20" i="4"/>
  <c r="O20" i="4"/>
  <c r="N20" i="4"/>
  <c r="M20" i="4"/>
  <c r="L20" i="4"/>
  <c r="K20" i="4"/>
  <c r="J20" i="4"/>
  <c r="I20" i="4"/>
  <c r="H20" i="4"/>
  <c r="G20" i="4"/>
  <c r="F20" i="4"/>
  <c r="E20" i="4"/>
  <c r="D20" i="4"/>
  <c r="C20" i="4"/>
  <c r="P19" i="4"/>
  <c r="O19" i="4"/>
  <c r="N19" i="4"/>
  <c r="M19" i="4"/>
  <c r="L19" i="4"/>
  <c r="K19" i="4"/>
  <c r="J19" i="4"/>
  <c r="I19" i="4"/>
  <c r="H19" i="4"/>
  <c r="G19" i="4"/>
  <c r="F19" i="4"/>
  <c r="E19" i="4"/>
  <c r="D19" i="4"/>
  <c r="C19" i="4"/>
  <c r="P17" i="4"/>
  <c r="O17" i="4"/>
  <c r="N17" i="4"/>
  <c r="M17" i="4"/>
  <c r="L17" i="4"/>
  <c r="K17" i="4"/>
  <c r="J17" i="4"/>
  <c r="I17" i="4"/>
  <c r="H17" i="4"/>
  <c r="G17" i="4"/>
  <c r="F17" i="4"/>
  <c r="E17" i="4"/>
  <c r="D17" i="4"/>
  <c r="C17" i="4"/>
  <c r="P16" i="4"/>
  <c r="O16" i="4"/>
  <c r="N16" i="4"/>
  <c r="M16" i="4"/>
  <c r="L16" i="4"/>
  <c r="K16" i="4"/>
  <c r="J16" i="4"/>
  <c r="I16" i="4"/>
  <c r="H16" i="4"/>
  <c r="G16" i="4"/>
  <c r="F16" i="4"/>
  <c r="E16" i="4"/>
  <c r="D16" i="4"/>
  <c r="C16" i="4"/>
  <c r="P15" i="4"/>
  <c r="O15" i="4"/>
  <c r="N15" i="4"/>
  <c r="M15" i="4"/>
  <c r="L15" i="4"/>
  <c r="K15" i="4"/>
  <c r="J15" i="4"/>
  <c r="I15" i="4"/>
  <c r="H15" i="4"/>
  <c r="G15" i="4"/>
  <c r="F15" i="4"/>
  <c r="E15" i="4"/>
  <c r="D15" i="4"/>
  <c r="C15" i="4"/>
  <c r="P14" i="4"/>
  <c r="O14" i="4"/>
  <c r="N14" i="4"/>
  <c r="M14" i="4"/>
  <c r="L14" i="4"/>
  <c r="K14" i="4"/>
  <c r="J14" i="4"/>
  <c r="I14" i="4"/>
  <c r="H14" i="4"/>
  <c r="G14" i="4"/>
  <c r="F14" i="4"/>
  <c r="E14" i="4"/>
  <c r="D14" i="4"/>
  <c r="C14" i="4"/>
  <c r="P13" i="4"/>
  <c r="O13" i="4"/>
  <c r="N13" i="4"/>
  <c r="M13" i="4"/>
  <c r="L13" i="4"/>
  <c r="K13" i="4"/>
  <c r="J13" i="4"/>
  <c r="I13" i="4"/>
  <c r="H13" i="4"/>
  <c r="G13" i="4"/>
  <c r="F13" i="4"/>
  <c r="E13" i="4"/>
  <c r="D13" i="4"/>
  <c r="C13" i="4"/>
  <c r="P12" i="4"/>
  <c r="O12" i="4"/>
  <c r="N12" i="4"/>
  <c r="M12" i="4"/>
  <c r="L12" i="4"/>
  <c r="K12" i="4"/>
  <c r="J12" i="4"/>
  <c r="I12" i="4"/>
  <c r="H12" i="4"/>
  <c r="G12" i="4"/>
  <c r="F12" i="4"/>
  <c r="E12" i="4"/>
  <c r="D12" i="4"/>
  <c r="C12" i="4"/>
  <c r="P11" i="4"/>
  <c r="O11" i="4"/>
  <c r="N11" i="4"/>
  <c r="M11" i="4"/>
  <c r="L11" i="4"/>
  <c r="K11" i="4"/>
  <c r="J11" i="4"/>
  <c r="I11" i="4"/>
  <c r="H11" i="4"/>
  <c r="G11" i="4"/>
  <c r="F11" i="4"/>
  <c r="E11" i="4"/>
  <c r="D11" i="4"/>
  <c r="C11" i="4"/>
  <c r="P10" i="4"/>
  <c r="O10" i="4"/>
  <c r="N10" i="4"/>
  <c r="M10" i="4"/>
  <c r="L10" i="4"/>
  <c r="K10" i="4"/>
  <c r="J10" i="4"/>
  <c r="I10" i="4"/>
  <c r="H10" i="4"/>
  <c r="G10" i="4"/>
  <c r="F10" i="4"/>
  <c r="E10" i="4"/>
  <c r="D10" i="4"/>
  <c r="C10" i="4"/>
  <c r="P9" i="4"/>
  <c r="O9" i="4"/>
  <c r="N9" i="4"/>
  <c r="M9" i="4"/>
  <c r="L9" i="4"/>
  <c r="K9" i="4"/>
  <c r="J9" i="4"/>
  <c r="I9" i="4"/>
  <c r="H9" i="4"/>
  <c r="G9" i="4"/>
  <c r="F9" i="4"/>
  <c r="E9" i="4"/>
  <c r="D9" i="4"/>
  <c r="C9" i="4"/>
  <c r="P8" i="4"/>
  <c r="O8" i="4"/>
  <c r="N8" i="4"/>
  <c r="M8" i="4"/>
  <c r="L8" i="4"/>
  <c r="K8" i="4"/>
  <c r="J8" i="4"/>
  <c r="I8" i="4"/>
  <c r="H8" i="4"/>
  <c r="G8" i="4"/>
  <c r="F8" i="4"/>
  <c r="E8" i="4"/>
  <c r="D8" i="4"/>
  <c r="C8" i="4"/>
  <c r="P7" i="4"/>
  <c r="O7" i="4"/>
  <c r="N7" i="4"/>
  <c r="M7" i="4"/>
  <c r="L7" i="4"/>
  <c r="K7" i="4"/>
  <c r="J7" i="4"/>
  <c r="I7" i="4"/>
  <c r="H7" i="4"/>
  <c r="G7" i="4"/>
  <c r="F7" i="4"/>
  <c r="E7" i="4"/>
  <c r="D7" i="4"/>
  <c r="C7" i="4"/>
  <c r="F41" i="3"/>
  <c r="E41" i="3"/>
  <c r="D41" i="3"/>
  <c r="C41" i="3"/>
  <c r="F29" i="3"/>
  <c r="F34" i="3" s="1"/>
  <c r="E29" i="3"/>
  <c r="E34" i="3" s="1"/>
  <c r="E42" i="3" s="1"/>
  <c r="D29" i="3"/>
  <c r="D34" i="3" s="1"/>
  <c r="D42" i="3" s="1"/>
  <c r="C29" i="3"/>
  <c r="C34" i="3" s="1"/>
  <c r="C42" i="3" s="1"/>
  <c r="F12" i="3"/>
  <c r="F19" i="3" s="1"/>
  <c r="E12" i="3"/>
  <c r="E19" i="3" s="1"/>
  <c r="D12" i="3"/>
  <c r="D19" i="3" s="1"/>
  <c r="C12" i="3"/>
  <c r="C19" i="3" s="1"/>
  <c r="P10" i="1"/>
  <c r="O10" i="1"/>
  <c r="N10" i="1"/>
  <c r="M10" i="1"/>
  <c r="L10" i="1"/>
  <c r="K10" i="1"/>
  <c r="J10" i="1"/>
  <c r="I10" i="1"/>
  <c r="H10" i="1"/>
  <c r="G10" i="1"/>
  <c r="F10" i="1"/>
  <c r="E10" i="1"/>
  <c r="D10" i="1"/>
  <c r="C10" i="1"/>
  <c r="P7" i="1"/>
  <c r="O7" i="1"/>
  <c r="N7" i="1"/>
  <c r="M7" i="1"/>
  <c r="L7" i="1"/>
  <c r="K7" i="1"/>
  <c r="J7" i="1"/>
  <c r="I7" i="1"/>
  <c r="H7" i="1"/>
  <c r="G7" i="1"/>
  <c r="C16" i="8" l="1"/>
  <c r="F42" i="3"/>
  <c r="C4" i="9"/>
  <c r="I77" i="6"/>
  <c r="I85" i="6" s="1"/>
  <c r="L20" i="6"/>
  <c r="O36" i="6"/>
  <c r="N36" i="6"/>
  <c r="M36" i="6"/>
  <c r="L36" i="6"/>
  <c r="K36" i="6"/>
  <c r="O38" i="6"/>
  <c r="N38" i="6"/>
  <c r="M38" i="6"/>
  <c r="L38" i="6"/>
  <c r="K38" i="6"/>
  <c r="H52" i="6"/>
  <c r="H13" i="6"/>
  <c r="I52" i="6"/>
  <c r="I13" i="6"/>
  <c r="I14" i="6" s="1"/>
  <c r="J52" i="6"/>
  <c r="J13" i="6"/>
  <c r="J14" i="6" s="1"/>
  <c r="G53" i="6"/>
  <c r="G55" i="6" s="1"/>
  <c r="G17" i="6"/>
  <c r="H53" i="6"/>
  <c r="H55" i="6" s="1"/>
  <c r="H17" i="6"/>
  <c r="I53" i="6"/>
  <c r="I55" i="6" s="1"/>
  <c r="I17" i="6"/>
  <c r="J53" i="6"/>
  <c r="J55" i="6" s="1"/>
  <c r="J17" i="6"/>
  <c r="G56" i="6"/>
  <c r="G20" i="6"/>
  <c r="H56" i="6"/>
  <c r="H20" i="6"/>
  <c r="I56" i="6"/>
  <c r="I20" i="6"/>
  <c r="J56" i="6"/>
  <c r="J20" i="6"/>
  <c r="G36" i="6"/>
  <c r="H57" i="6"/>
  <c r="H42" i="6"/>
  <c r="H36" i="6"/>
  <c r="I57" i="6"/>
  <c r="I42" i="6"/>
  <c r="I36" i="6"/>
  <c r="J57" i="6"/>
  <c r="J42" i="6"/>
  <c r="J36" i="6"/>
  <c r="G37" i="6"/>
  <c r="H58" i="6"/>
  <c r="H43" i="6"/>
  <c r="H37" i="6"/>
  <c r="I58" i="6"/>
  <c r="I43" i="6"/>
  <c r="I37" i="6"/>
  <c r="J58" i="6"/>
  <c r="J43" i="6"/>
  <c r="J37" i="6"/>
  <c r="G38" i="6"/>
  <c r="H59" i="6"/>
  <c r="H44" i="6"/>
  <c r="H38" i="6"/>
  <c r="I59" i="6"/>
  <c r="I44" i="6"/>
  <c r="I38" i="6"/>
  <c r="J59" i="6"/>
  <c r="J44" i="6"/>
  <c r="J38" i="6"/>
  <c r="G39" i="6"/>
  <c r="H60" i="6"/>
  <c r="H45" i="6"/>
  <c r="H39" i="6"/>
  <c r="I60" i="6"/>
  <c r="I45" i="6"/>
  <c r="I39" i="6"/>
  <c r="J60" i="6"/>
  <c r="J45" i="6"/>
  <c r="J39" i="6"/>
  <c r="G40" i="6"/>
  <c r="H61" i="6"/>
  <c r="H46" i="6"/>
  <c r="H40" i="6"/>
  <c r="I61" i="6"/>
  <c r="I46" i="6"/>
  <c r="I40" i="6"/>
  <c r="J61" i="6"/>
  <c r="J46" i="6"/>
  <c r="J40" i="6"/>
  <c r="G41" i="6"/>
  <c r="H62" i="6"/>
  <c r="H47" i="6"/>
  <c r="H41" i="6"/>
  <c r="I62" i="6"/>
  <c r="I47" i="6"/>
  <c r="I41" i="6"/>
  <c r="J62" i="6"/>
  <c r="J47" i="6"/>
  <c r="J41" i="6"/>
  <c r="I7" i="6"/>
  <c r="I8" i="6" s="1"/>
  <c r="K71" i="6"/>
  <c r="K51" i="6"/>
  <c r="L51" i="6" s="1"/>
  <c r="M51" i="6" s="1"/>
  <c r="N51" i="6" s="1"/>
  <c r="O51" i="6" s="1"/>
  <c r="L50" i="6"/>
  <c r="S54" i="6"/>
  <c r="R54" i="6"/>
  <c r="W12" i="6" s="1"/>
  <c r="Q54" i="6"/>
  <c r="I86" i="6"/>
  <c r="I88" i="6" s="1"/>
  <c r="R6" i="7"/>
  <c r="P6" i="7"/>
  <c r="O6" i="7"/>
  <c r="N17" i="7"/>
  <c r="N16" i="7"/>
  <c r="N15" i="7"/>
  <c r="E46" i="7" s="1"/>
  <c r="E8" i="9" s="1"/>
  <c r="N14" i="7"/>
  <c r="C46" i="7" s="1"/>
  <c r="C8" i="9" s="1"/>
  <c r="N13" i="7"/>
  <c r="D46" i="7" s="1"/>
  <c r="D8" i="9" s="1"/>
  <c r="F8" i="9" s="1"/>
  <c r="N12" i="7"/>
  <c r="Q6" i="7"/>
  <c r="R7" i="7"/>
  <c r="P7" i="7"/>
  <c r="O7" i="7"/>
  <c r="R8" i="7"/>
  <c r="P8" i="7"/>
  <c r="O8" i="7"/>
  <c r="R9" i="7"/>
  <c r="P9" i="7"/>
  <c r="O9" i="7"/>
  <c r="R10" i="7"/>
  <c r="P10" i="7"/>
  <c r="O10" i="7"/>
  <c r="N32" i="7"/>
  <c r="N31" i="7"/>
  <c r="N30" i="7"/>
  <c r="E55" i="7" s="1"/>
  <c r="E13" i="9" s="1"/>
  <c r="N29" i="7"/>
  <c r="C55" i="7" s="1"/>
  <c r="C13" i="9" s="1"/>
  <c r="N28" i="7"/>
  <c r="D55" i="7" s="1"/>
  <c r="D13" i="9" s="1"/>
  <c r="F13" i="9" s="1"/>
  <c r="N27" i="7"/>
  <c r="Q21" i="7"/>
  <c r="O32" i="7"/>
  <c r="O31" i="7"/>
  <c r="O30" i="7"/>
  <c r="E56" i="7" s="1"/>
  <c r="E14" i="9" s="1"/>
  <c r="O29" i="7"/>
  <c r="C56" i="7" s="1"/>
  <c r="C14" i="9" s="1"/>
  <c r="O28" i="7"/>
  <c r="D56" i="7" s="1"/>
  <c r="D14" i="9" s="1"/>
  <c r="F14" i="9" s="1"/>
  <c r="O27" i="7"/>
  <c r="P32" i="7"/>
  <c r="P31" i="7"/>
  <c r="P30" i="7"/>
  <c r="E57" i="7" s="1"/>
  <c r="E15" i="9" s="1"/>
  <c r="P29" i="7"/>
  <c r="C57" i="7" s="1"/>
  <c r="C15" i="9" s="1"/>
  <c r="P28" i="7"/>
  <c r="D57" i="7" s="1"/>
  <c r="D15" i="9" s="1"/>
  <c r="F15" i="9" s="1"/>
  <c r="P27" i="7"/>
  <c r="R32" i="7"/>
  <c r="R31" i="7"/>
  <c r="R30" i="7"/>
  <c r="E59" i="7" s="1"/>
  <c r="E17" i="9" s="1"/>
  <c r="R29" i="7"/>
  <c r="C59" i="7" s="1"/>
  <c r="C17" i="9" s="1"/>
  <c r="R28" i="7"/>
  <c r="D59" i="7" s="1"/>
  <c r="D17" i="9" s="1"/>
  <c r="F17" i="9" s="1"/>
  <c r="R27" i="7"/>
  <c r="C14" i="8"/>
  <c r="G5" i="8"/>
  <c r="E5" i="8"/>
  <c r="G6" i="8"/>
  <c r="E6" i="8"/>
  <c r="G7" i="8"/>
  <c r="E7" i="8"/>
  <c r="G8" i="8"/>
  <c r="E8" i="8"/>
  <c r="G9" i="8"/>
  <c r="E9" i="8"/>
  <c r="G10" i="8"/>
  <c r="E10" i="8"/>
  <c r="G11" i="8"/>
  <c r="E11" i="8"/>
  <c r="G12" i="8"/>
  <c r="E12" i="8"/>
  <c r="G13" i="8"/>
  <c r="E13" i="8"/>
  <c r="E14" i="8" l="1"/>
  <c r="G14" i="8"/>
  <c r="I17" i="9"/>
  <c r="H17" i="9"/>
  <c r="I15" i="9"/>
  <c r="H15" i="9"/>
  <c r="I14" i="9"/>
  <c r="H14" i="9"/>
  <c r="Q32" i="7"/>
  <c r="Q31" i="7"/>
  <c r="Q30" i="7"/>
  <c r="E58" i="7" s="1"/>
  <c r="E16" i="9" s="1"/>
  <c r="Q29" i="7"/>
  <c r="C58" i="7" s="1"/>
  <c r="C16" i="9" s="1"/>
  <c r="Q28" i="7"/>
  <c r="D58" i="7" s="1"/>
  <c r="D16" i="9" s="1"/>
  <c r="F16" i="9" s="1"/>
  <c r="Q27" i="7"/>
  <c r="I13" i="9"/>
  <c r="H13" i="9"/>
  <c r="Q17" i="7"/>
  <c r="Q16" i="7"/>
  <c r="Q15" i="7"/>
  <c r="E49" i="7" s="1"/>
  <c r="E11" i="9" s="1"/>
  <c r="Q14" i="7"/>
  <c r="C49" i="7" s="1"/>
  <c r="C11" i="9" s="1"/>
  <c r="Q13" i="7"/>
  <c r="D49" i="7" s="1"/>
  <c r="D11" i="9" s="1"/>
  <c r="F11" i="9" s="1"/>
  <c r="Q12" i="7"/>
  <c r="H8" i="9"/>
  <c r="I8" i="9" s="1"/>
  <c r="O17" i="7"/>
  <c r="O16" i="7"/>
  <c r="O15" i="7"/>
  <c r="E47" i="7" s="1"/>
  <c r="E9" i="9" s="1"/>
  <c r="O14" i="7"/>
  <c r="C47" i="7" s="1"/>
  <c r="C9" i="9" s="1"/>
  <c r="O13" i="7"/>
  <c r="D47" i="7" s="1"/>
  <c r="D9" i="9" s="1"/>
  <c r="F9" i="9" s="1"/>
  <c r="O12" i="7"/>
  <c r="P17" i="7"/>
  <c r="P16" i="7"/>
  <c r="P15" i="7"/>
  <c r="E48" i="7" s="1"/>
  <c r="E10" i="9" s="1"/>
  <c r="P14" i="7"/>
  <c r="C48" i="7" s="1"/>
  <c r="C10" i="9" s="1"/>
  <c r="P13" i="7"/>
  <c r="D48" i="7" s="1"/>
  <c r="D10" i="9" s="1"/>
  <c r="F10" i="9" s="1"/>
  <c r="P12" i="7"/>
  <c r="R17" i="7"/>
  <c r="R16" i="7"/>
  <c r="R15" i="7"/>
  <c r="E50" i="7" s="1"/>
  <c r="E12" i="9" s="1"/>
  <c r="R14" i="7"/>
  <c r="C50" i="7" s="1"/>
  <c r="C12" i="9" s="1"/>
  <c r="R13" i="7"/>
  <c r="D50" i="7" s="1"/>
  <c r="D12" i="9" s="1"/>
  <c r="F12" i="9" s="1"/>
  <c r="R12" i="7"/>
  <c r="Z12" i="6"/>
  <c r="X12" i="6"/>
  <c r="V12" i="6"/>
  <c r="L71" i="6"/>
  <c r="M50" i="6"/>
  <c r="S41" i="6"/>
  <c r="R41" i="6"/>
  <c r="Q41" i="6"/>
  <c r="W11" i="6" s="1"/>
  <c r="S40" i="6"/>
  <c r="R40" i="6"/>
  <c r="Q40" i="6"/>
  <c r="W10" i="6" s="1"/>
  <c r="S39" i="6"/>
  <c r="R39" i="6"/>
  <c r="Q39" i="6"/>
  <c r="W9" i="6" s="1"/>
  <c r="S38" i="6"/>
  <c r="R38" i="6"/>
  <c r="Q38" i="6"/>
  <c r="S37" i="6"/>
  <c r="R37" i="6"/>
  <c r="Q37" i="6"/>
  <c r="W7" i="6" s="1"/>
  <c r="Z7" i="6" s="1"/>
  <c r="S36" i="6"/>
  <c r="R36" i="6"/>
  <c r="Q36" i="6"/>
  <c r="S20" i="6"/>
  <c r="R20" i="6"/>
  <c r="Q20" i="6"/>
  <c r="J63" i="6"/>
  <c r="I63" i="6"/>
  <c r="H63" i="6"/>
  <c r="S17" i="6"/>
  <c r="R17" i="6"/>
  <c r="W4" i="6" s="1"/>
  <c r="Z4" i="6" s="1"/>
  <c r="K17" i="6" s="1"/>
  <c r="Q17" i="6"/>
  <c r="H14" i="6"/>
  <c r="Q13" i="6"/>
  <c r="W3" i="6" s="1"/>
  <c r="Z3" i="6" s="1"/>
  <c r="K13" i="6" s="1"/>
  <c r="M20" i="6"/>
  <c r="I89" i="6"/>
  <c r="G16" i="8"/>
  <c r="E16" i="8"/>
  <c r="N20" i="6" l="1"/>
  <c r="L13" i="6"/>
  <c r="M13" i="6" s="1"/>
  <c r="N13" i="6" s="1"/>
  <c r="O13" i="6" s="1"/>
  <c r="K12" i="6"/>
  <c r="S13" i="6"/>
  <c r="R13" i="6"/>
  <c r="L17" i="6"/>
  <c r="K16" i="6"/>
  <c r="K53" i="6" s="1"/>
  <c r="O37" i="6"/>
  <c r="N37" i="6"/>
  <c r="M37" i="6"/>
  <c r="L37" i="6"/>
  <c r="K37" i="6"/>
  <c r="K26" i="6" s="1"/>
  <c r="K58" i="6" s="1"/>
  <c r="Z9" i="6"/>
  <c r="X9" i="6"/>
  <c r="V9" i="6"/>
  <c r="Z10" i="6"/>
  <c r="X10" i="6"/>
  <c r="V10" i="6"/>
  <c r="Z11" i="6"/>
  <c r="X11" i="6"/>
  <c r="V11" i="6"/>
  <c r="M71" i="6"/>
  <c r="N50" i="6"/>
  <c r="O54" i="6"/>
  <c r="N54" i="6"/>
  <c r="M54" i="6"/>
  <c r="L54" i="6"/>
  <c r="K54" i="6"/>
  <c r="I80" i="6" s="1"/>
  <c r="I81" i="6" s="1"/>
  <c r="I91" i="6" s="1"/>
  <c r="H12" i="9"/>
  <c r="I12" i="9" s="1"/>
  <c r="H10" i="9"/>
  <c r="I10" i="9" s="1"/>
  <c r="H9" i="9"/>
  <c r="I9" i="9" s="1"/>
  <c r="H11" i="9"/>
  <c r="I11" i="9" s="1"/>
  <c r="I16" i="9"/>
  <c r="H16" i="9"/>
  <c r="G15" i="8"/>
  <c r="G17" i="8" s="1"/>
  <c r="G19" i="8" s="1"/>
  <c r="C18" i="9" s="1"/>
  <c r="E15" i="8"/>
  <c r="E17" i="8" s="1"/>
  <c r="E19" i="8" s="1"/>
  <c r="E18" i="9" s="1"/>
  <c r="H18" i="9" l="1"/>
  <c r="I18" i="9" s="1"/>
  <c r="K102" i="6"/>
  <c r="J102" i="6"/>
  <c r="I102" i="6"/>
  <c r="I71" i="6"/>
  <c r="O64" i="6"/>
  <c r="N64" i="6"/>
  <c r="M64" i="6"/>
  <c r="L64" i="6"/>
  <c r="K64" i="6"/>
  <c r="N71" i="6"/>
  <c r="O50" i="6"/>
  <c r="O71" i="6" s="1"/>
  <c r="O41" i="6"/>
  <c r="N41" i="6"/>
  <c r="M41" i="6"/>
  <c r="L41" i="6"/>
  <c r="K41" i="6"/>
  <c r="K34" i="6" s="1"/>
  <c r="K62" i="6" s="1"/>
  <c r="O40" i="6"/>
  <c r="N40" i="6"/>
  <c r="M40" i="6"/>
  <c r="L40" i="6"/>
  <c r="K40" i="6"/>
  <c r="K30" i="6" s="1"/>
  <c r="K61" i="6" s="1"/>
  <c r="O39" i="6"/>
  <c r="N39" i="6"/>
  <c r="M39" i="6"/>
  <c r="L39" i="6"/>
  <c r="K39" i="6"/>
  <c r="K29" i="6" s="1"/>
  <c r="K60" i="6" s="1"/>
  <c r="K55" i="6"/>
  <c r="M17" i="6"/>
  <c r="K52" i="6"/>
  <c r="L12" i="6"/>
  <c r="K19" i="6"/>
  <c r="K56" i="6" s="1"/>
  <c r="K27" i="6"/>
  <c r="K59" i="6" s="1"/>
  <c r="K25" i="6"/>
  <c r="K57" i="6" s="1"/>
  <c r="O20" i="6"/>
  <c r="L52" i="6" l="1"/>
  <c r="M12" i="6"/>
  <c r="L27" i="6"/>
  <c r="L59" i="6" s="1"/>
  <c r="L25" i="6"/>
  <c r="L57" i="6" s="1"/>
  <c r="L19" i="6"/>
  <c r="L56" i="6" s="1"/>
  <c r="L26" i="6"/>
  <c r="L58" i="6" s="1"/>
  <c r="L16" i="6"/>
  <c r="L53" i="6" s="1"/>
  <c r="L55" i="6" s="1"/>
  <c r="N17" i="6"/>
  <c r="M16" i="6"/>
  <c r="M53" i="6" s="1"/>
  <c r="M55" i="6" s="1"/>
  <c r="K63" i="6"/>
  <c r="L29" i="6"/>
  <c r="L60" i="6" s="1"/>
  <c r="M29" i="6"/>
  <c r="M60" i="6" s="1"/>
  <c r="L30" i="6"/>
  <c r="L61" i="6" s="1"/>
  <c r="M30" i="6"/>
  <c r="M61" i="6" s="1"/>
  <c r="L34" i="6"/>
  <c r="L62" i="6" s="1"/>
  <c r="M34" i="6"/>
  <c r="M62" i="6" s="1"/>
  <c r="K72" i="6" l="1"/>
  <c r="K65" i="6"/>
  <c r="O17" i="6"/>
  <c r="L63" i="6"/>
  <c r="M52" i="6"/>
  <c r="N12" i="6"/>
  <c r="M27" i="6"/>
  <c r="M59" i="6" s="1"/>
  <c r="M25" i="6"/>
  <c r="M57" i="6" s="1"/>
  <c r="M19" i="6"/>
  <c r="M56" i="6" s="1"/>
  <c r="M26" i="6"/>
  <c r="M58" i="6" s="1"/>
  <c r="M63" i="6" l="1"/>
  <c r="N52" i="6"/>
  <c r="O12" i="6"/>
  <c r="N27" i="6"/>
  <c r="N59" i="6" s="1"/>
  <c r="N25" i="6"/>
  <c r="N57" i="6" s="1"/>
  <c r="N26" i="6"/>
  <c r="N58" i="6" s="1"/>
  <c r="N19" i="6"/>
  <c r="N56" i="6" s="1"/>
  <c r="N29" i="6"/>
  <c r="N60" i="6" s="1"/>
  <c r="N30" i="6"/>
  <c r="N61" i="6" s="1"/>
  <c r="N34" i="6"/>
  <c r="N62" i="6" s="1"/>
  <c r="N16" i="6"/>
  <c r="N53" i="6" s="1"/>
  <c r="N55" i="6" s="1"/>
  <c r="N63" i="6" s="1"/>
  <c r="L72" i="6"/>
  <c r="L65" i="6"/>
  <c r="O16" i="6"/>
  <c r="O53" i="6" s="1"/>
  <c r="O55" i="6" s="1"/>
  <c r="N72" i="6" l="1"/>
  <c r="N65" i="6"/>
  <c r="O52" i="6"/>
  <c r="O27" i="6"/>
  <c r="O59" i="6" s="1"/>
  <c r="O25" i="6"/>
  <c r="O57" i="6" s="1"/>
  <c r="O26" i="6"/>
  <c r="O58" i="6" s="1"/>
  <c r="O19" i="6"/>
  <c r="O56" i="6" s="1"/>
  <c r="O29" i="6"/>
  <c r="O60" i="6" s="1"/>
  <c r="O30" i="6"/>
  <c r="O61" i="6" s="1"/>
  <c r="O34" i="6"/>
  <c r="O62" i="6" s="1"/>
  <c r="M72" i="6"/>
  <c r="M65" i="6"/>
  <c r="O63" i="6" l="1"/>
  <c r="O72" i="6" l="1"/>
  <c r="I72" i="6"/>
  <c r="I73" i="6" s="1"/>
  <c r="I74" i="6" s="1"/>
  <c r="O65" i="6"/>
  <c r="I66" i="6" s="1"/>
  <c r="I94" i="6" l="1"/>
  <c r="I96" i="6" s="1"/>
  <c r="I98" i="6" s="1"/>
  <c r="D7" i="9" l="1"/>
  <c r="F7" i="9" s="1"/>
  <c r="I99" i="6"/>
  <c r="K103" i="6"/>
  <c r="C7" i="9"/>
  <c r="I103" i="6"/>
  <c r="E7" i="9"/>
  <c r="H7" i="9"/>
  <c r="I7" i="9"/>
  <c r="J103"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<sst xmlns="http://schemas.openxmlformats.org/spreadsheetml/2006/main" count="490" uniqueCount="285">
  <si>
    <t>O'Reilly Automotive, Inc. | Income Statement (Quarterly)</t>
  </si>
  <si>
    <t>$mm except per share</t>
  </si>
  <si>
    <t>Q1 FY2023</t>
  </si>
  <si>
    <t>Q2 FY2023</t>
  </si>
  <si>
    <t>Q3 FY2023</t>
  </si>
  <si>
    <t>Q4 FY2023</t>
  </si>
  <si>
    <t>Q1 FY2024</t>
  </si>
  <si>
    <t>Q2 FY2024</t>
  </si>
  <si>
    <t>Q3 FY2024</t>
  </si>
  <si>
    <t>Q4 FY2024</t>
  </si>
  <si>
    <t>Q1 FY2025</t>
  </si>
  <si>
    <t>Q2 FY2025</t>
  </si>
  <si>
    <t>Q3 FY2025</t>
  </si>
  <si>
    <t>Q4 FY2025</t>
  </si>
  <si>
    <t>Q1 FY2026</t>
  </si>
  <si>
    <t>Q2 FY2026</t>
  </si>
  <si>
    <t>Sales</t>
  </si>
  <si>
    <t>Cost of goods sold, including warehouse and distribution expenses</t>
  </si>
  <si>
    <t>Gross profit</t>
  </si>
  <si>
    <t>Selling, general and administrative expenses</t>
  </si>
  <si>
    <t>Operating income</t>
  </si>
  <si>
    <t>Interest expense</t>
  </si>
  <si>
    <t>Interest income</t>
  </si>
  <si>
    <t>Other, net</t>
  </si>
  <si>
    <t>Total other expense</t>
  </si>
  <si>
    <t>Income before income taxes</t>
  </si>
  <si>
    <t>Provision for income taxes</t>
  </si>
  <si>
    <t>Net income</t>
  </si>
  <si>
    <t>Earnings per share - basic</t>
  </si>
  <si>
    <t>Weighted-average common shares outstanding - basic</t>
  </si>
  <si>
    <t>Earnings per share - diluted</t>
  </si>
  <si>
    <t>Weighted-average common shares outstanding - diluted</t>
  </si>
  <si>
    <t>O'Reilly Automotive, Inc. | Income Statement (Annual)</t>
  </si>
  <si>
    <t>FY2023</t>
  </si>
  <si>
    <t>FY2024</t>
  </si>
  <si>
    <t>FY2025</t>
  </si>
  <si>
    <t>TTM Q2 FY2026</t>
  </si>
  <si>
    <t>O'Reilly Automotive, Inc. | Balance Sheet (Annual)</t>
  </si>
  <si>
    <t>Current assets</t>
  </si>
  <si>
    <t>Cash and cash equivalents</t>
  </si>
  <si>
    <t>Accounts receivable, net</t>
  </si>
  <si>
    <t>Amounts receivable from suppliers</t>
  </si>
  <si>
    <t>Inventory</t>
  </si>
  <si>
    <t>Other current assets</t>
  </si>
  <si>
    <t>Total current assets</t>
  </si>
  <si>
    <t>Property and equipment, at cost</t>
  </si>
  <si>
    <t>Less: accumulated depreciation and amortization</t>
  </si>
  <si>
    <t>Net property and equipment</t>
  </si>
  <si>
    <t>Operating lease, right-of-use assets</t>
  </si>
  <si>
    <t>Goodwill</t>
  </si>
  <si>
    <t>Other assets, net</t>
  </si>
  <si>
    <t>Total assets</t>
  </si>
  <si>
    <t>Current liabilities</t>
  </si>
  <si>
    <t>Accounts payable</t>
  </si>
  <si>
    <t>Self-insurance reserves</t>
  </si>
  <si>
    <t>Accrued payroll</t>
  </si>
  <si>
    <t>Accrued benefits and withholdings</t>
  </si>
  <si>
    <t>Income taxes payable</t>
  </si>
  <si>
    <t>Current portion of operating lease liabilities</t>
  </si>
  <si>
    <t>Other current liabilities</t>
  </si>
  <si>
    <t>Total current liabilities</t>
  </si>
  <si>
    <t>Long-term debt</t>
  </si>
  <si>
    <t>Operating lease liabilities, less current portion</t>
  </si>
  <si>
    <t>Deferred income taxes</t>
  </si>
  <si>
    <t>Other liabilities</t>
  </si>
  <si>
    <t>Total liabilities</t>
  </si>
  <si>
    <t>Shareholders' equity (deficit)</t>
  </si>
  <si>
    <t>Common stock</t>
  </si>
  <si>
    <t>Additional paid-in capital</t>
  </si>
  <si>
    <t>Retained deficit</t>
  </si>
  <si>
    <t>Accumulated other comprehensive income (loss)</t>
  </si>
  <si>
    <t>Total shareholders' deficit</t>
  </si>
  <si>
    <t>Total liabilities and shareholders' deficit</t>
  </si>
  <si>
    <t>O'Reilly Automotive, Inc. | Cash Flow Statement (Quarterly)</t>
  </si>
  <si>
    <t>Operating activities</t>
  </si>
  <si>
    <t>Depreciation and amortization of property, equipment and intangibles</t>
  </si>
  <si>
    <t>Amortization of debt discount and issuance costs</t>
  </si>
  <si>
    <t>Share-based compensation programs</t>
  </si>
  <si>
    <t>Other non-cash items</t>
  </si>
  <si>
    <t>Accounts receivable</t>
  </si>
  <si>
    <t>Net cash provided by operating activities</t>
  </si>
  <si>
    <t>Investing activities</t>
  </si>
  <si>
    <t>Purchases of property and equipment</t>
  </si>
  <si>
    <t>Proceeds from sale of property and equipment</t>
  </si>
  <si>
    <t>Return of (investment in) tax credit equity investments</t>
  </si>
  <si>
    <t>Other, including acquisitions, net of cash acquired</t>
  </si>
  <si>
    <t>Net cash used in investing activities</t>
  </si>
  <si>
    <t>Financing activities</t>
  </si>
  <si>
    <t>Proceeds from borrowings on revolving credit facility</t>
  </si>
  <si>
    <t>Payments on revolving credit facility</t>
  </si>
  <si>
    <t>Net proceeds (payments) of commercial paper</t>
  </si>
  <si>
    <t>Proceeds from the issuance of long-term debt</t>
  </si>
  <si>
    <t>Principal payments on long-term debt</t>
  </si>
  <si>
    <t>Payment of debt issuance costs</t>
  </si>
  <si>
    <t>Payment of excise tax on share repurchases</t>
  </si>
  <si>
    <t>Repurchases of common stock</t>
  </si>
  <si>
    <t>Net proceeds from issuance of common stock</t>
  </si>
  <si>
    <t>Other financing activities</t>
  </si>
  <si>
    <t>Net cash used in financing activities</t>
  </si>
  <si>
    <t>Effect of exchange rate changes on cash</t>
  </si>
  <si>
    <t>Net increase (decrease) in cash and cash equivalents</t>
  </si>
  <si>
    <t>Year to Date, as Reported (blank for Q4 - see quarterly figure above)</t>
  </si>
  <si>
    <t>O'Reilly Automotive, Inc. | Cash Flow Statement (Annual)</t>
  </si>
  <si>
    <t>Other operating assets and liabilities</t>
  </si>
  <si>
    <t>Cash and cash equivalents at beginning of the period</t>
  </si>
  <si>
    <t>Cash and cash equivalents at end of the period</t>
  </si>
  <si>
    <t>Valuation Date:</t>
  </si>
  <si>
    <t>Share Price on Valuation Date:</t>
  </si>
  <si>
    <t>Diluted Shares Outstanding</t>
  </si>
  <si>
    <t>mm</t>
  </si>
  <si>
    <t>Scenario:</t>
  </si>
  <si>
    <t>Base</t>
  </si>
  <si>
    <t>Select Operating Data</t>
  </si>
  <si>
    <t>Projected Annual Forecast</t>
  </si>
  <si>
    <t>Revenue</t>
  </si>
  <si>
    <t>Arithmetic Avg</t>
  </si>
  <si>
    <t>Geometric Avg</t>
  </si>
  <si>
    <t>Harmean</t>
  </si>
  <si>
    <t>Revenue Growth Rate (%)</t>
  </si>
  <si>
    <t>Revenue Growth Rate (%) +1</t>
  </si>
  <si>
    <t>EBIT</t>
  </si>
  <si>
    <t>EBIT Margin (%)</t>
  </si>
  <si>
    <t xml:space="preserve">Depreciation &amp; Amortization </t>
  </si>
  <si>
    <t>D&amp;A as a % of revenue</t>
  </si>
  <si>
    <t>Select Balance Sheet And Other Data</t>
  </si>
  <si>
    <t>Accounts Receivable</t>
  </si>
  <si>
    <t>Inventories</t>
  </si>
  <si>
    <t>Prepaid Expenses</t>
  </si>
  <si>
    <t>Accounts Payable and Accruals</t>
  </si>
  <si>
    <t>Accrued Expenses</t>
  </si>
  <si>
    <t>Debt</t>
  </si>
  <si>
    <t>Capital Expenditures</t>
  </si>
  <si>
    <t>Accounts Receivable as a % of revenue</t>
  </si>
  <si>
    <t>Inventories as a % of revenue</t>
  </si>
  <si>
    <t>Prepaid Expenses as a % of revenue</t>
  </si>
  <si>
    <t>Accounts Payable/Accruals as a % of revenue</t>
  </si>
  <si>
    <t>Accrued Expenses as a % of revenue</t>
  </si>
  <si>
    <t>Capital Expenditures as a % of revenue</t>
  </si>
  <si>
    <t>Accounts Receivable Growth (%)</t>
  </si>
  <si>
    <t>Inventories Growth (%)</t>
  </si>
  <si>
    <t>Prepaid Expenses Growth (%)</t>
  </si>
  <si>
    <t>Accounts Payable/Accruals Growth (%)</t>
  </si>
  <si>
    <t>Accrued Expenses Growth (%)</t>
  </si>
  <si>
    <t>Capital Expenditures Growth (%)</t>
  </si>
  <si>
    <t>Free Cash Flow Buildup</t>
  </si>
  <si>
    <t>$mm</t>
  </si>
  <si>
    <t>Period</t>
  </si>
  <si>
    <t>Total Revenues</t>
  </si>
  <si>
    <t>Effective Tax rate</t>
  </si>
  <si>
    <t>EBIAT = EBIT(1-T) = NOPAT</t>
  </si>
  <si>
    <t>Depreciation &amp; Amortization</t>
  </si>
  <si>
    <t>Chg in Accounts receivable</t>
  </si>
  <si>
    <t>Chg in Inventories</t>
  </si>
  <si>
    <t>Chg in Prepaid expenses</t>
  </si>
  <si>
    <t>Chg in Accounts payable</t>
  </si>
  <si>
    <t>Chg in Accrued expenses</t>
  </si>
  <si>
    <t>Capital expenditures</t>
  </si>
  <si>
    <t>Unlevered free cash flows</t>
  </si>
  <si>
    <t>Discount Rate (WACC)</t>
  </si>
  <si>
    <t>Present value of free cash flows</t>
  </si>
  <si>
    <t>Sum of present values of FCFs</t>
  </si>
  <si>
    <t>Terminal Value</t>
  </si>
  <si>
    <t>Growth in perpetuity method:</t>
  </si>
  <si>
    <t>Long term growth rate</t>
  </si>
  <si>
    <t>Unlevered Free Cash Flow Growth Rates</t>
  </si>
  <si>
    <t>WACC</t>
  </si>
  <si>
    <t>Free cash flow (t+1)</t>
  </si>
  <si>
    <t>Present Value of Terminal Value</t>
  </si>
  <si>
    <t>Share Price</t>
  </si>
  <si>
    <t>Cost of Debt</t>
  </si>
  <si>
    <t>Market Risk Premium</t>
  </si>
  <si>
    <t>Tax Rate</t>
  </si>
  <si>
    <t>Risk-Free Rate</t>
  </si>
  <si>
    <t>After-tax Cost of Debt</t>
  </si>
  <si>
    <t>Beta</t>
  </si>
  <si>
    <t>Cost of Equity</t>
  </si>
  <si>
    <t>CAPM</t>
  </si>
  <si>
    <t>Total Debt ($)</t>
  </si>
  <si>
    <t>Total Equity ($)</t>
  </si>
  <si>
    <t>Total Capital</t>
  </si>
  <si>
    <t>Debt Weighting</t>
  </si>
  <si>
    <t>Equity Weighting</t>
  </si>
  <si>
    <t>WACC =</t>
  </si>
  <si>
    <t>Enterprise Value to Equity Value</t>
  </si>
  <si>
    <t>Enterprise Value</t>
  </si>
  <si>
    <t>Less: Net debt</t>
  </si>
  <si>
    <t>ST Debt</t>
  </si>
  <si>
    <t>Equity Value</t>
  </si>
  <si>
    <t>LT Debt</t>
  </si>
  <si>
    <t>Cash</t>
  </si>
  <si>
    <t>Equity Value Per Share</t>
  </si>
  <si>
    <t>Upside</t>
  </si>
  <si>
    <t>WACC Sensitivity</t>
  </si>
  <si>
    <t>Next Fiscal Year-End (after last modeled year):</t>
  </si>
  <si>
    <t>Stub Period to Next FY-End (fraction of year):</t>
  </si>
  <si>
    <t>Scenario Assumptions</t>
  </si>
  <si>
    <t>Bear</t>
  </si>
  <si>
    <t>Bull</t>
  </si>
  <si>
    <t>Selected</t>
  </si>
  <si>
    <t>D&amp;A as a % of Revenue</t>
  </si>
  <si>
    <t>Accounts Receivable as a % of Revenue</t>
  </si>
  <si>
    <t>Inventories as a % of Revenue</t>
  </si>
  <si>
    <t>Prepaid Expenses as a % of Revenue</t>
  </si>
  <si>
    <t>Accounts Payable/Accruals as a % of Revenue</t>
  </si>
  <si>
    <t>Accrued Expenses as a % of Revenue</t>
  </si>
  <si>
    <t>Capital Expenditures as a % of Revenue</t>
  </si>
  <si>
    <t>Effective Tax Rate (%)</t>
  </si>
  <si>
    <t>Long-Term (Terminal) Growth Rate (%)</t>
  </si>
  <si>
    <t>O'Reilly Automotive, Inc. | Comparable Companies and Precedent Transactions</t>
  </si>
  <si>
    <t>$mm except per share; blue cells on yellow are inputs</t>
  </si>
  <si>
    <t>Trading Comparables</t>
  </si>
  <si>
    <t>Company</t>
  </si>
  <si>
    <t>Ticker</t>
  </si>
  <si>
    <t>Diluted Shares (mm)</t>
  </si>
  <si>
    <t>Market Cap</t>
  </si>
  <si>
    <t>Net Debt</t>
  </si>
  <si>
    <t>EPS (LTM)</t>
  </si>
  <si>
    <t>EPS Growth (%)</t>
  </si>
  <si>
    <t>EBITDA (LTM)</t>
  </si>
  <si>
    <t>EBIT (LTM)</t>
  </si>
  <si>
    <t>EBITDAR (TTM)</t>
  </si>
  <si>
    <t>P/E</t>
  </si>
  <si>
    <t>EV/EBITDA</t>
  </si>
  <si>
    <t>EV/EBIT</t>
  </si>
  <si>
    <t>PEG</t>
  </si>
  <si>
    <t>EV/EBITDAR</t>
  </si>
  <si>
    <t>AutoZone, Inc.</t>
  </si>
  <si>
    <t>AZO</t>
  </si>
  <si>
    <t>Advance Auto Parts, Inc.</t>
  </si>
  <si>
    <t>AAP</t>
  </si>
  <si>
    <t>Genuine Parts Company</t>
  </si>
  <si>
    <t>GPC</t>
  </si>
  <si>
    <t>LKQ Corporation</t>
  </si>
  <si>
    <t>LKQ</t>
  </si>
  <si>
    <t>Monro, Inc.</t>
  </si>
  <si>
    <t>MNRO</t>
  </si>
  <si>
    <t>Mean</t>
  </si>
  <si>
    <t>Median</t>
  </si>
  <si>
    <t>25th Percentile</t>
  </si>
  <si>
    <t>75th Percentile</t>
  </si>
  <si>
    <t>High</t>
  </si>
  <si>
    <t>Low</t>
  </si>
  <si>
    <t>Precedent Transactions</t>
  </si>
  <si>
    <t>Target</t>
  </si>
  <si>
    <t>Acquirer</t>
  </si>
  <si>
    <t>Date Announced</t>
  </si>
  <si>
    <t>Net Income (LTM)</t>
  </si>
  <si>
    <t>Net Income Growth (%)</t>
  </si>
  <si>
    <t>O'Reilly Automotive, Inc. Metrics (TTM Q2 FY2026)</t>
  </si>
  <si>
    <t>EPS (Diluted)</t>
  </si>
  <si>
    <t>EBITDA</t>
  </si>
  <si>
    <t>Implied Value Per Share: Trading Comps</t>
  </si>
  <si>
    <t>Multiple</t>
  </si>
  <si>
    <t>Implied Value Per Share: Precedent Transactions</t>
  </si>
  <si>
    <t>O'Reilly Automotive, Inc. | Liquidation Value (TTM Q2 FY2026 Balance Sheet)</t>
  </si>
  <si>
    <t>Asset</t>
  </si>
  <si>
    <t>Book Value</t>
  </si>
  <si>
    <t>Orderly Recovery</t>
  </si>
  <si>
    <t>Orderly Value</t>
  </si>
  <si>
    <t>Fire Sale Recovery</t>
  </si>
  <si>
    <t>Fire Sale Value</t>
  </si>
  <si>
    <t>Gross Proceeds</t>
  </si>
  <si>
    <t>Less: Wind-Down Costs</t>
  </si>
  <si>
    <t>Less: Total Liabilities</t>
  </si>
  <si>
    <t>Net Liquidation Value</t>
  </si>
  <si>
    <t>Liquidation Value Per Share</t>
  </si>
  <si>
    <t>O'Reilly Automotive, Inc. | Valuation Summary</t>
  </si>
  <si>
    <t>$ per share</t>
  </si>
  <si>
    <t>Current Share Price</t>
  </si>
  <si>
    <t>Method</t>
  </si>
  <si>
    <t>Base vs. Price</t>
  </si>
  <si>
    <t>DCF (WACC +/- 1%)</t>
  </si>
  <si>
    <t>Trading Comps: P/E</t>
  </si>
  <si>
    <t>Trading Comps: EV/EBITDA</t>
  </si>
  <si>
    <t>Trading Comps: EV/EBIT</t>
  </si>
  <si>
    <t>Trading Comps: PEG</t>
  </si>
  <si>
    <t>Trading Comps: EV/EBITDAR</t>
  </si>
  <si>
    <t>Precedent Transactions: P/E</t>
  </si>
  <si>
    <t>Precedent Transactions: EV/EBITDA</t>
  </si>
  <si>
    <t>Precedent Transactions: EV/EBIT</t>
  </si>
  <si>
    <t>Precedent Transactions: PEG</t>
  </si>
  <si>
    <t>Precedent Transactions: EV/EBITDAR</t>
  </si>
  <si>
    <t>Liquidation (Fire Sale to Orderly)</t>
  </si>
  <si>
    <t>Net Sales GR</t>
  </si>
  <si>
    <t>Gross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</si>
</sst>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164" formatCode="#,##0.0_);\(#,##0.0\);\-_)"/>
    <numFmt numFmtId="165" formatCode="\$#,##0.00_);&quot;($&quot;#,##0.00\);\-_)"/>
    <numFmt numFmtId="166" formatCode="_(\$* #,##0.00_);_(\$* \(#,##0.00\);_(\$* \-??_);_(@_)"/>
    <numFmt numFmtId="167" formatCode="\$#,##0.00"/>
    <numFmt numFmtId="168" formatCode="yyyy\A"/>
    <numFmt numFmtId="169" formatCode="yyyy\P"/>
    <numFmt numFmtId="170" formatCode="\$#,##0.0"/>
    <numFmt numFmtId="171" formatCode="\$#,##0.0_);&quot;($&quot;#,##0.0\)"/>
    <numFmt numFmtId="172" formatCode="\$#,##0.0_);&quot;($&quot;#,##0.0\);@_)"/>
    <numFmt numFmtId="173" formatCode="0.0%_);\(0.0%\);@_)"/>
    <numFmt numFmtId="174" formatCode="\$#,##0.00_);&quot;($&quot;#,##0.00\)"/>
    <numFmt numFmtId="175" formatCode="0.0%_);\(0.0%\);\-_)"/>
    <numFmt numFmtId="176" formatCode="0.0"/>
    <numFmt numFmtId="177" formatCode="#,##0.0_);\(#,##0.0\);\-_);@_)"/>
    <numFmt numFmtId="178" formatCode="0.0%"/>
    <numFmt numFmtId="179" formatCode="#,##0.0_);\(#,##0.0\)"/>
    <numFmt numFmtId="180" formatCode="#,##0.0_);\(#,##0.0\);@_)"/>
    <numFmt numFmtId="181" formatCode="0.000%"/>
    <numFmt numFmtId="182" formatCode="_(\$* #,##0.0_);_(\$* \(#,##0.0\);_(\$* \-??_);_(@_)"/>
    <numFmt numFmtId="183" formatCode="yyyy"/>
    <numFmt numFmtId="184" formatCode="_(* #,##0.0_);_(* \(#,##0.0\);_(* \-?_);_(@_)"/>
    <numFmt numFmtId="185" formatCode="0.0\x"/>
    <numFmt numFmtId="186" formatCode="0.00\x"/>
    <numFmt numFmtId="187" formatCode="0.00%_);\(0.00%\);\-_)"/>
  </numFmts>
  <fonts count="36" x14ac:knownFonts="1">
    <font>
      <sz val="10"/>
      <color rgb="FF000000"/>
      <name val="Calibri"/>
      <charset val="1"/>
    </font>
    <font>
      <b/>
      <sz val="14"/>
      <color rgb="FF000000"/>
      <name val="Calibri"/>
      <family val="2"/>
    </font>
    <font>
      <i/>
      <sz val="11"/>
      <color rgb="FF000000"/>
      <name val="Calibri"/>
      <family val="2"/>
    </font>
    <font>
      <b/>
      <sz val="11"/>
      <color rgb="FF000000"/>
      <name val="Calibri"/>
      <family val="2"/>
    </font>
    <font>
      <sz val="11"/>
      <color rgb="FF000000"/>
      <name val="Calibri"/>
      <family val="2"/>
    </font>
    <font>
      <sz val="11"/>
      <color rgb="FF0000FF"/>
      <name val="Calibri"/>
      <family val="2"/>
    </font>
    <font>
      <sz val="11"/>
      <color rgb="FF008000"/>
      <name val="Calibri"/>
      <family val="2"/>
    </font>
    <font>
      <b/>
      <sz val="11"/>
      <color rgb="FF008000"/>
      <name val="Calibri"/>
      <family val="2"/>
    </font>
    <font>
      <b/>
      <sz val="15"/>
      <color theme="1"/>
      <name val="Calibri"/>
      <family val="2"/>
      <charset val="1"/>
    </font>
    <font>
      <sz val="18"/>
      <color theme="1"/>
      <name val="Calibri"/>
      <family val="2"/>
      <charset val="1"/>
    </font>
    <font>
      <b/>
      <sz val="10"/>
      <color rgb="FF000000"/>
      <name val="Calibri"/>
      <family val="2"/>
      <charset val="1"/>
    </font>
    <font>
      <sz val="11"/>
      <color theme="1"/>
      <name val="Calibri"/>
      <family val="2"/>
      <charset val="1"/>
    </font>
    <font>
      <sz val="11"/>
      <color rgb="FF000000"/>
      <name val="Calibri"/>
      <family val="2"/>
      <charset val="1"/>
    </font>
    <font>
      <sz val="10"/>
      <color rgb="FF000000"/>
      <name val="Calibri"/>
      <family val="2"/>
      <charset val="1"/>
    </font>
    <font>
      <sz val="14"/>
      <name val="Calibri"/>
      <family val="2"/>
      <charset val="1"/>
    </font>
    <font>
      <sz val="14"/>
      <color rgb="FF000000"/>
      <name val="Aptos Narrow"/>
      <family val="2"/>
    </font>
    <font>
      <b/>
      <sz val="11"/>
      <color theme="1"/>
      <name val="Calibri"/>
      <family val="2"/>
      <charset val="1"/>
    </font>
    <font>
      <b/>
      <sz val="11"/>
      <color rgb="FF000000"/>
      <name val="Calibri"/>
      <family val="2"/>
      <charset val="1"/>
    </font>
    <font>
      <sz val="11"/>
      <color rgb="FF0000FF"/>
      <name val="Calibri"/>
      <family val="2"/>
      <charset val="1"/>
    </font>
    <font>
      <i/>
      <sz val="11"/>
      <color rgb="FF000000"/>
      <name val="Calibri"/>
      <family val="2"/>
      <charset val="1"/>
    </font>
    <font>
      <sz val="11"/>
      <color rgb="FF008000"/>
      <name val="Calibri"/>
      <family val="2"/>
      <charset val="1"/>
    </font>
    <font>
      <sz val="10"/>
      <color theme="1"/>
      <name val="Calibri"/>
      <family val="2"/>
      <charset val="1"/>
    </font>
    <font>
      <i/>
      <sz val="11"/>
      <color theme="1"/>
      <name val="Calibri"/>
      <family val="2"/>
      <charset val="1"/>
    </font>
    <font>
      <b/>
      <i/>
      <sz val="11"/>
      <color rgb="FF000000"/>
      <name val="Calibri"/>
      <family val="2"/>
      <charset val="1"/>
    </font>
    <font>
      <b/>
      <i/>
      <sz val="11"/>
      <color theme="1"/>
      <name val="Calibri"/>
      <family val="2"/>
      <charset val="1"/>
    </font>
    <font>
      <sz val="11"/>
      <color theme="1"/>
      <name val="Arial"/>
      <family val="2"/>
      <charset val="1"/>
    </font>
    <font>
      <sz val="10"/>
      <color theme="1"/>
      <name val="Arial"/>
      <family val="2"/>
      <charset val="1"/>
    </font>
    <font>
      <sz val="11"/>
      <color theme="1"/>
      <name val="Calibri"/>
      <family val="2"/>
    </font>
    <font>
      <b/>
      <sz val="11"/>
      <color theme="1"/>
      <name val="Calibri"/>
      <family val="2"/>
    </font>
    <font>
      <b/>
      <sz val="10"/>
      <color rgb="FF000000"/>
      <name val="Calibri"/>
      <family val="2"/>
    </font>
    <font>
      <i/>
      <sz val="11"/>
      <color rgb="FF0000FF"/>
      <name val="Calibri"/>
      <family val="2"/>
    </font>
    <font>
      <i/>
      <sz val="11"/>
      <color theme="1"/>
      <name val="Calibri"/>
      <family val="2"/>
    </font>
    <font>
      <sz val="10"/>
      <color theme="1"/>
      <name val="Calibri"/>
      <family val="2"/>
    </font>
    <font>
      <sz val="11"/>
      <name val="Calibri"/>
      <family val="2"/>
    </font>
    <font>
      <sz val="10"/>
      <name val="Calibri"/>
      <family val="2"/>
    </font>
    <font>
      <b/>
      <sz val="11"/>
      <name val="Calibri"/>
      <family val="2"/>
    </font>
  </fonts>
  <fills count="4">
    <fill>
      <patternFill patternType="none"/>
    </fill>
    <fill>
      <patternFill patternType="gray125"/>
    </fill>
    <fill>
      <patternFill patternType="solid">
        <fgColor rgb="FFC0E6F5"/>
        <bgColor rgb="FFD9D9D9"/>
      </patternFill>
    </fill>
    <fill>
      <patternFill patternType="solid">
        <fgColor rgb="FFFFFFCC"/>
        <bgColor rgb="FFFFFFFF"/>
      </patternFill>
    </fill>
  </fills>
  <borders count="14">
    <border>
      <left/>
      <right/>
      <top/>
      <bottom/>
      <diagonal/>
    </border>
    <border>
      <left/>
      <right/>
      <top/>
      <bottom style="thin">
        <color rgb="FF808080"/>
      </bottom>
      <diagonal/>
    </border>
    <border>
      <left/>
      <right/>
      <top style="thin">
        <color rgb="FF808080"/>
      </top>
      <bottom/>
      <diagonal/>
    </border>
    <border>
      <left/>
      <right/>
      <top/>
      <bottom style="thin">
        <color auto="1"/>
      </bottom>
      <diagonal/>
    </border>
    <border>
      <left/>
      <right/>
      <top/>
      <bottom style="medium">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3">
    <xf numFmtId="0" fontId="0" fillId="0" borderId="0"/>
    <xf numFmtId="166" fontId="13" fillId="0" borderId="0"/>
    <xf numFmtId="9" fontId="13" fillId="0" borderId="0"/>
  </cellStyleXfs>
  <cellXfs count="200">
    <xf numFmtId="0" fontId="0" fillId="0" borderId="0" xfId="0"/>
    <xf numFmtId="0" fontId="1" fillId="0" borderId="0" xfId="0" applyFont="1"/>
    <xf numFmtId="0" fontId="2" fillId="0" borderId="0" xfId="0" applyFont="1"/>
    <xf numFmtId="0" fontId="3" fillId="2" borderId="1" xfId="0" applyFont="1" applyFill="1" applyBorder="1"/>
    <xf numFmtId="0" fontId="3" fillId="2" borderId="1" xfId="0" applyFont="1" applyFill="1" applyBorder="1" applyAlignment="1">
      <alignment horizontal="right"/>
    </xf>
    <xf numFmtId="0" fontId="4" fillId="0" borderId="0" xfId="0" applyFont="1"/>
    <xf numFmtId="0" fontId="3" fillId="0" borderId="0" xfId="0" applyFont="1"/>
    <xf numFmtId="0" fontId="4" fillId="0" borderId="0" xfId="0" applyFont="1" applyAlignment="1">
      <alignment indent="1"/>
    </xf>
    <xf numFmtId="14" fontId="4" fillId="0" borderId="0" xfId="0" applyNumberFormat="1" applyFont="1" applyAlignment="1">
      <alignment horizontal="right"/>
    </xf>
    <xf numFmtId="164" fontId="4" fillId="0" borderId="0" xfId="0" applyNumberFormat="1" applyFont="1"/>
    <xf numFmtId="164" fontId="6" fillId="0" borderId="0" xfId="0" applyNumberFormat="1" applyFont="1"/>
    <xf numFmtId="164" fontId="3" fillId="0" borderId="2" xfId="0" applyNumberFormat="1" applyFont="1" applyBorder="1"/>
    <xf numFmtId="0" fontId="8" fillId="0" borderId="0" xfId="0" applyFont="1"/>
    <xf numFmtId="0" fontId="3" fillId="0" borderId="3" xfId="0" applyFont="1" applyBorder="1"/>
    <xf numFmtId="0" fontId="0" fillId="0" borderId="3" xfId="0" applyBorder="1"/>
    <xf numFmtId="0" fontId="9" fillId="0" borderId="3" xfId="0" applyFont="1" applyBorder="1"/>
    <xf numFmtId="0" fontId="9" fillId="0" borderId="0" xfId="0" applyFont="1"/>
    <xf numFmtId="0" fontId="10" fillId="0" borderId="0" xfId="0" applyFont="1"/>
    <xf numFmtId="0" fontId="11" fillId="0" borderId="0" xfId="0" applyFont="1" applyAlignment="1">
      <alignment horizontal="left" readingOrder="1"/>
    </xf>
    <xf numFmtId="0" fontId="12" fillId="0" borderId="0" xfId="0" applyFont="1" applyAlignment="1">
      <alignment horizontal="left" vertical="top" readingOrder="1"/>
    </xf>
    <xf numFmtId="15" fontId="12" fillId="0" borderId="0" xfId="0" applyNumberFormat="1" applyFont="1" applyAlignment="1">
      <alignment horizontal="right" vertical="top" readingOrder="1"/>
    </xf>
    <xf numFmtId="14" fontId="5" fillId="3" borderId="0" xfId="0" applyNumberFormat="1" applyFont="1" applyFill="1" applyAlignment="1">
      <alignment horizontal="right" vertical="top" readingOrder="1"/>
    </xf>
    <xf numFmtId="167" fontId="5" fillId="3" borderId="0" xfId="1" applyNumberFormat="1" applyFont="1" applyFill="1" applyAlignment="1">
      <alignment horizontal="right" vertical="top" readingOrder="1"/>
    </xf>
    <xf numFmtId="164" fontId="5" fillId="3" borderId="0" xfId="0" applyNumberFormat="1" applyFont="1" applyFill="1" applyAlignment="1">
      <alignment horizontal="right" vertical="top" readingOrder="1"/>
    </xf>
    <xf numFmtId="0" fontId="4" fillId="0" borderId="0" xfId="0" applyFont="1" applyAlignment="1">
      <alignment horizontal="left" readingOrder="1"/>
    </xf>
    <xf numFmtId="0" fontId="3" fillId="0" borderId="0" xfId="0" applyFont="1" applyAlignment="1">
      <alignment horizontal="left" vertical="top" readingOrder="1"/>
    </xf>
    <xf numFmtId="0" fontId="14" fillId="2" borderId="0" xfId="0" applyFont="1" applyFill="1"/>
    <xf numFmtId="0" fontId="15" fillId="2" borderId="4" xfId="0" applyFont="1" applyFill="1" applyBorder="1"/>
    <xf numFmtId="0" fontId="16" fillId="0" borderId="0" xfId="0" applyFont="1" applyAlignment="1">
      <alignment horizontal="center"/>
    </xf>
    <xf numFmtId="0" fontId="16" fillId="0" borderId="5" xfId="0" applyFont="1" applyBorder="1" applyAlignment="1">
      <alignment horizontal="center"/>
    </xf>
    <xf numFmtId="0" fontId="16" fillId="0" borderId="6" xfId="0" applyFont="1" applyBorder="1" applyAlignment="1">
      <alignment horizontal="center"/>
    </xf>
    <xf numFmtId="168" fontId="17" fillId="0" borderId="8" xfId="0" applyNumberFormat="1" applyFont="1" applyBorder="1"/>
    <xf numFmtId="169" fontId="17" fillId="0" borderId="8" xfId="0" applyNumberFormat="1" applyFont="1" applyBorder="1"/>
    <xf numFmtId="10" fontId="11" fillId="0" borderId="0" xfId="0" applyNumberFormat="1" applyFont="1" applyAlignment="1">
      <alignment horizontal="left" readingOrder="1"/>
    </xf>
    <xf numFmtId="170" fontId="18" fillId="3" borderId="0" xfId="0" applyNumberFormat="1" applyFont="1" applyFill="1" applyAlignment="1">
      <alignment horizontal="right" vertical="top" readingOrder="1"/>
    </xf>
    <xf numFmtId="171" fontId="18" fillId="3" borderId="0" xfId="0" applyNumberFormat="1" applyFont="1" applyFill="1"/>
    <xf numFmtId="171" fontId="6" fillId="0" borderId="0" xfId="0" applyNumberFormat="1" applyFont="1"/>
    <xf numFmtId="172" fontId="6" fillId="0" borderId="0" xfId="0" applyNumberFormat="1" applyFont="1"/>
    <xf numFmtId="172" fontId="12" fillId="0" borderId="0" xfId="0" applyNumberFormat="1" applyFont="1" applyAlignment="1">
      <alignment horizontal="left" readingOrder="1"/>
    </xf>
    <xf numFmtId="0" fontId="17" fillId="0" borderId="0" xfId="0" applyFont="1" applyAlignment="1">
      <alignment horizontal="center" readingOrder="1"/>
    </xf>
    <xf numFmtId="0" fontId="19" fillId="0" borderId="0" xfId="0" applyFont="1" applyAlignment="1">
      <alignment horizontal="left" vertical="top" readingOrder="1"/>
    </xf>
    <xf numFmtId="10" fontId="12" fillId="0" borderId="0" xfId="0" applyNumberFormat="1" applyFont="1" applyAlignment="1">
      <alignment horizontal="right" vertical="top" readingOrder="1"/>
    </xf>
    <xf numFmtId="173" fontId="6" fillId="3" borderId="0" xfId="0" applyNumberFormat="1" applyFont="1" applyFill="1" applyAlignment="1">
      <alignment horizontal="left" readingOrder="1"/>
    </xf>
    <xf numFmtId="173" fontId="18" fillId="3" borderId="0" xfId="0" applyNumberFormat="1" applyFont="1" applyFill="1" applyAlignment="1">
      <alignment horizontal="left" readingOrder="1"/>
    </xf>
    <xf numFmtId="10" fontId="12" fillId="0" borderId="0" xfId="0" applyNumberFormat="1" applyFont="1" applyAlignment="1">
      <alignment horizontal="center" readingOrder="1"/>
    </xf>
    <xf numFmtId="10" fontId="12" fillId="0" borderId="0" xfId="2" applyNumberFormat="1" applyFont="1" applyAlignment="1">
      <alignment horizontal="center" readingOrder="1"/>
    </xf>
    <xf numFmtId="10" fontId="11" fillId="0" borderId="0" xfId="0" applyNumberFormat="1" applyFont="1" applyAlignment="1">
      <alignment horizontal="center" readingOrder="1"/>
    </xf>
    <xf numFmtId="10" fontId="16" fillId="0" borderId="0" xfId="0" applyNumberFormat="1" applyFont="1" applyAlignment="1">
      <alignment horizontal="center" readingOrder="1"/>
    </xf>
    <xf numFmtId="0" fontId="11" fillId="0" borderId="0" xfId="0" applyFont="1" applyAlignment="1">
      <alignment horizontal="center" readingOrder="1"/>
    </xf>
    <xf numFmtId="0" fontId="12" fillId="0" borderId="0" xfId="0" applyFont="1" applyAlignment="1">
      <alignment horizontal="right" vertical="top" readingOrder="1"/>
    </xf>
    <xf numFmtId="14" fontId="20" fillId="0" borderId="0" xfId="0" applyNumberFormat="1" applyFont="1" applyAlignment="1">
      <alignment horizontal="right" vertical="top" readingOrder="1"/>
    </xf>
    <xf numFmtId="172" fontId="18" fillId="3" borderId="0" xfId="0" applyNumberFormat="1" applyFont="1" applyFill="1"/>
    <xf numFmtId="174" fontId="12" fillId="0" borderId="0" xfId="0" applyNumberFormat="1" applyFont="1" applyAlignment="1">
      <alignment horizontal="left" readingOrder="1"/>
    </xf>
    <xf numFmtId="175" fontId="12" fillId="0" borderId="0" xfId="0" applyNumberFormat="1" applyFont="1" applyAlignment="1">
      <alignment horizontal="right" vertical="top" readingOrder="1"/>
    </xf>
    <xf numFmtId="175" fontId="12" fillId="0" borderId="0" xfId="0" applyNumberFormat="1" applyFont="1" applyAlignment="1">
      <alignment horizontal="center" readingOrder="1"/>
    </xf>
    <xf numFmtId="175" fontId="12" fillId="0" borderId="0" xfId="2" applyNumberFormat="1" applyFont="1" applyAlignment="1">
      <alignment horizontal="center" readingOrder="1"/>
    </xf>
    <xf numFmtId="0" fontId="12" fillId="0" borderId="0" xfId="0" applyFont="1" applyAlignment="1">
      <alignment horizontal="left"/>
    </xf>
    <xf numFmtId="176" fontId="18" fillId="3" borderId="0" xfId="0" applyNumberFormat="1" applyFont="1" applyFill="1" applyAlignment="1">
      <alignment horizontal="right" vertical="center"/>
    </xf>
    <xf numFmtId="172" fontId="6" fillId="0" borderId="0" xfId="0" applyNumberFormat="1" applyFont="1" applyAlignment="1">
      <alignment horizontal="right" vertical="center"/>
    </xf>
    <xf numFmtId="177" fontId="12" fillId="0" borderId="0" xfId="0" applyNumberFormat="1" applyFont="1" applyAlignment="1">
      <alignment horizontal="right" readingOrder="1"/>
    </xf>
    <xf numFmtId="177" fontId="12" fillId="0" borderId="0" xfId="0" applyNumberFormat="1" applyFont="1" applyAlignment="1">
      <alignment horizontal="right"/>
    </xf>
    <xf numFmtId="176" fontId="12" fillId="0" borderId="0" xfId="0" applyNumberFormat="1" applyFont="1" applyAlignment="1">
      <alignment horizontal="right" vertical="center"/>
    </xf>
    <xf numFmtId="177" fontId="11" fillId="0" borderId="0" xfId="0" applyNumberFormat="1" applyFont="1" applyAlignment="1">
      <alignment horizontal="left" readingOrder="1"/>
    </xf>
    <xf numFmtId="170" fontId="18" fillId="3" borderId="0" xfId="0" applyNumberFormat="1" applyFont="1" applyFill="1" applyAlignment="1">
      <alignment horizontal="right" vertical="center"/>
    </xf>
    <xf numFmtId="170" fontId="12" fillId="0" borderId="0" xfId="0" applyNumberFormat="1" applyFont="1" applyAlignment="1">
      <alignment horizontal="right" readingOrder="1"/>
    </xf>
    <xf numFmtId="177" fontId="21" fillId="0" borderId="0" xfId="0" applyNumberFormat="1" applyFont="1"/>
    <xf numFmtId="177" fontId="12" fillId="0" borderId="0" xfId="0" applyNumberFormat="1" applyFont="1"/>
    <xf numFmtId="0" fontId="17" fillId="0" borderId="0" xfId="0" applyFont="1"/>
    <xf numFmtId="0" fontId="19" fillId="0" borderId="0" xfId="0" applyFont="1" applyAlignment="1">
      <alignment horizontal="left"/>
    </xf>
    <xf numFmtId="10" fontId="12" fillId="0" borderId="0" xfId="0" applyNumberFormat="1" applyFont="1" applyAlignment="1">
      <alignment horizontal="right"/>
    </xf>
    <xf numFmtId="175" fontId="12" fillId="0" borderId="0" xfId="0" applyNumberFormat="1" applyFont="1" applyAlignment="1">
      <alignment horizontal="right"/>
    </xf>
    <xf numFmtId="175" fontId="6" fillId="3" borderId="0" xfId="0" applyNumberFormat="1" applyFont="1" applyFill="1" applyAlignment="1">
      <alignment horizontal="right" readingOrder="1"/>
    </xf>
    <xf numFmtId="10" fontId="16" fillId="0" borderId="0" xfId="0" applyNumberFormat="1" applyFont="1" applyAlignment="1">
      <alignment horizontal="left" readingOrder="1"/>
    </xf>
    <xf numFmtId="0" fontId="19" fillId="0" borderId="0" xfId="0" applyFont="1" applyAlignment="1">
      <alignment vertical="top"/>
    </xf>
    <xf numFmtId="0" fontId="19" fillId="0" borderId="0" xfId="0" applyFont="1" applyAlignment="1">
      <alignment horizontal="right" vertical="top" readingOrder="1"/>
    </xf>
    <xf numFmtId="0" fontId="22" fillId="0" borderId="0" xfId="0" applyFont="1" applyAlignment="1">
      <alignment horizontal="right" readingOrder="1"/>
    </xf>
    <xf numFmtId="0" fontId="11" fillId="0" borderId="0" xfId="0" applyFont="1"/>
    <xf numFmtId="0" fontId="19" fillId="0" borderId="0" xfId="0" applyFont="1"/>
    <xf numFmtId="0" fontId="22" fillId="0" borderId="0" xfId="0" applyFont="1"/>
    <xf numFmtId="0" fontId="16" fillId="0" borderId="9" xfId="0" applyFont="1" applyBorder="1" applyAlignment="1">
      <alignment horizontal="center"/>
    </xf>
    <xf numFmtId="0" fontId="16" fillId="0" borderId="10" xfId="0" applyFont="1" applyBorder="1" applyAlignment="1">
      <alignment horizontal="center"/>
    </xf>
    <xf numFmtId="0" fontId="16" fillId="0" borderId="0" xfId="0" applyFont="1"/>
    <xf numFmtId="0" fontId="17" fillId="0" borderId="3" xfId="0" applyFont="1" applyBorder="1"/>
    <xf numFmtId="0" fontId="16" fillId="0" borderId="3" xfId="0" applyFont="1" applyBorder="1"/>
    <xf numFmtId="0" fontId="11" fillId="0" borderId="3" xfId="0" applyFont="1" applyBorder="1"/>
    <xf numFmtId="0" fontId="11" fillId="0" borderId="8" xfId="0" applyFont="1" applyBorder="1"/>
    <xf numFmtId="175" fontId="12" fillId="0" borderId="3" xfId="0" applyNumberFormat="1" applyFont="1" applyBorder="1"/>
    <xf numFmtId="170" fontId="12" fillId="0" borderId="0" xfId="0" applyNumberFormat="1" applyFont="1"/>
    <xf numFmtId="171" fontId="12" fillId="0" borderId="0" xfId="0" applyNumberFormat="1" applyFont="1"/>
    <xf numFmtId="172" fontId="12" fillId="0" borderId="0" xfId="0" applyNumberFormat="1" applyFont="1"/>
    <xf numFmtId="0" fontId="12" fillId="0" borderId="0" xfId="0" applyFont="1"/>
    <xf numFmtId="178" fontId="18" fillId="3" borderId="0" xfId="0" applyNumberFormat="1" applyFont="1" applyFill="1"/>
    <xf numFmtId="175" fontId="6" fillId="0" borderId="0" xfId="0" applyNumberFormat="1" applyFont="1"/>
    <xf numFmtId="173" fontId="6" fillId="3" borderId="0" xfId="0" applyNumberFormat="1" applyFont="1" applyFill="1"/>
    <xf numFmtId="10" fontId="12" fillId="0" borderId="0" xfId="0" applyNumberFormat="1" applyFont="1" applyAlignment="1">
      <alignment horizontal="left" readingOrder="1"/>
    </xf>
    <xf numFmtId="172" fontId="12" fillId="0" borderId="11" xfId="0" applyNumberFormat="1" applyFont="1" applyBorder="1"/>
    <xf numFmtId="179" fontId="11" fillId="0" borderId="0" xfId="0" applyNumberFormat="1" applyFont="1" applyAlignment="1">
      <alignment horizontal="left"/>
    </xf>
    <xf numFmtId="179" fontId="12" fillId="0" borderId="0" xfId="0" applyNumberFormat="1" applyFont="1" applyAlignment="1">
      <alignment horizontal="right"/>
    </xf>
    <xf numFmtId="0" fontId="11" fillId="0" borderId="0" xfId="0" applyFont="1" applyAlignment="1">
      <alignment horizontal="left"/>
    </xf>
    <xf numFmtId="180" fontId="12" fillId="0" borderId="0" xfId="0" applyNumberFormat="1" applyFont="1"/>
    <xf numFmtId="179" fontId="12" fillId="0" borderId="3" xfId="0" applyNumberFormat="1" applyFont="1" applyBorder="1" applyAlignment="1">
      <alignment horizontal="left"/>
    </xf>
    <xf numFmtId="180" fontId="12" fillId="0" borderId="3" xfId="0" applyNumberFormat="1" applyFont="1" applyBorder="1"/>
    <xf numFmtId="172" fontId="17" fillId="0" borderId="0" xfId="0" applyNumberFormat="1" applyFont="1"/>
    <xf numFmtId="181" fontId="11" fillId="0" borderId="0" xfId="0" applyNumberFormat="1" applyFont="1"/>
    <xf numFmtId="10" fontId="12" fillId="0" borderId="0" xfId="0" applyNumberFormat="1" applyFont="1"/>
    <xf numFmtId="178" fontId="12" fillId="0" borderId="0" xfId="0" applyNumberFormat="1" applyFont="1"/>
    <xf numFmtId="178" fontId="22" fillId="0" borderId="0" xfId="0" applyNumberFormat="1" applyFont="1"/>
    <xf numFmtId="10" fontId="17" fillId="0" borderId="0" xfId="0" applyNumberFormat="1" applyFont="1"/>
    <xf numFmtId="172" fontId="11" fillId="0" borderId="0" xfId="0" applyNumberFormat="1" applyFont="1"/>
    <xf numFmtId="182" fontId="12" fillId="0" borderId="0" xfId="0" applyNumberFormat="1" applyFont="1"/>
    <xf numFmtId="172" fontId="16" fillId="0" borderId="0" xfId="0" applyNumberFormat="1" applyFont="1"/>
    <xf numFmtId="172" fontId="17" fillId="0" borderId="11" xfId="0" applyNumberFormat="1" applyFont="1" applyBorder="1"/>
    <xf numFmtId="172" fontId="3" fillId="0" borderId="0" xfId="0" applyNumberFormat="1" applyFont="1"/>
    <xf numFmtId="0" fontId="23" fillId="0" borderId="0" xfId="0" applyFont="1"/>
    <xf numFmtId="0" fontId="24" fillId="0" borderId="0" xfId="0" applyFont="1"/>
    <xf numFmtId="179" fontId="25" fillId="0" borderId="0" xfId="0" applyNumberFormat="1" applyFont="1" applyAlignment="1">
      <alignment horizontal="right"/>
    </xf>
    <xf numFmtId="179" fontId="21" fillId="0" borderId="0" xfId="0" applyNumberFormat="1" applyFont="1"/>
    <xf numFmtId="0" fontId="21" fillId="0" borderId="0" xfId="0" applyFont="1"/>
    <xf numFmtId="178" fontId="18" fillId="0" borderId="0" xfId="0" applyNumberFormat="1" applyFont="1" applyAlignment="1">
      <alignment horizontal="right"/>
    </xf>
    <xf numFmtId="10" fontId="18" fillId="0" borderId="0" xfId="0" applyNumberFormat="1" applyFont="1" applyAlignment="1">
      <alignment horizontal="right"/>
    </xf>
    <xf numFmtId="175" fontId="6" fillId="3" borderId="0" xfId="0" applyNumberFormat="1" applyFont="1" applyFill="1" applyAlignment="1">
      <alignment horizontal="center"/>
    </xf>
    <xf numFmtId="178" fontId="21" fillId="0" borderId="0" xfId="0" applyNumberFormat="1" applyFont="1"/>
    <xf numFmtId="175" fontId="4" fillId="0" borderId="0" xfId="0" applyNumberFormat="1" applyFont="1"/>
    <xf numFmtId="169" fontId="17" fillId="0" borderId="0" xfId="0" applyNumberFormat="1" applyFont="1"/>
    <xf numFmtId="183" fontId="3" fillId="0" borderId="0" xfId="0" applyNumberFormat="1" applyFont="1" applyAlignment="1">
      <alignment horizontal="right"/>
    </xf>
    <xf numFmtId="179" fontId="11" fillId="0" borderId="0" xfId="0" applyNumberFormat="1" applyFont="1" applyAlignment="1">
      <alignment horizontal="right"/>
    </xf>
    <xf numFmtId="172" fontId="4" fillId="0" borderId="0" xfId="0" applyNumberFormat="1" applyFont="1"/>
    <xf numFmtId="2" fontId="12" fillId="0" borderId="0" xfId="0" applyNumberFormat="1" applyFont="1"/>
    <xf numFmtId="172" fontId="16" fillId="0" borderId="0" xfId="0" applyNumberFormat="1" applyFont="1" applyAlignment="1">
      <alignment horizontal="right"/>
    </xf>
    <xf numFmtId="172" fontId="17" fillId="0" borderId="11" xfId="0" applyNumberFormat="1" applyFont="1" applyBorder="1" applyAlignment="1">
      <alignment horizontal="right"/>
    </xf>
    <xf numFmtId="172" fontId="21" fillId="0" borderId="0" xfId="0" applyNumberFormat="1" applyFont="1"/>
    <xf numFmtId="0" fontId="25" fillId="0" borderId="0" xfId="0" applyFont="1"/>
    <xf numFmtId="167" fontId="4" fillId="0" borderId="0" xfId="0" applyNumberFormat="1" applyFont="1"/>
    <xf numFmtId="10" fontId="11" fillId="0" borderId="0" xfId="0" applyNumberFormat="1" applyFont="1"/>
    <xf numFmtId="175" fontId="6" fillId="0" borderId="0" xfId="0" applyNumberFormat="1" applyFont="1" applyAlignment="1">
      <alignment horizontal="right"/>
    </xf>
    <xf numFmtId="175" fontId="5" fillId="3" borderId="0" xfId="0" applyNumberFormat="1" applyFont="1" applyFill="1"/>
    <xf numFmtId="175" fontId="4" fillId="0" borderId="0" xfId="0" applyNumberFormat="1" applyFont="1" applyAlignment="1">
      <alignment horizontal="right"/>
    </xf>
    <xf numFmtId="173" fontId="12" fillId="0" borderId="0" xfId="0" applyNumberFormat="1" applyFont="1"/>
    <xf numFmtId="2" fontId="5" fillId="3" borderId="0" xfId="0" applyNumberFormat="1" applyFont="1" applyFill="1"/>
    <xf numFmtId="175" fontId="12" fillId="0" borderId="0" xfId="0" applyNumberFormat="1" applyFont="1"/>
    <xf numFmtId="172" fontId="4" fillId="3" borderId="0" xfId="0" applyNumberFormat="1" applyFont="1" applyFill="1"/>
    <xf numFmtId="0" fontId="16" fillId="0" borderId="0" xfId="0" applyFont="1" applyAlignment="1">
      <alignment horizontal="left"/>
    </xf>
    <xf numFmtId="184" fontId="11" fillId="0" borderId="0" xfId="0" applyNumberFormat="1" applyFont="1"/>
    <xf numFmtId="172" fontId="11" fillId="0" borderId="0" xfId="0" applyNumberFormat="1" applyFont="1" applyAlignment="1">
      <alignment horizontal="right"/>
    </xf>
    <xf numFmtId="179" fontId="20" fillId="0" borderId="0" xfId="0" applyNumberFormat="1" applyFont="1" applyAlignment="1">
      <alignment horizontal="right"/>
    </xf>
    <xf numFmtId="180" fontId="12" fillId="0" borderId="0" xfId="0" applyNumberFormat="1" applyFont="1" applyAlignment="1">
      <alignment horizontal="right"/>
    </xf>
    <xf numFmtId="0" fontId="12" fillId="0" borderId="12" xfId="0" applyFont="1" applyBorder="1"/>
    <xf numFmtId="165" fontId="17" fillId="0" borderId="13" xfId="0" applyNumberFormat="1" applyFont="1" applyBorder="1" applyAlignment="1">
      <alignment horizontal="right"/>
    </xf>
    <xf numFmtId="0" fontId="11" fillId="0" borderId="5" xfId="0" applyFont="1" applyBorder="1" applyAlignment="1">
      <alignment horizontal="left"/>
    </xf>
    <xf numFmtId="176" fontId="11" fillId="0" borderId="0" xfId="0" applyNumberFormat="1" applyFont="1" applyAlignment="1">
      <alignment horizontal="right"/>
    </xf>
    <xf numFmtId="10" fontId="12" fillId="0" borderId="11" xfId="0" applyNumberFormat="1" applyFont="1" applyBorder="1"/>
    <xf numFmtId="0" fontId="3" fillId="2" borderId="0" xfId="0" applyFont="1" applyFill="1"/>
    <xf numFmtId="0" fontId="11" fillId="2" borderId="0" xfId="0" applyFont="1" applyFill="1"/>
    <xf numFmtId="166" fontId="26" fillId="2" borderId="0" xfId="0" applyNumberFormat="1" applyFont="1" applyFill="1"/>
    <xf numFmtId="0" fontId="0" fillId="2" borderId="0" xfId="0" applyFill="1"/>
    <xf numFmtId="166" fontId="26" fillId="0" borderId="0" xfId="0" applyNumberFormat="1" applyFont="1"/>
    <xf numFmtId="175" fontId="3" fillId="0" borderId="0" xfId="0" applyNumberFormat="1" applyFont="1"/>
    <xf numFmtId="165" fontId="4" fillId="0" borderId="0" xfId="0" applyNumberFormat="1" applyFont="1"/>
    <xf numFmtId="165" fontId="3" fillId="0" borderId="0" xfId="0" applyNumberFormat="1" applyFont="1"/>
    <xf numFmtId="0" fontId="26" fillId="0" borderId="0" xfId="0" applyFont="1"/>
    <xf numFmtId="167" fontId="3" fillId="2" borderId="1" xfId="0" applyNumberFormat="1" applyFont="1" applyFill="1" applyBorder="1" applyAlignment="1">
      <alignment horizontal="center"/>
    </xf>
    <xf numFmtId="0" fontId="3" fillId="2" borderId="1" xfId="0" applyFont="1" applyFill="1" applyBorder="1" applyAlignment="1">
      <alignment horizontal="center"/>
    </xf>
    <xf numFmtId="10" fontId="21" fillId="0" borderId="0" xfId="0" applyNumberFormat="1" applyFont="1"/>
    <xf numFmtId="170" fontId="21" fillId="0" borderId="0" xfId="0" applyNumberFormat="1" applyFont="1"/>
    <xf numFmtId="174" fontId="21" fillId="0" borderId="0" xfId="0" applyNumberFormat="1" applyFont="1"/>
    <xf numFmtId="0" fontId="3" fillId="2" borderId="1" xfId="0" applyFont="1" applyFill="1" applyBorder="1" applyAlignment="1">
      <alignment horizontal="center" wrapText="1"/>
    </xf>
    <xf numFmtId="49" fontId="5" fillId="3" borderId="0" xfId="0" applyNumberFormat="1" applyFont="1" applyFill="1"/>
    <xf numFmtId="165" fontId="5" fillId="3" borderId="0" xfId="0" applyNumberFormat="1" applyFont="1" applyFill="1"/>
    <xf numFmtId="164" fontId="5" fillId="3" borderId="0" xfId="0" applyNumberFormat="1" applyFont="1" applyFill="1"/>
    <xf numFmtId="185" fontId="4" fillId="0" borderId="0" xfId="0" applyNumberFormat="1" applyFont="1" applyAlignment="1">
      <alignment horizontal="right"/>
    </xf>
    <xf numFmtId="186" fontId="4" fillId="0" borderId="0" xfId="0" applyNumberFormat="1" applyFont="1" applyAlignment="1">
      <alignment horizontal="right"/>
    </xf>
    <xf numFmtId="185" fontId="4" fillId="0" borderId="0" xfId="0" applyNumberFormat="1" applyFont="1"/>
    <xf numFmtId="186" fontId="4" fillId="0" borderId="0" xfId="0" applyNumberFormat="1" applyFont="1"/>
    <xf numFmtId="14" fontId="5" fillId="3" borderId="0" xfId="0" applyNumberFormat="1" applyFont="1" applyFill="1"/>
    <xf numFmtId="165" fontId="6" fillId="0" borderId="0" xfId="0" applyNumberFormat="1" applyFont="1"/>
    <xf numFmtId="165" fontId="4" fillId="0" borderId="0" xfId="0" applyNumberFormat="1" applyFont="1" applyAlignment="1">
      <alignment horizontal="right"/>
    </xf>
    <xf numFmtId="165" fontId="3" fillId="2" borderId="0" xfId="0" applyNumberFormat="1" applyFont="1" applyFill="1"/>
    <xf numFmtId="165" fontId="7" fillId="0" borderId="0" xfId="0" applyNumberFormat="1" applyFont="1"/>
    <xf numFmtId="165" fontId="6" fillId="0" borderId="0" xfId="0" applyNumberFormat="1" applyFont="1" applyAlignment="1">
      <alignment horizontal="right"/>
    </xf>
    <xf numFmtId="0" fontId="0" fillId="0" borderId="0" xfId="0"/>
    <xf numFmtId="164" fontId="27" fillId="0" borderId="0" xfId="0" applyNumberFormat="1" applyFont="1"/>
    <xf numFmtId="164" fontId="28" fillId="0" borderId="2" xfId="0" applyNumberFormat="1" applyFont="1" applyBorder="1"/>
    <xf numFmtId="165" fontId="27" fillId="0" borderId="0" xfId="0" applyNumberFormat="1" applyFont="1"/>
    <xf numFmtId="164" fontId="28" fillId="0" borderId="0" xfId="0" applyNumberFormat="1" applyFont="1"/>
    <xf numFmtId="0" fontId="29" fillId="0" borderId="0" xfId="0" applyFont="1"/>
    <xf numFmtId="10" fontId="30" fillId="0" borderId="0" xfId="2" applyNumberFormat="1" applyFont="1"/>
    <xf numFmtId="9" fontId="31" fillId="0" borderId="0" xfId="2" applyFont="1"/>
    <xf numFmtId="10" fontId="31" fillId="0" borderId="0" xfId="2" applyNumberFormat="1" applyFont="1"/>
    <xf numFmtId="0" fontId="28" fillId="0" borderId="0" xfId="0" applyFont="1"/>
    <xf numFmtId="0" fontId="32" fillId="0" borderId="0" xfId="0" applyFont="1"/>
    <xf numFmtId="164" fontId="27" fillId="0" borderId="2" xfId="0" applyNumberFormat="1" applyFont="1" applyBorder="1"/>
    <xf numFmtId="164" fontId="27" fillId="0" borderId="3" xfId="0" applyNumberFormat="1" applyFont="1" applyBorder="1"/>
    <xf numFmtId="0" fontId="4" fillId="0" borderId="0" xfId="0" applyFont="1" applyAlignment="1">
      <alignment horizontal="right"/>
    </xf>
    <xf numFmtId="187" fontId="5" fillId="3" borderId="0" xfId="0" applyNumberFormat="1" applyFont="1" applyFill="1"/>
    <xf numFmtId="14" fontId="5" fillId="3" borderId="0" xfId="0" applyNumberFormat="1" applyFont="1" applyFill="1" applyAlignment="1">
      <alignment horizontal="center"/>
    </xf>
    <xf numFmtId="164" fontId="33" fillId="0" borderId="0" xfId="0" applyNumberFormat="1" applyFont="1"/>
    <xf numFmtId="0" fontId="34" fillId="0" borderId="0" xfId="0" applyFont="1"/>
    <xf numFmtId="164" fontId="35" fillId="0" borderId="0" xfId="0" applyNumberFormat="1" applyFont="1"/>
    <xf numFmtId="0" fontId="17" fillId="2" borderId="7" xfId="0" applyFont="1" applyFill="1" applyBorder="1" applyAlignment="1">
      <alignment horizontal="center" vertical="center"/>
    </xf>
    <xf numFmtId="0" fontId="3" fillId="0" borderId="0" xfId="0" applyFont="1" applyBorder="1" applyAlignment="1">
      <alignment horizontal="center"/>
    </xf>
  </cellXfs>
  <cellStyles count="3">
    <cellStyle name="Currency" xfId="1" builtinId="4"/>
    <cellStyle name="Normal" xfId="0" builtinId="0"/>
    <cellStyle name="Percent" xfId="2"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9999FF"/>
      <rgbColor rgb="FF993366"/>
      <rgbColor rgb="FFFFFFCC"/>
      <rgbColor rgb="FFC0E6F5"/>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microsoft.com/office/2017/06/relationships/richStyles" Target="richData/rich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theme" Target="theme/theme1.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06/relationships/rdRichValue" Target="richData/rdrichvalue.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ea typeface="Calibri"/>
              </a:defRPr>
            </a:pPr>
            <a:r>
              <a:rPr lang="en-US" sz="1800" b="1" strike="noStrike" spc="-1">
                <a:solidFill>
                  <a:srgbClr val="000000"/>
                </a:solidFill>
                <a:latin typeface="Calibri"/>
                <a:ea typeface="Calibri"/>
              </a:rPr>
              <a:t>Valuation Range ($ per share)</a:t>
            </a:r>
          </a:p>
        </c:rich>
      </c:tx>
      <c:overlay val="0"/>
      <c:spPr>
        <a:noFill/>
        <a:ln w="0">
          <a:noFill/>
        </a:ln>
      </c:spPr>
    </c:title>
    <c:autoTitleDeleted val="0"/>
    <c:plotArea>
      <c:layout/>
      <c:barChart>
        <c:barDir val="bar"/>
        <c:grouping val="stacked"/>
        <c:varyColors val="0"/>
        <c:ser>
          <c:idx val="0"/>
          <c:order val="0"/>
          <c:spPr>
            <a:no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Summary!$B$7:$B$18</c:f>
              <c:strCache>
                <c:ptCount val="12"/>
                <c:pt idx="0">
                  <c:v>DCF (WACC +/- 1%)</c:v>
                </c:pt>
                <c:pt idx="1">
                  <c:v>Trading Comps: P/E</c:v>
                </c:pt>
                <c:pt idx="2">
                  <c:v>Trading Comps: EV/EBITDA</c:v>
                </c:pt>
                <c:pt idx="3">
                  <c:v>Trading Comps: EV/EBIT</c:v>
                </c:pt>
                <c:pt idx="4">
                  <c:v>Trading Comps: PEG</c:v>
                </c:pt>
                <c:pt idx="5">
                  <c:v>Trading Comps: EV/EBITDAR</c:v>
                </c:pt>
                <c:pt idx="6">
                  <c:v>Precedent Transactions: P/E</c:v>
                </c:pt>
                <c:pt idx="7">
                  <c:v>Precedent Transactions: EV/EBITDA</c:v>
                </c:pt>
                <c:pt idx="8">
                  <c:v>Precedent Transactions: EV/EBIT</c:v>
                </c:pt>
                <c:pt idx="9">
                  <c:v>Precedent Transactions: PEG</c:v>
                </c:pt>
                <c:pt idx="10">
                  <c:v>Precedent Transactions: EV/EBITDAR</c:v>
                </c:pt>
                <c:pt idx="11">
                  <c:v>Liquidation (Fire Sale to Orderly)</c:v>
                </c:pt>
              </c:strCache>
            </c:strRef>
          </c:cat>
          <c:val>
            <c:numRef>
              <c:f>Summary!$H$7:$H$18</c:f>
              <c:numCache>
                <c:formatCode>General</c:formatCode>
                <c:ptCount val="12"/>
                <c:pt idx="0">
                  <c:v>48.970836717879344</c:v>
                </c:pt>
                <c:pt idx="1">
                  <c:v>59.590428056374961</c:v>
                </c:pt>
                <c:pt idx="2">
                  <c:v>43.176630215801666</c:v>
                </c:pt>
                <c:pt idx="3">
                  <c:v>60.240198954198839</c:v>
                </c:pt>
                <c:pt idx="4">
                  <c:v>55.194822298654088</c:v>
                </c:pt>
                <c:pt idx="5">
                  <c:v>38.594168415309319</c:v>
                </c:pt>
                <c:pt idx="6">
                  <c:v>0</c:v>
                </c:pt>
                <c:pt idx="7">
                  <c:v>0</c:v>
                </c:pt>
                <c:pt idx="8">
                  <c:v>0</c:v>
                </c:pt>
                <c:pt idx="9">
                  <c:v>0</c:v>
                </c:pt>
                <c:pt idx="10">
                  <c:v>0</c:v>
                </c:pt>
                <c:pt idx="11">
                  <c:v>0</c:v>
                </c:pt>
              </c:numCache>
            </c:numRef>
          </c:val>
          <c:extLst>
            <c:ext xmlns:c16="http://schemas.microsoft.com/office/drawing/2014/chart" uri="{C3380CC4-5D6E-409C-BE32-E72D297353CC}">
              <c16:uniqueId val="{00000000-C651-4073-BCE8-27BED6088BE3}"/>
            </c:ext>
          </c:extLst>
        </c:ser>
        <c:ser>
          <c:idx val="1"/>
          <c:order val="1"/>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Summary!$B$7:$B$18</c:f>
              <c:strCache>
                <c:ptCount val="12"/>
                <c:pt idx="0">
                  <c:v>DCF (WACC +/- 1%)</c:v>
                </c:pt>
                <c:pt idx="1">
                  <c:v>Trading Comps: P/E</c:v>
                </c:pt>
                <c:pt idx="2">
                  <c:v>Trading Comps: EV/EBITDA</c:v>
                </c:pt>
                <c:pt idx="3">
                  <c:v>Trading Comps: EV/EBIT</c:v>
                </c:pt>
                <c:pt idx="4">
                  <c:v>Trading Comps: PEG</c:v>
                </c:pt>
                <c:pt idx="5">
                  <c:v>Trading Comps: EV/EBITDAR</c:v>
                </c:pt>
                <c:pt idx="6">
                  <c:v>Precedent Transactions: P/E</c:v>
                </c:pt>
                <c:pt idx="7">
                  <c:v>Precedent Transactions: EV/EBITDA</c:v>
                </c:pt>
                <c:pt idx="8">
                  <c:v>Precedent Transactions: EV/EBIT</c:v>
                </c:pt>
                <c:pt idx="9">
                  <c:v>Precedent Transactions: PEG</c:v>
                </c:pt>
                <c:pt idx="10">
                  <c:v>Precedent Transactions: EV/EBITDAR</c:v>
                </c:pt>
                <c:pt idx="11">
                  <c:v>Liquidation (Fire Sale to Orderly)</c:v>
                </c:pt>
              </c:strCache>
            </c:strRef>
          </c:cat>
          <c:val>
            <c:numRef>
              <c:f>Summary!$I$7:$I$18</c:f>
              <c:numCache>
                <c:formatCode>General</c:formatCode>
                <c:ptCount val="12"/>
                <c:pt idx="0">
                  <c:v>29.335947666095244</c:v>
                </c:pt>
                <c:pt idx="1">
                  <c:v>160.68057194362501</c:v>
                </c:pt>
                <c:pt idx="2">
                  <c:v>15.33812343547482</c:v>
                </c:pt>
                <c:pt idx="3">
                  <c:v>29.827701912122087</c:v>
                </c:pt>
                <c:pt idx="4">
                  <c:v>77.067195505500194</c:v>
                </c:pt>
                <c:pt idx="5">
                  <c:v>17.419980937267361</c:v>
                </c:pt>
                <c:pt idx="6">
                  <c:v>0</c:v>
                </c:pt>
                <c:pt idx="7">
                  <c:v>0</c:v>
                </c:pt>
                <c:pt idx="8">
                  <c:v>0</c:v>
                </c:pt>
                <c:pt idx="9">
                  <c:v>0</c:v>
                </c:pt>
                <c:pt idx="10">
                  <c:v>0</c:v>
                </c:pt>
                <c:pt idx="11">
                  <c:v>0</c:v>
                </c:pt>
              </c:numCache>
            </c:numRef>
          </c:val>
          <c:extLst>
            <c:ext xmlns:c16="http://schemas.microsoft.com/office/drawing/2014/chart" uri="{C3380CC4-5D6E-409C-BE32-E72D297353CC}">
              <c16:uniqueId val="{00000001-C651-4073-BCE8-27BED6088BE3}"/>
            </c:ext>
          </c:extLst>
        </c:ser>
        <c:dLbls>
          <c:showLegendKey val="0"/>
          <c:showVal val="0"/>
          <c:showCatName val="0"/>
          <c:showSerName val="0"/>
          <c:showPercent val="0"/>
          <c:showBubbleSize val="0"/>
        </c:dLbls>
        <c:gapWidth val="150"/>
        <c:overlap val="100"/>
        <c:axId val="81620604"/>
        <c:axId val="65644929"/>
      </c:barChart>
      <c:catAx>
        <c:axId val="81620604"/>
        <c:scaling>
          <c:orientation val="maxMin"/>
        </c:scaling>
        <c:delete val="0"/>
        <c:axPos val="l"/>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65644929"/>
        <c:crosses val="autoZero"/>
        <c:auto val="1"/>
        <c:lblAlgn val="ctr"/>
        <c:lblOffset val="100"/>
        <c:noMultiLvlLbl val="0"/>
      </c:catAx>
      <c:valAx>
        <c:axId val="65644929"/>
        <c:scaling>
          <c:orientation val="minMax"/>
        </c:scaling>
        <c:delete val="0"/>
        <c:axPos val="t"/>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81620604"/>
        <c:crosses val="autoZero"/>
        <c:crossBetween val="between"/>
      </c:valAx>
      <c:spPr>
        <a:noFill/>
        <a:ln w="0">
          <a:noFill/>
        </a:ln>
      </c:spPr>
    </c:plotArea>
    <c:plotVisOnly val="0"/>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xdr:row>
      <xdr:rowOff>160560</xdr:rowOff>
    </xdr:from>
    <xdr:to>
      <xdr:col>6</xdr:col>
      <xdr:colOff>475560</xdr:colOff>
      <xdr:row>44</xdr:row>
      <xdr:rowOff>77760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https://www.bing.com/financeapi/forcetrigger?t=a1zbvh&amp;q=XNAS%3aORLY&amp;form=skydnc</v>
    <v>Learn more on Bing</v>
  </rv>
  <rv s="1">
    <v>en-US</v>
    <v>a1zbvh</v>
    <v>268435456</v>
    <v>1</v>
    <v>Powered by Refinitiv</v>
    <v>0</v>
    <v>O'Reilly Automotive, Inc. (XNAS:ORLY)</v>
    <v>2</v>
    <v>3</v>
    <v>Finance</v>
    <v>4</v>
    <v>108.715</v>
    <v>82.59</v>
    <v>0.5393</v>
    <v>-0.44</v>
    <v>0</v>
    <v>-5.0860000000000002E-3</v>
    <v>0</v>
    <v>USD</v>
    <v>O’Reilly Automotive, Inc. is a specialty retailer of automotive aftermarket parts, tools, supplies, equipment, and accessories in the United States (U.S.), selling its products to both do-it-yourself (DIY) and professional service provider customers. Its stores carry various product lines, including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oil, and wiper blades and accessories, such as floor mats, seat covers, and truck accessories. Its stores offer services and programs, including battery diagnostic testing; battery, wiper, and bulb replacement; a loaner tool program; custom hydraulic hoses, drum and rotor resurfacing, electrical and module testing, used oil, oil filter, and battery recycling; and others.</v>
    <v>78258</v>
    <v>Nasdaq Stock Market</v>
    <v>XNAS</v>
    <v>XNAS</v>
    <v>233 S Patterson Ave, SPRINGFIELD, MO, 65802 US</v>
    <v>86.48</v>
    <v>Specialty Retailers</v>
    <v>Stock</v>
    <v>46294.833678298441</v>
    <v>0</v>
    <v>85.33</v>
    <v>69627256056</v>
    <v>O'Reilly Automotive, Inc.</v>
    <v>O'Reilly Automotive, Inc.</v>
    <v>85.96</v>
    <v>27.370699999999999</v>
    <v>86.51</v>
    <v>86.07</v>
    <v>86.07</v>
    <v>808960800</v>
    <v>ORLY</v>
    <v>O'Reilly Automotive, Inc. (XNAS:ORLY)</v>
    <v>3657977</v>
    <v>6069020</v>
    <v>2010</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R24"/>
  <sheetViews>
    <sheetView showGridLines="0" zoomScaleNormal="100" workbookViewId="0">
      <selection activeCell="P24" sqref="P24"/>
    </sheetView>
  </sheetViews>
  <sheetFormatPr defaultColWidth="8.7109375" defaultRowHeight="12.75" x14ac:dyDescent="0.2"/>
  <cols>
    <col min="1" max="1" width="2" customWidth="1"/>
    <col min="2" max="2" width="60.7109375" customWidth="1"/>
    <col min="3" max="16" width="13" customWidth="1"/>
  </cols>
  <sheetData>
    <row r="1" spans="2:18" ht="18.75" x14ac:dyDescent="0.3">
      <c r="B1" s="1" t="s">
        <v>0</v>
      </c>
    </row>
    <row r="2" spans="2:18" ht="15" x14ac:dyDescent="0.25">
      <c r="B2" s="2" t="s">
        <v>1</v>
      </c>
    </row>
    <row r="4" spans="2:18" ht="15" x14ac:dyDescent="0.25">
      <c r="B4" s="3"/>
      <c r="C4" s="4" t="s">
        <v>2</v>
      </c>
      <c r="D4" s="4" t="s">
        <v>3</v>
      </c>
      <c r="E4" s="4" t="s">
        <v>4</v>
      </c>
      <c r="F4" s="4" t="s">
        <v>5</v>
      </c>
      <c r="G4" s="4" t="s">
        <v>6</v>
      </c>
      <c r="H4" s="4" t="s">
        <v>7</v>
      </c>
      <c r="I4" s="4" t="s">
        <v>8</v>
      </c>
      <c r="J4" s="4" t="s">
        <v>9</v>
      </c>
      <c r="K4" s="4" t="s">
        <v>10</v>
      </c>
      <c r="L4" s="4" t="s">
        <v>11</v>
      </c>
      <c r="M4" s="4" t="s">
        <v>12</v>
      </c>
      <c r="N4" s="4" t="s">
        <v>13</v>
      </c>
      <c r="O4" s="4" t="s">
        <v>14</v>
      </c>
      <c r="P4" s="4" t="s">
        <v>15</v>
      </c>
    </row>
    <row r="6" spans="2:18" ht="15" x14ac:dyDescent="0.25">
      <c r="B6" s="6" t="s">
        <v>16</v>
      </c>
      <c r="C6" s="183">
        <v>3707.864</v>
      </c>
      <c r="D6" s="183">
        <v>4068.991</v>
      </c>
      <c r="E6" s="183">
        <v>4203.38</v>
      </c>
      <c r="F6" s="183">
        <v>3832.0149999999999</v>
      </c>
      <c r="G6" s="183">
        <v>3976.24</v>
      </c>
      <c r="H6" s="183">
        <v>4272.201</v>
      </c>
      <c r="I6" s="183">
        <v>4364.4369999999999</v>
      </c>
      <c r="J6" s="183">
        <v>4095.6010000000001</v>
      </c>
      <c r="K6" s="183">
        <v>4136.924</v>
      </c>
      <c r="L6" s="183">
        <v>4525.058</v>
      </c>
      <c r="M6" s="183">
        <v>4705.6959999999999</v>
      </c>
      <c r="N6" s="183">
        <v>4414.3140000000003</v>
      </c>
      <c r="O6" s="183">
        <v>4560.5389999999998</v>
      </c>
      <c r="P6" s="183">
        <v>4892.0129999999999</v>
      </c>
      <c r="Q6" s="184"/>
    </row>
    <row r="7" spans="2:18" s="179" customFormat="1" ht="15" x14ac:dyDescent="0.25">
      <c r="B7" s="2" t="s">
        <v>283</v>
      </c>
      <c r="C7"/>
      <c r="D7"/>
      <c r="E7"/>
      <c r="F7"/>
      <c r="G7" s="187">
        <f t="shared" ref="G7:P7" si="0">(G6-C6)/C6</f>
        <v>7.2380216750128845E-2</v>
      </c>
      <c r="H7" s="187">
        <f t="shared" si="0"/>
        <v>4.9941127911071817E-2</v>
      </c>
      <c r="I7" s="187">
        <f t="shared" si="0"/>
        <v>3.8316069448872045E-2</v>
      </c>
      <c r="J7" s="187">
        <f t="shared" si="0"/>
        <v>6.8785221352212933E-2</v>
      </c>
      <c r="K7" s="187">
        <f t="shared" si="0"/>
        <v>4.0411041587026991E-2</v>
      </c>
      <c r="L7" s="187">
        <f t="shared" si="0"/>
        <v>5.9186587896964578E-2</v>
      </c>
      <c r="M7" s="187">
        <f t="shared" si="0"/>
        <v>7.8190841109632245E-2</v>
      </c>
      <c r="N7" s="187">
        <f t="shared" si="0"/>
        <v>7.7818371467337805E-2</v>
      </c>
      <c r="O7" s="187">
        <f t="shared" si="0"/>
        <v>0.10239854539266367</v>
      </c>
      <c r="P7" s="187">
        <f t="shared" si="0"/>
        <v>8.1093988187554714E-2</v>
      </c>
      <c r="Q7" s="185"/>
      <c r="R7" s="185"/>
    </row>
    <row r="8" spans="2:18" ht="15" x14ac:dyDescent="0.25">
      <c r="B8" s="5" t="s">
        <v>17</v>
      </c>
      <c r="C8" s="180">
        <v>1817.5350000000001</v>
      </c>
      <c r="D8" s="180">
        <v>1982.4090000000001</v>
      </c>
      <c r="E8" s="180">
        <v>2042.9169999999999</v>
      </c>
      <c r="F8" s="180">
        <v>1864.586</v>
      </c>
      <c r="G8" s="180">
        <v>1942.068</v>
      </c>
      <c r="H8" s="180">
        <v>2104.1410000000001</v>
      </c>
      <c r="I8" s="180">
        <v>2113.212</v>
      </c>
      <c r="J8" s="180">
        <v>1994.569</v>
      </c>
      <c r="K8" s="180">
        <v>2015.4390000000001</v>
      </c>
      <c r="L8" s="180">
        <v>2198.52</v>
      </c>
      <c r="M8" s="180">
        <v>2265.75</v>
      </c>
      <c r="N8" s="180">
        <v>2128.1419999999998</v>
      </c>
      <c r="O8" s="180">
        <v>2213.328</v>
      </c>
      <c r="P8" s="180">
        <v>2375.2730000000001</v>
      </c>
    </row>
    <row r="9" spans="2:18" ht="15" x14ac:dyDescent="0.25">
      <c r="B9" s="6" t="s">
        <v>18</v>
      </c>
      <c r="C9" s="181">
        <v>1890.329</v>
      </c>
      <c r="D9" s="181">
        <v>2086.5819999999999</v>
      </c>
      <c r="E9" s="181">
        <v>2160.4630000000002</v>
      </c>
      <c r="F9" s="181">
        <v>1967.4290000000001</v>
      </c>
      <c r="G9" s="181">
        <v>2034.172</v>
      </c>
      <c r="H9" s="181">
        <v>2168.06</v>
      </c>
      <c r="I9" s="181">
        <v>2251.2249999999999</v>
      </c>
      <c r="J9" s="181">
        <v>2101.0320000000002</v>
      </c>
      <c r="K9" s="181">
        <v>2121.4850000000001</v>
      </c>
      <c r="L9" s="181">
        <v>2326.538</v>
      </c>
      <c r="M9" s="181">
        <v>2439.9459999999999</v>
      </c>
      <c r="N9" s="181">
        <v>2286.172</v>
      </c>
      <c r="O9" s="181">
        <v>2347.2109999999998</v>
      </c>
      <c r="P9" s="181">
        <v>2516.7399999999998</v>
      </c>
    </row>
    <row r="10" spans="2:18" s="179" customFormat="1" ht="15" x14ac:dyDescent="0.25">
      <c r="B10" s="2" t="s">
        <v>284</v>
      </c>
      <c r="C10" s="186">
        <f t="shared" ref="C10:P10" si="1">C9/C6</f>
        <v>0.50981616369963945</v>
      </c>
      <c r="D10" s="186">
        <f t="shared" si="1"/>
        <v>0.51280083932355713</v>
      </c>
      <c r="E10" s="186">
        <f t="shared" si="1"/>
        <v>0.51398231899090741</v>
      </c>
      <c r="F10" s="186">
        <f t="shared" si="1"/>
        <v>0.51341891928919903</v>
      </c>
      <c r="G10" s="186">
        <f t="shared" si="1"/>
        <v>0.51158179586745267</v>
      </c>
      <c r="H10" s="186">
        <f t="shared" si="1"/>
        <v>0.50748080439099186</v>
      </c>
      <c r="I10" s="186">
        <f t="shared" si="1"/>
        <v>0.51581108857797697</v>
      </c>
      <c r="J10" s="186">
        <f t="shared" si="1"/>
        <v>0.51299723776803452</v>
      </c>
      <c r="K10" s="186">
        <f t="shared" si="1"/>
        <v>0.51281701089988607</v>
      </c>
      <c r="L10" s="186">
        <f t="shared" si="1"/>
        <v>0.5141454540472189</v>
      </c>
      <c r="M10" s="186">
        <f t="shared" si="1"/>
        <v>0.51850905795869517</v>
      </c>
      <c r="N10" s="186">
        <f t="shared" si="1"/>
        <v>0.51789972349044489</v>
      </c>
      <c r="O10" s="186">
        <f t="shared" si="1"/>
        <v>0.51467841849395435</v>
      </c>
      <c r="P10" s="186">
        <f t="shared" si="1"/>
        <v>0.51445897629462556</v>
      </c>
    </row>
    <row r="11" spans="2:18" ht="15" x14ac:dyDescent="0.25">
      <c r="B11" s="5" t="s">
        <v>19</v>
      </c>
      <c r="C11" s="180">
        <v>1173.684</v>
      </c>
      <c r="D11" s="180">
        <v>1232.809</v>
      </c>
      <c r="E11" s="180">
        <v>1263.241</v>
      </c>
      <c r="F11" s="180">
        <v>1248.693</v>
      </c>
      <c r="G11" s="180">
        <v>1281.691</v>
      </c>
      <c r="H11" s="180">
        <v>1304.7619999999999</v>
      </c>
      <c r="I11" s="180">
        <v>1354.4970000000001</v>
      </c>
      <c r="J11" s="180">
        <v>1362.3820000000001</v>
      </c>
      <c r="K11" s="180">
        <v>1380.019</v>
      </c>
      <c r="L11" s="180">
        <v>1412.068</v>
      </c>
      <c r="M11" s="180">
        <v>1463.8789999999999</v>
      </c>
      <c r="N11" s="180">
        <v>1457.5630000000001</v>
      </c>
      <c r="O11" s="180">
        <v>1505.6030000000001</v>
      </c>
      <c r="P11" s="180">
        <v>1530.9939999999999</v>
      </c>
    </row>
    <row r="12" spans="2:18" ht="15" x14ac:dyDescent="0.25">
      <c r="B12" s="6" t="s">
        <v>20</v>
      </c>
      <c r="C12" s="181">
        <v>716.64499999999998</v>
      </c>
      <c r="D12" s="181">
        <v>853.77300000000002</v>
      </c>
      <c r="E12" s="181">
        <v>897.22199999999998</v>
      </c>
      <c r="F12" s="181">
        <v>718.73599999999999</v>
      </c>
      <c r="G12" s="181">
        <v>752.48099999999999</v>
      </c>
      <c r="H12" s="181">
        <v>863.298</v>
      </c>
      <c r="I12" s="181">
        <v>896.72799999999995</v>
      </c>
      <c r="J12" s="181">
        <v>738.65</v>
      </c>
      <c r="K12" s="181">
        <v>741.46600000000001</v>
      </c>
      <c r="L12" s="181">
        <v>914.47</v>
      </c>
      <c r="M12" s="181">
        <v>976.06700000000001</v>
      </c>
      <c r="N12" s="181">
        <v>828.60900000000004</v>
      </c>
      <c r="O12" s="181">
        <v>841.60799999999995</v>
      </c>
      <c r="P12" s="181">
        <v>985.74599999999998</v>
      </c>
    </row>
    <row r="13" spans="2:18" ht="15" x14ac:dyDescent="0.25">
      <c r="B13" s="7" t="s">
        <v>21</v>
      </c>
      <c r="C13" s="180">
        <v>-44.572000000000003</v>
      </c>
      <c r="D13" s="180">
        <v>-49.587000000000003</v>
      </c>
      <c r="E13" s="180">
        <v>-51.360999999999997</v>
      </c>
      <c r="F13" s="180">
        <v>-56.148000000000003</v>
      </c>
      <c r="G13" s="180">
        <v>-57.148000000000003</v>
      </c>
      <c r="H13" s="180">
        <v>-54.831000000000003</v>
      </c>
      <c r="I13" s="180">
        <v>-55.165999999999997</v>
      </c>
      <c r="J13" s="180">
        <v>-55.402999999999999</v>
      </c>
      <c r="K13" s="180">
        <v>-57.564</v>
      </c>
      <c r="L13" s="180">
        <v>-57.337000000000003</v>
      </c>
      <c r="M13" s="180">
        <v>-59.566000000000003</v>
      </c>
      <c r="N13" s="180">
        <v>-60.597000000000001</v>
      </c>
      <c r="O13" s="180">
        <v>-62.744999999999997</v>
      </c>
      <c r="P13" s="180">
        <v>-69.870999999999995</v>
      </c>
    </row>
    <row r="14" spans="2:18" ht="15" x14ac:dyDescent="0.25">
      <c r="B14" s="7" t="s">
        <v>22</v>
      </c>
      <c r="C14" s="180">
        <v>0.86799999999999999</v>
      </c>
      <c r="D14" s="180">
        <v>0.76</v>
      </c>
      <c r="E14" s="180">
        <v>1.292</v>
      </c>
      <c r="F14" s="180">
        <v>1.98</v>
      </c>
      <c r="G14" s="180">
        <v>1.6559999999999999</v>
      </c>
      <c r="H14" s="180">
        <v>1.528</v>
      </c>
      <c r="I14" s="180">
        <v>2.0550000000000002</v>
      </c>
      <c r="J14" s="180">
        <v>2.056</v>
      </c>
      <c r="K14" s="180">
        <v>1.6639999999999999</v>
      </c>
      <c r="L14" s="180">
        <v>1.885</v>
      </c>
      <c r="M14" s="180">
        <v>1.78</v>
      </c>
      <c r="N14" s="180">
        <v>1.994</v>
      </c>
      <c r="O14" s="180">
        <v>1.748</v>
      </c>
      <c r="P14" s="180">
        <v>1.589</v>
      </c>
    </row>
    <row r="15" spans="2:18" ht="15" x14ac:dyDescent="0.25">
      <c r="B15" s="7" t="s">
        <v>23</v>
      </c>
      <c r="C15" s="180">
        <v>4.4790000000000001</v>
      </c>
      <c r="D15" s="180">
        <v>4.1859999999999999</v>
      </c>
      <c r="E15" s="180">
        <v>-0.48599999999999999</v>
      </c>
      <c r="F15" s="180">
        <v>6.9630000000000001</v>
      </c>
      <c r="G15" s="180">
        <v>3.4009999999999998</v>
      </c>
      <c r="H15" s="180">
        <v>1.5609999999999999</v>
      </c>
      <c r="I15" s="180">
        <v>4.3040000000000003</v>
      </c>
      <c r="J15" s="180">
        <v>-0.106</v>
      </c>
      <c r="K15" s="180">
        <v>-1.2150000000000001</v>
      </c>
      <c r="L15" s="180">
        <v>2.4369999999999998</v>
      </c>
      <c r="M15" s="180">
        <v>5.3689999999999998</v>
      </c>
      <c r="N15" s="180">
        <v>0.70899999999999996</v>
      </c>
      <c r="O15" s="180">
        <v>-0.52200000000000002</v>
      </c>
      <c r="P15" s="180">
        <v>6.6109999999999998</v>
      </c>
    </row>
    <row r="16" spans="2:18" ht="15" x14ac:dyDescent="0.25">
      <c r="B16" s="6" t="s">
        <v>24</v>
      </c>
      <c r="C16" s="181">
        <v>-39.225000000000001</v>
      </c>
      <c r="D16" s="181">
        <v>-44.640999999999998</v>
      </c>
      <c r="E16" s="181">
        <v>-50.555</v>
      </c>
      <c r="F16" s="181">
        <v>-47.204999999999998</v>
      </c>
      <c r="G16" s="181">
        <v>-52.091000000000001</v>
      </c>
      <c r="H16" s="181">
        <v>-51.741999999999997</v>
      </c>
      <c r="I16" s="181">
        <v>-48.807000000000002</v>
      </c>
      <c r="J16" s="181">
        <v>-53.453000000000003</v>
      </c>
      <c r="K16" s="181">
        <v>-57.115000000000002</v>
      </c>
      <c r="L16" s="181">
        <v>-53.015000000000001</v>
      </c>
      <c r="M16" s="181">
        <v>-52.417000000000002</v>
      </c>
      <c r="N16" s="181">
        <v>-57.893999999999998</v>
      </c>
      <c r="O16" s="181">
        <v>-61.518999999999998</v>
      </c>
      <c r="P16" s="181">
        <v>-61.670999999999999</v>
      </c>
    </row>
    <row r="17" spans="2:16" ht="15" x14ac:dyDescent="0.25">
      <c r="B17" s="6" t="s">
        <v>25</v>
      </c>
      <c r="C17" s="181">
        <v>677.42</v>
      </c>
      <c r="D17" s="181">
        <v>809.13199999999995</v>
      </c>
      <c r="E17" s="181">
        <v>846.66700000000003</v>
      </c>
      <c r="F17" s="181">
        <v>671.53099999999995</v>
      </c>
      <c r="G17" s="181">
        <v>700.39</v>
      </c>
      <c r="H17" s="181">
        <v>811.55600000000004</v>
      </c>
      <c r="I17" s="181">
        <v>847.92100000000005</v>
      </c>
      <c r="J17" s="181">
        <v>685.197</v>
      </c>
      <c r="K17" s="181">
        <v>684.351</v>
      </c>
      <c r="L17" s="181">
        <v>861.45500000000004</v>
      </c>
      <c r="M17" s="181">
        <v>923.65</v>
      </c>
      <c r="N17" s="181">
        <v>770.71500000000003</v>
      </c>
      <c r="O17" s="181">
        <v>780.08900000000006</v>
      </c>
      <c r="P17" s="181">
        <v>924.07500000000005</v>
      </c>
    </row>
    <row r="18" spans="2:16" ht="15" x14ac:dyDescent="0.25">
      <c r="B18" s="5" t="s">
        <v>26</v>
      </c>
      <c r="C18" s="180">
        <v>160.535</v>
      </c>
      <c r="D18" s="180">
        <v>181.767</v>
      </c>
      <c r="E18" s="180">
        <v>196.84</v>
      </c>
      <c r="F18" s="180">
        <v>119.027</v>
      </c>
      <c r="G18" s="180">
        <v>153.15199999999999</v>
      </c>
      <c r="H18" s="180">
        <v>188.708</v>
      </c>
      <c r="I18" s="180">
        <v>182.45699999999999</v>
      </c>
      <c r="J18" s="180">
        <v>134.06700000000001</v>
      </c>
      <c r="K18" s="180">
        <v>145.86600000000001</v>
      </c>
      <c r="L18" s="180">
        <v>192.86</v>
      </c>
      <c r="M18" s="180">
        <v>197.75399999999999</v>
      </c>
      <c r="N18" s="180">
        <v>165.482</v>
      </c>
      <c r="O18" s="180">
        <v>175.90799999999999</v>
      </c>
      <c r="P18" s="180">
        <v>209.011</v>
      </c>
    </row>
    <row r="19" spans="2:16" ht="15" x14ac:dyDescent="0.25">
      <c r="B19" s="6" t="s">
        <v>27</v>
      </c>
      <c r="C19" s="181">
        <v>516.88499999999999</v>
      </c>
      <c r="D19" s="181">
        <v>627.36500000000001</v>
      </c>
      <c r="E19" s="181">
        <v>649.827</v>
      </c>
      <c r="F19" s="181">
        <v>552.50400000000002</v>
      </c>
      <c r="G19" s="181">
        <v>547.23800000000006</v>
      </c>
      <c r="H19" s="181">
        <v>622.84799999999996</v>
      </c>
      <c r="I19" s="181">
        <v>665.46400000000006</v>
      </c>
      <c r="J19" s="181">
        <v>551.13</v>
      </c>
      <c r="K19" s="181">
        <v>538.48500000000001</v>
      </c>
      <c r="L19" s="181">
        <v>668.59500000000003</v>
      </c>
      <c r="M19" s="181">
        <v>725.89599999999996</v>
      </c>
      <c r="N19" s="181">
        <v>605.23299999999995</v>
      </c>
      <c r="O19" s="181">
        <v>604.18100000000004</v>
      </c>
      <c r="P19" s="181">
        <v>715.06399999999996</v>
      </c>
    </row>
    <row r="21" spans="2:16" ht="15" x14ac:dyDescent="0.25">
      <c r="B21" s="5" t="s">
        <v>28</v>
      </c>
      <c r="C21" s="182">
        <v>0.56000000000000005</v>
      </c>
      <c r="D21" s="182">
        <v>0.69</v>
      </c>
      <c r="E21" s="182">
        <v>0.72</v>
      </c>
      <c r="F21" s="182">
        <v>0.62</v>
      </c>
      <c r="G21" s="182">
        <v>0.62</v>
      </c>
      <c r="H21" s="182">
        <v>0.71</v>
      </c>
      <c r="I21" s="182">
        <v>0.76</v>
      </c>
      <c r="J21" s="182">
        <v>0.64</v>
      </c>
      <c r="K21" s="182">
        <v>0.63</v>
      </c>
      <c r="L21" s="182">
        <v>0.78</v>
      </c>
      <c r="M21" s="182">
        <v>0.86</v>
      </c>
      <c r="N21" s="182">
        <v>0.72</v>
      </c>
      <c r="O21" s="182">
        <v>0.72</v>
      </c>
      <c r="P21" s="182">
        <v>0.87</v>
      </c>
    </row>
    <row r="22" spans="2:16" ht="15" x14ac:dyDescent="0.25">
      <c r="B22" s="5" t="s">
        <v>29</v>
      </c>
      <c r="C22" s="180">
        <v>927.6</v>
      </c>
      <c r="D22" s="180">
        <v>912.255</v>
      </c>
      <c r="E22" s="180">
        <v>901.23</v>
      </c>
      <c r="F22" s="180">
        <v>888</v>
      </c>
      <c r="G22" s="180">
        <v>885.255</v>
      </c>
      <c r="H22" s="180">
        <v>880.18200000000002</v>
      </c>
      <c r="I22" s="180">
        <v>869.971</v>
      </c>
      <c r="J22" s="180">
        <v>865.101</v>
      </c>
      <c r="K22" s="180">
        <v>859.56399999999996</v>
      </c>
      <c r="L22" s="180">
        <v>854.00300000000004</v>
      </c>
      <c r="M22" s="180">
        <v>848.29200000000003</v>
      </c>
      <c r="N22" s="180">
        <v>844.23900000000003</v>
      </c>
      <c r="O22" s="180">
        <v>838.57799999999997</v>
      </c>
      <c r="P22" s="180">
        <v>825.197</v>
      </c>
    </row>
    <row r="23" spans="2:16" ht="15" x14ac:dyDescent="0.25">
      <c r="B23" s="5" t="s">
        <v>30</v>
      </c>
      <c r="C23" s="182">
        <v>0.55000000000000004</v>
      </c>
      <c r="D23" s="182">
        <v>0.68</v>
      </c>
      <c r="E23" s="182">
        <v>0.71</v>
      </c>
      <c r="F23" s="182">
        <v>0.62</v>
      </c>
      <c r="G23" s="182">
        <v>0.61</v>
      </c>
      <c r="H23" s="182">
        <v>0.7</v>
      </c>
      <c r="I23" s="182">
        <v>0.76</v>
      </c>
      <c r="J23" s="182">
        <v>0.63</v>
      </c>
      <c r="K23" s="182">
        <v>0.62</v>
      </c>
      <c r="L23" s="182">
        <v>0.78</v>
      </c>
      <c r="M23" s="182">
        <v>0.85</v>
      </c>
      <c r="N23" s="182">
        <v>0.71</v>
      </c>
      <c r="O23" s="182">
        <v>0.72</v>
      </c>
      <c r="P23" s="182">
        <v>0.86</v>
      </c>
    </row>
    <row r="24" spans="2:16" ht="15" x14ac:dyDescent="0.25">
      <c r="B24" s="5" t="s">
        <v>31</v>
      </c>
      <c r="C24" s="180">
        <v>935.97</v>
      </c>
      <c r="D24" s="180">
        <v>920.49</v>
      </c>
      <c r="E24" s="180">
        <v>908.85</v>
      </c>
      <c r="F24" s="180">
        <v>895.09500000000003</v>
      </c>
      <c r="G24" s="180">
        <v>891.81</v>
      </c>
      <c r="H24" s="180">
        <v>885.65499999999997</v>
      </c>
      <c r="I24" s="180">
        <v>875.02300000000002</v>
      </c>
      <c r="J24" s="180">
        <v>869.95600000000002</v>
      </c>
      <c r="K24" s="180">
        <v>864.33100000000002</v>
      </c>
      <c r="L24" s="180">
        <v>858.44</v>
      </c>
      <c r="M24" s="180">
        <v>852.70399999999995</v>
      </c>
      <c r="N24" s="180">
        <v>848.42</v>
      </c>
      <c r="O24" s="180">
        <v>842.51599999999996</v>
      </c>
      <c r="P24" s="180">
        <v>828.875</v>
      </c>
    </row>
  </sheetData>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F22"/>
  <sheetViews>
    <sheetView showGridLines="0" zoomScaleNormal="100" workbookViewId="0">
      <selection activeCell="J13" sqref="J13"/>
    </sheetView>
  </sheetViews>
  <sheetFormatPr defaultColWidth="8.7109375" defaultRowHeight="12.75" x14ac:dyDescent="0.2"/>
  <cols>
    <col min="1" max="1" width="2" customWidth="1"/>
    <col min="2" max="2" width="46" customWidth="1"/>
    <col min="3" max="6" width="13" customWidth="1"/>
  </cols>
  <sheetData>
    <row r="1" spans="2:6" ht="18.75" x14ac:dyDescent="0.3">
      <c r="B1" s="1" t="s">
        <v>32</v>
      </c>
    </row>
    <row r="2" spans="2:6" ht="15" x14ac:dyDescent="0.25">
      <c r="B2" s="2" t="s">
        <v>1</v>
      </c>
    </row>
    <row r="4" spans="2:6" ht="15" x14ac:dyDescent="0.25">
      <c r="B4" s="3"/>
      <c r="C4" s="4" t="s">
        <v>33</v>
      </c>
      <c r="D4" s="4" t="s">
        <v>34</v>
      </c>
      <c r="E4" s="4" t="s">
        <v>35</v>
      </c>
      <c r="F4" s="4" t="s">
        <v>36</v>
      </c>
    </row>
    <row r="5" spans="2:6" ht="15" x14ac:dyDescent="0.25">
      <c r="C5" s="8">
        <v>45291</v>
      </c>
      <c r="D5" s="8">
        <v>45657</v>
      </c>
      <c r="E5" s="8">
        <v>46022</v>
      </c>
      <c r="F5" s="8">
        <v>46203</v>
      </c>
    </row>
    <row r="6" spans="2:6" ht="15" x14ac:dyDescent="0.25">
      <c r="B6" s="188" t="s">
        <v>16</v>
      </c>
      <c r="C6" s="183">
        <v>15812.25</v>
      </c>
      <c r="D6" s="183">
        <v>16708.478999999999</v>
      </c>
      <c r="E6" s="183">
        <v>17781.991999999998</v>
      </c>
      <c r="F6" s="183">
        <v>18572.562000000002</v>
      </c>
    </row>
    <row r="7" spans="2:6" ht="15" x14ac:dyDescent="0.25">
      <c r="B7" s="5" t="s">
        <v>17</v>
      </c>
      <c r="C7" s="180">
        <v>7707.4470000000001</v>
      </c>
      <c r="D7" s="180">
        <v>8153.99</v>
      </c>
      <c r="E7" s="180">
        <v>8607.8510000000006</v>
      </c>
      <c r="F7" s="180">
        <v>8982.4930000000004</v>
      </c>
    </row>
    <row r="8" spans="2:6" ht="15" x14ac:dyDescent="0.25">
      <c r="B8" s="6" t="s">
        <v>18</v>
      </c>
      <c r="C8" s="181">
        <v>8104.8029999999999</v>
      </c>
      <c r="D8" s="181">
        <v>8554.4889999999996</v>
      </c>
      <c r="E8" s="181">
        <v>9174.1409999999996</v>
      </c>
      <c r="F8" s="181">
        <v>9590.0689999999995</v>
      </c>
    </row>
    <row r="9" spans="2:6" ht="15" x14ac:dyDescent="0.25">
      <c r="B9" s="5" t="s">
        <v>19</v>
      </c>
      <c r="C9" s="180">
        <v>4918.4269999999997</v>
      </c>
      <c r="D9" s="180">
        <v>5303.3320000000003</v>
      </c>
      <c r="E9" s="180">
        <v>5713.5290000000005</v>
      </c>
      <c r="F9" s="180">
        <v>5958.0389999999998</v>
      </c>
    </row>
    <row r="10" spans="2:6" ht="15" x14ac:dyDescent="0.25">
      <c r="B10" s="6" t="s">
        <v>20</v>
      </c>
      <c r="C10" s="181">
        <v>3186.3760000000002</v>
      </c>
      <c r="D10" s="181">
        <v>3251.1570000000002</v>
      </c>
      <c r="E10" s="181">
        <v>3460.6120000000001</v>
      </c>
      <c r="F10" s="181">
        <v>3632.03</v>
      </c>
    </row>
    <row r="11" spans="2:6" ht="15" x14ac:dyDescent="0.25">
      <c r="B11" s="7" t="s">
        <v>21</v>
      </c>
      <c r="C11" s="180">
        <v>-201.66800000000001</v>
      </c>
      <c r="D11" s="180">
        <v>-222.548</v>
      </c>
      <c r="E11" s="180">
        <v>-235.06399999999999</v>
      </c>
      <c r="F11" s="180">
        <v>-252.779</v>
      </c>
    </row>
    <row r="12" spans="2:6" ht="15" x14ac:dyDescent="0.25">
      <c r="B12" s="7" t="s">
        <v>22</v>
      </c>
      <c r="C12" s="180">
        <v>4.9000000000000004</v>
      </c>
      <c r="D12" s="180">
        <v>7.2949999999999999</v>
      </c>
      <c r="E12" s="180">
        <v>7.3230000000000004</v>
      </c>
      <c r="F12" s="180">
        <v>7.1109999999999998</v>
      </c>
    </row>
    <row r="13" spans="2:6" ht="15" x14ac:dyDescent="0.25">
      <c r="B13" s="7" t="s">
        <v>23</v>
      </c>
      <c r="C13" s="180">
        <v>15.141999999999999</v>
      </c>
      <c r="D13" s="180">
        <v>9.16</v>
      </c>
      <c r="E13" s="180">
        <v>7.3</v>
      </c>
      <c r="F13" s="180">
        <v>12.167</v>
      </c>
    </row>
    <row r="14" spans="2:6" ht="15" x14ac:dyDescent="0.25">
      <c r="B14" s="6" t="s">
        <v>24</v>
      </c>
      <c r="C14" s="181">
        <v>-181.626</v>
      </c>
      <c r="D14" s="181">
        <v>-206.09299999999999</v>
      </c>
      <c r="E14" s="181">
        <v>-220.441</v>
      </c>
      <c r="F14" s="181">
        <v>-233.501</v>
      </c>
    </row>
    <row r="15" spans="2:6" ht="15" x14ac:dyDescent="0.25">
      <c r="B15" s="6" t="s">
        <v>25</v>
      </c>
      <c r="C15" s="181">
        <v>3004.75</v>
      </c>
      <c r="D15" s="181">
        <v>3045.0639999999999</v>
      </c>
      <c r="E15" s="181">
        <v>3240.1709999999998</v>
      </c>
      <c r="F15" s="181">
        <v>3398.529</v>
      </c>
    </row>
    <row r="16" spans="2:6" ht="15" x14ac:dyDescent="0.25">
      <c r="B16" s="5" t="s">
        <v>26</v>
      </c>
      <c r="C16" s="180">
        <v>658.16899999999998</v>
      </c>
      <c r="D16" s="180">
        <v>658.38400000000001</v>
      </c>
      <c r="E16" s="180">
        <v>701.96199999999999</v>
      </c>
      <c r="F16" s="180">
        <v>748.15499999999997</v>
      </c>
    </row>
    <row r="17" spans="2:6" ht="15" x14ac:dyDescent="0.25">
      <c r="B17" s="6" t="s">
        <v>27</v>
      </c>
      <c r="C17" s="181">
        <v>2346.5810000000001</v>
      </c>
      <c r="D17" s="181">
        <v>2386.6799999999998</v>
      </c>
      <c r="E17" s="181">
        <v>2538.2089999999998</v>
      </c>
      <c r="F17" s="181">
        <v>2650.3739999999998</v>
      </c>
    </row>
    <row r="19" spans="2:6" ht="15" x14ac:dyDescent="0.25">
      <c r="B19" s="5" t="s">
        <v>28</v>
      </c>
      <c r="C19" s="182">
        <v>2.59</v>
      </c>
      <c r="D19" s="182">
        <v>2.73</v>
      </c>
      <c r="E19" s="182">
        <v>2.98</v>
      </c>
      <c r="F19" s="182">
        <v>3.17</v>
      </c>
    </row>
    <row r="20" spans="2:6" ht="15" x14ac:dyDescent="0.25">
      <c r="B20" s="5" t="s">
        <v>29</v>
      </c>
      <c r="C20" s="180">
        <v>907.13099999999997</v>
      </c>
      <c r="D20" s="180">
        <v>875.08199999999999</v>
      </c>
      <c r="E20" s="180">
        <v>851.47199999999998</v>
      </c>
      <c r="F20" s="180">
        <v>839.077</v>
      </c>
    </row>
    <row r="21" spans="2:6" ht="15" x14ac:dyDescent="0.25">
      <c r="B21" s="5" t="s">
        <v>30</v>
      </c>
      <c r="C21" s="182">
        <v>2.56</v>
      </c>
      <c r="D21" s="182">
        <v>2.71</v>
      </c>
      <c r="E21" s="182">
        <v>2.97</v>
      </c>
      <c r="F21" s="182">
        <v>3.14</v>
      </c>
    </row>
    <row r="22" spans="2:6" ht="15" x14ac:dyDescent="0.25">
      <c r="B22" s="5" t="s">
        <v>31</v>
      </c>
      <c r="C22" s="180">
        <v>914.976</v>
      </c>
      <c r="D22" s="180">
        <v>880.572</v>
      </c>
      <c r="E22" s="180">
        <v>855.91899999999998</v>
      </c>
      <c r="F22" s="180">
        <v>843.12900000000002</v>
      </c>
    </row>
  </sheetData>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F42"/>
  <sheetViews>
    <sheetView showGridLines="0" zoomScaleNormal="100" workbookViewId="0">
      <selection activeCell="E46" sqref="E46"/>
    </sheetView>
  </sheetViews>
  <sheetFormatPr defaultColWidth="8.7109375" defaultRowHeight="12.75" x14ac:dyDescent="0.2"/>
  <cols>
    <col min="1" max="1" width="2" customWidth="1"/>
    <col min="2" max="2" width="46" customWidth="1"/>
    <col min="3" max="6" width="13" customWidth="1"/>
  </cols>
  <sheetData>
    <row r="1" spans="2:6" ht="18.75" x14ac:dyDescent="0.3">
      <c r="B1" s="1" t="s">
        <v>37</v>
      </c>
    </row>
    <row r="2" spans="2:6" ht="15" x14ac:dyDescent="0.25">
      <c r="B2" s="2" t="s">
        <v>1</v>
      </c>
    </row>
    <row r="4" spans="2:6" ht="15" x14ac:dyDescent="0.25">
      <c r="B4" s="3"/>
      <c r="C4" s="4" t="s">
        <v>33</v>
      </c>
      <c r="D4" s="4" t="s">
        <v>34</v>
      </c>
      <c r="E4" s="4" t="s">
        <v>35</v>
      </c>
      <c r="F4" s="4" t="s">
        <v>36</v>
      </c>
    </row>
    <row r="5" spans="2:6" ht="15" x14ac:dyDescent="0.25">
      <c r="C5" s="8">
        <v>45291</v>
      </c>
      <c r="D5" s="8">
        <v>45657</v>
      </c>
      <c r="E5" s="8">
        <v>46022</v>
      </c>
      <c r="F5" s="8">
        <v>46203</v>
      </c>
    </row>
    <row r="6" spans="2:6" ht="15" x14ac:dyDescent="0.25">
      <c r="B6" s="6" t="s">
        <v>38</v>
      </c>
    </row>
    <row r="7" spans="2:6" ht="15" x14ac:dyDescent="0.25">
      <c r="B7" s="5" t="s">
        <v>39</v>
      </c>
      <c r="C7" s="180">
        <v>279.13200000000001</v>
      </c>
      <c r="D7" s="180">
        <v>130.245</v>
      </c>
      <c r="E7" s="180">
        <v>193.79300000000001</v>
      </c>
      <c r="F7" s="180">
        <v>262.18099999999998</v>
      </c>
    </row>
    <row r="8" spans="2:6" ht="15" x14ac:dyDescent="0.25">
      <c r="B8" s="5" t="s">
        <v>40</v>
      </c>
      <c r="C8" s="180">
        <v>375.04899999999998</v>
      </c>
      <c r="D8" s="180">
        <v>356.839</v>
      </c>
      <c r="E8" s="180">
        <v>389.79300000000001</v>
      </c>
      <c r="F8" s="180">
        <v>457.78500000000003</v>
      </c>
    </row>
    <row r="9" spans="2:6" ht="15" x14ac:dyDescent="0.25">
      <c r="B9" s="5" t="s">
        <v>41</v>
      </c>
      <c r="C9" s="180">
        <v>140.44300000000001</v>
      </c>
      <c r="D9" s="180">
        <v>139.09100000000001</v>
      </c>
      <c r="E9" s="180">
        <v>159.9</v>
      </c>
      <c r="F9" s="180">
        <v>170.72800000000001</v>
      </c>
    </row>
    <row r="10" spans="2:6" ht="15" x14ac:dyDescent="0.25">
      <c r="B10" s="5" t="s">
        <v>42</v>
      </c>
      <c r="C10" s="180">
        <v>4658.3670000000002</v>
      </c>
      <c r="D10" s="180">
        <v>5095.8040000000001</v>
      </c>
      <c r="E10" s="180">
        <v>5731.3850000000002</v>
      </c>
      <c r="F10" s="180">
        <v>5971.8559999999998</v>
      </c>
    </row>
    <row r="11" spans="2:6" ht="15" x14ac:dyDescent="0.25">
      <c r="B11" s="5" t="s">
        <v>43</v>
      </c>
      <c r="C11" s="180">
        <v>105.31100000000001</v>
      </c>
      <c r="D11" s="180">
        <v>117.916</v>
      </c>
      <c r="E11" s="180">
        <v>269.40600000000001</v>
      </c>
      <c r="F11" s="180">
        <v>337.08199999999999</v>
      </c>
    </row>
    <row r="12" spans="2:6" ht="15" x14ac:dyDescent="0.25">
      <c r="B12" s="6" t="s">
        <v>44</v>
      </c>
      <c r="C12" s="181">
        <f t="shared" ref="C12:E12" si="0">SUM(C7:C11)</f>
        <v>5558.3019999999997</v>
      </c>
      <c r="D12" s="181">
        <f t="shared" si="0"/>
        <v>5839.8950000000004</v>
      </c>
      <c r="E12" s="181">
        <f t="shared" si="0"/>
        <v>6744.277</v>
      </c>
      <c r="F12" s="181">
        <f>SUM(F7:F11)</f>
        <v>7199.6319999999996</v>
      </c>
    </row>
    <row r="13" spans="2:6" ht="15" x14ac:dyDescent="0.25">
      <c r="B13" s="7" t="s">
        <v>45</v>
      </c>
      <c r="C13" s="190">
        <v>8312.3670000000002</v>
      </c>
      <c r="D13" s="190">
        <v>9192.2540000000008</v>
      </c>
      <c r="E13" s="190">
        <v>10222.249</v>
      </c>
      <c r="F13" s="190">
        <v>10741.816000000001</v>
      </c>
    </row>
    <row r="14" spans="2:6" ht="15" x14ac:dyDescent="0.25">
      <c r="B14" s="7" t="s">
        <v>46</v>
      </c>
      <c r="C14" s="191">
        <v>3275.3870000000002</v>
      </c>
      <c r="D14" s="191">
        <v>3587.098</v>
      </c>
      <c r="E14" s="191">
        <v>3964.8240000000001</v>
      </c>
      <c r="F14" s="191">
        <v>4191.5709999999999</v>
      </c>
    </row>
    <row r="15" spans="2:6" ht="15" x14ac:dyDescent="0.25">
      <c r="B15" s="5" t="s">
        <v>47</v>
      </c>
      <c r="C15" s="180">
        <v>5036.9799999999996</v>
      </c>
      <c r="D15" s="180">
        <v>5605.1559999999999</v>
      </c>
      <c r="E15" s="180">
        <v>6257.4250000000002</v>
      </c>
      <c r="F15" s="180">
        <v>6550.2449999999999</v>
      </c>
    </row>
    <row r="16" spans="2:6" ht="15" x14ac:dyDescent="0.25">
      <c r="B16" s="5" t="s">
        <v>48</v>
      </c>
      <c r="C16" s="180">
        <v>2200.5540000000001</v>
      </c>
      <c r="D16" s="180">
        <v>2324.6379999999999</v>
      </c>
      <c r="E16" s="180">
        <v>2391.15</v>
      </c>
      <c r="F16" s="180">
        <v>2484.413</v>
      </c>
    </row>
    <row r="17" spans="2:6" ht="15" x14ac:dyDescent="0.25">
      <c r="B17" s="5" t="s">
        <v>49</v>
      </c>
      <c r="C17" s="180">
        <v>897.69600000000003</v>
      </c>
      <c r="D17" s="180">
        <v>930.16099999999994</v>
      </c>
      <c r="E17" s="180">
        <v>948.20799999999997</v>
      </c>
      <c r="F17" s="180">
        <v>955.21100000000001</v>
      </c>
    </row>
    <row r="18" spans="2:6" ht="15" x14ac:dyDescent="0.25">
      <c r="B18" s="5" t="s">
        <v>50</v>
      </c>
      <c r="C18" s="180">
        <v>179.46299999999999</v>
      </c>
      <c r="D18" s="180">
        <v>193.89099999999999</v>
      </c>
      <c r="E18" s="180">
        <v>197.19300000000001</v>
      </c>
      <c r="F18" s="180">
        <v>199.61500000000001</v>
      </c>
    </row>
    <row r="19" spans="2:6" ht="15" x14ac:dyDescent="0.25">
      <c r="B19" s="6" t="s">
        <v>51</v>
      </c>
      <c r="C19" s="181">
        <f>SUM(C12,C15:C18)</f>
        <v>13872.994999999999</v>
      </c>
      <c r="D19" s="181">
        <f t="shared" ref="D19:F19" si="1">SUM(D12,D15:D18)</f>
        <v>14893.740999999998</v>
      </c>
      <c r="E19" s="181">
        <f t="shared" si="1"/>
        <v>16538.253000000001</v>
      </c>
      <c r="F19" s="181">
        <f t="shared" si="1"/>
        <v>17389.116000000002</v>
      </c>
    </row>
    <row r="20" spans="2:6" x14ac:dyDescent="0.2">
      <c r="C20" s="189"/>
      <c r="D20" s="189"/>
      <c r="E20" s="189"/>
      <c r="F20" s="189"/>
    </row>
    <row r="21" spans="2:6" ht="15" x14ac:dyDescent="0.25">
      <c r="B21" s="6" t="s">
        <v>52</v>
      </c>
      <c r="C21" s="189"/>
      <c r="D21" s="189"/>
      <c r="E21" s="189"/>
      <c r="F21" s="189"/>
    </row>
    <row r="22" spans="2:6" ht="15" x14ac:dyDescent="0.25">
      <c r="B22" s="5" t="s">
        <v>53</v>
      </c>
      <c r="C22" s="180">
        <v>6091.7</v>
      </c>
      <c r="D22" s="180">
        <v>6524.8109999999997</v>
      </c>
      <c r="E22" s="180">
        <v>7103.6840000000002</v>
      </c>
      <c r="F22" s="180">
        <v>7384.9579999999996</v>
      </c>
    </row>
    <row r="23" spans="2:6" ht="15" x14ac:dyDescent="0.25">
      <c r="B23" s="5" t="s">
        <v>54</v>
      </c>
      <c r="C23" s="180">
        <v>128.548</v>
      </c>
      <c r="D23" s="180">
        <v>149.387</v>
      </c>
      <c r="E23" s="180">
        <v>297.30399999999997</v>
      </c>
      <c r="F23" s="180">
        <v>214.31100000000001</v>
      </c>
    </row>
    <row r="24" spans="2:6" ht="15" x14ac:dyDescent="0.25">
      <c r="B24" s="5" t="s">
        <v>55</v>
      </c>
      <c r="C24" s="180">
        <v>138.12200000000001</v>
      </c>
      <c r="D24" s="180">
        <v>107.495</v>
      </c>
      <c r="E24" s="180">
        <v>119.60299999999999</v>
      </c>
      <c r="F24" s="180">
        <v>176.17400000000001</v>
      </c>
    </row>
    <row r="25" spans="2:6" ht="15" x14ac:dyDescent="0.25">
      <c r="B25" s="5" t="s">
        <v>56</v>
      </c>
      <c r="C25" s="180">
        <v>174.65</v>
      </c>
      <c r="D25" s="180">
        <v>199.59299999999999</v>
      </c>
      <c r="E25" s="180">
        <v>240.072</v>
      </c>
      <c r="F25" s="180">
        <v>275.49299999999999</v>
      </c>
    </row>
    <row r="26" spans="2:6" ht="15" x14ac:dyDescent="0.25">
      <c r="B26" s="5" t="s">
        <v>57</v>
      </c>
      <c r="C26" s="180">
        <v>7.86</v>
      </c>
      <c r="D26" s="180">
        <v>6.274</v>
      </c>
      <c r="E26" s="180">
        <v>13.957000000000001</v>
      </c>
      <c r="F26" s="180">
        <v>0</v>
      </c>
    </row>
    <row r="27" spans="2:6" ht="15" x14ac:dyDescent="0.25">
      <c r="B27" s="5" t="s">
        <v>58</v>
      </c>
      <c r="C27" s="180">
        <v>389.536</v>
      </c>
      <c r="D27" s="180">
        <v>419.21300000000002</v>
      </c>
      <c r="E27" s="180">
        <v>439.90699999999998</v>
      </c>
      <c r="F27" s="180">
        <v>452.27499999999998</v>
      </c>
    </row>
    <row r="28" spans="2:6" ht="15" x14ac:dyDescent="0.25">
      <c r="B28" s="5" t="s">
        <v>59</v>
      </c>
      <c r="C28" s="180">
        <v>730.93700000000001</v>
      </c>
      <c r="D28" s="180">
        <v>876.73199999999997</v>
      </c>
      <c r="E28" s="180">
        <v>561.29399999999998</v>
      </c>
      <c r="F28" s="180">
        <v>1071.463</v>
      </c>
    </row>
    <row r="29" spans="2:6" ht="15" x14ac:dyDescent="0.25">
      <c r="B29" s="6" t="s">
        <v>60</v>
      </c>
      <c r="C29" s="181">
        <f>SUM(C22:C28)</f>
        <v>7661.3529999999992</v>
      </c>
      <c r="D29" s="181">
        <f t="shared" ref="D29:F29" si="2">SUM(D22:D28)</f>
        <v>8283.5049999999992</v>
      </c>
      <c r="E29" s="181">
        <f t="shared" si="2"/>
        <v>8775.8209999999999</v>
      </c>
      <c r="F29" s="181">
        <f t="shared" si="2"/>
        <v>9574.6739999999991</v>
      </c>
    </row>
    <row r="30" spans="2:6" ht="15" x14ac:dyDescent="0.25">
      <c r="B30" s="5" t="s">
        <v>61</v>
      </c>
      <c r="C30" s="180">
        <v>5570.125</v>
      </c>
      <c r="D30" s="180">
        <v>5520.9319999999998</v>
      </c>
      <c r="E30" s="180">
        <v>6016.9040000000005</v>
      </c>
      <c r="F30" s="180">
        <v>7014.5429999999997</v>
      </c>
    </row>
    <row r="31" spans="2:6" ht="15" x14ac:dyDescent="0.25">
      <c r="B31" s="5" t="s">
        <v>62</v>
      </c>
      <c r="C31" s="180">
        <v>1881.3440000000001</v>
      </c>
      <c r="D31" s="180">
        <v>1980.7049999999999</v>
      </c>
      <c r="E31" s="180">
        <v>2034.6880000000001</v>
      </c>
      <c r="F31" s="180">
        <v>2120.6149999999998</v>
      </c>
    </row>
    <row r="32" spans="2:6" ht="15" x14ac:dyDescent="0.25">
      <c r="B32" s="5" t="s">
        <v>63</v>
      </c>
      <c r="C32" s="180">
        <v>295.471</v>
      </c>
      <c r="D32" s="180">
        <v>247.59899999999999</v>
      </c>
      <c r="E32" s="180">
        <v>211.21</v>
      </c>
      <c r="F32" s="180">
        <v>238.61500000000001</v>
      </c>
    </row>
    <row r="33" spans="2:6" ht="15" x14ac:dyDescent="0.25">
      <c r="B33" s="5" t="s">
        <v>64</v>
      </c>
      <c r="C33" s="180">
        <v>203.98</v>
      </c>
      <c r="D33" s="180">
        <v>231.96100000000001</v>
      </c>
      <c r="E33" s="180">
        <v>262.98200000000003</v>
      </c>
      <c r="F33" s="180">
        <v>276.39400000000001</v>
      </c>
    </row>
    <row r="34" spans="2:6" ht="15" x14ac:dyDescent="0.25">
      <c r="B34" s="6" t="s">
        <v>65</v>
      </c>
      <c r="C34" s="181">
        <f>SUM(C29,C30:C33)</f>
        <v>15612.272999999999</v>
      </c>
      <c r="D34" s="181">
        <f t="shared" ref="D34:F34" si="3">SUM(D29,D30:D33)</f>
        <v>16264.701999999997</v>
      </c>
      <c r="E34" s="181">
        <f t="shared" si="3"/>
        <v>17301.605</v>
      </c>
      <c r="F34" s="181">
        <f t="shared" si="3"/>
        <v>19224.840999999997</v>
      </c>
    </row>
    <row r="35" spans="2:6" x14ac:dyDescent="0.2">
      <c r="C35" s="189"/>
      <c r="D35" s="189"/>
      <c r="E35" s="189"/>
      <c r="F35" s="189"/>
    </row>
    <row r="36" spans="2:6" ht="15" x14ac:dyDescent="0.25">
      <c r="B36" s="6" t="s">
        <v>66</v>
      </c>
      <c r="C36" s="189"/>
      <c r="D36" s="189"/>
      <c r="E36" s="189"/>
      <c r="F36" s="189"/>
    </row>
    <row r="37" spans="2:6" ht="15" x14ac:dyDescent="0.25">
      <c r="B37" s="5" t="s">
        <v>67</v>
      </c>
      <c r="C37" s="180">
        <v>0.59099999999999997</v>
      </c>
      <c r="D37" s="180">
        <v>8.6219999999999999</v>
      </c>
      <c r="E37" s="180">
        <v>8.4190000000000005</v>
      </c>
      <c r="F37" s="180">
        <v>8.1620000000000008</v>
      </c>
    </row>
    <row r="38" spans="2:6" ht="15" x14ac:dyDescent="0.25">
      <c r="B38" s="5" t="s">
        <v>68</v>
      </c>
      <c r="C38" s="180">
        <v>1352.2750000000001</v>
      </c>
      <c r="D38" s="180">
        <v>1454.518</v>
      </c>
      <c r="E38" s="180">
        <v>1530.2919999999999</v>
      </c>
      <c r="F38" s="180">
        <v>1536.9549999999999</v>
      </c>
    </row>
    <row r="39" spans="2:6" ht="15" x14ac:dyDescent="0.25">
      <c r="B39" s="5" t="s">
        <v>69</v>
      </c>
      <c r="C39" s="180">
        <v>-3131.5320000000002</v>
      </c>
      <c r="D39" s="180">
        <v>-2791.288</v>
      </c>
      <c r="E39" s="180">
        <v>-2328.817</v>
      </c>
      <c r="F39" s="180">
        <v>-3416.4140000000002</v>
      </c>
    </row>
    <row r="40" spans="2:6" ht="15" x14ac:dyDescent="0.25">
      <c r="B40" s="5" t="s">
        <v>70</v>
      </c>
      <c r="C40" s="180">
        <v>39.387999999999998</v>
      </c>
      <c r="D40" s="180">
        <v>-42.813000000000002</v>
      </c>
      <c r="E40" s="180">
        <v>26.754000000000001</v>
      </c>
      <c r="F40" s="180">
        <v>35.572000000000003</v>
      </c>
    </row>
    <row r="41" spans="2:6" ht="15" x14ac:dyDescent="0.25">
      <c r="B41" s="6" t="s">
        <v>71</v>
      </c>
      <c r="C41" s="181">
        <f>SUM(C37:C40)</f>
        <v>-1739.2780000000002</v>
      </c>
      <c r="D41" s="181">
        <f t="shared" ref="D41:F41" si="4">SUM(D37:D40)</f>
        <v>-1370.961</v>
      </c>
      <c r="E41" s="181">
        <f t="shared" si="4"/>
        <v>-763.35199999999998</v>
      </c>
      <c r="F41" s="181">
        <f t="shared" si="4"/>
        <v>-1835.7250000000004</v>
      </c>
    </row>
    <row r="42" spans="2:6" ht="15" x14ac:dyDescent="0.25">
      <c r="B42" s="6" t="s">
        <v>72</v>
      </c>
      <c r="C42" s="181">
        <f t="shared" ref="C42:E42" si="5">C34+C41</f>
        <v>13872.994999999999</v>
      </c>
      <c r="D42" s="181">
        <f t="shared" si="5"/>
        <v>14893.740999999998</v>
      </c>
      <c r="E42" s="181">
        <f t="shared" si="5"/>
        <v>16538.253000000001</v>
      </c>
      <c r="F42" s="181">
        <f>F34+F41</f>
        <v>17389.115999999995</v>
      </c>
    </row>
  </sheetData>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P75"/>
  <sheetViews>
    <sheetView showGridLines="0" zoomScaleNormal="100" workbookViewId="0">
      <selection activeCell="H52" sqref="H52"/>
    </sheetView>
  </sheetViews>
  <sheetFormatPr defaultColWidth="8.7109375" defaultRowHeight="12.75" x14ac:dyDescent="0.2"/>
  <cols>
    <col min="1" max="1" width="2" customWidth="1"/>
    <col min="2" max="2" width="46" customWidth="1"/>
    <col min="3" max="16" width="13" customWidth="1"/>
  </cols>
  <sheetData>
    <row r="1" spans="2:16" ht="18.75" x14ac:dyDescent="0.3">
      <c r="B1" s="1" t="s">
        <v>73</v>
      </c>
    </row>
    <row r="2" spans="2:16" ht="15" x14ac:dyDescent="0.25">
      <c r="B2" s="2" t="s">
        <v>1</v>
      </c>
    </row>
    <row r="4" spans="2:16" ht="15" x14ac:dyDescent="0.25">
      <c r="B4" s="3"/>
      <c r="C4" s="4" t="s">
        <v>2</v>
      </c>
      <c r="D4" s="4" t="s">
        <v>3</v>
      </c>
      <c r="E4" s="4" t="s">
        <v>4</v>
      </c>
      <c r="F4" s="4" t="s">
        <v>5</v>
      </c>
      <c r="G4" s="4" t="s">
        <v>6</v>
      </c>
      <c r="H4" s="4" t="s">
        <v>7</v>
      </c>
      <c r="I4" s="4" t="s">
        <v>8</v>
      </c>
      <c r="J4" s="4" t="s">
        <v>9</v>
      </c>
      <c r="K4" s="4" t="s">
        <v>10</v>
      </c>
      <c r="L4" s="4" t="s">
        <v>11</v>
      </c>
      <c r="M4" s="4" t="s">
        <v>12</v>
      </c>
      <c r="N4" s="4" t="s">
        <v>13</v>
      </c>
      <c r="O4" s="4" t="s">
        <v>14</v>
      </c>
      <c r="P4" s="4" t="s">
        <v>15</v>
      </c>
    </row>
    <row r="6" spans="2:16" ht="15" x14ac:dyDescent="0.25">
      <c r="B6" s="6" t="s">
        <v>74</v>
      </c>
    </row>
    <row r="7" spans="2:16" ht="15" x14ac:dyDescent="0.25">
      <c r="B7" s="5" t="s">
        <v>27</v>
      </c>
      <c r="C7" s="180">
        <f t="shared" ref="C7:C17" si="0">C45</f>
        <v>516.88499999999999</v>
      </c>
      <c r="D7" s="180">
        <f t="shared" ref="D7:E17" si="1">D45-C45</f>
        <v>627.36500000000001</v>
      </c>
      <c r="E7" s="180">
        <f t="shared" si="1"/>
        <v>649.827</v>
      </c>
      <c r="F7" s="180">
        <f>'CF Annual'!C7-E45</f>
        <v>552.50400000000013</v>
      </c>
      <c r="G7" s="180">
        <f t="shared" ref="G7:G17" si="2">G45</f>
        <v>547.23800000000006</v>
      </c>
      <c r="H7" s="180">
        <f t="shared" ref="H7:I17" si="3">H45-G45</f>
        <v>622.84799999999996</v>
      </c>
      <c r="I7" s="180">
        <f t="shared" si="3"/>
        <v>665.46399999999994</v>
      </c>
      <c r="J7" s="180">
        <f>'CF Annual'!D7-I45</f>
        <v>551.12999999999988</v>
      </c>
      <c r="K7" s="180">
        <f t="shared" ref="K7:K17" si="4">K45</f>
        <v>538.48500000000001</v>
      </c>
      <c r="L7" s="180">
        <f t="shared" ref="L7:M17" si="5">L45-K45</f>
        <v>668.59499999999991</v>
      </c>
      <c r="M7" s="180">
        <f t="shared" si="5"/>
        <v>725.89600000000019</v>
      </c>
      <c r="N7" s="180">
        <f>'CF Annual'!E7-M45</f>
        <v>605.23299999999972</v>
      </c>
      <c r="O7" s="180">
        <f t="shared" ref="O7:O17" si="6">O45</f>
        <v>604.18100000000004</v>
      </c>
      <c r="P7" s="180">
        <f t="shared" ref="P7:P17" si="7">P45-O45</f>
        <v>715.06399999999985</v>
      </c>
    </row>
    <row r="8" spans="2:16" ht="15" x14ac:dyDescent="0.25">
      <c r="B8" s="5" t="s">
        <v>75</v>
      </c>
      <c r="C8" s="180">
        <f t="shared" si="0"/>
        <v>93.747</v>
      </c>
      <c r="D8" s="180">
        <f t="shared" si="1"/>
        <v>97.926000000000002</v>
      </c>
      <c r="E8" s="180">
        <f t="shared" si="1"/>
        <v>104.91000000000003</v>
      </c>
      <c r="F8" s="180">
        <f>'CF Annual'!C8-E46</f>
        <v>112.47799999999995</v>
      </c>
      <c r="G8" s="180">
        <f t="shared" si="2"/>
        <v>109.648</v>
      </c>
      <c r="H8" s="180">
        <f t="shared" si="3"/>
        <v>113.23699999999999</v>
      </c>
      <c r="I8" s="180">
        <f t="shared" si="3"/>
        <v>116.43900000000002</v>
      </c>
      <c r="J8" s="180">
        <f>'CF Annual'!D8-I46</f>
        <v>122.56799999999998</v>
      </c>
      <c r="K8" s="180">
        <f t="shared" si="4"/>
        <v>122.224</v>
      </c>
      <c r="L8" s="180">
        <f t="shared" si="5"/>
        <v>124.93499999999999</v>
      </c>
      <c r="M8" s="180">
        <f t="shared" si="5"/>
        <v>128.666</v>
      </c>
      <c r="N8" s="180">
        <f>'CF Annual'!E8-M46</f>
        <v>135.40500000000003</v>
      </c>
      <c r="O8" s="180">
        <f t="shared" si="6"/>
        <v>135.36099999999999</v>
      </c>
      <c r="P8" s="180">
        <f t="shared" si="7"/>
        <v>138.28199999999998</v>
      </c>
    </row>
    <row r="9" spans="2:16" ht="15" x14ac:dyDescent="0.25">
      <c r="B9" s="5" t="s">
        <v>76</v>
      </c>
      <c r="C9" s="180">
        <f t="shared" si="0"/>
        <v>1.2150000000000001</v>
      </c>
      <c r="D9" s="180">
        <f t="shared" si="1"/>
        <v>1.216</v>
      </c>
      <c r="E9" s="180">
        <f t="shared" si="1"/>
        <v>1.1659999999999999</v>
      </c>
      <c r="F9" s="180">
        <f>'CF Annual'!C9-E47</f>
        <v>1.3569999999999998</v>
      </c>
      <c r="G9" s="180">
        <f t="shared" si="2"/>
        <v>1.593</v>
      </c>
      <c r="H9" s="180">
        <f t="shared" si="3"/>
        <v>1.6080000000000001</v>
      </c>
      <c r="I9" s="180">
        <f t="shared" si="3"/>
        <v>1.669</v>
      </c>
      <c r="J9" s="180">
        <f>'CF Annual'!D9-I47</f>
        <v>1.7430000000000003</v>
      </c>
      <c r="K9" s="180">
        <f t="shared" si="4"/>
        <v>1.851</v>
      </c>
      <c r="L9" s="180">
        <f t="shared" si="5"/>
        <v>1.8159999999999998</v>
      </c>
      <c r="M9" s="180">
        <f t="shared" si="5"/>
        <v>1.835</v>
      </c>
      <c r="N9" s="180">
        <f>'CF Annual'!E9-M47</f>
        <v>1.8769999999999998</v>
      </c>
      <c r="O9" s="180">
        <f t="shared" si="6"/>
        <v>1.887</v>
      </c>
      <c r="P9" s="180">
        <f t="shared" si="7"/>
        <v>1.931</v>
      </c>
    </row>
    <row r="10" spans="2:16" ht="15" x14ac:dyDescent="0.25">
      <c r="B10" s="5" t="s">
        <v>63</v>
      </c>
      <c r="C10" s="180">
        <f t="shared" si="0"/>
        <v>3.3929999999999998</v>
      </c>
      <c r="D10" s="180">
        <f t="shared" si="1"/>
        <v>10.114000000000001</v>
      </c>
      <c r="E10" s="180">
        <f t="shared" si="1"/>
        <v>22.475000000000001</v>
      </c>
      <c r="F10" s="180">
        <f>'CF Annual'!C10-E48</f>
        <v>12.25</v>
      </c>
      <c r="G10" s="180">
        <f t="shared" si="2"/>
        <v>2.3740000000000001</v>
      </c>
      <c r="H10" s="180">
        <f t="shared" si="3"/>
        <v>15.801</v>
      </c>
      <c r="I10" s="180">
        <f t="shared" si="3"/>
        <v>-9.6390000000000011</v>
      </c>
      <c r="J10" s="180">
        <f>'CF Annual'!D10-I48</f>
        <v>-58.774000000000001</v>
      </c>
      <c r="K10" s="180">
        <f t="shared" si="4"/>
        <v>-11.159000000000001</v>
      </c>
      <c r="L10" s="180">
        <f t="shared" si="5"/>
        <v>-25.520000000000003</v>
      </c>
      <c r="M10" s="180">
        <f t="shared" si="5"/>
        <v>28.806000000000001</v>
      </c>
      <c r="N10" s="180">
        <f>'CF Annual'!E10-M48</f>
        <v>-29.670999999999996</v>
      </c>
      <c r="O10" s="180">
        <f t="shared" si="6"/>
        <v>13.291</v>
      </c>
      <c r="P10" s="180">
        <f t="shared" si="7"/>
        <v>14.213000000000001</v>
      </c>
    </row>
    <row r="11" spans="2:16" ht="15" x14ac:dyDescent="0.25">
      <c r="B11" s="5" t="s">
        <v>77</v>
      </c>
      <c r="C11" s="180">
        <f t="shared" si="0"/>
        <v>7.4349999999999996</v>
      </c>
      <c r="D11" s="180">
        <f t="shared" si="1"/>
        <v>7.1360000000000001</v>
      </c>
      <c r="E11" s="180">
        <f t="shared" si="1"/>
        <v>7.3770000000000007</v>
      </c>
      <c r="F11" s="180">
        <f>'CF Annual'!C11-E49</f>
        <v>5.5629999999999988</v>
      </c>
      <c r="G11" s="180">
        <f t="shared" si="2"/>
        <v>7.0220000000000002</v>
      </c>
      <c r="H11" s="180">
        <f t="shared" si="3"/>
        <v>7.206999999999999</v>
      </c>
      <c r="I11" s="180">
        <f t="shared" si="3"/>
        <v>7.3710000000000022</v>
      </c>
      <c r="J11" s="180">
        <f>'CF Annual'!D11-I49</f>
        <v>7.3309999999999995</v>
      </c>
      <c r="K11" s="180">
        <f t="shared" si="4"/>
        <v>8.4440000000000008</v>
      </c>
      <c r="L11" s="180">
        <f t="shared" si="5"/>
        <v>10.368</v>
      </c>
      <c r="M11" s="180">
        <f t="shared" si="5"/>
        <v>8.2959999999999994</v>
      </c>
      <c r="N11" s="180">
        <f>'CF Annual'!E11-M49</f>
        <v>8.0070000000000014</v>
      </c>
      <c r="O11" s="180">
        <f t="shared" si="6"/>
        <v>8.8160000000000007</v>
      </c>
      <c r="P11" s="180">
        <f t="shared" si="7"/>
        <v>8.6959999999999997</v>
      </c>
    </row>
    <row r="12" spans="2:16" ht="15" x14ac:dyDescent="0.25">
      <c r="B12" s="5" t="s">
        <v>78</v>
      </c>
      <c r="C12" s="180">
        <f t="shared" si="0"/>
        <v>2.9000000000000001E-2</v>
      </c>
      <c r="D12" s="180">
        <f t="shared" si="1"/>
        <v>4.5999999999999999E-2</v>
      </c>
      <c r="E12" s="180">
        <f t="shared" si="1"/>
        <v>3.4989999999999997</v>
      </c>
      <c r="F12" s="180">
        <f>'CF Annual'!C12-E50</f>
        <v>-1.4579999999999997</v>
      </c>
      <c r="G12" s="180">
        <f t="shared" si="2"/>
        <v>2.9969999999999999</v>
      </c>
      <c r="H12" s="180">
        <f t="shared" si="3"/>
        <v>2.218</v>
      </c>
      <c r="I12" s="180">
        <f t="shared" si="3"/>
        <v>0.71300000000000008</v>
      </c>
      <c r="J12" s="180">
        <f>'CF Annual'!D12-I50</f>
        <v>0.43200000000000038</v>
      </c>
      <c r="K12" s="180">
        <f t="shared" si="4"/>
        <v>3.1909999999999998</v>
      </c>
      <c r="L12" s="180">
        <f t="shared" si="5"/>
        <v>4.7540000000000004</v>
      </c>
      <c r="M12" s="180">
        <f t="shared" si="5"/>
        <v>-0.56400000000000006</v>
      </c>
      <c r="N12" s="180">
        <f>'CF Annual'!E12-M50</f>
        <v>3.6880000000000006</v>
      </c>
      <c r="O12" s="180">
        <f t="shared" si="6"/>
        <v>1.9870000000000001</v>
      </c>
      <c r="P12" s="180">
        <f t="shared" si="7"/>
        <v>3.7350000000000003</v>
      </c>
    </row>
    <row r="13" spans="2:16" ht="15" x14ac:dyDescent="0.25">
      <c r="B13" s="5" t="s">
        <v>79</v>
      </c>
      <c r="C13" s="180">
        <f t="shared" si="0"/>
        <v>-2.61</v>
      </c>
      <c r="D13" s="180">
        <f t="shared" si="1"/>
        <v>-28.833000000000002</v>
      </c>
      <c r="E13" s="180">
        <f t="shared" si="1"/>
        <v>-27.215</v>
      </c>
      <c r="F13" s="180">
        <f>'CF Annual'!C13-E51</f>
        <v>23.119</v>
      </c>
      <c r="G13" s="180">
        <f t="shared" si="2"/>
        <v>-36.954000000000001</v>
      </c>
      <c r="H13" s="180">
        <f t="shared" si="3"/>
        <v>-42.520999999999994</v>
      </c>
      <c r="I13" s="180">
        <f t="shared" si="3"/>
        <v>70.3</v>
      </c>
      <c r="J13" s="180">
        <f>'CF Annual'!D13-I51</f>
        <v>39.67</v>
      </c>
      <c r="K13" s="180">
        <f t="shared" si="4"/>
        <v>-37.758000000000003</v>
      </c>
      <c r="L13" s="180">
        <f t="shared" si="5"/>
        <v>-36.207999999999991</v>
      </c>
      <c r="M13" s="180">
        <f t="shared" si="5"/>
        <v>7.0679999999999978</v>
      </c>
      <c r="N13" s="180">
        <f>'CF Annual'!E13-M51</f>
        <v>31.392999999999994</v>
      </c>
      <c r="O13" s="180">
        <f t="shared" si="6"/>
        <v>-45.716000000000001</v>
      </c>
      <c r="P13" s="180">
        <f t="shared" si="7"/>
        <v>-29.54</v>
      </c>
    </row>
    <row r="14" spans="2:16" ht="15" x14ac:dyDescent="0.25">
      <c r="B14" s="5" t="s">
        <v>42</v>
      </c>
      <c r="C14" s="180">
        <f t="shared" si="0"/>
        <v>-179.48099999999999</v>
      </c>
      <c r="D14" s="180">
        <f t="shared" si="1"/>
        <v>-77.855999999999995</v>
      </c>
      <c r="E14" s="180">
        <f t="shared" si="1"/>
        <v>-6.5590000000000259</v>
      </c>
      <c r="F14" s="180">
        <f>'CF Annual'!C14-E52</f>
        <v>-24.426999999999964</v>
      </c>
      <c r="G14" s="180">
        <f t="shared" si="2"/>
        <v>-92.042000000000002</v>
      </c>
      <c r="H14" s="180">
        <f t="shared" si="3"/>
        <v>6.9050000000000011</v>
      </c>
      <c r="I14" s="180">
        <f t="shared" si="3"/>
        <v>-127.35400000000001</v>
      </c>
      <c r="J14" s="180">
        <f>'CF Annual'!D14-I52</f>
        <v>-191.39500000000001</v>
      </c>
      <c r="K14" s="180">
        <f t="shared" si="4"/>
        <v>-75.081000000000003</v>
      </c>
      <c r="L14" s="180">
        <f t="shared" si="5"/>
        <v>-205.81799999999998</v>
      </c>
      <c r="M14" s="180">
        <f t="shared" si="5"/>
        <v>-205.46899999999999</v>
      </c>
      <c r="N14" s="180">
        <f>'CF Annual'!E14-M52</f>
        <v>-118.16900000000004</v>
      </c>
      <c r="O14" s="180">
        <f t="shared" si="6"/>
        <v>-79.069000000000003</v>
      </c>
      <c r="P14" s="180">
        <f t="shared" si="7"/>
        <v>-160.24299999999999</v>
      </c>
    </row>
    <row r="15" spans="2:16" ht="15" x14ac:dyDescent="0.25">
      <c r="B15" s="5" t="s">
        <v>53</v>
      </c>
      <c r="C15" s="180">
        <f t="shared" si="0"/>
        <v>172.70099999999999</v>
      </c>
      <c r="D15" s="180">
        <f t="shared" si="1"/>
        <v>162.59799999999998</v>
      </c>
      <c r="E15" s="180">
        <f t="shared" si="1"/>
        <v>-19.388999999999953</v>
      </c>
      <c r="F15" s="180">
        <f>'CF Annual'!C15-E53</f>
        <v>-108.84900000000002</v>
      </c>
      <c r="G15" s="180">
        <f t="shared" si="2"/>
        <v>6.1070000000000002</v>
      </c>
      <c r="H15" s="180">
        <f t="shared" si="3"/>
        <v>111.47499999999999</v>
      </c>
      <c r="I15" s="180">
        <f t="shared" si="3"/>
        <v>134.87200000000001</v>
      </c>
      <c r="J15" s="180">
        <f>'CF Annual'!D15-I53</f>
        <v>168.90999999999997</v>
      </c>
      <c r="K15" s="180">
        <f t="shared" si="4"/>
        <v>9.952</v>
      </c>
      <c r="L15" s="180">
        <f t="shared" si="5"/>
        <v>321.13</v>
      </c>
      <c r="M15" s="180">
        <f t="shared" si="5"/>
        <v>201.51700000000005</v>
      </c>
      <c r="N15" s="180">
        <f>'CF Annual'!E15-M53</f>
        <v>43.813999999999965</v>
      </c>
      <c r="O15" s="180">
        <f t="shared" si="6"/>
        <v>135.53100000000001</v>
      </c>
      <c r="P15" s="180">
        <f t="shared" si="7"/>
        <v>149.28399999999999</v>
      </c>
    </row>
    <row r="16" spans="2:16" ht="15" x14ac:dyDescent="0.25">
      <c r="B16" s="5" t="s">
        <v>57</v>
      </c>
      <c r="C16" s="180">
        <f t="shared" si="0"/>
        <v>145.441</v>
      </c>
      <c r="D16" s="180">
        <f t="shared" si="1"/>
        <v>115.76700000000002</v>
      </c>
      <c r="E16" s="180">
        <f t="shared" si="1"/>
        <v>92.157999999999959</v>
      </c>
      <c r="F16" s="180">
        <f>'CF Annual'!C16-E54</f>
        <v>-319.47699999999998</v>
      </c>
      <c r="G16" s="180">
        <f t="shared" si="2"/>
        <v>140.02500000000001</v>
      </c>
      <c r="H16" s="180">
        <f t="shared" si="3"/>
        <v>-58.797000000000011</v>
      </c>
      <c r="I16" s="180">
        <f t="shared" si="3"/>
        <v>117.55200000000001</v>
      </c>
      <c r="J16" s="180">
        <f>'CF Annual'!D16-I54</f>
        <v>-207.47</v>
      </c>
      <c r="K16" s="180">
        <f t="shared" si="4"/>
        <v>138.51300000000001</v>
      </c>
      <c r="L16" s="180">
        <f t="shared" si="5"/>
        <v>176.26599999999999</v>
      </c>
      <c r="M16" s="180">
        <f t="shared" si="5"/>
        <v>-316.661</v>
      </c>
      <c r="N16" s="180">
        <f>'CF Annual'!E16-M54</f>
        <v>6.4189999999999996</v>
      </c>
      <c r="O16" s="180">
        <f t="shared" si="6"/>
        <v>0.95099999999999996</v>
      </c>
      <c r="P16" s="180">
        <f t="shared" si="7"/>
        <v>-34.786999999999999</v>
      </c>
    </row>
    <row r="17" spans="2:16" ht="15" x14ac:dyDescent="0.25">
      <c r="B17" s="6" t="s">
        <v>80</v>
      </c>
      <c r="C17" s="181">
        <f t="shared" si="0"/>
        <v>713.76400000000001</v>
      </c>
      <c r="D17" s="181">
        <f t="shared" si="1"/>
        <v>937.6049999999999</v>
      </c>
      <c r="E17" s="181">
        <f t="shared" si="1"/>
        <v>866.28600000000029</v>
      </c>
      <c r="F17" s="181">
        <f>'CF Annual'!C20-E55</f>
        <v>516.42899999999963</v>
      </c>
      <c r="G17" s="181">
        <f t="shared" si="2"/>
        <v>704.21500000000003</v>
      </c>
      <c r="H17" s="181">
        <f t="shared" si="3"/>
        <v>948.85900000000004</v>
      </c>
      <c r="I17" s="181">
        <f t="shared" si="3"/>
        <v>772.01499999999987</v>
      </c>
      <c r="J17" s="181">
        <f>'CF Annual'!D20-I55</f>
        <v>624.48700000000008</v>
      </c>
      <c r="K17" s="181">
        <f t="shared" si="4"/>
        <v>755.12</v>
      </c>
      <c r="L17" s="181">
        <f t="shared" si="5"/>
        <v>756.84599999999989</v>
      </c>
      <c r="M17" s="181">
        <f t="shared" si="5"/>
        <v>616.53500000000031</v>
      </c>
      <c r="N17" s="181">
        <f>'CF Annual'!E20-M55</f>
        <v>633.49199999999973</v>
      </c>
      <c r="O17" s="181">
        <f t="shared" si="6"/>
        <v>1032.913</v>
      </c>
      <c r="P17" s="181">
        <f t="shared" si="7"/>
        <v>1006.499</v>
      </c>
    </row>
    <row r="18" spans="2:16" ht="15" x14ac:dyDescent="0.25">
      <c r="B18" s="6" t="s">
        <v>81</v>
      </c>
      <c r="C18" s="189"/>
      <c r="D18" s="189"/>
      <c r="E18" s="189"/>
      <c r="F18" s="189"/>
      <c r="G18" s="189"/>
      <c r="H18" s="189"/>
      <c r="I18" s="189"/>
      <c r="J18" s="189"/>
      <c r="K18" s="189"/>
      <c r="L18" s="189"/>
      <c r="M18" s="189"/>
      <c r="N18" s="189"/>
      <c r="O18" s="189"/>
      <c r="P18" s="189"/>
    </row>
    <row r="19" spans="2:16" ht="15" x14ac:dyDescent="0.25">
      <c r="B19" s="5" t="s">
        <v>82</v>
      </c>
      <c r="C19" s="180">
        <f>C57</f>
        <v>-223.268</v>
      </c>
      <c r="D19" s="180">
        <f t="shared" ref="D19:E23" si="8">D57-C57</f>
        <v>-237.67400000000001</v>
      </c>
      <c r="E19" s="180">
        <f t="shared" si="8"/>
        <v>-293.01599999999996</v>
      </c>
      <c r="F19" s="180">
        <f>'CF Annual'!C23-E57</f>
        <v>-252.30600000000004</v>
      </c>
      <c r="G19" s="180">
        <f>G57</f>
        <v>-249.24</v>
      </c>
      <c r="H19" s="180">
        <f t="shared" ref="H19:I23" si="9">H57-G57</f>
        <v>-225.36700000000002</v>
      </c>
      <c r="I19" s="180">
        <f t="shared" si="9"/>
        <v>-258.30900000000003</v>
      </c>
      <c r="J19" s="180">
        <f>'CF Annual'!D23-I57</f>
        <v>-290.47099999999989</v>
      </c>
      <c r="K19" s="180">
        <f>K57</f>
        <v>-286.95100000000002</v>
      </c>
      <c r="L19" s="180">
        <f t="shared" ref="L19:M23" si="10">L57-K57</f>
        <v>-300.73399999999992</v>
      </c>
      <c r="M19" s="180">
        <f t="shared" si="10"/>
        <v>-312.09800000000007</v>
      </c>
      <c r="N19" s="180">
        <f>'CF Annual'!E23-M57</f>
        <v>-269.03200000000004</v>
      </c>
      <c r="O19" s="180">
        <f>O57</f>
        <v>-244.447</v>
      </c>
      <c r="P19" s="180">
        <f>P57-O57</f>
        <v>-307.60299999999995</v>
      </c>
    </row>
    <row r="20" spans="2:16" ht="15" x14ac:dyDescent="0.25">
      <c r="B20" s="5" t="s">
        <v>83</v>
      </c>
      <c r="C20" s="180">
        <f>C58</f>
        <v>2.7040000000000002</v>
      </c>
      <c r="D20" s="180">
        <f t="shared" si="8"/>
        <v>4.3520000000000003</v>
      </c>
      <c r="E20" s="180">
        <f t="shared" si="8"/>
        <v>3.4050000000000002</v>
      </c>
      <c r="F20" s="180">
        <f>'CF Annual'!C24-E58</f>
        <v>7.2279999999999998</v>
      </c>
      <c r="G20" s="180">
        <f>G58</f>
        <v>3.8530000000000002</v>
      </c>
      <c r="H20" s="180">
        <f t="shared" si="9"/>
        <v>3.6749999999999994</v>
      </c>
      <c r="I20" s="180">
        <f t="shared" si="9"/>
        <v>2.7400000000000011</v>
      </c>
      <c r="J20" s="180">
        <f>'CF Annual'!D24-I58</f>
        <v>6.0820000000000007</v>
      </c>
      <c r="K20" s="180">
        <f>K58</f>
        <v>1.948</v>
      </c>
      <c r="L20" s="180">
        <f t="shared" si="10"/>
        <v>0.74699999999999989</v>
      </c>
      <c r="M20" s="180">
        <f t="shared" si="10"/>
        <v>14.187000000000001</v>
      </c>
      <c r="N20" s="180">
        <f>'CF Annual'!E24-M58</f>
        <v>13.962999999999997</v>
      </c>
      <c r="O20" s="180">
        <f>O58</f>
        <v>1.542</v>
      </c>
      <c r="P20" s="180">
        <f>P58-O58</f>
        <v>3.6000000000000005</v>
      </c>
    </row>
    <row r="21" spans="2:16" ht="15" x14ac:dyDescent="0.25">
      <c r="B21" s="5" t="s">
        <v>84</v>
      </c>
      <c r="C21" s="180">
        <f>C59</f>
        <v>0</v>
      </c>
      <c r="D21" s="180">
        <f t="shared" si="8"/>
        <v>-4.149</v>
      </c>
      <c r="E21" s="180">
        <f t="shared" si="8"/>
        <v>-1.000000000000334E-3</v>
      </c>
      <c r="F21" s="180">
        <f>'CF Annual'!C25-E59</f>
        <v>0</v>
      </c>
      <c r="G21" s="180">
        <f>G59</f>
        <v>0</v>
      </c>
      <c r="H21" s="180">
        <f t="shared" si="9"/>
        <v>0</v>
      </c>
      <c r="I21" s="180">
        <f t="shared" si="9"/>
        <v>0</v>
      </c>
      <c r="J21" s="180">
        <f>'CF Annual'!D25-I59</f>
        <v>1.49</v>
      </c>
      <c r="K21" s="180">
        <f>K59</f>
        <v>0</v>
      </c>
      <c r="L21" s="180">
        <f t="shared" si="10"/>
        <v>0</v>
      </c>
      <c r="M21" s="180">
        <f t="shared" si="10"/>
        <v>0</v>
      </c>
      <c r="N21" s="180">
        <f>'CF Annual'!E25-M59</f>
        <v>0</v>
      </c>
      <c r="O21" s="180">
        <f>O59</f>
        <v>0</v>
      </c>
      <c r="P21" s="180">
        <f>P59-O59</f>
        <v>0</v>
      </c>
    </row>
    <row r="22" spans="2:16" ht="15" x14ac:dyDescent="0.25">
      <c r="B22" s="5" t="s">
        <v>85</v>
      </c>
      <c r="C22" s="180">
        <f>C60</f>
        <v>-0.95599999999999996</v>
      </c>
      <c r="D22" s="180">
        <f t="shared" si="8"/>
        <v>-1.0150000000000001</v>
      </c>
      <c r="E22" s="180">
        <f t="shared" si="8"/>
        <v>-0.1549999999999998</v>
      </c>
      <c r="F22" s="180">
        <f>'CF Annual'!C26-E60</f>
        <v>-1.085</v>
      </c>
      <c r="G22" s="180">
        <f>G60</f>
        <v>-155.36600000000001</v>
      </c>
      <c r="H22" s="180">
        <f t="shared" si="9"/>
        <v>-9.9999999999909051E-3</v>
      </c>
      <c r="I22" s="180">
        <f t="shared" si="9"/>
        <v>-5.5840000000000032</v>
      </c>
      <c r="J22" s="180">
        <f>'CF Annual'!D26-I60</f>
        <v>-0.29800000000000182</v>
      </c>
      <c r="K22" s="180">
        <f>K60</f>
        <v>0</v>
      </c>
      <c r="L22" s="180">
        <f t="shared" si="10"/>
        <v>-10.007999999999999</v>
      </c>
      <c r="M22" s="180">
        <f t="shared" si="10"/>
        <v>-3.6560000000000006</v>
      </c>
      <c r="N22" s="180">
        <f>'CF Annual'!E26-M60</f>
        <v>-0.72199999999999953</v>
      </c>
      <c r="O22" s="180">
        <f>O60</f>
        <v>-1.7509999999999999</v>
      </c>
      <c r="P22" s="180">
        <f>P60-O60</f>
        <v>-1.016</v>
      </c>
    </row>
    <row r="23" spans="2:16" ht="15" x14ac:dyDescent="0.25">
      <c r="B23" s="6" t="s">
        <v>86</v>
      </c>
      <c r="C23" s="181">
        <f>C61</f>
        <v>-221.52</v>
      </c>
      <c r="D23" s="181">
        <f t="shared" si="8"/>
        <v>-238.48599999999996</v>
      </c>
      <c r="E23" s="181">
        <f t="shared" si="8"/>
        <v>-289.76700000000005</v>
      </c>
      <c r="F23" s="181">
        <f>'CF Annual'!C27-E61</f>
        <v>-246.16300000000001</v>
      </c>
      <c r="G23" s="181">
        <f>G61</f>
        <v>-400.75299999999999</v>
      </c>
      <c r="H23" s="181">
        <f t="shared" si="9"/>
        <v>-221.70200000000006</v>
      </c>
      <c r="I23" s="181">
        <f t="shared" si="9"/>
        <v>-261.15299999999991</v>
      </c>
      <c r="J23" s="181">
        <f>'CF Annual'!D27-I61</f>
        <v>-283.19700000000012</v>
      </c>
      <c r="K23" s="181">
        <f>K61</f>
        <v>-285.00299999999999</v>
      </c>
      <c r="L23" s="181">
        <f t="shared" si="10"/>
        <v>-309.99500000000006</v>
      </c>
      <c r="M23" s="181">
        <f t="shared" si="10"/>
        <v>-301.56700000000001</v>
      </c>
      <c r="N23" s="181">
        <f>'CF Annual'!E27-M61</f>
        <v>-255.79099999999994</v>
      </c>
      <c r="O23" s="181">
        <f>O61</f>
        <v>-244.65600000000001</v>
      </c>
      <c r="P23" s="181">
        <f>P61-O61</f>
        <v>-305.01899999999995</v>
      </c>
    </row>
    <row r="24" spans="2:16" ht="15" x14ac:dyDescent="0.25">
      <c r="B24" s="6" t="s">
        <v>87</v>
      </c>
      <c r="C24" s="189"/>
      <c r="D24" s="189"/>
      <c r="E24" s="189"/>
      <c r="F24" s="189"/>
      <c r="G24" s="189"/>
      <c r="H24" s="189"/>
      <c r="I24" s="189"/>
      <c r="J24" s="189"/>
      <c r="K24" s="189"/>
      <c r="L24" s="189"/>
      <c r="M24" s="189"/>
      <c r="N24" s="189"/>
      <c r="O24" s="189"/>
      <c r="P24" s="189"/>
    </row>
    <row r="25" spans="2:16" ht="15" x14ac:dyDescent="0.25">
      <c r="B25" s="5" t="s">
        <v>88</v>
      </c>
      <c r="C25" s="180">
        <f t="shared" ref="C25:C37" si="11">C63</f>
        <v>1216</v>
      </c>
      <c r="D25" s="180">
        <f t="shared" ref="D25:E37" si="12">D63-C63</f>
        <v>1560</v>
      </c>
      <c r="E25" s="180">
        <f t="shared" si="12"/>
        <v>451</v>
      </c>
      <c r="F25" s="180">
        <f>'CF Annual'!C30-E63</f>
        <v>0</v>
      </c>
      <c r="G25" s="180">
        <f t="shared" ref="G25:G37" si="13">G63</f>
        <v>30</v>
      </c>
      <c r="H25" s="180">
        <f t="shared" ref="H25:I37" si="14">H63-G63</f>
        <v>0</v>
      </c>
      <c r="I25" s="180">
        <f t="shared" si="14"/>
        <v>0</v>
      </c>
      <c r="J25" s="180">
        <f>'CF Annual'!D30-I63</f>
        <v>0</v>
      </c>
      <c r="K25" s="180">
        <f t="shared" ref="K25:K37" si="15">K63</f>
        <v>0</v>
      </c>
      <c r="L25" s="180">
        <f t="shared" ref="L25:M37" si="16">L63-K63</f>
        <v>0</v>
      </c>
      <c r="M25" s="180">
        <f t="shared" si="16"/>
        <v>0</v>
      </c>
      <c r="N25" s="180">
        <f>'CF Annual'!E30-M63</f>
        <v>0</v>
      </c>
      <c r="O25" s="180">
        <f t="shared" ref="O25:O37" si="17">O63</f>
        <v>0</v>
      </c>
      <c r="P25" s="180">
        <f t="shared" ref="P25:P37" si="18">P63-O63</f>
        <v>0</v>
      </c>
    </row>
    <row r="26" spans="2:16" ht="15" x14ac:dyDescent="0.25">
      <c r="B26" s="5" t="s">
        <v>89</v>
      </c>
      <c r="C26" s="180">
        <f t="shared" si="11"/>
        <v>-661</v>
      </c>
      <c r="D26" s="180">
        <f t="shared" si="12"/>
        <v>-1315</v>
      </c>
      <c r="E26" s="180">
        <f t="shared" si="12"/>
        <v>-1251</v>
      </c>
      <c r="F26" s="180">
        <f>'CF Annual'!C31-E64</f>
        <v>0</v>
      </c>
      <c r="G26" s="180">
        <f t="shared" si="13"/>
        <v>0</v>
      </c>
      <c r="H26" s="180">
        <f t="shared" si="14"/>
        <v>-30</v>
      </c>
      <c r="I26" s="180">
        <f t="shared" si="14"/>
        <v>0</v>
      </c>
      <c r="J26" s="180">
        <f>'CF Annual'!D31-I64</f>
        <v>0</v>
      </c>
      <c r="K26" s="180">
        <f t="shared" si="15"/>
        <v>0</v>
      </c>
      <c r="L26" s="180">
        <f t="shared" si="16"/>
        <v>0</v>
      </c>
      <c r="M26" s="180">
        <f t="shared" si="16"/>
        <v>0</v>
      </c>
      <c r="N26" s="180">
        <f>'CF Annual'!E31-M64</f>
        <v>0</v>
      </c>
      <c r="O26" s="180">
        <f t="shared" si="17"/>
        <v>0</v>
      </c>
      <c r="P26" s="180">
        <f t="shared" si="18"/>
        <v>0</v>
      </c>
    </row>
    <row r="27" spans="2:16" ht="15" x14ac:dyDescent="0.25">
      <c r="B27" s="5" t="s">
        <v>90</v>
      </c>
      <c r="C27" s="180">
        <f t="shared" si="11"/>
        <v>0</v>
      </c>
      <c r="D27" s="180">
        <f t="shared" si="12"/>
        <v>0</v>
      </c>
      <c r="E27" s="180">
        <f t="shared" si="12"/>
        <v>1025.075</v>
      </c>
      <c r="F27" s="180">
        <f>'CF Annual'!C32-E65</f>
        <v>-278.28600000000006</v>
      </c>
      <c r="G27" s="180">
        <f t="shared" si="13"/>
        <v>-310.80500000000001</v>
      </c>
      <c r="H27" s="180">
        <f t="shared" si="14"/>
        <v>137.30500000000001</v>
      </c>
      <c r="I27" s="180">
        <f t="shared" si="14"/>
        <v>-533.35</v>
      </c>
      <c r="J27" s="180">
        <f>'CF Annual'!D32-I65</f>
        <v>159.24599999999998</v>
      </c>
      <c r="K27" s="180">
        <f t="shared" si="15"/>
        <v>129.28800000000001</v>
      </c>
      <c r="L27" s="180">
        <f t="shared" si="16"/>
        <v>169.63</v>
      </c>
      <c r="M27" s="180">
        <f t="shared" si="16"/>
        <v>90.877999999999986</v>
      </c>
      <c r="N27" s="180">
        <f>'CF Annual'!E32-M65</f>
        <v>98.990000000000009</v>
      </c>
      <c r="O27" s="180">
        <f t="shared" si="17"/>
        <v>-163.887</v>
      </c>
      <c r="P27" s="180">
        <f t="shared" si="18"/>
        <v>815.77500000000009</v>
      </c>
    </row>
    <row r="28" spans="2:16" ht="15" x14ac:dyDescent="0.25">
      <c r="B28" s="5" t="s">
        <v>91</v>
      </c>
      <c r="C28" s="180">
        <f t="shared" si="11"/>
        <v>0</v>
      </c>
      <c r="D28" s="180">
        <f t="shared" si="12"/>
        <v>0</v>
      </c>
      <c r="E28" s="180">
        <f t="shared" si="12"/>
        <v>0</v>
      </c>
      <c r="F28" s="180">
        <f>'CF Annual'!C33-E66</f>
        <v>749.65499999999997</v>
      </c>
      <c r="G28" s="180">
        <f t="shared" si="13"/>
        <v>0</v>
      </c>
      <c r="H28" s="180">
        <f t="shared" si="14"/>
        <v>0</v>
      </c>
      <c r="I28" s="180">
        <f t="shared" si="14"/>
        <v>498.91</v>
      </c>
      <c r="J28" s="180">
        <f>'CF Annual'!D33-I66</f>
        <v>0</v>
      </c>
      <c r="K28" s="180">
        <f t="shared" si="15"/>
        <v>0</v>
      </c>
      <c r="L28" s="180">
        <f t="shared" si="16"/>
        <v>0</v>
      </c>
      <c r="M28" s="180">
        <f t="shared" si="16"/>
        <v>0</v>
      </c>
      <c r="N28" s="180">
        <f>'CF Annual'!E33-M66</f>
        <v>0</v>
      </c>
      <c r="O28" s="180">
        <f t="shared" si="17"/>
        <v>847.36500000000001</v>
      </c>
      <c r="P28" s="180">
        <f t="shared" si="18"/>
        <v>0</v>
      </c>
    </row>
    <row r="29" spans="2:16" ht="15" x14ac:dyDescent="0.25">
      <c r="B29" s="5" t="s">
        <v>92</v>
      </c>
      <c r="C29" s="180">
        <f t="shared" si="11"/>
        <v>0</v>
      </c>
      <c r="D29" s="180">
        <f t="shared" si="12"/>
        <v>-300</v>
      </c>
      <c r="E29" s="180">
        <f t="shared" si="12"/>
        <v>0</v>
      </c>
      <c r="F29" s="180">
        <f>'CF Annual'!C34-E67</f>
        <v>0</v>
      </c>
      <c r="G29" s="180">
        <f t="shared" si="13"/>
        <v>0</v>
      </c>
      <c r="H29" s="180">
        <f t="shared" si="14"/>
        <v>0</v>
      </c>
      <c r="I29" s="180">
        <f t="shared" si="14"/>
        <v>0</v>
      </c>
      <c r="J29" s="180">
        <f>'CF Annual'!D34-I67</f>
        <v>0</v>
      </c>
      <c r="K29" s="180">
        <f t="shared" si="15"/>
        <v>0</v>
      </c>
      <c r="L29" s="180">
        <f t="shared" si="16"/>
        <v>0</v>
      </c>
      <c r="M29" s="180">
        <f t="shared" si="16"/>
        <v>0</v>
      </c>
      <c r="N29" s="180">
        <f>'CF Annual'!E34-M67</f>
        <v>0</v>
      </c>
      <c r="O29" s="180">
        <f t="shared" si="17"/>
        <v>-500</v>
      </c>
      <c r="P29" s="180">
        <f t="shared" si="18"/>
        <v>0</v>
      </c>
    </row>
    <row r="30" spans="2:16" ht="15" x14ac:dyDescent="0.25">
      <c r="B30" s="5" t="s">
        <v>93</v>
      </c>
      <c r="C30" s="180">
        <f t="shared" si="11"/>
        <v>0</v>
      </c>
      <c r="D30" s="180">
        <f t="shared" si="12"/>
        <v>-2.4E-2</v>
      </c>
      <c r="E30" s="180">
        <f t="shared" si="12"/>
        <v>-1.4999999999999999E-2</v>
      </c>
      <c r="F30" s="180">
        <f>'CF Annual'!C35-E68</f>
        <v>-4.95</v>
      </c>
      <c r="G30" s="180">
        <f t="shared" si="13"/>
        <v>0</v>
      </c>
      <c r="H30" s="180">
        <f t="shared" si="14"/>
        <v>0</v>
      </c>
      <c r="I30" s="180">
        <f t="shared" si="14"/>
        <v>-3.9</v>
      </c>
      <c r="J30" s="180">
        <f>'CF Annual'!D35-I68</f>
        <v>-0.17599999999999971</v>
      </c>
      <c r="K30" s="180">
        <f t="shared" si="15"/>
        <v>-3.8010000000000002</v>
      </c>
      <c r="L30" s="180">
        <f t="shared" si="16"/>
        <v>-1.399999999999979E-2</v>
      </c>
      <c r="M30" s="180">
        <f t="shared" si="16"/>
        <v>-1.4000000000000234E-2</v>
      </c>
      <c r="N30" s="180">
        <f>'CF Annual'!E35-M68</f>
        <v>-0.16799999999999971</v>
      </c>
      <c r="O30" s="180">
        <f t="shared" si="17"/>
        <v>-5.9089999999999998</v>
      </c>
      <c r="P30" s="180">
        <f t="shared" si="18"/>
        <v>-0.74600000000000044</v>
      </c>
    </row>
    <row r="31" spans="2:16" ht="15" x14ac:dyDescent="0.25">
      <c r="B31" s="5" t="s">
        <v>94</v>
      </c>
      <c r="C31" s="180">
        <f t="shared" si="11"/>
        <v>0</v>
      </c>
      <c r="D31" s="180">
        <f t="shared" si="12"/>
        <v>0</v>
      </c>
      <c r="E31" s="180">
        <f t="shared" si="12"/>
        <v>0</v>
      </c>
      <c r="F31" s="180">
        <f>'CF Annual'!C36-E69</f>
        <v>0</v>
      </c>
      <c r="G31" s="180">
        <f t="shared" si="13"/>
        <v>0</v>
      </c>
      <c r="H31" s="180">
        <f t="shared" si="14"/>
        <v>0</v>
      </c>
      <c r="I31" s="180">
        <f t="shared" si="14"/>
        <v>0</v>
      </c>
      <c r="J31" s="180">
        <f>'CF Annual'!D36-I69</f>
        <v>-28.83</v>
      </c>
      <c r="K31" s="180">
        <f t="shared" si="15"/>
        <v>0</v>
      </c>
      <c r="L31" s="180">
        <f t="shared" si="16"/>
        <v>-17.012</v>
      </c>
      <c r="M31" s="180">
        <f t="shared" si="16"/>
        <v>0</v>
      </c>
      <c r="N31" s="180">
        <f>'CF Annual'!E36-M69</f>
        <v>0</v>
      </c>
      <c r="O31" s="180">
        <f t="shared" si="17"/>
        <v>0</v>
      </c>
      <c r="P31" s="180">
        <f t="shared" si="18"/>
        <v>-18.718</v>
      </c>
    </row>
    <row r="32" spans="2:16" ht="15" x14ac:dyDescent="0.25">
      <c r="B32" s="5" t="s">
        <v>95</v>
      </c>
      <c r="C32" s="180">
        <f t="shared" si="11"/>
        <v>-1111.461</v>
      </c>
      <c r="D32" s="180">
        <f t="shared" si="12"/>
        <v>-679.99</v>
      </c>
      <c r="E32" s="180">
        <f t="shared" si="12"/>
        <v>-799.529</v>
      </c>
      <c r="F32" s="180">
        <f>'CF Annual'!C37-E70</f>
        <v>-560.17500000000018</v>
      </c>
      <c r="G32" s="180">
        <f t="shared" si="13"/>
        <v>-270.01900000000001</v>
      </c>
      <c r="H32" s="180">
        <f t="shared" si="14"/>
        <v>-793.77199999999993</v>
      </c>
      <c r="I32" s="180">
        <f t="shared" si="14"/>
        <v>-540.71800000000007</v>
      </c>
      <c r="J32" s="180">
        <f>'CF Annual'!D37-I70</f>
        <v>-472.02</v>
      </c>
      <c r="K32" s="180">
        <f t="shared" si="15"/>
        <v>-559.43200000000002</v>
      </c>
      <c r="L32" s="180">
        <f t="shared" si="16"/>
        <v>-617.20800000000008</v>
      </c>
      <c r="M32" s="180">
        <f t="shared" si="16"/>
        <v>-420.01</v>
      </c>
      <c r="N32" s="180">
        <f>'CF Annual'!E37-M70</f>
        <v>-500.3119999999999</v>
      </c>
      <c r="O32" s="180">
        <f t="shared" si="17"/>
        <v>-922.947</v>
      </c>
      <c r="P32" s="180">
        <f t="shared" si="18"/>
        <v>-1510.076</v>
      </c>
    </row>
    <row r="33" spans="2:16" ht="15" x14ac:dyDescent="0.25">
      <c r="B33" s="5" t="s">
        <v>96</v>
      </c>
      <c r="C33" s="180">
        <f t="shared" si="11"/>
        <v>15.146000000000001</v>
      </c>
      <c r="D33" s="180">
        <f t="shared" si="12"/>
        <v>33.533999999999999</v>
      </c>
      <c r="E33" s="180">
        <f t="shared" si="12"/>
        <v>22.923999999999999</v>
      </c>
      <c r="F33" s="180">
        <f>'CF Annual'!C38-E71</f>
        <v>19.712000000000003</v>
      </c>
      <c r="G33" s="180">
        <f t="shared" si="13"/>
        <v>57.814999999999998</v>
      </c>
      <c r="H33" s="180">
        <f t="shared" si="14"/>
        <v>15.975000000000009</v>
      </c>
      <c r="I33" s="180">
        <f t="shared" si="14"/>
        <v>39.034999999999997</v>
      </c>
      <c r="J33" s="180">
        <f>'CF Annual'!D38-I71</f>
        <v>16.155999999999992</v>
      </c>
      <c r="K33" s="180">
        <f t="shared" si="15"/>
        <v>24.925999999999998</v>
      </c>
      <c r="L33" s="180">
        <f t="shared" si="16"/>
        <v>23.241000000000003</v>
      </c>
      <c r="M33" s="180">
        <f t="shared" si="16"/>
        <v>20.113</v>
      </c>
      <c r="N33" s="180">
        <f>'CF Annual'!E38-M71</f>
        <v>12.542999999999992</v>
      </c>
      <c r="O33" s="180">
        <f t="shared" si="17"/>
        <v>16.609000000000002</v>
      </c>
      <c r="P33" s="180">
        <f t="shared" si="18"/>
        <v>21.153999999999996</v>
      </c>
    </row>
    <row r="34" spans="2:16" ht="15" x14ac:dyDescent="0.25">
      <c r="B34" s="5" t="s">
        <v>97</v>
      </c>
      <c r="C34" s="180">
        <f t="shared" si="11"/>
        <v>-0.35399999999999998</v>
      </c>
      <c r="D34" s="180">
        <f t="shared" si="12"/>
        <v>0</v>
      </c>
      <c r="E34" s="180">
        <f t="shared" si="12"/>
        <v>0</v>
      </c>
      <c r="F34" s="180">
        <f>'CF Annual'!C39-E72</f>
        <v>0</v>
      </c>
      <c r="G34" s="180">
        <f t="shared" si="13"/>
        <v>-0.56899999999999995</v>
      </c>
      <c r="H34" s="180">
        <f t="shared" si="14"/>
        <v>0</v>
      </c>
      <c r="I34" s="180">
        <f t="shared" si="14"/>
        <v>0</v>
      </c>
      <c r="J34" s="180">
        <f>'CF Annual'!D39-I72</f>
        <v>0</v>
      </c>
      <c r="K34" s="180">
        <f t="shared" si="15"/>
        <v>-0.433</v>
      </c>
      <c r="L34" s="180">
        <f t="shared" si="16"/>
        <v>0</v>
      </c>
      <c r="M34" s="180">
        <f t="shared" si="16"/>
        <v>0</v>
      </c>
      <c r="N34" s="180">
        <f>'CF Annual'!E39-M72</f>
        <v>0</v>
      </c>
      <c r="O34" s="180">
        <f t="shared" si="17"/>
        <v>-0.27</v>
      </c>
      <c r="P34" s="180">
        <f t="shared" si="18"/>
        <v>0</v>
      </c>
    </row>
    <row r="35" spans="2:16" ht="15" x14ac:dyDescent="0.25">
      <c r="B35" s="6" t="s">
        <v>98</v>
      </c>
      <c r="C35" s="181">
        <f t="shared" si="11"/>
        <v>-541.66899999999998</v>
      </c>
      <c r="D35" s="181">
        <f t="shared" si="12"/>
        <v>-701.4799999999999</v>
      </c>
      <c r="E35" s="181">
        <f t="shared" si="12"/>
        <v>-551.54500000000007</v>
      </c>
      <c r="F35" s="181">
        <f>'CF Annual'!C40-E73</f>
        <v>-74.044000000000096</v>
      </c>
      <c r="G35" s="181">
        <f t="shared" si="13"/>
        <v>-493.57799999999997</v>
      </c>
      <c r="H35" s="181">
        <f t="shared" si="14"/>
        <v>-670.49199999999996</v>
      </c>
      <c r="I35" s="181">
        <f t="shared" si="14"/>
        <v>-540.02300000000014</v>
      </c>
      <c r="J35" s="181">
        <f>'CF Annual'!D40-I73</f>
        <v>-325.62400000000002</v>
      </c>
      <c r="K35" s="181">
        <f t="shared" si="15"/>
        <v>-409.452</v>
      </c>
      <c r="L35" s="181">
        <f t="shared" si="16"/>
        <v>-441.36300000000006</v>
      </c>
      <c r="M35" s="181">
        <f t="shared" si="16"/>
        <v>-309.0329999999999</v>
      </c>
      <c r="N35" s="181">
        <f>'CF Annual'!E40-M73</f>
        <v>-388.94700000000012</v>
      </c>
      <c r="O35" s="181">
        <f t="shared" si="17"/>
        <v>-729.03899999999999</v>
      </c>
      <c r="P35" s="181">
        <f t="shared" si="18"/>
        <v>-692.6110000000001</v>
      </c>
    </row>
    <row r="36" spans="2:16" ht="15" x14ac:dyDescent="0.25">
      <c r="B36" s="5" t="s">
        <v>99</v>
      </c>
      <c r="C36" s="180">
        <f t="shared" si="11"/>
        <v>0.71399999999999997</v>
      </c>
      <c r="D36" s="180">
        <f t="shared" si="12"/>
        <v>0.36899999999999999</v>
      </c>
      <c r="E36" s="180">
        <f t="shared" si="12"/>
        <v>-0.18999999999999995</v>
      </c>
      <c r="F36" s="180">
        <f>'CF Annual'!C41-E74</f>
        <v>0.246</v>
      </c>
      <c r="G36" s="180">
        <f t="shared" si="13"/>
        <v>0.248</v>
      </c>
      <c r="H36" s="180">
        <f t="shared" si="14"/>
        <v>-0.88700000000000001</v>
      </c>
      <c r="I36" s="180">
        <f t="shared" si="14"/>
        <v>-0.26800000000000002</v>
      </c>
      <c r="J36" s="180">
        <f>'CF Annual'!D41-I74</f>
        <v>-1.034</v>
      </c>
      <c r="K36" s="180">
        <f t="shared" si="15"/>
        <v>0.33800000000000002</v>
      </c>
      <c r="L36" s="180">
        <f t="shared" si="16"/>
        <v>1.8769999999999998</v>
      </c>
      <c r="M36" s="180">
        <f t="shared" si="16"/>
        <v>-3.4999999999999698E-2</v>
      </c>
      <c r="N36" s="180">
        <f>'CF Annual'!E41-M74</f>
        <v>0.5259999999999998</v>
      </c>
      <c r="O36" s="180">
        <f t="shared" si="17"/>
        <v>-0.379</v>
      </c>
      <c r="P36" s="180">
        <f t="shared" si="18"/>
        <v>0.67999999999999994</v>
      </c>
    </row>
    <row r="37" spans="2:16" ht="15" x14ac:dyDescent="0.25">
      <c r="B37" s="6" t="s">
        <v>100</v>
      </c>
      <c r="C37" s="181">
        <f t="shared" si="11"/>
        <v>-48.710999999999999</v>
      </c>
      <c r="D37" s="181">
        <f t="shared" si="12"/>
        <v>-1.9920000000000044</v>
      </c>
      <c r="E37" s="181">
        <f t="shared" si="12"/>
        <v>24.784000000000002</v>
      </c>
      <c r="F37" s="181">
        <f>'CF Annual'!C42-E75</f>
        <v>196.46800000000002</v>
      </c>
      <c r="G37" s="181">
        <f t="shared" si="13"/>
        <v>-189.86799999999999</v>
      </c>
      <c r="H37" s="181">
        <f t="shared" si="14"/>
        <v>55.777999999999992</v>
      </c>
      <c r="I37" s="181">
        <f t="shared" si="14"/>
        <v>-29.429000000000002</v>
      </c>
      <c r="J37" s="181">
        <f>'CF Annual'!D42-I75</f>
        <v>14.632000000000005</v>
      </c>
      <c r="K37" s="181">
        <f t="shared" si="15"/>
        <v>61.003</v>
      </c>
      <c r="L37" s="181">
        <f t="shared" si="16"/>
        <v>7.3649999999999949</v>
      </c>
      <c r="M37" s="181">
        <f t="shared" si="16"/>
        <v>5.9000000000000057</v>
      </c>
      <c r="N37" s="181">
        <f>'CF Annual'!E42-M75</f>
        <v>-10.719999999999999</v>
      </c>
      <c r="O37" s="181">
        <f t="shared" si="17"/>
        <v>58.838999999999999</v>
      </c>
      <c r="P37" s="181">
        <f t="shared" si="18"/>
        <v>9.5490000000000066</v>
      </c>
    </row>
    <row r="42" spans="2:16" ht="15" x14ac:dyDescent="0.25">
      <c r="B42" s="6" t="s">
        <v>101</v>
      </c>
    </row>
    <row r="43" spans="2:16" ht="15" x14ac:dyDescent="0.25">
      <c r="B43" s="3"/>
      <c r="C43" s="4" t="s">
        <v>2</v>
      </c>
      <c r="D43" s="4" t="s">
        <v>3</v>
      </c>
      <c r="E43" s="4" t="s">
        <v>4</v>
      </c>
      <c r="F43" s="4" t="s">
        <v>5</v>
      </c>
      <c r="G43" s="4" t="s">
        <v>6</v>
      </c>
      <c r="H43" s="4" t="s">
        <v>7</v>
      </c>
      <c r="I43" s="4" t="s">
        <v>8</v>
      </c>
      <c r="J43" s="4" t="s">
        <v>9</v>
      </c>
      <c r="K43" s="4" t="s">
        <v>10</v>
      </c>
      <c r="L43" s="4" t="s">
        <v>11</v>
      </c>
      <c r="M43" s="4" t="s">
        <v>12</v>
      </c>
      <c r="N43" s="4" t="s">
        <v>13</v>
      </c>
      <c r="O43" s="4" t="s">
        <v>14</v>
      </c>
      <c r="P43" s="4" t="s">
        <v>15</v>
      </c>
    </row>
    <row r="44" spans="2:16" ht="15" x14ac:dyDescent="0.25">
      <c r="B44" s="6" t="s">
        <v>74</v>
      </c>
    </row>
    <row r="45" spans="2:16" ht="15" x14ac:dyDescent="0.25">
      <c r="B45" s="5" t="s">
        <v>27</v>
      </c>
      <c r="C45" s="195">
        <v>516.88499999999999</v>
      </c>
      <c r="D45" s="195">
        <v>1144.25</v>
      </c>
      <c r="E45" s="195">
        <v>1794.077</v>
      </c>
      <c r="F45" s="196"/>
      <c r="G45" s="195">
        <v>547.23800000000006</v>
      </c>
      <c r="H45" s="195">
        <v>1170.086</v>
      </c>
      <c r="I45" s="195">
        <v>1835.55</v>
      </c>
      <c r="J45" s="196"/>
      <c r="K45" s="195">
        <v>538.48500000000001</v>
      </c>
      <c r="L45" s="195">
        <v>1207.08</v>
      </c>
      <c r="M45" s="195">
        <v>1932.9760000000001</v>
      </c>
      <c r="N45" s="196"/>
      <c r="O45" s="195">
        <v>604.18100000000004</v>
      </c>
      <c r="P45" s="195">
        <v>1319.2449999999999</v>
      </c>
    </row>
    <row r="46" spans="2:16" ht="15" x14ac:dyDescent="0.25">
      <c r="B46" s="5" t="s">
        <v>75</v>
      </c>
      <c r="C46" s="195">
        <v>93.747</v>
      </c>
      <c r="D46" s="195">
        <v>191.673</v>
      </c>
      <c r="E46" s="195">
        <v>296.58300000000003</v>
      </c>
      <c r="F46" s="196"/>
      <c r="G46" s="195">
        <v>109.648</v>
      </c>
      <c r="H46" s="195">
        <v>222.88499999999999</v>
      </c>
      <c r="I46" s="195">
        <v>339.32400000000001</v>
      </c>
      <c r="J46" s="196"/>
      <c r="K46" s="195">
        <v>122.224</v>
      </c>
      <c r="L46" s="195">
        <v>247.15899999999999</v>
      </c>
      <c r="M46" s="195">
        <v>375.82499999999999</v>
      </c>
      <c r="N46" s="196"/>
      <c r="O46" s="195">
        <v>135.36099999999999</v>
      </c>
      <c r="P46" s="195">
        <v>273.64299999999997</v>
      </c>
    </row>
    <row r="47" spans="2:16" ht="15" x14ac:dyDescent="0.25">
      <c r="B47" s="5" t="s">
        <v>76</v>
      </c>
      <c r="C47" s="195">
        <v>1.2150000000000001</v>
      </c>
      <c r="D47" s="195">
        <v>2.431</v>
      </c>
      <c r="E47" s="195">
        <v>3.597</v>
      </c>
      <c r="F47" s="196"/>
      <c r="G47" s="195">
        <v>1.593</v>
      </c>
      <c r="H47" s="195">
        <v>3.2010000000000001</v>
      </c>
      <c r="I47" s="195">
        <v>4.87</v>
      </c>
      <c r="J47" s="196"/>
      <c r="K47" s="195">
        <v>1.851</v>
      </c>
      <c r="L47" s="195">
        <v>3.6669999999999998</v>
      </c>
      <c r="M47" s="195">
        <v>5.5019999999999998</v>
      </c>
      <c r="N47" s="196"/>
      <c r="O47" s="195">
        <v>1.887</v>
      </c>
      <c r="P47" s="195">
        <v>3.8180000000000001</v>
      </c>
    </row>
    <row r="48" spans="2:16" ht="15" x14ac:dyDescent="0.25">
      <c r="B48" s="5" t="s">
        <v>63</v>
      </c>
      <c r="C48" s="195">
        <v>3.3929999999999998</v>
      </c>
      <c r="D48" s="195">
        <v>13.507</v>
      </c>
      <c r="E48" s="195">
        <v>35.981999999999999</v>
      </c>
      <c r="F48" s="196"/>
      <c r="G48" s="195">
        <v>2.3740000000000001</v>
      </c>
      <c r="H48" s="195">
        <v>18.175000000000001</v>
      </c>
      <c r="I48" s="195">
        <v>8.5359999999999996</v>
      </c>
      <c r="J48" s="196"/>
      <c r="K48" s="195">
        <v>-11.159000000000001</v>
      </c>
      <c r="L48" s="195">
        <v>-36.679000000000002</v>
      </c>
      <c r="M48" s="195">
        <v>-7.8730000000000002</v>
      </c>
      <c r="N48" s="196"/>
      <c r="O48" s="195">
        <v>13.291</v>
      </c>
      <c r="P48" s="195">
        <v>27.504000000000001</v>
      </c>
    </row>
    <row r="49" spans="2:16" ht="15" x14ac:dyDescent="0.25">
      <c r="B49" s="5" t="s">
        <v>77</v>
      </c>
      <c r="C49" s="195">
        <v>7.4349999999999996</v>
      </c>
      <c r="D49" s="195">
        <v>14.571</v>
      </c>
      <c r="E49" s="195">
        <v>21.948</v>
      </c>
      <c r="F49" s="196"/>
      <c r="G49" s="195">
        <v>7.0220000000000002</v>
      </c>
      <c r="H49" s="195">
        <v>14.228999999999999</v>
      </c>
      <c r="I49" s="195">
        <v>21.6</v>
      </c>
      <c r="J49" s="196"/>
      <c r="K49" s="195">
        <v>8.4440000000000008</v>
      </c>
      <c r="L49" s="195">
        <v>18.812000000000001</v>
      </c>
      <c r="M49" s="195">
        <v>27.108000000000001</v>
      </c>
      <c r="N49" s="196"/>
      <c r="O49" s="195">
        <v>8.8160000000000007</v>
      </c>
      <c r="P49" s="195">
        <v>17.512</v>
      </c>
    </row>
    <row r="50" spans="2:16" ht="15" x14ac:dyDescent="0.25">
      <c r="B50" s="5" t="s">
        <v>78</v>
      </c>
      <c r="C50" s="195">
        <v>2.9000000000000001E-2</v>
      </c>
      <c r="D50" s="195">
        <v>7.4999999999999997E-2</v>
      </c>
      <c r="E50" s="195">
        <v>3.5739999999999998</v>
      </c>
      <c r="F50" s="196"/>
      <c r="G50" s="195">
        <v>2.9969999999999999</v>
      </c>
      <c r="H50" s="195">
        <v>5.2149999999999999</v>
      </c>
      <c r="I50" s="195">
        <v>5.9279999999999999</v>
      </c>
      <c r="J50" s="196"/>
      <c r="K50" s="195">
        <v>3.1909999999999998</v>
      </c>
      <c r="L50" s="195">
        <v>7.9450000000000003</v>
      </c>
      <c r="M50" s="195">
        <v>7.3810000000000002</v>
      </c>
      <c r="N50" s="196"/>
      <c r="O50" s="195">
        <v>1.9870000000000001</v>
      </c>
      <c r="P50" s="195">
        <v>5.7220000000000004</v>
      </c>
    </row>
    <row r="51" spans="2:16" ht="15" x14ac:dyDescent="0.25">
      <c r="B51" s="5" t="s">
        <v>79</v>
      </c>
      <c r="C51" s="195">
        <v>-2.61</v>
      </c>
      <c r="D51" s="195">
        <v>-31.443000000000001</v>
      </c>
      <c r="E51" s="195">
        <v>-58.658000000000001</v>
      </c>
      <c r="F51" s="196"/>
      <c r="G51" s="195">
        <v>-36.954000000000001</v>
      </c>
      <c r="H51" s="195">
        <v>-79.474999999999994</v>
      </c>
      <c r="I51" s="195">
        <v>-9.1750000000000007</v>
      </c>
      <c r="J51" s="196"/>
      <c r="K51" s="195">
        <v>-37.758000000000003</v>
      </c>
      <c r="L51" s="195">
        <v>-73.965999999999994</v>
      </c>
      <c r="M51" s="195">
        <v>-66.897999999999996</v>
      </c>
      <c r="N51" s="196"/>
      <c r="O51" s="195">
        <v>-45.716000000000001</v>
      </c>
      <c r="P51" s="195">
        <v>-75.256</v>
      </c>
    </row>
    <row r="52" spans="2:16" ht="15" x14ac:dyDescent="0.25">
      <c r="B52" s="5" t="s">
        <v>42</v>
      </c>
      <c r="C52" s="195">
        <v>-179.48099999999999</v>
      </c>
      <c r="D52" s="195">
        <v>-257.33699999999999</v>
      </c>
      <c r="E52" s="195">
        <v>-263.89600000000002</v>
      </c>
      <c r="F52" s="196"/>
      <c r="G52" s="195">
        <v>-92.042000000000002</v>
      </c>
      <c r="H52" s="195">
        <v>-85.137</v>
      </c>
      <c r="I52" s="195">
        <v>-212.49100000000001</v>
      </c>
      <c r="J52" s="196"/>
      <c r="K52" s="195">
        <v>-75.081000000000003</v>
      </c>
      <c r="L52" s="195">
        <v>-280.899</v>
      </c>
      <c r="M52" s="195">
        <v>-486.36799999999999</v>
      </c>
      <c r="N52" s="196"/>
      <c r="O52" s="195">
        <v>-79.069000000000003</v>
      </c>
      <c r="P52" s="195">
        <v>-239.31200000000001</v>
      </c>
    </row>
    <row r="53" spans="2:16" ht="15" x14ac:dyDescent="0.25">
      <c r="B53" s="5" t="s">
        <v>53</v>
      </c>
      <c r="C53" s="195">
        <v>172.70099999999999</v>
      </c>
      <c r="D53" s="195">
        <v>335.29899999999998</v>
      </c>
      <c r="E53" s="195">
        <v>315.91000000000003</v>
      </c>
      <c r="F53" s="196"/>
      <c r="G53" s="195">
        <v>6.1070000000000002</v>
      </c>
      <c r="H53" s="195">
        <v>117.58199999999999</v>
      </c>
      <c r="I53" s="195">
        <v>252.45400000000001</v>
      </c>
      <c r="J53" s="196"/>
      <c r="K53" s="195">
        <v>9.952</v>
      </c>
      <c r="L53" s="195">
        <v>331.08199999999999</v>
      </c>
      <c r="M53" s="195">
        <v>532.59900000000005</v>
      </c>
      <c r="N53" s="196"/>
      <c r="O53" s="195">
        <v>135.53100000000001</v>
      </c>
      <c r="P53" s="195">
        <v>284.815</v>
      </c>
    </row>
    <row r="54" spans="2:16" ht="15" x14ac:dyDescent="0.25">
      <c r="B54" s="5" t="s">
        <v>57</v>
      </c>
      <c r="C54" s="195">
        <v>145.441</v>
      </c>
      <c r="D54" s="195">
        <v>261.20800000000003</v>
      </c>
      <c r="E54" s="195">
        <v>353.36599999999999</v>
      </c>
      <c r="F54" s="196"/>
      <c r="G54" s="195">
        <v>140.02500000000001</v>
      </c>
      <c r="H54" s="195">
        <v>81.227999999999994</v>
      </c>
      <c r="I54" s="195">
        <v>198.78</v>
      </c>
      <c r="J54" s="196"/>
      <c r="K54" s="195">
        <v>138.51300000000001</v>
      </c>
      <c r="L54" s="195">
        <v>314.779</v>
      </c>
      <c r="M54" s="195">
        <v>-1.8819999999999999</v>
      </c>
      <c r="N54" s="196"/>
      <c r="O54" s="195">
        <v>0.95099999999999996</v>
      </c>
      <c r="P54" s="195">
        <v>-33.835999999999999</v>
      </c>
    </row>
    <row r="55" spans="2:16" ht="15" x14ac:dyDescent="0.25">
      <c r="B55" s="6" t="s">
        <v>80</v>
      </c>
      <c r="C55" s="197">
        <v>713.76400000000001</v>
      </c>
      <c r="D55" s="197">
        <v>1651.3689999999999</v>
      </c>
      <c r="E55" s="197">
        <v>2517.6550000000002</v>
      </c>
      <c r="F55" s="196"/>
      <c r="G55" s="197">
        <v>704.21500000000003</v>
      </c>
      <c r="H55" s="197">
        <v>1653.0740000000001</v>
      </c>
      <c r="I55" s="197">
        <v>2425.0889999999999</v>
      </c>
      <c r="J55" s="196"/>
      <c r="K55" s="197">
        <v>755.12</v>
      </c>
      <c r="L55" s="197">
        <v>1511.9659999999999</v>
      </c>
      <c r="M55" s="197">
        <v>2128.5010000000002</v>
      </c>
      <c r="N55" s="196"/>
      <c r="O55" s="197">
        <v>1032.913</v>
      </c>
      <c r="P55" s="197">
        <v>2039.412</v>
      </c>
    </row>
    <row r="56" spans="2:16" ht="15" x14ac:dyDescent="0.25">
      <c r="B56" s="6" t="s">
        <v>81</v>
      </c>
      <c r="C56" s="196"/>
      <c r="D56" s="196"/>
      <c r="E56" s="196"/>
      <c r="F56" s="196"/>
      <c r="G56" s="196"/>
      <c r="H56" s="196"/>
      <c r="I56" s="196"/>
      <c r="J56" s="196"/>
      <c r="K56" s="196"/>
      <c r="L56" s="196"/>
      <c r="M56" s="196"/>
      <c r="N56" s="196"/>
      <c r="O56" s="196"/>
      <c r="P56" s="196"/>
    </row>
    <row r="57" spans="2:16" ht="15" x14ac:dyDescent="0.25">
      <c r="B57" s="5" t="s">
        <v>82</v>
      </c>
      <c r="C57" s="195">
        <v>-223.268</v>
      </c>
      <c r="D57" s="195">
        <v>-460.94200000000001</v>
      </c>
      <c r="E57" s="195">
        <v>-753.95799999999997</v>
      </c>
      <c r="F57" s="196"/>
      <c r="G57" s="195">
        <v>-249.24</v>
      </c>
      <c r="H57" s="195">
        <v>-474.60700000000003</v>
      </c>
      <c r="I57" s="195">
        <v>-732.91600000000005</v>
      </c>
      <c r="J57" s="196"/>
      <c r="K57" s="195">
        <v>-286.95100000000002</v>
      </c>
      <c r="L57" s="195">
        <v>-587.68499999999995</v>
      </c>
      <c r="M57" s="195">
        <v>-899.78300000000002</v>
      </c>
      <c r="N57" s="196"/>
      <c r="O57" s="195">
        <v>-244.447</v>
      </c>
      <c r="P57" s="195">
        <v>-552.04999999999995</v>
      </c>
    </row>
    <row r="58" spans="2:16" ht="15" x14ac:dyDescent="0.25">
      <c r="B58" s="5" t="s">
        <v>83</v>
      </c>
      <c r="C58" s="195">
        <v>2.7040000000000002</v>
      </c>
      <c r="D58" s="195">
        <v>7.056</v>
      </c>
      <c r="E58" s="195">
        <v>10.461</v>
      </c>
      <c r="F58" s="196"/>
      <c r="G58" s="195">
        <v>3.8530000000000002</v>
      </c>
      <c r="H58" s="195">
        <v>7.5279999999999996</v>
      </c>
      <c r="I58" s="195">
        <v>10.268000000000001</v>
      </c>
      <c r="J58" s="196"/>
      <c r="K58" s="195">
        <v>1.948</v>
      </c>
      <c r="L58" s="195">
        <v>2.6949999999999998</v>
      </c>
      <c r="M58" s="195">
        <v>16.882000000000001</v>
      </c>
      <c r="N58" s="196"/>
      <c r="O58" s="195">
        <v>1.542</v>
      </c>
      <c r="P58" s="195">
        <v>5.1420000000000003</v>
      </c>
    </row>
    <row r="59" spans="2:16" ht="15" x14ac:dyDescent="0.25">
      <c r="B59" s="5" t="s">
        <v>84</v>
      </c>
      <c r="C59" s="195">
        <v>0</v>
      </c>
      <c r="D59" s="195">
        <v>-4.149</v>
      </c>
      <c r="E59" s="195">
        <v>-4.1500000000000004</v>
      </c>
      <c r="F59" s="196"/>
      <c r="G59" s="195">
        <v>0</v>
      </c>
      <c r="H59" s="195">
        <v>0</v>
      </c>
      <c r="I59" s="195">
        <v>0</v>
      </c>
      <c r="J59" s="196"/>
      <c r="K59" s="195">
        <v>0</v>
      </c>
      <c r="L59" s="195">
        <v>0</v>
      </c>
      <c r="M59" s="195">
        <v>0</v>
      </c>
      <c r="N59" s="196"/>
      <c r="O59" s="195">
        <v>0</v>
      </c>
      <c r="P59" s="195">
        <v>0</v>
      </c>
    </row>
    <row r="60" spans="2:16" ht="15" x14ac:dyDescent="0.25">
      <c r="B60" s="5" t="s">
        <v>85</v>
      </c>
      <c r="C60" s="195">
        <v>-0.95599999999999996</v>
      </c>
      <c r="D60" s="195">
        <v>-1.9710000000000001</v>
      </c>
      <c r="E60" s="195">
        <v>-2.1259999999999999</v>
      </c>
      <c r="F60" s="196"/>
      <c r="G60" s="195">
        <v>-155.36600000000001</v>
      </c>
      <c r="H60" s="195">
        <v>-155.376</v>
      </c>
      <c r="I60" s="195">
        <v>-160.96</v>
      </c>
      <c r="J60" s="196"/>
      <c r="K60" s="195">
        <v>0</v>
      </c>
      <c r="L60" s="195">
        <v>-10.007999999999999</v>
      </c>
      <c r="M60" s="195">
        <v>-13.664</v>
      </c>
      <c r="N60" s="196"/>
      <c r="O60" s="195">
        <v>-1.7509999999999999</v>
      </c>
      <c r="P60" s="195">
        <v>-2.7669999999999999</v>
      </c>
    </row>
    <row r="61" spans="2:16" ht="15" x14ac:dyDescent="0.25">
      <c r="B61" s="6" t="s">
        <v>86</v>
      </c>
      <c r="C61" s="197">
        <v>-221.52</v>
      </c>
      <c r="D61" s="197">
        <v>-460.00599999999997</v>
      </c>
      <c r="E61" s="197">
        <v>-749.77300000000002</v>
      </c>
      <c r="F61" s="196"/>
      <c r="G61" s="197">
        <v>-400.75299999999999</v>
      </c>
      <c r="H61" s="197">
        <v>-622.45500000000004</v>
      </c>
      <c r="I61" s="197">
        <v>-883.60799999999995</v>
      </c>
      <c r="J61" s="196"/>
      <c r="K61" s="197">
        <v>-285.00299999999999</v>
      </c>
      <c r="L61" s="197">
        <v>-594.99800000000005</v>
      </c>
      <c r="M61" s="197">
        <v>-896.56500000000005</v>
      </c>
      <c r="N61" s="196"/>
      <c r="O61" s="197">
        <v>-244.65600000000001</v>
      </c>
      <c r="P61" s="197">
        <v>-549.67499999999995</v>
      </c>
    </row>
    <row r="62" spans="2:16" ht="15" x14ac:dyDescent="0.25">
      <c r="B62" s="6" t="s">
        <v>87</v>
      </c>
      <c r="C62" s="196"/>
      <c r="D62" s="196"/>
      <c r="E62" s="196"/>
      <c r="F62" s="196"/>
      <c r="G62" s="196"/>
      <c r="H62" s="196"/>
      <c r="I62" s="196"/>
      <c r="J62" s="196"/>
      <c r="K62" s="196"/>
      <c r="L62" s="196"/>
      <c r="M62" s="196"/>
      <c r="N62" s="196"/>
      <c r="O62" s="196"/>
      <c r="P62" s="196"/>
    </row>
    <row r="63" spans="2:16" ht="15" x14ac:dyDescent="0.25">
      <c r="B63" s="5" t="s">
        <v>88</v>
      </c>
      <c r="C63" s="195">
        <v>1216</v>
      </c>
      <c r="D63" s="195">
        <v>2776</v>
      </c>
      <c r="E63" s="195">
        <v>3227</v>
      </c>
      <c r="F63" s="196"/>
      <c r="G63" s="195">
        <v>30</v>
      </c>
      <c r="H63" s="195">
        <v>30</v>
      </c>
      <c r="I63" s="195">
        <v>30</v>
      </c>
      <c r="J63" s="196"/>
      <c r="K63" s="195">
        <v>0</v>
      </c>
      <c r="L63" s="195">
        <v>0</v>
      </c>
      <c r="M63" s="195">
        <v>0</v>
      </c>
      <c r="N63" s="196"/>
      <c r="O63" s="195">
        <v>0</v>
      </c>
      <c r="P63" s="195">
        <v>0</v>
      </c>
    </row>
    <row r="64" spans="2:16" ht="15" x14ac:dyDescent="0.25">
      <c r="B64" s="5" t="s">
        <v>89</v>
      </c>
      <c r="C64" s="195">
        <v>-661</v>
      </c>
      <c r="D64" s="195">
        <v>-1976</v>
      </c>
      <c r="E64" s="195">
        <v>-3227</v>
      </c>
      <c r="F64" s="196"/>
      <c r="G64" s="195">
        <v>0</v>
      </c>
      <c r="H64" s="195">
        <v>-30</v>
      </c>
      <c r="I64" s="195">
        <v>-30</v>
      </c>
      <c r="J64" s="196"/>
      <c r="K64" s="195">
        <v>0</v>
      </c>
      <c r="L64" s="195">
        <v>0</v>
      </c>
      <c r="M64" s="195">
        <v>0</v>
      </c>
      <c r="N64" s="196"/>
      <c r="O64" s="195">
        <v>0</v>
      </c>
      <c r="P64" s="195">
        <v>0</v>
      </c>
    </row>
    <row r="65" spans="2:16" ht="15" x14ac:dyDescent="0.25">
      <c r="B65" s="5" t="s">
        <v>90</v>
      </c>
      <c r="C65" s="195">
        <v>0</v>
      </c>
      <c r="D65" s="195">
        <v>0</v>
      </c>
      <c r="E65" s="195">
        <v>1025.075</v>
      </c>
      <c r="F65" s="196"/>
      <c r="G65" s="195">
        <v>-310.80500000000001</v>
      </c>
      <c r="H65" s="195">
        <v>-173.5</v>
      </c>
      <c r="I65" s="195">
        <v>-706.85</v>
      </c>
      <c r="J65" s="196"/>
      <c r="K65" s="195">
        <v>129.28800000000001</v>
      </c>
      <c r="L65" s="195">
        <v>298.91800000000001</v>
      </c>
      <c r="M65" s="195">
        <v>389.79599999999999</v>
      </c>
      <c r="N65" s="196"/>
      <c r="O65" s="195">
        <v>-163.887</v>
      </c>
      <c r="P65" s="195">
        <v>651.88800000000003</v>
      </c>
    </row>
    <row r="66" spans="2:16" ht="15" x14ac:dyDescent="0.25">
      <c r="B66" s="5" t="s">
        <v>91</v>
      </c>
      <c r="C66" s="195">
        <v>0</v>
      </c>
      <c r="D66" s="195">
        <v>0</v>
      </c>
      <c r="E66" s="195">
        <v>0</v>
      </c>
      <c r="F66" s="196"/>
      <c r="G66" s="195">
        <v>0</v>
      </c>
      <c r="H66" s="195">
        <v>0</v>
      </c>
      <c r="I66" s="195">
        <v>498.91</v>
      </c>
      <c r="J66" s="196"/>
      <c r="K66" s="195">
        <v>0</v>
      </c>
      <c r="L66" s="195">
        <v>0</v>
      </c>
      <c r="M66" s="195">
        <v>0</v>
      </c>
      <c r="N66" s="196"/>
      <c r="O66" s="195">
        <v>847.36500000000001</v>
      </c>
      <c r="P66" s="195">
        <v>847.36500000000001</v>
      </c>
    </row>
    <row r="67" spans="2:16" ht="15" x14ac:dyDescent="0.25">
      <c r="B67" s="5" t="s">
        <v>92</v>
      </c>
      <c r="C67" s="195">
        <v>0</v>
      </c>
      <c r="D67" s="195">
        <v>-300</v>
      </c>
      <c r="E67" s="195">
        <v>-300</v>
      </c>
      <c r="F67" s="196"/>
      <c r="G67" s="195">
        <v>0</v>
      </c>
      <c r="H67" s="195">
        <v>0</v>
      </c>
      <c r="I67" s="195">
        <v>0</v>
      </c>
      <c r="J67" s="196"/>
      <c r="K67" s="195">
        <v>0</v>
      </c>
      <c r="L67" s="195">
        <v>0</v>
      </c>
      <c r="M67" s="195">
        <v>0</v>
      </c>
      <c r="N67" s="196"/>
      <c r="O67" s="195">
        <v>-500</v>
      </c>
      <c r="P67" s="195">
        <v>-500</v>
      </c>
    </row>
    <row r="68" spans="2:16" ht="15" x14ac:dyDescent="0.25">
      <c r="B68" s="5" t="s">
        <v>93</v>
      </c>
      <c r="C68" s="195">
        <v>0</v>
      </c>
      <c r="D68" s="195">
        <v>-2.4E-2</v>
      </c>
      <c r="E68" s="195">
        <v>-3.9E-2</v>
      </c>
      <c r="F68" s="196"/>
      <c r="G68" s="195">
        <v>0</v>
      </c>
      <c r="H68" s="195">
        <v>0</v>
      </c>
      <c r="I68" s="195">
        <v>-3.9</v>
      </c>
      <c r="J68" s="196"/>
      <c r="K68" s="195">
        <v>-3.8010000000000002</v>
      </c>
      <c r="L68" s="195">
        <v>-3.8149999999999999</v>
      </c>
      <c r="M68" s="195">
        <v>-3.8290000000000002</v>
      </c>
      <c r="N68" s="196"/>
      <c r="O68" s="195">
        <v>-5.9089999999999998</v>
      </c>
      <c r="P68" s="195">
        <v>-6.6550000000000002</v>
      </c>
    </row>
    <row r="69" spans="2:16" ht="15" x14ac:dyDescent="0.25">
      <c r="B69" s="5" t="s">
        <v>94</v>
      </c>
      <c r="C69" s="195">
        <v>0</v>
      </c>
      <c r="D69" s="195">
        <v>0</v>
      </c>
      <c r="E69" s="195">
        <v>0</v>
      </c>
      <c r="F69" s="196"/>
      <c r="G69" s="195">
        <v>0</v>
      </c>
      <c r="H69" s="195">
        <v>0</v>
      </c>
      <c r="I69" s="195">
        <v>0</v>
      </c>
      <c r="J69" s="196"/>
      <c r="K69" s="195">
        <v>0</v>
      </c>
      <c r="L69" s="195">
        <v>-17.012</v>
      </c>
      <c r="M69" s="195">
        <v>-17.012</v>
      </c>
      <c r="N69" s="196"/>
      <c r="O69" s="195">
        <v>0</v>
      </c>
      <c r="P69" s="195">
        <v>-18.718</v>
      </c>
    </row>
    <row r="70" spans="2:16" ht="15" x14ac:dyDescent="0.25">
      <c r="B70" s="5" t="s">
        <v>95</v>
      </c>
      <c r="C70" s="195">
        <v>-1111.461</v>
      </c>
      <c r="D70" s="195">
        <v>-1791.451</v>
      </c>
      <c r="E70" s="195">
        <v>-2590.98</v>
      </c>
      <c r="F70" s="196"/>
      <c r="G70" s="195">
        <v>-270.01900000000001</v>
      </c>
      <c r="H70" s="195">
        <v>-1063.7909999999999</v>
      </c>
      <c r="I70" s="195">
        <v>-1604.509</v>
      </c>
      <c r="J70" s="196"/>
      <c r="K70" s="195">
        <v>-559.43200000000002</v>
      </c>
      <c r="L70" s="195">
        <v>-1176.6400000000001</v>
      </c>
      <c r="M70" s="195">
        <v>-1596.65</v>
      </c>
      <c r="N70" s="196"/>
      <c r="O70" s="195">
        <v>-922.947</v>
      </c>
      <c r="P70" s="195">
        <v>-2433.0230000000001</v>
      </c>
    </row>
    <row r="71" spans="2:16" ht="15" x14ac:dyDescent="0.25">
      <c r="B71" s="5" t="s">
        <v>96</v>
      </c>
      <c r="C71" s="195">
        <v>15.146000000000001</v>
      </c>
      <c r="D71" s="195">
        <v>48.68</v>
      </c>
      <c r="E71" s="195">
        <v>71.603999999999999</v>
      </c>
      <c r="F71" s="196"/>
      <c r="G71" s="195">
        <v>57.814999999999998</v>
      </c>
      <c r="H71" s="195">
        <v>73.790000000000006</v>
      </c>
      <c r="I71" s="195">
        <v>112.825</v>
      </c>
      <c r="J71" s="196"/>
      <c r="K71" s="195">
        <v>24.925999999999998</v>
      </c>
      <c r="L71" s="195">
        <v>48.167000000000002</v>
      </c>
      <c r="M71" s="195">
        <v>68.28</v>
      </c>
      <c r="N71" s="196"/>
      <c r="O71" s="195">
        <v>16.609000000000002</v>
      </c>
      <c r="P71" s="195">
        <v>37.762999999999998</v>
      </c>
    </row>
    <row r="72" spans="2:16" ht="15" x14ac:dyDescent="0.25">
      <c r="B72" s="5" t="s">
        <v>97</v>
      </c>
      <c r="C72" s="195">
        <v>-0.35399999999999998</v>
      </c>
      <c r="D72" s="195">
        <v>-0.35399999999999998</v>
      </c>
      <c r="E72" s="195">
        <v>-0.35399999999999998</v>
      </c>
      <c r="F72" s="196"/>
      <c r="G72" s="195">
        <v>-0.56899999999999995</v>
      </c>
      <c r="H72" s="195">
        <v>-0.56899999999999995</v>
      </c>
      <c r="I72" s="195">
        <v>-0.56899999999999995</v>
      </c>
      <c r="J72" s="196"/>
      <c r="K72" s="195">
        <v>-0.433</v>
      </c>
      <c r="L72" s="195">
        <v>-0.433</v>
      </c>
      <c r="M72" s="195">
        <v>-0.433</v>
      </c>
      <c r="N72" s="196"/>
      <c r="O72" s="195">
        <v>-0.27</v>
      </c>
      <c r="P72" s="195">
        <v>-0.27</v>
      </c>
    </row>
    <row r="73" spans="2:16" ht="15" x14ac:dyDescent="0.25">
      <c r="B73" s="6" t="s">
        <v>98</v>
      </c>
      <c r="C73" s="197">
        <v>-541.66899999999998</v>
      </c>
      <c r="D73" s="197">
        <v>-1243.1489999999999</v>
      </c>
      <c r="E73" s="197">
        <v>-1794.694</v>
      </c>
      <c r="F73" s="196"/>
      <c r="G73" s="197">
        <v>-493.57799999999997</v>
      </c>
      <c r="H73" s="197">
        <v>-1164.07</v>
      </c>
      <c r="I73" s="197">
        <v>-1704.0930000000001</v>
      </c>
      <c r="J73" s="196"/>
      <c r="K73" s="197">
        <v>-409.452</v>
      </c>
      <c r="L73" s="197">
        <v>-850.81500000000005</v>
      </c>
      <c r="M73" s="197">
        <v>-1159.848</v>
      </c>
      <c r="N73" s="196"/>
      <c r="O73" s="197">
        <v>-729.03899999999999</v>
      </c>
      <c r="P73" s="197">
        <v>-1421.65</v>
      </c>
    </row>
    <row r="74" spans="2:16" ht="15" x14ac:dyDescent="0.25">
      <c r="B74" s="5" t="s">
        <v>99</v>
      </c>
      <c r="C74" s="195">
        <v>0.71399999999999997</v>
      </c>
      <c r="D74" s="195">
        <v>1.083</v>
      </c>
      <c r="E74" s="195">
        <v>0.89300000000000002</v>
      </c>
      <c r="F74" s="196"/>
      <c r="G74" s="195">
        <v>0.248</v>
      </c>
      <c r="H74" s="195">
        <v>-0.63900000000000001</v>
      </c>
      <c r="I74" s="195">
        <v>-0.90700000000000003</v>
      </c>
      <c r="J74" s="196"/>
      <c r="K74" s="195">
        <v>0.33800000000000002</v>
      </c>
      <c r="L74" s="195">
        <v>2.2149999999999999</v>
      </c>
      <c r="M74" s="195">
        <v>2.1800000000000002</v>
      </c>
      <c r="N74" s="196"/>
      <c r="O74" s="195">
        <v>-0.379</v>
      </c>
      <c r="P74" s="195">
        <v>0.30099999999999999</v>
      </c>
    </row>
    <row r="75" spans="2:16" ht="15" x14ac:dyDescent="0.25">
      <c r="B75" s="6" t="s">
        <v>100</v>
      </c>
      <c r="C75" s="197">
        <v>-48.710999999999999</v>
      </c>
      <c r="D75" s="197">
        <v>-50.703000000000003</v>
      </c>
      <c r="E75" s="197">
        <v>-25.919</v>
      </c>
      <c r="F75" s="196"/>
      <c r="G75" s="197">
        <v>-189.86799999999999</v>
      </c>
      <c r="H75" s="197">
        <v>-134.09</v>
      </c>
      <c r="I75" s="197">
        <v>-163.51900000000001</v>
      </c>
      <c r="J75" s="196"/>
      <c r="K75" s="197">
        <v>61.003</v>
      </c>
      <c r="L75" s="197">
        <v>68.367999999999995</v>
      </c>
      <c r="M75" s="197">
        <v>74.268000000000001</v>
      </c>
      <c r="N75" s="196"/>
      <c r="O75" s="197">
        <v>58.838999999999999</v>
      </c>
      <c r="P75" s="197">
        <v>68.388000000000005</v>
      </c>
    </row>
  </sheetData>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1:F44"/>
  <sheetViews>
    <sheetView showGridLines="0" zoomScaleNormal="100" workbookViewId="0">
      <selection activeCell="F9" sqref="F9"/>
    </sheetView>
  </sheetViews>
  <sheetFormatPr defaultColWidth="8.7109375" defaultRowHeight="12.75" x14ac:dyDescent="0.2"/>
  <cols>
    <col min="1" max="1" width="2" customWidth="1"/>
    <col min="2" max="2" width="46" customWidth="1"/>
    <col min="3" max="6" width="13" customWidth="1"/>
  </cols>
  <sheetData>
    <row r="1" spans="2:6" ht="18.75" x14ac:dyDescent="0.3">
      <c r="B1" s="1" t="s">
        <v>102</v>
      </c>
    </row>
    <row r="2" spans="2:6" ht="15" x14ac:dyDescent="0.25">
      <c r="B2" s="2" t="s">
        <v>1</v>
      </c>
    </row>
    <row r="4" spans="2:6" ht="15" x14ac:dyDescent="0.25">
      <c r="B4" s="3"/>
      <c r="C4" s="4" t="s">
        <v>33</v>
      </c>
      <c r="D4" s="4" t="s">
        <v>34</v>
      </c>
      <c r="E4" s="4" t="s">
        <v>35</v>
      </c>
      <c r="F4" s="4" t="s">
        <v>36</v>
      </c>
    </row>
    <row r="5" spans="2:6" ht="15" x14ac:dyDescent="0.25">
      <c r="C5" s="8">
        <v>45291</v>
      </c>
      <c r="D5" s="8">
        <v>45657</v>
      </c>
      <c r="E5" s="8">
        <v>46022</v>
      </c>
      <c r="F5" s="8">
        <v>46203</v>
      </c>
    </row>
    <row r="6" spans="2:6" ht="15" x14ac:dyDescent="0.25">
      <c r="B6" s="6" t="s">
        <v>74</v>
      </c>
    </row>
    <row r="7" spans="2:6" ht="15" x14ac:dyDescent="0.25">
      <c r="B7" s="5" t="s">
        <v>27</v>
      </c>
      <c r="C7" s="180">
        <v>2346.5810000000001</v>
      </c>
      <c r="D7" s="180">
        <v>2386.6799999999998</v>
      </c>
      <c r="E7" s="180">
        <v>2538.2089999999998</v>
      </c>
      <c r="F7" s="180">
        <v>2650.3739999999998</v>
      </c>
    </row>
    <row r="8" spans="2:6" ht="15" x14ac:dyDescent="0.25">
      <c r="B8" s="5" t="s">
        <v>75</v>
      </c>
      <c r="C8" s="180">
        <v>409.06099999999998</v>
      </c>
      <c r="D8" s="180">
        <v>461.892</v>
      </c>
      <c r="E8" s="180">
        <v>511.23</v>
      </c>
      <c r="F8" s="180">
        <v>537.71400000000006</v>
      </c>
    </row>
    <row r="9" spans="2:6" ht="15" x14ac:dyDescent="0.25">
      <c r="B9" s="5" t="s">
        <v>76</v>
      </c>
      <c r="C9" s="180">
        <v>4.9539999999999997</v>
      </c>
      <c r="D9" s="180">
        <v>6.6130000000000004</v>
      </c>
      <c r="E9" s="180">
        <v>7.3789999999999996</v>
      </c>
      <c r="F9" s="180">
        <v>7.53</v>
      </c>
    </row>
    <row r="10" spans="2:6" ht="15" x14ac:dyDescent="0.25">
      <c r="B10" s="5" t="s">
        <v>63</v>
      </c>
      <c r="C10" s="180">
        <v>48.231999999999999</v>
      </c>
      <c r="D10" s="180">
        <v>-50.238</v>
      </c>
      <c r="E10" s="180">
        <v>-37.543999999999997</v>
      </c>
      <c r="F10" s="180">
        <v>26.638999999999999</v>
      </c>
    </row>
    <row r="11" spans="2:6" ht="15" x14ac:dyDescent="0.25">
      <c r="B11" s="5" t="s">
        <v>77</v>
      </c>
      <c r="C11" s="180">
        <v>27.510999999999999</v>
      </c>
      <c r="D11" s="180">
        <v>28.931000000000001</v>
      </c>
      <c r="E11" s="180">
        <v>35.115000000000002</v>
      </c>
      <c r="F11" s="180">
        <v>33.814999999999998</v>
      </c>
    </row>
    <row r="12" spans="2:6" ht="15" x14ac:dyDescent="0.25">
      <c r="B12" s="5" t="s">
        <v>78</v>
      </c>
      <c r="C12" s="180">
        <v>2.1160000000000001</v>
      </c>
      <c r="D12" s="180">
        <v>6.36</v>
      </c>
      <c r="E12" s="180">
        <v>11.069000000000001</v>
      </c>
      <c r="F12" s="180">
        <v>8.8460000000000001</v>
      </c>
    </row>
    <row r="13" spans="2:6" ht="15" x14ac:dyDescent="0.25">
      <c r="B13" s="5" t="s">
        <v>79</v>
      </c>
      <c r="C13" s="180">
        <v>-35.539000000000001</v>
      </c>
      <c r="D13" s="180">
        <v>30.495000000000001</v>
      </c>
      <c r="E13" s="180">
        <v>-35.505000000000003</v>
      </c>
      <c r="F13" s="180">
        <v>-36.795000000000002</v>
      </c>
    </row>
    <row r="14" spans="2:6" ht="15" x14ac:dyDescent="0.25">
      <c r="B14" s="5" t="s">
        <v>42</v>
      </c>
      <c r="C14" s="180">
        <v>-288.32299999999998</v>
      </c>
      <c r="D14" s="180">
        <v>-403.88600000000002</v>
      </c>
      <c r="E14" s="180">
        <v>-604.53700000000003</v>
      </c>
      <c r="F14" s="180">
        <v>-562.95000000000005</v>
      </c>
    </row>
    <row r="15" spans="2:6" ht="15" x14ac:dyDescent="0.25">
      <c r="B15" s="5" t="s">
        <v>53</v>
      </c>
      <c r="C15" s="180">
        <v>207.06100000000001</v>
      </c>
      <c r="D15" s="180">
        <v>421.36399999999998</v>
      </c>
      <c r="E15" s="180">
        <v>576.41300000000001</v>
      </c>
      <c r="F15" s="180">
        <v>530.14599999999996</v>
      </c>
    </row>
    <row r="16" spans="2:6" ht="15" x14ac:dyDescent="0.25">
      <c r="B16" s="5" t="s">
        <v>57</v>
      </c>
      <c r="C16" s="180">
        <v>33.889000000000003</v>
      </c>
      <c r="D16" s="180">
        <v>-8.69</v>
      </c>
      <c r="E16" s="180">
        <v>4.5369999999999999</v>
      </c>
      <c r="F16" s="180">
        <v>-344.07799999999997</v>
      </c>
    </row>
    <row r="17" spans="2:6" ht="15" x14ac:dyDescent="0.25">
      <c r="B17" s="5" t="s">
        <v>55</v>
      </c>
      <c r="C17" s="180">
        <v>11.234</v>
      </c>
      <c r="D17" s="180">
        <v>-30.81</v>
      </c>
      <c r="E17" s="180">
        <v>12.071999999999999</v>
      </c>
      <c r="F17" s="180"/>
    </row>
    <row r="18" spans="2:6" ht="15" x14ac:dyDescent="0.25">
      <c r="B18" s="5" t="s">
        <v>56</v>
      </c>
      <c r="C18" s="180">
        <v>-12.763</v>
      </c>
      <c r="D18" s="180">
        <v>71.128</v>
      </c>
      <c r="E18" s="180">
        <v>35.561</v>
      </c>
      <c r="F18" s="180"/>
    </row>
    <row r="19" spans="2:6" ht="15" x14ac:dyDescent="0.25">
      <c r="B19" s="5" t="s">
        <v>103</v>
      </c>
      <c r="C19" s="180">
        <v>280.07</v>
      </c>
      <c r="D19" s="180">
        <v>129.73699999999999</v>
      </c>
      <c r="E19" s="180">
        <v>-292.00599999999997</v>
      </c>
      <c r="F19" s="180">
        <v>438.19799999999998</v>
      </c>
    </row>
    <row r="20" spans="2:6" ht="15" x14ac:dyDescent="0.25">
      <c r="B20" s="6" t="s">
        <v>80</v>
      </c>
      <c r="C20" s="181">
        <v>3034.0839999999998</v>
      </c>
      <c r="D20" s="181">
        <v>3049.576</v>
      </c>
      <c r="E20" s="181">
        <v>2761.9929999999999</v>
      </c>
      <c r="F20" s="181">
        <v>3289.4389999999999</v>
      </c>
    </row>
    <row r="21" spans="2:6" x14ac:dyDescent="0.2">
      <c r="C21" s="189"/>
      <c r="D21" s="189"/>
      <c r="E21" s="189"/>
      <c r="F21" s="189"/>
    </row>
    <row r="22" spans="2:6" ht="15" x14ac:dyDescent="0.25">
      <c r="B22" s="6" t="s">
        <v>81</v>
      </c>
      <c r="C22" s="189"/>
      <c r="D22" s="189"/>
      <c r="E22" s="189"/>
      <c r="F22" s="189"/>
    </row>
    <row r="23" spans="2:6" ht="15" x14ac:dyDescent="0.25">
      <c r="B23" s="5" t="s">
        <v>82</v>
      </c>
      <c r="C23" s="180">
        <v>-1006.264</v>
      </c>
      <c r="D23" s="180">
        <v>-1023.3869999999999</v>
      </c>
      <c r="E23" s="180">
        <v>-1168.8150000000001</v>
      </c>
      <c r="F23" s="180">
        <v>-1133.18</v>
      </c>
    </row>
    <row r="24" spans="2:6" ht="15" x14ac:dyDescent="0.25">
      <c r="B24" s="5" t="s">
        <v>83</v>
      </c>
      <c r="C24" s="180">
        <v>17.689</v>
      </c>
      <c r="D24" s="180">
        <v>16.350000000000001</v>
      </c>
      <c r="E24" s="180">
        <v>30.844999999999999</v>
      </c>
      <c r="F24" s="180">
        <v>33.292000000000002</v>
      </c>
    </row>
    <row r="25" spans="2:6" ht="15" x14ac:dyDescent="0.25">
      <c r="B25" s="5" t="s">
        <v>84</v>
      </c>
      <c r="C25" s="180">
        <v>-4.1500000000000004</v>
      </c>
      <c r="D25" s="180">
        <v>1.49</v>
      </c>
      <c r="E25" s="180">
        <v>0</v>
      </c>
      <c r="F25" s="180">
        <v>0</v>
      </c>
    </row>
    <row r="26" spans="2:6" ht="15" x14ac:dyDescent="0.25">
      <c r="B26" s="5" t="s">
        <v>85</v>
      </c>
      <c r="C26" s="180">
        <v>-3.2109999999999999</v>
      </c>
      <c r="D26" s="180">
        <v>-161.25800000000001</v>
      </c>
      <c r="E26" s="180">
        <v>-14.385999999999999</v>
      </c>
      <c r="F26" s="180">
        <v>-7.1449999999999996</v>
      </c>
    </row>
    <row r="27" spans="2:6" ht="15" x14ac:dyDescent="0.25">
      <c r="B27" s="6" t="s">
        <v>86</v>
      </c>
      <c r="C27" s="181">
        <v>-995.93600000000004</v>
      </c>
      <c r="D27" s="181">
        <v>-1166.8050000000001</v>
      </c>
      <c r="E27" s="181">
        <v>-1152.356</v>
      </c>
      <c r="F27" s="181">
        <v>-1107.0329999999999</v>
      </c>
    </row>
    <row r="28" spans="2:6" x14ac:dyDescent="0.2">
      <c r="C28" s="189"/>
      <c r="D28" s="189"/>
      <c r="E28" s="189"/>
      <c r="F28" s="189"/>
    </row>
    <row r="29" spans="2:6" ht="15" x14ac:dyDescent="0.25">
      <c r="B29" s="6" t="s">
        <v>87</v>
      </c>
      <c r="C29" s="189"/>
      <c r="D29" s="189"/>
      <c r="E29" s="189"/>
      <c r="F29" s="189"/>
    </row>
    <row r="30" spans="2:6" ht="15" x14ac:dyDescent="0.25">
      <c r="B30" s="5" t="s">
        <v>88</v>
      </c>
      <c r="C30" s="180">
        <v>3227</v>
      </c>
      <c r="D30" s="180">
        <v>30</v>
      </c>
      <c r="E30" s="180">
        <v>0</v>
      </c>
      <c r="F30" s="180">
        <v>0</v>
      </c>
    </row>
    <row r="31" spans="2:6" ht="15" x14ac:dyDescent="0.25">
      <c r="B31" s="5" t="s">
        <v>89</v>
      </c>
      <c r="C31" s="180">
        <v>-3227</v>
      </c>
      <c r="D31" s="180">
        <v>-30</v>
      </c>
      <c r="E31" s="180">
        <v>0</v>
      </c>
      <c r="F31" s="180">
        <v>0</v>
      </c>
    </row>
    <row r="32" spans="2:6" ht="15" x14ac:dyDescent="0.25">
      <c r="B32" s="5" t="s">
        <v>90</v>
      </c>
      <c r="C32" s="180">
        <v>746.78899999999999</v>
      </c>
      <c r="D32" s="180">
        <v>-547.60400000000004</v>
      </c>
      <c r="E32" s="180">
        <v>488.786</v>
      </c>
      <c r="F32" s="180">
        <v>841.75599999999997</v>
      </c>
    </row>
    <row r="33" spans="2:6" ht="15" x14ac:dyDescent="0.25">
      <c r="B33" s="5" t="s">
        <v>91</v>
      </c>
      <c r="C33" s="180">
        <v>749.65499999999997</v>
      </c>
      <c r="D33" s="180">
        <v>498.91</v>
      </c>
      <c r="E33" s="180">
        <v>0</v>
      </c>
      <c r="F33" s="180">
        <v>847.36500000000001</v>
      </c>
    </row>
    <row r="34" spans="2:6" ht="15" x14ac:dyDescent="0.25">
      <c r="B34" s="5" t="s">
        <v>92</v>
      </c>
      <c r="C34" s="180">
        <v>-300</v>
      </c>
      <c r="D34" s="180">
        <v>0</v>
      </c>
      <c r="E34" s="180">
        <v>0</v>
      </c>
      <c r="F34" s="180">
        <v>-500</v>
      </c>
    </row>
    <row r="35" spans="2:6" ht="15" x14ac:dyDescent="0.25">
      <c r="B35" s="5" t="s">
        <v>93</v>
      </c>
      <c r="C35" s="180">
        <v>-4.9889999999999999</v>
      </c>
      <c r="D35" s="180">
        <v>-4.0759999999999996</v>
      </c>
      <c r="E35" s="180">
        <v>-3.9969999999999999</v>
      </c>
      <c r="F35" s="180">
        <v>-6.8369999999999997</v>
      </c>
    </row>
    <row r="36" spans="2:6" ht="15" x14ac:dyDescent="0.25">
      <c r="B36" s="5" t="s">
        <v>94</v>
      </c>
      <c r="C36" s="180">
        <v>0</v>
      </c>
      <c r="D36" s="180">
        <v>-28.83</v>
      </c>
      <c r="E36" s="180">
        <v>-17.012</v>
      </c>
      <c r="F36" s="180">
        <v>-18.718</v>
      </c>
    </row>
    <row r="37" spans="2:6" ht="15" x14ac:dyDescent="0.25">
      <c r="B37" s="5" t="s">
        <v>95</v>
      </c>
      <c r="C37" s="180">
        <v>-3151.1550000000002</v>
      </c>
      <c r="D37" s="180">
        <v>-2076.529</v>
      </c>
      <c r="E37" s="180">
        <v>-2096.962</v>
      </c>
      <c r="F37" s="180">
        <v>-3353.3449999999998</v>
      </c>
    </row>
    <row r="38" spans="2:6" ht="15" x14ac:dyDescent="0.25">
      <c r="B38" s="5" t="s">
        <v>96</v>
      </c>
      <c r="C38" s="180">
        <v>91.316000000000003</v>
      </c>
      <c r="D38" s="180">
        <v>128.98099999999999</v>
      </c>
      <c r="E38" s="180">
        <v>80.822999999999993</v>
      </c>
      <c r="F38" s="180">
        <v>70.418999999999997</v>
      </c>
    </row>
    <row r="39" spans="2:6" ht="15" x14ac:dyDescent="0.25">
      <c r="B39" s="5" t="s">
        <v>97</v>
      </c>
      <c r="C39" s="180">
        <v>-0.35399999999999998</v>
      </c>
      <c r="D39" s="180">
        <v>-0.56899999999999995</v>
      </c>
      <c r="E39" s="180">
        <v>-0.433</v>
      </c>
      <c r="F39" s="180">
        <v>-0.27</v>
      </c>
    </row>
    <row r="40" spans="2:6" ht="15" x14ac:dyDescent="0.25">
      <c r="B40" s="6" t="s">
        <v>98</v>
      </c>
      <c r="C40" s="181">
        <v>-1868.7380000000001</v>
      </c>
      <c r="D40" s="181">
        <v>-2029.7170000000001</v>
      </c>
      <c r="E40" s="181">
        <v>-1548.7950000000001</v>
      </c>
      <c r="F40" s="181">
        <v>-2119.63</v>
      </c>
    </row>
    <row r="41" spans="2:6" ht="15" x14ac:dyDescent="0.25">
      <c r="B41" s="5" t="s">
        <v>99</v>
      </c>
      <c r="C41" s="180">
        <v>1.139</v>
      </c>
      <c r="D41" s="180">
        <v>-1.9410000000000001</v>
      </c>
      <c r="E41" s="180">
        <v>2.706</v>
      </c>
      <c r="F41" s="180">
        <v>0.79200000000000004</v>
      </c>
    </row>
    <row r="42" spans="2:6" ht="15" x14ac:dyDescent="0.25">
      <c r="B42" s="6" t="s">
        <v>100</v>
      </c>
      <c r="C42" s="181">
        <v>170.54900000000001</v>
      </c>
      <c r="D42" s="181">
        <v>-148.887</v>
      </c>
      <c r="E42" s="181">
        <v>63.548000000000002</v>
      </c>
      <c r="F42" s="181">
        <v>63.567999999999998</v>
      </c>
    </row>
    <row r="43" spans="2:6" ht="15" x14ac:dyDescent="0.25">
      <c r="B43" s="5" t="s">
        <v>104</v>
      </c>
      <c r="C43" s="180">
        <v>108.583</v>
      </c>
      <c r="D43" s="180">
        <v>279.13200000000001</v>
      </c>
      <c r="E43" s="180">
        <v>130.245</v>
      </c>
      <c r="F43" s="180">
        <v>198.613</v>
      </c>
    </row>
    <row r="44" spans="2:6" ht="15" x14ac:dyDescent="0.25">
      <c r="B44" s="5" t="s">
        <v>105</v>
      </c>
      <c r="C44" s="180">
        <v>279.13200000000001</v>
      </c>
      <c r="D44" s="180">
        <v>130.245</v>
      </c>
      <c r="E44" s="180">
        <v>193.79300000000001</v>
      </c>
      <c r="F44" s="180">
        <v>262.18099999999998</v>
      </c>
    </row>
  </sheetData>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C1008"/>
  <sheetViews>
    <sheetView tabSelected="1" zoomScaleNormal="100" workbookViewId="0">
      <selection activeCell="Q12" sqref="P11:Q12"/>
    </sheetView>
  </sheetViews>
  <sheetFormatPr defaultColWidth="14.42578125" defaultRowHeight="12.75" x14ac:dyDescent="0.2"/>
  <cols>
    <col min="1" max="2" width="1.85546875" customWidth="1"/>
    <col min="3" max="3" width="42" customWidth="1"/>
    <col min="4" max="6" width="14.5703125" hidden="1" customWidth="1"/>
    <col min="7" max="10" width="14.5703125" customWidth="1"/>
    <col min="11" max="13" width="12.140625" customWidth="1"/>
    <col min="14" max="14" width="14.140625" customWidth="1"/>
    <col min="15" max="15" width="12.140625" customWidth="1"/>
    <col min="16" max="16" width="9.140625" customWidth="1"/>
    <col min="17" max="17" width="16.85546875" customWidth="1"/>
    <col min="18" max="18" width="15.5703125" customWidth="1"/>
    <col min="19" max="19" width="17.140625" customWidth="1"/>
    <col min="20" max="20" width="10" customWidth="1"/>
    <col min="21" max="21" width="41.85546875" bestFit="1" customWidth="1"/>
    <col min="22" max="24" width="11.140625" customWidth="1"/>
    <col min="25" max="25" width="8" customWidth="1"/>
    <col min="26" max="26" width="11.140625" customWidth="1"/>
    <col min="27" max="29" width="8" customWidth="1"/>
  </cols>
  <sheetData>
    <row r="1" spans="1:29" ht="23.25" customHeight="1" x14ac:dyDescent="0.35">
      <c r="A1" s="12"/>
      <c r="C1" s="13" t="e" vm="1">
        <v>#VALUE!</v>
      </c>
      <c r="D1" s="14"/>
      <c r="E1" s="14"/>
      <c r="F1" s="14"/>
      <c r="G1" s="14"/>
      <c r="H1" s="14"/>
      <c r="I1" s="15"/>
      <c r="J1" s="15"/>
      <c r="K1" s="15"/>
      <c r="L1" s="15"/>
      <c r="M1" s="15"/>
      <c r="N1" s="15"/>
      <c r="O1" s="15"/>
      <c r="P1" s="15"/>
      <c r="Q1" s="15"/>
      <c r="R1" s="15"/>
      <c r="S1" s="15"/>
      <c r="T1" s="16"/>
      <c r="U1" s="16"/>
      <c r="V1" s="16"/>
      <c r="W1" s="16"/>
      <c r="X1" s="16"/>
      <c r="Y1" s="16"/>
      <c r="Z1" s="16"/>
      <c r="AA1" s="16"/>
      <c r="AB1" s="16"/>
      <c r="AC1" s="16"/>
    </row>
    <row r="2" spans="1:29" ht="12.75" customHeight="1" x14ac:dyDescent="0.25">
      <c r="S2" s="17"/>
      <c r="U2" s="6" t="s">
        <v>195</v>
      </c>
      <c r="V2" s="160" t="s">
        <v>196</v>
      </c>
      <c r="W2" s="161" t="s">
        <v>111</v>
      </c>
      <c r="X2" s="161" t="s">
        <v>197</v>
      </c>
      <c r="Z2" s="161" t="s">
        <v>198</v>
      </c>
    </row>
    <row r="3" spans="1:29" ht="14.25" customHeight="1" x14ac:dyDescent="0.25">
      <c r="A3" s="18"/>
      <c r="B3" s="18"/>
      <c r="C3" s="19" t="s">
        <v>106</v>
      </c>
      <c r="D3" s="19"/>
      <c r="E3" s="20"/>
      <c r="F3" s="20"/>
      <c r="G3" s="20"/>
      <c r="H3" s="20"/>
      <c r="I3" s="21">
        <f ca="1">TODAY()</f>
        <v>46294</v>
      </c>
      <c r="J3" s="18"/>
      <c r="K3" s="18"/>
      <c r="L3" s="18"/>
      <c r="M3" s="18"/>
      <c r="N3" s="18"/>
      <c r="O3" s="18"/>
      <c r="P3" s="18"/>
      <c r="Q3" s="18"/>
      <c r="R3" s="18"/>
      <c r="S3" s="18"/>
      <c r="U3" s="5" t="s">
        <v>118</v>
      </c>
      <c r="V3" s="135">
        <v>0.02</v>
      </c>
      <c r="W3" s="92">
        <f>$Q$13</f>
        <v>5.5129342637330346E-2</v>
      </c>
      <c r="X3" s="135">
        <v>6.5000000000000002E-2</v>
      </c>
      <c r="Z3" s="136">
        <f t="shared" ref="Z3:Z13" si="0">INDEX(V3:X3,MATCH($I$6,$V$2:$X$2,0))</f>
        <v>5.5129342637330346E-2</v>
      </c>
      <c r="AA3" s="18"/>
      <c r="AB3" s="18"/>
      <c r="AC3" s="18"/>
    </row>
    <row r="4" spans="1:29" ht="14.25" customHeight="1" x14ac:dyDescent="0.25">
      <c r="A4" s="18"/>
      <c r="B4" s="18"/>
      <c r="C4" s="19" t="s">
        <v>107</v>
      </c>
      <c r="D4" s="19"/>
      <c r="E4" s="20"/>
      <c r="F4" s="20"/>
      <c r="G4" s="20"/>
      <c r="H4" s="20"/>
      <c r="I4" s="22" cm="1">
        <f t="array" aca="1" ref="I4" ca="1">_FV(C1,"Price")</f>
        <v>86.07</v>
      </c>
      <c r="J4" s="18"/>
      <c r="K4" s="18"/>
      <c r="L4" s="18"/>
      <c r="M4" s="18"/>
      <c r="N4" s="18"/>
      <c r="O4" s="18"/>
      <c r="P4" s="18"/>
      <c r="Q4" s="18"/>
      <c r="R4" s="18"/>
      <c r="S4" s="18"/>
      <c r="T4" s="18"/>
      <c r="U4" s="5" t="s">
        <v>121</v>
      </c>
      <c r="V4" s="135">
        <v>0.18</v>
      </c>
      <c r="W4" s="92">
        <f>IFERROR($R$17+0,$Q$17)</f>
        <v>0.19654573361533043</v>
      </c>
      <c r="X4" s="135">
        <v>0.21</v>
      </c>
      <c r="Z4" s="136">
        <f t="shared" si="0"/>
        <v>0.19654573361533043</v>
      </c>
      <c r="AA4" s="18"/>
      <c r="AB4" s="18"/>
      <c r="AC4" s="18"/>
    </row>
    <row r="5" spans="1:29" ht="14.25" customHeight="1" x14ac:dyDescent="0.25">
      <c r="A5" s="18"/>
      <c r="B5" s="18"/>
      <c r="C5" s="19" t="s">
        <v>108</v>
      </c>
      <c r="D5" s="19"/>
      <c r="E5" s="20"/>
      <c r="F5" s="20"/>
      <c r="G5" s="20"/>
      <c r="H5" s="20"/>
      <c r="I5" s="23">
        <v>808.96079199999997</v>
      </c>
      <c r="J5" s="24" t="s">
        <v>109</v>
      </c>
      <c r="K5" s="18"/>
      <c r="L5" s="18"/>
      <c r="M5" s="18"/>
      <c r="N5" s="18"/>
      <c r="O5" s="18"/>
      <c r="P5" s="18"/>
      <c r="Q5" s="18"/>
      <c r="R5" s="18"/>
      <c r="S5" s="18"/>
      <c r="T5" s="18"/>
      <c r="U5" s="5" t="s">
        <v>199</v>
      </c>
      <c r="V5" s="135">
        <v>0.03</v>
      </c>
      <c r="W5" s="92">
        <v>0.03</v>
      </c>
      <c r="X5" s="135">
        <v>0.03</v>
      </c>
      <c r="Z5" s="136">
        <f t="shared" si="0"/>
        <v>0.03</v>
      </c>
      <c r="AA5" s="18"/>
      <c r="AB5" s="18"/>
      <c r="AC5" s="18"/>
    </row>
    <row r="6" spans="1:29" ht="14.25" customHeight="1" x14ac:dyDescent="0.25">
      <c r="A6" s="18"/>
      <c r="B6" s="18"/>
      <c r="C6" s="25" t="s">
        <v>110</v>
      </c>
      <c r="D6" s="19"/>
      <c r="E6" s="20"/>
      <c r="F6" s="20"/>
      <c r="G6" s="20"/>
      <c r="H6" s="20"/>
      <c r="I6" s="194" t="s">
        <v>111</v>
      </c>
      <c r="J6" s="18"/>
      <c r="K6" s="18"/>
      <c r="L6" s="18"/>
      <c r="M6" s="18"/>
      <c r="N6" s="18"/>
      <c r="O6" s="18"/>
      <c r="P6" s="18"/>
      <c r="Q6" s="18"/>
      <c r="R6" s="18"/>
      <c r="S6" s="18"/>
      <c r="T6" s="18"/>
      <c r="U6" s="5" t="s">
        <v>200</v>
      </c>
      <c r="V6" s="135">
        <v>3.5999999999999997E-2</v>
      </c>
      <c r="W6" s="92">
        <v>3.4000000000000002E-2</v>
      </c>
      <c r="X6" s="135">
        <v>3.2000000000000001E-2</v>
      </c>
      <c r="Z6" s="136">
        <f t="shared" si="0"/>
        <v>3.4000000000000002E-2</v>
      </c>
      <c r="AA6" s="18"/>
      <c r="AB6" s="18"/>
      <c r="AC6" s="18"/>
    </row>
    <row r="7" spans="1:29" s="179" customFormat="1" ht="14.25" customHeight="1" x14ac:dyDescent="0.25">
      <c r="A7" s="18"/>
      <c r="B7" s="18"/>
      <c r="C7" s="5" t="s">
        <v>193</v>
      </c>
      <c r="D7" s="117"/>
      <c r="E7" s="76"/>
      <c r="F7" s="76"/>
      <c r="G7"/>
      <c r="H7"/>
      <c r="I7" s="21">
        <f>K50</f>
        <v>46387</v>
      </c>
      <c r="J7" s="18"/>
      <c r="K7" s="18"/>
      <c r="L7" s="18"/>
      <c r="M7" s="18"/>
      <c r="N7" s="18"/>
      <c r="O7" s="18"/>
      <c r="P7" s="18"/>
      <c r="Q7" s="18"/>
      <c r="R7" s="18"/>
      <c r="S7" s="18"/>
      <c r="T7" s="18"/>
      <c r="U7" s="5" t="s">
        <v>201</v>
      </c>
      <c r="V7" s="135">
        <v>0.311</v>
      </c>
      <c r="W7" s="92">
        <f>$Q$37</f>
        <v>0.31086097842972354</v>
      </c>
      <c r="X7" s="135">
        <v>0.311</v>
      </c>
      <c r="Y7"/>
      <c r="Z7" s="136">
        <f t="shared" si="0"/>
        <v>0.31086097842972354</v>
      </c>
      <c r="AA7" s="18"/>
      <c r="AB7" s="18"/>
      <c r="AC7" s="18"/>
    </row>
    <row r="8" spans="1:29" s="179" customFormat="1" ht="14.25" customHeight="1" x14ac:dyDescent="0.25">
      <c r="A8" s="18"/>
      <c r="B8" s="18"/>
      <c r="C8" s="5" t="s">
        <v>194</v>
      </c>
      <c r="D8" s="117"/>
      <c r="E8"/>
      <c r="F8"/>
      <c r="G8"/>
      <c r="H8"/>
      <c r="I8" s="22">
        <f>MAX(0.01,MIN(1,(I7-$J$11)/365))</f>
        <v>0.50410958904109593</v>
      </c>
      <c r="J8" s="18"/>
      <c r="K8" s="18"/>
      <c r="L8" s="18"/>
      <c r="M8" s="18"/>
      <c r="N8" s="18"/>
      <c r="O8" s="18"/>
      <c r="P8" s="18"/>
      <c r="Q8" s="18"/>
      <c r="R8" s="18"/>
      <c r="S8" s="18"/>
      <c r="T8" s="18"/>
      <c r="U8" s="5" t="s">
        <v>202</v>
      </c>
      <c r="V8" s="135">
        <v>0.02</v>
      </c>
      <c r="W8" s="92">
        <v>0.02</v>
      </c>
      <c r="X8" s="135">
        <v>0.02</v>
      </c>
      <c r="Y8"/>
      <c r="Z8" s="136">
        <f t="shared" si="0"/>
        <v>0.02</v>
      </c>
      <c r="AA8" s="18"/>
      <c r="AB8" s="18"/>
      <c r="AC8" s="18"/>
    </row>
    <row r="9" spans="1:29" ht="18" customHeight="1" x14ac:dyDescent="0.3">
      <c r="A9" s="18"/>
      <c r="B9" s="18"/>
      <c r="C9" s="26" t="s">
        <v>112</v>
      </c>
      <c r="D9" s="27"/>
      <c r="E9" s="27"/>
      <c r="F9" s="27"/>
      <c r="G9" s="27"/>
      <c r="H9" s="27"/>
      <c r="I9" s="27"/>
      <c r="J9" s="27"/>
      <c r="K9" s="27"/>
      <c r="L9" s="27"/>
      <c r="M9" s="27"/>
      <c r="N9" s="27"/>
      <c r="O9" s="27"/>
      <c r="P9" s="18"/>
      <c r="Q9" s="18"/>
      <c r="R9" s="18"/>
      <c r="S9" s="18"/>
      <c r="T9" s="18"/>
      <c r="U9" s="5" t="s">
        <v>203</v>
      </c>
      <c r="V9" s="135">
        <f>W9</f>
        <v>0.39321893971340549</v>
      </c>
      <c r="W9" s="92">
        <f>$Q$39</f>
        <v>0.39321893971340549</v>
      </c>
      <c r="X9" s="135">
        <f>W9</f>
        <v>0.39321893971340549</v>
      </c>
      <c r="Z9" s="136">
        <f t="shared" si="0"/>
        <v>0.39321893971340549</v>
      </c>
      <c r="AA9" s="18"/>
      <c r="AB9" s="18"/>
      <c r="AC9" s="18"/>
    </row>
    <row r="10" spans="1:29" ht="14.25" customHeight="1" x14ac:dyDescent="0.25">
      <c r="A10" s="18"/>
      <c r="B10" s="18"/>
      <c r="C10" s="19"/>
      <c r="D10" s="19"/>
      <c r="E10" s="28"/>
      <c r="F10" s="29"/>
      <c r="G10" s="28"/>
      <c r="H10" s="28"/>
      <c r="I10" s="28"/>
      <c r="J10" s="30"/>
      <c r="K10" s="198" t="s">
        <v>113</v>
      </c>
      <c r="L10" s="198"/>
      <c r="M10" s="198"/>
      <c r="N10" s="198"/>
      <c r="O10" s="198"/>
      <c r="P10" s="18"/>
      <c r="Q10" s="18"/>
      <c r="R10" s="18"/>
      <c r="S10" s="18"/>
      <c r="T10" s="18"/>
      <c r="U10" s="5" t="s">
        <v>204</v>
      </c>
      <c r="V10" s="135">
        <f>W10</f>
        <v>7.8997166440390273E-2</v>
      </c>
      <c r="W10" s="92">
        <f>$Q$40</f>
        <v>7.8997166440390273E-2</v>
      </c>
      <c r="X10" s="135">
        <f>W10</f>
        <v>7.8997166440390273E-2</v>
      </c>
      <c r="Z10" s="136">
        <f t="shared" si="0"/>
        <v>7.8997166440390273E-2</v>
      </c>
      <c r="AA10" s="18"/>
      <c r="AB10" s="18"/>
      <c r="AC10" s="18"/>
    </row>
    <row r="11" spans="1:29" ht="14.25" customHeight="1" x14ac:dyDescent="0.25">
      <c r="A11" s="18"/>
      <c r="B11" s="18"/>
      <c r="C11" s="19"/>
      <c r="D11" s="31"/>
      <c r="E11" s="31"/>
      <c r="F11" s="31"/>
      <c r="G11" s="31">
        <v>45291</v>
      </c>
      <c r="H11" s="31">
        <v>45657</v>
      </c>
      <c r="I11" s="31">
        <v>46022</v>
      </c>
      <c r="J11" s="31">
        <v>46203</v>
      </c>
      <c r="K11" s="32">
        <f>DATE(YEAR(J11),12,31)</f>
        <v>46387</v>
      </c>
      <c r="L11" s="32">
        <f>EDATE(K11,12)</f>
        <v>46752</v>
      </c>
      <c r="M11" s="32">
        <f>EDATE(L11,12)</f>
        <v>47118</v>
      </c>
      <c r="N11" s="32">
        <f>EDATE(M11,12)</f>
        <v>47483</v>
      </c>
      <c r="O11" s="32">
        <f>EDATE(N11,12)</f>
        <v>47848</v>
      </c>
      <c r="P11" s="18"/>
      <c r="Q11" s="33"/>
      <c r="R11" s="33"/>
      <c r="S11" s="33"/>
      <c r="T11" s="33"/>
      <c r="U11" s="5" t="s">
        <v>205</v>
      </c>
      <c r="V11" s="135">
        <f>W11</f>
        <v>6.2907934805800453E-2</v>
      </c>
      <c r="W11" s="92">
        <f>$Q$41</f>
        <v>6.2907934805800453E-2</v>
      </c>
      <c r="X11" s="135">
        <f>W11</f>
        <v>6.2907934805800453E-2</v>
      </c>
      <c r="Z11" s="136">
        <f t="shared" si="0"/>
        <v>6.2907934805800453E-2</v>
      </c>
      <c r="AA11" s="18"/>
      <c r="AB11" s="18"/>
      <c r="AC11" s="18"/>
    </row>
    <row r="12" spans="1:29" ht="14.25" customHeight="1" x14ac:dyDescent="0.25">
      <c r="A12" s="18"/>
      <c r="B12" s="18"/>
      <c r="C12" s="19" t="s">
        <v>114</v>
      </c>
      <c r="D12" s="34"/>
      <c r="E12" s="35"/>
      <c r="F12" s="35"/>
      <c r="G12" s="36">
        <f>'IS Annual'!C6</f>
        <v>15812.25</v>
      </c>
      <c r="H12" s="36">
        <f>'IS Annual'!D6</f>
        <v>16708.478999999999</v>
      </c>
      <c r="I12" s="36">
        <f>'IS Annual'!E6</f>
        <v>17781.991999999998</v>
      </c>
      <c r="J12" s="37">
        <f>'IS Annual'!F6</f>
        <v>18572.562000000002</v>
      </c>
      <c r="K12" s="38">
        <f>I12*(1+K13)*$I$8</f>
        <v>9458.2561136234981</v>
      </c>
      <c r="L12" s="38">
        <f>(K12/$I$8)*(1+L13)</f>
        <v>19796.654879440332</v>
      </c>
      <c r="M12" s="38">
        <f>L12*(1+M13)</f>
        <v>20888.031449361974</v>
      </c>
      <c r="N12" s="38">
        <f>M12*(1+N13)</f>
        <v>22039.574892153181</v>
      </c>
      <c r="O12" s="38">
        <f>N12*(1+O13)</f>
        <v>23254.602167963796</v>
      </c>
      <c r="P12" s="18"/>
      <c r="Q12" s="39" t="s">
        <v>115</v>
      </c>
      <c r="R12" s="39" t="s">
        <v>116</v>
      </c>
      <c r="S12" s="39" t="s">
        <v>117</v>
      </c>
      <c r="T12" s="18"/>
      <c r="U12" s="5" t="s">
        <v>206</v>
      </c>
      <c r="V12" s="135">
        <f>W12</f>
        <v>0.21800404367076187</v>
      </c>
      <c r="W12" s="92">
        <f>IFERROR($R$54+0,$Q$54)</f>
        <v>0.21800404367076187</v>
      </c>
      <c r="X12" s="135">
        <f>W12</f>
        <v>0.21800404367076187</v>
      </c>
      <c r="Z12" s="136">
        <f t="shared" si="0"/>
        <v>0.21800404367076187</v>
      </c>
      <c r="AA12" s="18"/>
      <c r="AB12" s="18"/>
      <c r="AC12" s="18"/>
    </row>
    <row r="13" spans="1:29" ht="14.25" customHeight="1" x14ac:dyDescent="0.25">
      <c r="A13" s="18"/>
      <c r="B13" s="18"/>
      <c r="C13" s="40" t="s">
        <v>118</v>
      </c>
      <c r="D13" s="40"/>
      <c r="E13" s="41"/>
      <c r="F13" s="41"/>
      <c r="G13" s="41"/>
      <c r="H13" s="41">
        <f>(H12/G12)-1</f>
        <v>5.6679409951145399E-2</v>
      </c>
      <c r="I13" s="41">
        <f>(I12/H12)-1</f>
        <v>6.4249594472363336E-2</v>
      </c>
      <c r="J13" s="41">
        <f>(J12/I12)-1</f>
        <v>4.4459023488482297E-2</v>
      </c>
      <c r="K13" s="42">
        <f>$Z$3</f>
        <v>5.5129342637330346E-2</v>
      </c>
      <c r="L13" s="43">
        <f>+K13</f>
        <v>5.5129342637330346E-2</v>
      </c>
      <c r="M13" s="43">
        <f>+L13</f>
        <v>5.5129342637330346E-2</v>
      </c>
      <c r="N13" s="43">
        <f>+M13</f>
        <v>5.5129342637330346E-2</v>
      </c>
      <c r="O13" s="43">
        <f>+N13</f>
        <v>5.5129342637330346E-2</v>
      </c>
      <c r="P13" s="18"/>
      <c r="Q13" s="44">
        <f>AVERAGE(H13:J13)</f>
        <v>5.5129342637330346E-2</v>
      </c>
      <c r="R13" s="44">
        <f>GEOMEAN(H14:J14)-1</f>
        <v>5.5097793690924712E-2</v>
      </c>
      <c r="S13" s="45">
        <f>HARMEAN(H14:J14)-1</f>
        <v>5.5066199580895869E-2</v>
      </c>
      <c r="T13" s="18"/>
      <c r="U13" s="5" t="s">
        <v>207</v>
      </c>
      <c r="V13" s="135">
        <v>0.01</v>
      </c>
      <c r="W13" s="135">
        <v>0.02</v>
      </c>
      <c r="X13" s="135">
        <v>2.5000000000000001E-2</v>
      </c>
      <c r="Y13" s="117"/>
      <c r="Z13" s="136">
        <f t="shared" si="0"/>
        <v>0.02</v>
      </c>
      <c r="AA13" s="18"/>
      <c r="AB13" s="18"/>
      <c r="AC13" s="18"/>
    </row>
    <row r="14" spans="1:29" ht="14.25" customHeight="1" x14ac:dyDescent="0.25">
      <c r="A14" s="18"/>
      <c r="B14" s="18"/>
      <c r="C14" s="40" t="s">
        <v>119</v>
      </c>
      <c r="D14" s="40"/>
      <c r="E14" s="41"/>
      <c r="F14" s="41"/>
      <c r="G14" s="41"/>
      <c r="H14" s="41">
        <f>H13+1</f>
        <v>1.0566794099511454</v>
      </c>
      <c r="I14" s="41">
        <f>I13+1</f>
        <v>1.0642495944723633</v>
      </c>
      <c r="J14" s="41">
        <f>J13+1</f>
        <v>1.0444590234884823</v>
      </c>
      <c r="P14" s="18"/>
      <c r="Q14" s="46"/>
      <c r="R14" s="47"/>
      <c r="S14" s="48"/>
      <c r="T14" s="18"/>
      <c r="AA14" s="18"/>
      <c r="AB14" s="18"/>
      <c r="AC14" s="18"/>
    </row>
    <row r="15" spans="1:29" ht="14.25" customHeight="1" x14ac:dyDescent="0.25">
      <c r="A15" s="18"/>
      <c r="B15" s="18"/>
      <c r="C15" s="19"/>
      <c r="D15" s="49"/>
      <c r="E15" s="20"/>
      <c r="F15" s="20"/>
      <c r="G15" s="20"/>
      <c r="H15" s="20"/>
      <c r="I15" s="50"/>
      <c r="J15" s="18"/>
      <c r="K15" s="18"/>
      <c r="L15" s="18"/>
      <c r="M15" s="18"/>
      <c r="N15" s="18"/>
      <c r="O15" s="18"/>
      <c r="P15" s="18"/>
      <c r="Q15" s="48"/>
      <c r="R15" s="48"/>
      <c r="S15" s="48"/>
      <c r="T15" s="18"/>
      <c r="AA15" s="18"/>
      <c r="AB15" s="18"/>
      <c r="AC15" s="18"/>
    </row>
    <row r="16" spans="1:29" ht="14.25" customHeight="1" x14ac:dyDescent="0.25">
      <c r="A16" s="18"/>
      <c r="B16" s="18"/>
      <c r="C16" s="19" t="s">
        <v>120</v>
      </c>
      <c r="D16" s="34"/>
      <c r="E16" s="51"/>
      <c r="F16" s="51"/>
      <c r="G16" s="37">
        <f>'IS Annual'!C10</f>
        <v>3186.3760000000002</v>
      </c>
      <c r="H16" s="37">
        <f>'IS Annual'!D10</f>
        <v>3251.1570000000002</v>
      </c>
      <c r="I16" s="37">
        <f>'IS Annual'!E10</f>
        <v>3460.6120000000001</v>
      </c>
      <c r="J16" s="37">
        <f>'IS Annual'!F10</f>
        <v>3632.03</v>
      </c>
      <c r="K16" s="52">
        <f>K17*K12</f>
        <v>1858.9798865738144</v>
      </c>
      <c r="L16" s="52">
        <f>L17*L12</f>
        <v>3890.9480564091104</v>
      </c>
      <c r="M16" s="52">
        <f>M17*M12</f>
        <v>4105.4534649949428</v>
      </c>
      <c r="N16" s="52">
        <f>N17*N12</f>
        <v>4331.7844157482641</v>
      </c>
      <c r="O16" s="52">
        <f>O17*O12</f>
        <v>4570.5928430350978</v>
      </c>
      <c r="P16" s="18"/>
      <c r="Q16" s="39" t="s">
        <v>115</v>
      </c>
      <c r="R16" s="39" t="s">
        <v>116</v>
      </c>
      <c r="S16" s="39" t="s">
        <v>117</v>
      </c>
      <c r="T16" s="18"/>
      <c r="AA16" s="18"/>
      <c r="AB16" s="18"/>
      <c r="AC16" s="18"/>
    </row>
    <row r="17" spans="1:29" ht="14.25" customHeight="1" x14ac:dyDescent="0.25">
      <c r="A17" s="18"/>
      <c r="B17" s="18"/>
      <c r="C17" s="40" t="s">
        <v>121</v>
      </c>
      <c r="D17" s="41"/>
      <c r="E17" s="41"/>
      <c r="F17" s="41"/>
      <c r="G17" s="53">
        <f>IFERROR(G16/G12,"")</f>
        <v>0.20151313064238172</v>
      </c>
      <c r="H17" s="53">
        <f>IFERROR(H16/H12,"")</f>
        <v>0.19458126619424787</v>
      </c>
      <c r="I17" s="53">
        <f>IFERROR(I16/I12,"")</f>
        <v>0.19461329191915058</v>
      </c>
      <c r="J17" s="53">
        <f>IFERROR(J16/J12,"")</f>
        <v>0.19555891104307527</v>
      </c>
      <c r="K17" s="42">
        <f>$Z$4</f>
        <v>0.19654573361533043</v>
      </c>
      <c r="L17" s="43">
        <f>+K17</f>
        <v>0.19654573361533043</v>
      </c>
      <c r="M17" s="43">
        <f>+L17</f>
        <v>0.19654573361533043</v>
      </c>
      <c r="N17" s="43">
        <f>+M17</f>
        <v>0.19654573361533043</v>
      </c>
      <c r="O17" s="43">
        <f>+N17</f>
        <v>0.19654573361533043</v>
      </c>
      <c r="P17" s="18"/>
      <c r="Q17" s="54">
        <f>AVERAGE(G17:J17)</f>
        <v>0.19656664994971385</v>
      </c>
      <c r="R17" s="54">
        <f>IFERROR(GEOMEAN(G17:J17),"")</f>
        <v>0.19654573361533043</v>
      </c>
      <c r="S17" s="55">
        <f>IFERROR(HARMEAN(G17:J17),"")</f>
        <v>0.19652503965148416</v>
      </c>
      <c r="T17" s="18"/>
      <c r="AA17" s="18"/>
      <c r="AB17" s="18"/>
      <c r="AC17" s="18"/>
    </row>
    <row r="18" spans="1:29" ht="14.25" customHeight="1" x14ac:dyDescent="0.25">
      <c r="A18" s="18"/>
      <c r="B18" s="18"/>
      <c r="C18" s="19"/>
      <c r="D18" s="49"/>
      <c r="E18" s="20"/>
      <c r="F18" s="20"/>
      <c r="G18" s="20"/>
      <c r="H18" s="20"/>
      <c r="I18" s="50"/>
      <c r="J18" s="18"/>
      <c r="K18" s="18"/>
      <c r="L18" s="18"/>
      <c r="M18" s="18"/>
      <c r="N18" s="18"/>
      <c r="O18" s="18"/>
      <c r="P18" s="18"/>
      <c r="Q18" s="48"/>
      <c r="R18" s="48"/>
      <c r="S18" s="48"/>
      <c r="T18" s="18"/>
      <c r="AA18" s="18"/>
      <c r="AB18" s="18"/>
      <c r="AC18" s="18"/>
    </row>
    <row r="19" spans="1:29" ht="14.25" customHeight="1" x14ac:dyDescent="0.25">
      <c r="A19" s="18"/>
      <c r="B19" s="18"/>
      <c r="C19" s="19" t="s">
        <v>122</v>
      </c>
      <c r="D19" s="34"/>
      <c r="E19" s="51"/>
      <c r="F19" s="51"/>
      <c r="G19" s="37">
        <f>'CF Annual'!C8</f>
        <v>409.06099999999998</v>
      </c>
      <c r="H19" s="37">
        <f>'CF Annual'!D8</f>
        <v>461.892</v>
      </c>
      <c r="I19" s="37">
        <f>'CF Annual'!E8</f>
        <v>511.23</v>
      </c>
      <c r="J19" s="37">
        <f>'CF Annual'!F8</f>
        <v>537.71400000000006</v>
      </c>
      <c r="K19" s="52">
        <f>K20*K12</f>
        <v>283.74768340870492</v>
      </c>
      <c r="L19" s="52">
        <f>L20*L12</f>
        <v>593.89964638320987</v>
      </c>
      <c r="M19" s="52">
        <f>M20*M12</f>
        <v>626.64094348085916</v>
      </c>
      <c r="N19" s="52">
        <f>N20*N12</f>
        <v>661.18724676459544</v>
      </c>
      <c r="O19" s="52">
        <f>O20*O12</f>
        <v>697.63806503891385</v>
      </c>
      <c r="P19" s="18"/>
      <c r="Q19" s="39" t="s">
        <v>115</v>
      </c>
      <c r="R19" s="39" t="s">
        <v>116</v>
      </c>
      <c r="S19" s="39" t="s">
        <v>117</v>
      </c>
      <c r="T19" s="18"/>
      <c r="AA19" s="18"/>
      <c r="AB19" s="18"/>
      <c r="AC19" s="18"/>
    </row>
    <row r="20" spans="1:29" ht="14.25" customHeight="1" x14ac:dyDescent="0.25">
      <c r="A20" s="18"/>
      <c r="B20" s="18"/>
      <c r="C20" s="40" t="s">
        <v>123</v>
      </c>
      <c r="D20" s="41"/>
      <c r="E20" s="41"/>
      <c r="F20" s="41"/>
      <c r="G20" s="53">
        <f>IFERROR(G19/G12,"")</f>
        <v>2.5869879365681671E-2</v>
      </c>
      <c r="H20" s="53">
        <f>IFERROR(H19/H12,"")</f>
        <v>2.7644167970046825E-2</v>
      </c>
      <c r="I20" s="53">
        <f>IFERROR(I19/I12,"")</f>
        <v>2.8749872342761152E-2</v>
      </c>
      <c r="J20" s="53">
        <f>IFERROR(J19/J12,"")</f>
        <v>2.8952063802506086E-2</v>
      </c>
      <c r="K20" s="42">
        <f>$Z$5</f>
        <v>0.03</v>
      </c>
      <c r="L20" s="43">
        <f>+K20</f>
        <v>0.03</v>
      </c>
      <c r="M20" s="43">
        <f>+L20</f>
        <v>0.03</v>
      </c>
      <c r="N20" s="43">
        <f>+M20</f>
        <v>0.03</v>
      </c>
      <c r="O20" s="43">
        <f>+N20</f>
        <v>0.03</v>
      </c>
      <c r="P20" s="18"/>
      <c r="Q20" s="54">
        <f>AVERAGE(G20:J20)</f>
        <v>2.7803995870248933E-2</v>
      </c>
      <c r="R20" s="54">
        <f>IFERROR(GEOMEAN(G20:J20),"")</f>
        <v>2.7776552598936473E-2</v>
      </c>
      <c r="S20" s="55">
        <f>IFERROR(HARMEAN(G20:J20),"")</f>
        <v>2.7748564094127608E-2</v>
      </c>
      <c r="T20" s="18"/>
      <c r="AA20" s="18"/>
      <c r="AB20" s="18"/>
      <c r="AC20" s="18"/>
    </row>
    <row r="21" spans="1:29" ht="14.25" customHeight="1" x14ac:dyDescent="0.25">
      <c r="A21" s="18"/>
      <c r="B21" s="18"/>
      <c r="C21" s="19"/>
      <c r="D21" s="19"/>
      <c r="E21" s="20"/>
      <c r="F21" s="20"/>
      <c r="G21" s="20"/>
      <c r="H21" s="20"/>
      <c r="I21" s="50"/>
      <c r="J21" s="18"/>
      <c r="K21" s="18"/>
      <c r="L21" s="18"/>
      <c r="M21" s="18"/>
      <c r="N21" s="18"/>
      <c r="O21" s="18"/>
      <c r="P21" s="18"/>
      <c r="Q21" s="48"/>
      <c r="R21" s="48"/>
      <c r="S21" s="48"/>
      <c r="T21" s="18"/>
      <c r="AA21" s="18"/>
      <c r="AB21" s="18"/>
      <c r="AC21" s="18"/>
    </row>
    <row r="22" spans="1:29" ht="18" customHeight="1" x14ac:dyDescent="0.3">
      <c r="A22" s="18"/>
      <c r="B22" s="18"/>
      <c r="C22" s="27" t="s">
        <v>124</v>
      </c>
      <c r="D22" s="27"/>
      <c r="E22" s="27"/>
      <c r="F22" s="27"/>
      <c r="G22" s="27"/>
      <c r="H22" s="27"/>
      <c r="I22" s="27"/>
      <c r="J22" s="27"/>
      <c r="K22" s="27"/>
      <c r="L22" s="27"/>
      <c r="M22" s="27"/>
      <c r="N22" s="27"/>
      <c r="O22" s="27"/>
      <c r="P22" s="18"/>
      <c r="Q22" s="48"/>
      <c r="R22" s="48"/>
      <c r="S22" s="48"/>
      <c r="T22" s="18"/>
      <c r="AA22" s="18"/>
      <c r="AB22" s="18"/>
      <c r="AC22" s="18"/>
    </row>
    <row r="23" spans="1:29" ht="14.25" customHeight="1" x14ac:dyDescent="0.25">
      <c r="A23" s="18"/>
      <c r="B23" s="18"/>
      <c r="C23" s="19"/>
      <c r="D23" s="19"/>
      <c r="E23" s="28"/>
      <c r="F23" s="29"/>
      <c r="G23" s="28"/>
      <c r="H23" s="28"/>
      <c r="I23" s="28"/>
      <c r="J23" s="30"/>
      <c r="K23" s="198" t="s">
        <v>113</v>
      </c>
      <c r="L23" s="198"/>
      <c r="M23" s="198"/>
      <c r="N23" s="198"/>
      <c r="O23" s="198"/>
      <c r="P23" s="18"/>
      <c r="Q23" s="48"/>
      <c r="R23" s="48"/>
      <c r="S23" s="48"/>
      <c r="T23" s="18"/>
      <c r="U23" s="18"/>
      <c r="V23" s="18"/>
      <c r="W23" s="18"/>
      <c r="X23" s="18"/>
      <c r="Y23" s="18"/>
      <c r="Z23" s="18"/>
      <c r="AA23" s="18"/>
      <c r="AB23" s="18"/>
      <c r="AC23" s="18"/>
    </row>
    <row r="24" spans="1:29" ht="14.25" customHeight="1" x14ac:dyDescent="0.25">
      <c r="A24" s="18"/>
      <c r="B24" s="18"/>
      <c r="C24" s="19"/>
      <c r="D24" s="31"/>
      <c r="E24" s="31"/>
      <c r="F24" s="31"/>
      <c r="G24" s="31">
        <v>45291</v>
      </c>
      <c r="H24" s="31">
        <v>45657</v>
      </c>
      <c r="I24" s="31">
        <v>46022</v>
      </c>
      <c r="J24" s="31">
        <v>46203</v>
      </c>
      <c r="K24" s="32">
        <f>DATE(YEAR(J24),12,31)</f>
        <v>46387</v>
      </c>
      <c r="L24" s="32">
        <f>EDATE(K24,12)</f>
        <v>46752</v>
      </c>
      <c r="M24" s="32">
        <f>EDATE(L24,12)</f>
        <v>47118</v>
      </c>
      <c r="N24" s="32">
        <f>EDATE(M24,12)</f>
        <v>47483</v>
      </c>
      <c r="O24" s="32">
        <f>EDATE(N24,12)</f>
        <v>47848</v>
      </c>
      <c r="P24" s="18"/>
      <c r="Q24" s="48"/>
      <c r="R24" s="48"/>
      <c r="S24" s="48"/>
      <c r="T24" s="18"/>
      <c r="U24" s="18"/>
      <c r="V24" s="18"/>
      <c r="W24" s="18"/>
      <c r="X24" s="18"/>
      <c r="Y24" s="18"/>
      <c r="Z24" s="18"/>
      <c r="AA24" s="18"/>
      <c r="AB24" s="18"/>
      <c r="AC24" s="18"/>
    </row>
    <row r="25" spans="1:29" ht="14.25" customHeight="1" x14ac:dyDescent="0.25">
      <c r="A25" s="18"/>
      <c r="B25" s="18"/>
      <c r="C25" s="56" t="s">
        <v>125</v>
      </c>
      <c r="D25" s="57"/>
      <c r="E25" s="57"/>
      <c r="F25" s="57"/>
      <c r="G25" s="58">
        <f>('BS Annual'!C8+'BS Annual'!C9)</f>
        <v>515.49199999999996</v>
      </c>
      <c r="H25" s="58">
        <f>('BS Annual'!D8+'BS Annual'!D9)</f>
        <v>495.93</v>
      </c>
      <c r="I25" s="58">
        <f>('BS Annual'!E8+'BS Annual'!E9)</f>
        <v>549.69299999999998</v>
      </c>
      <c r="J25" s="58">
        <f>('BS Annual'!F8+'BS Annual'!F9)</f>
        <v>628.51300000000003</v>
      </c>
      <c r="K25" s="59">
        <f>K36*(K12/$I$8)</f>
        <v>637.91825201123709</v>
      </c>
      <c r="L25" s="59">
        <f>L36*L12</f>
        <v>673.08626590097128</v>
      </c>
      <c r="M25" s="59">
        <f>M36*M12</f>
        <v>710.19306927830712</v>
      </c>
      <c r="N25" s="59">
        <f>N36*N12</f>
        <v>749.34554633320818</v>
      </c>
      <c r="O25" s="59">
        <f>O36*O12</f>
        <v>790.65647371076909</v>
      </c>
      <c r="P25" s="18"/>
      <c r="Q25" s="48"/>
      <c r="R25" s="48"/>
      <c r="S25" s="48"/>
      <c r="T25" s="18"/>
      <c r="U25" s="18"/>
      <c r="V25" s="18"/>
      <c r="W25" s="18"/>
      <c r="X25" s="18"/>
      <c r="Y25" s="18"/>
      <c r="Z25" s="18"/>
      <c r="AA25" s="18"/>
      <c r="AB25" s="18"/>
      <c r="AC25" s="18"/>
    </row>
    <row r="26" spans="1:29" ht="14.25" customHeight="1" x14ac:dyDescent="0.25">
      <c r="A26" s="18"/>
      <c r="B26" s="18"/>
      <c r="C26" s="56" t="s">
        <v>126</v>
      </c>
      <c r="D26" s="57"/>
      <c r="E26" s="57"/>
      <c r="F26" s="57"/>
      <c r="G26" s="58">
        <f>'BS Annual'!C10</f>
        <v>4658.3670000000002</v>
      </c>
      <c r="H26" s="58">
        <f>'BS Annual'!D10</f>
        <v>5095.8040000000001</v>
      </c>
      <c r="I26" s="58">
        <f>'BS Annual'!E10</f>
        <v>5731.3850000000002</v>
      </c>
      <c r="J26" s="58">
        <f>'BS Annual'!F10</f>
        <v>5971.8559999999998</v>
      </c>
      <c r="K26" s="60">
        <f>K37*(K12/$I$8)</f>
        <v>5832.4674111291788</v>
      </c>
      <c r="L26" s="60">
        <f>L37*L12</f>
        <v>6154.0075054583822</v>
      </c>
      <c r="M26" s="60">
        <f>M37*M12</f>
        <v>6493.2738938194998</v>
      </c>
      <c r="N26" s="60">
        <f>N37*N12</f>
        <v>6851.2438151499064</v>
      </c>
      <c r="O26" s="60">
        <f>O37*O12</f>
        <v>7228.9483829271958</v>
      </c>
      <c r="P26" s="18"/>
      <c r="Q26" s="48"/>
      <c r="R26" s="48"/>
      <c r="S26" s="48"/>
      <c r="T26" s="18"/>
      <c r="U26" s="18"/>
      <c r="V26" s="18"/>
      <c r="W26" s="18"/>
      <c r="X26" s="18"/>
      <c r="Y26" s="18"/>
      <c r="Z26" s="18"/>
      <c r="AA26" s="18"/>
      <c r="AB26" s="18"/>
      <c r="AC26" s="18"/>
    </row>
    <row r="27" spans="1:29" ht="14.25" customHeight="1" x14ac:dyDescent="0.25">
      <c r="A27" s="18"/>
      <c r="B27" s="18"/>
      <c r="C27" s="56" t="s">
        <v>127</v>
      </c>
      <c r="D27" s="57"/>
      <c r="E27" s="57"/>
      <c r="F27" s="57"/>
      <c r="G27" s="58">
        <f>'BS Annual'!C11</f>
        <v>105.31100000000001</v>
      </c>
      <c r="H27" s="58">
        <f>'BS Annual'!D11</f>
        <v>117.916</v>
      </c>
      <c r="I27" s="58">
        <f>'BS Annual'!E11</f>
        <v>269.40600000000001</v>
      </c>
      <c r="J27" s="58">
        <f>'BS Annual'!F11</f>
        <v>337.08199999999999</v>
      </c>
      <c r="K27" s="59">
        <f>K38*(K12/$I$8)</f>
        <v>375.24603059484531</v>
      </c>
      <c r="L27" s="59">
        <f>L38*L12</f>
        <v>395.93309758880662</v>
      </c>
      <c r="M27" s="59">
        <f>M38*M12</f>
        <v>417.7606289872395</v>
      </c>
      <c r="N27" s="59">
        <f>N38*N12</f>
        <v>440.79149784306361</v>
      </c>
      <c r="O27" s="59">
        <f>O38*O12</f>
        <v>465.09204335927592</v>
      </c>
      <c r="P27" s="18"/>
      <c r="Q27" s="48"/>
      <c r="R27" s="48"/>
      <c r="S27" s="48"/>
      <c r="T27" s="18"/>
      <c r="U27" s="18"/>
      <c r="V27" s="18"/>
      <c r="W27" s="18"/>
      <c r="X27" s="18"/>
      <c r="Y27" s="18"/>
      <c r="Z27" s="18"/>
      <c r="AA27" s="18"/>
      <c r="AB27" s="18"/>
      <c r="AC27" s="18"/>
    </row>
    <row r="28" spans="1:29" ht="14.25" customHeight="1" x14ac:dyDescent="0.25">
      <c r="A28" s="18"/>
      <c r="B28" s="18"/>
      <c r="C28" s="19"/>
      <c r="D28" s="61"/>
      <c r="E28" s="61"/>
      <c r="F28" s="61"/>
      <c r="G28" s="61"/>
      <c r="H28" s="61"/>
      <c r="I28" s="61"/>
      <c r="J28" s="61"/>
      <c r="K28" s="62"/>
      <c r="L28" s="62"/>
      <c r="M28" s="62"/>
      <c r="N28" s="62"/>
      <c r="O28" s="62"/>
      <c r="P28" s="18"/>
      <c r="Q28" s="48"/>
      <c r="R28" s="48"/>
      <c r="S28" s="48"/>
      <c r="T28" s="18"/>
      <c r="U28" s="18"/>
      <c r="V28" s="18"/>
      <c r="W28" s="18"/>
      <c r="X28" s="18"/>
      <c r="Y28" s="18"/>
      <c r="Z28" s="18"/>
      <c r="AA28" s="18"/>
      <c r="AB28" s="18"/>
      <c r="AC28" s="18"/>
    </row>
    <row r="29" spans="1:29" ht="14.25" customHeight="1" x14ac:dyDescent="0.25">
      <c r="A29" s="18"/>
      <c r="B29" s="18"/>
      <c r="C29" s="56" t="s">
        <v>128</v>
      </c>
      <c r="D29" s="63"/>
      <c r="E29" s="63"/>
      <c r="F29" s="63"/>
      <c r="G29" s="58">
        <f>'BS Annual'!C22</f>
        <v>6091.7</v>
      </c>
      <c r="H29" s="58">
        <f>'BS Annual'!D22</f>
        <v>6524.8109999999997</v>
      </c>
      <c r="I29" s="58">
        <f>'BS Annual'!E22</f>
        <v>7103.6840000000002</v>
      </c>
      <c r="J29" s="58">
        <f>'BS Annual'!F22</f>
        <v>7384.9579999999996</v>
      </c>
      <c r="K29" s="64">
        <f>K39*(K12/$I$8)</f>
        <v>7377.692314108459</v>
      </c>
      <c r="L29" s="64">
        <f>L39*L12</f>
        <v>7784.4196415657425</v>
      </c>
      <c r="M29" s="64">
        <f>M39*M12</f>
        <v>8213.5695792183833</v>
      </c>
      <c r="N29" s="64">
        <f>N39*N12</f>
        <v>8666.3782708266663</v>
      </c>
      <c r="O29" s="64">
        <f>O39*O12</f>
        <v>9144.1500079437847</v>
      </c>
      <c r="P29" s="18"/>
      <c r="Q29" s="48"/>
      <c r="R29" s="48"/>
      <c r="S29" s="48"/>
      <c r="T29" s="18"/>
      <c r="U29" s="18"/>
      <c r="V29" s="18"/>
      <c r="W29" s="18"/>
      <c r="X29" s="18"/>
      <c r="Y29" s="18"/>
      <c r="Z29" s="18"/>
      <c r="AA29" s="18"/>
      <c r="AB29" s="18"/>
      <c r="AC29" s="18"/>
    </row>
    <row r="30" spans="1:29" ht="14.25" customHeight="1" x14ac:dyDescent="0.25">
      <c r="A30" s="18"/>
      <c r="B30" s="18"/>
      <c r="C30" s="56" t="s">
        <v>129</v>
      </c>
      <c r="D30" s="57"/>
      <c r="E30" s="57"/>
      <c r="F30" s="57"/>
      <c r="G30" s="58">
        <f>('BS Annual'!C23+'BS Annual'!C24+'BS Annual'!C25+'BS Annual'!C28)</f>
        <v>1172.2570000000001</v>
      </c>
      <c r="H30" s="58">
        <f>('BS Annual'!D23+'BS Annual'!D24+'BS Annual'!D25+'BS Annual'!D28)</f>
        <v>1333.2069999999999</v>
      </c>
      <c r="I30" s="58">
        <f>('BS Annual'!E23+'BS Annual'!E24+'BS Annual'!E25+'BS Annual'!E28)</f>
        <v>1218.2730000000001</v>
      </c>
      <c r="J30" s="58">
        <f>('BS Annual'!F23+'BS Annual'!F24+'BS Annual'!F25+'BS Annual'!F28)</f>
        <v>1737.441</v>
      </c>
      <c r="K30" s="59">
        <f>K40*(K12/$I$8)</f>
        <v>1482.1686567498386</v>
      </c>
      <c r="L30" s="59">
        <f>L40*L12</f>
        <v>1563.8796404741122</v>
      </c>
      <c r="M30" s="59">
        <f>M40*M12</f>
        <v>1650.0952970173544</v>
      </c>
      <c r="N30" s="59">
        <f>N40*N12</f>
        <v>1741.0639660308714</v>
      </c>
      <c r="O30" s="59">
        <f>O40*O12</f>
        <v>1837.0476779676965</v>
      </c>
      <c r="P30" s="18"/>
      <c r="Q30" s="48"/>
      <c r="R30" s="48"/>
      <c r="S30" s="48"/>
      <c r="T30" s="18"/>
      <c r="U30" s="18"/>
      <c r="V30" s="18"/>
      <c r="W30" s="18"/>
      <c r="X30" s="18"/>
      <c r="Y30" s="18"/>
      <c r="Z30" s="18"/>
      <c r="AA30" s="18"/>
      <c r="AB30" s="18"/>
      <c r="AC30" s="18"/>
    </row>
    <row r="31" spans="1:29" ht="14.25" customHeight="1" x14ac:dyDescent="0.25">
      <c r="A31" s="18"/>
      <c r="B31" s="18"/>
      <c r="C31" s="19"/>
      <c r="D31" s="61"/>
      <c r="E31" s="61"/>
      <c r="F31" s="61"/>
      <c r="G31" s="61"/>
      <c r="H31" s="61"/>
      <c r="I31" s="61"/>
      <c r="J31" s="61"/>
      <c r="K31" s="65"/>
      <c r="L31" s="65"/>
      <c r="M31" s="65"/>
      <c r="N31" s="65"/>
      <c r="O31" s="65"/>
      <c r="P31" s="18"/>
      <c r="Q31" s="48"/>
      <c r="R31" s="48"/>
      <c r="S31" s="48"/>
      <c r="T31" s="18"/>
      <c r="U31" s="18"/>
      <c r="V31" s="18"/>
      <c r="W31" s="18"/>
      <c r="X31" s="18"/>
      <c r="Y31" s="18"/>
      <c r="Z31" s="18"/>
      <c r="AA31" s="18"/>
      <c r="AB31" s="18"/>
      <c r="AC31" s="18"/>
    </row>
    <row r="32" spans="1:29" ht="14.25" customHeight="1" x14ac:dyDescent="0.25">
      <c r="A32" s="18"/>
      <c r="B32" s="18"/>
      <c r="C32" s="19" t="s">
        <v>130</v>
      </c>
      <c r="D32" s="57"/>
      <c r="E32" s="57"/>
      <c r="F32" s="57"/>
      <c r="G32" s="58">
        <f>0+'BS Annual'!C30</f>
        <v>5570.125</v>
      </c>
      <c r="H32" s="58">
        <f>0+'BS Annual'!D30</f>
        <v>5520.9319999999998</v>
      </c>
      <c r="I32" s="58">
        <f>0+'BS Annual'!E30</f>
        <v>6016.9040000000005</v>
      </c>
      <c r="J32" s="58">
        <f>0+'BS Annual'!F30</f>
        <v>7014.5429999999997</v>
      </c>
      <c r="K32" s="66"/>
      <c r="L32" s="66"/>
      <c r="M32" s="66"/>
      <c r="N32" s="66"/>
      <c r="O32" s="66"/>
      <c r="P32" s="18"/>
      <c r="Q32" s="48"/>
      <c r="R32" s="48"/>
      <c r="S32" s="48"/>
      <c r="T32" s="18"/>
      <c r="U32" s="18"/>
      <c r="V32" s="18"/>
      <c r="W32" s="18"/>
      <c r="X32" s="18"/>
      <c r="Y32" s="18"/>
      <c r="Z32" s="18"/>
      <c r="AA32" s="18"/>
      <c r="AB32" s="18"/>
      <c r="AC32" s="18"/>
    </row>
    <row r="33" spans="1:29" ht="14.25" customHeight="1" x14ac:dyDescent="0.25">
      <c r="A33" s="18"/>
      <c r="B33" s="18"/>
      <c r="C33" s="19"/>
      <c r="D33" s="61"/>
      <c r="E33" s="61"/>
      <c r="F33" s="61"/>
      <c r="G33" s="61"/>
      <c r="H33" s="61"/>
      <c r="I33" s="61"/>
      <c r="J33" s="61"/>
      <c r="K33" s="65"/>
      <c r="L33" s="65"/>
      <c r="M33" s="65"/>
      <c r="N33" s="65"/>
      <c r="O33" s="65"/>
      <c r="P33" s="18"/>
      <c r="Q33" s="48"/>
      <c r="R33" s="48"/>
      <c r="S33" s="48"/>
      <c r="T33" s="18"/>
      <c r="U33" s="18"/>
      <c r="V33" s="18"/>
      <c r="W33" s="18"/>
      <c r="X33" s="18"/>
      <c r="Y33" s="18"/>
      <c r="Z33" s="18"/>
      <c r="AA33" s="18"/>
      <c r="AB33" s="18"/>
      <c r="AC33" s="18"/>
    </row>
    <row r="34" spans="1:29" ht="14.25" customHeight="1" x14ac:dyDescent="0.25">
      <c r="A34" s="18"/>
      <c r="B34" s="18"/>
      <c r="C34" s="19" t="s">
        <v>131</v>
      </c>
      <c r="D34" s="57"/>
      <c r="E34" s="57"/>
      <c r="F34" s="57"/>
      <c r="G34" s="58">
        <f>-('CF Annual'!C23)</f>
        <v>1006.264</v>
      </c>
      <c r="H34" s="58">
        <f>-('CF Annual'!D23)</f>
        <v>1023.3869999999999</v>
      </c>
      <c r="I34" s="58">
        <f>-('CF Annual'!E23)</f>
        <v>1168.8150000000001</v>
      </c>
      <c r="J34" s="58">
        <f>-('CF Annual'!F23)</f>
        <v>1133.18</v>
      </c>
      <c r="K34" s="59">
        <f>K41*K12</f>
        <v>594.99935897239061</v>
      </c>
      <c r="L34" s="59">
        <f>L41*L12</f>
        <v>1245.3666745287637</v>
      </c>
      <c r="M34" s="59">
        <f>M41*M12</f>
        <v>1314.0229206379727</v>
      </c>
      <c r="N34" s="59">
        <f>N41*N12</f>
        <v>1386.4641404631288</v>
      </c>
      <c r="O34" s="59">
        <f>O41*O12</f>
        <v>1462.8989971170924</v>
      </c>
      <c r="P34" s="18"/>
      <c r="Q34" s="48"/>
      <c r="R34" s="48"/>
      <c r="S34" s="48"/>
      <c r="T34" s="18"/>
      <c r="U34" s="18"/>
      <c r="V34" s="18"/>
      <c r="W34" s="18"/>
      <c r="X34" s="18"/>
      <c r="Y34" s="18"/>
      <c r="Z34" s="18"/>
      <c r="AA34" s="18"/>
      <c r="AB34" s="18"/>
      <c r="AC34" s="18"/>
    </row>
    <row r="35" spans="1:29" ht="14.25" customHeight="1" x14ac:dyDescent="0.25">
      <c r="A35" s="18"/>
      <c r="B35" s="18"/>
      <c r="C35" s="19"/>
      <c r="D35" s="19"/>
      <c r="E35" s="20"/>
      <c r="F35" s="20"/>
      <c r="G35" s="20"/>
      <c r="H35" s="20"/>
      <c r="I35" s="50"/>
      <c r="J35" s="18"/>
      <c r="K35" s="18"/>
      <c r="L35" s="18"/>
      <c r="M35" s="18"/>
      <c r="N35" s="18"/>
      <c r="O35" s="18"/>
      <c r="P35" s="67"/>
      <c r="Q35" s="39" t="s">
        <v>115</v>
      </c>
      <c r="R35" s="39" t="s">
        <v>116</v>
      </c>
      <c r="S35" s="39" t="s">
        <v>117</v>
      </c>
      <c r="T35" s="18"/>
      <c r="U35" s="18"/>
      <c r="V35" s="18"/>
      <c r="W35" s="18"/>
      <c r="X35" s="18"/>
      <c r="Y35" s="18"/>
      <c r="Z35" s="18"/>
      <c r="AA35" s="18"/>
      <c r="AB35" s="18"/>
      <c r="AC35" s="18"/>
    </row>
    <row r="36" spans="1:29" ht="14.25" customHeight="1" x14ac:dyDescent="0.25">
      <c r="A36" s="18"/>
      <c r="B36" s="18"/>
      <c r="C36" s="68" t="s">
        <v>132</v>
      </c>
      <c r="D36" s="69"/>
      <c r="E36" s="69"/>
      <c r="F36" s="69"/>
      <c r="G36" s="70">
        <f>IFERROR(G25/G12,"")</f>
        <v>3.2600800012648416E-2</v>
      </c>
      <c r="H36" s="70">
        <f>IFERROR(H25/H12,"")</f>
        <v>2.9681337242007489E-2</v>
      </c>
      <c r="I36" s="70">
        <f>IFERROR(I25/I12,"")</f>
        <v>3.0912903346261771E-2</v>
      </c>
      <c r="J36" s="70">
        <f>IFERROR(J25/J12,"")</f>
        <v>3.3840942353564357E-2</v>
      </c>
      <c r="K36" s="71">
        <f>$Z$6</f>
        <v>3.4000000000000002E-2</v>
      </c>
      <c r="L36" s="71">
        <f>$Z$6</f>
        <v>3.4000000000000002E-2</v>
      </c>
      <c r="M36" s="71">
        <f>$Z$6</f>
        <v>3.4000000000000002E-2</v>
      </c>
      <c r="N36" s="71">
        <f>$Z$6</f>
        <v>3.4000000000000002E-2</v>
      </c>
      <c r="O36" s="71">
        <f>$Z$6</f>
        <v>3.4000000000000002E-2</v>
      </c>
      <c r="P36" s="72"/>
      <c r="Q36" s="54">
        <f t="shared" ref="Q36:Q41" si="1">AVERAGE(G36:J36)</f>
        <v>3.175899573862051E-2</v>
      </c>
      <c r="R36" s="54">
        <f t="shared" ref="R36:R41" si="2">IFERROR(GEOMEAN(G36:J36),"")</f>
        <v>3.1719292464086501E-2</v>
      </c>
      <c r="S36" s="54">
        <f t="shared" ref="S36:S41" si="3">IFERROR(HARMEAN(G36:J36),"")</f>
        <v>3.1679591607996431E-2</v>
      </c>
      <c r="T36" s="18"/>
      <c r="U36" s="18"/>
      <c r="V36" s="18"/>
      <c r="W36" s="18"/>
      <c r="X36" s="18"/>
      <c r="Y36" s="18"/>
      <c r="Z36" s="18"/>
      <c r="AA36" s="18"/>
      <c r="AB36" s="18"/>
      <c r="AC36" s="18"/>
    </row>
    <row r="37" spans="1:29" ht="14.25" customHeight="1" x14ac:dyDescent="0.25">
      <c r="A37" s="18"/>
      <c r="B37" s="18"/>
      <c r="C37" s="68" t="s">
        <v>133</v>
      </c>
      <c r="D37" s="69"/>
      <c r="E37" s="69"/>
      <c r="F37" s="69"/>
      <c r="G37" s="70">
        <f>IFERROR(G26/G12,"")</f>
        <v>0.2946049423706304</v>
      </c>
      <c r="H37" s="70">
        <f>IFERROR(H26/H12,"")</f>
        <v>0.30498311665592065</v>
      </c>
      <c r="I37" s="70">
        <f>IFERROR(I26/I12,"")</f>
        <v>0.32231400171589331</v>
      </c>
      <c r="J37" s="70">
        <f>IFERROR(J26/J12,"")</f>
        <v>0.32154185297644983</v>
      </c>
      <c r="K37" s="71">
        <f>$Z$7</f>
        <v>0.31086097842972354</v>
      </c>
      <c r="L37" s="71">
        <f>$Z$7</f>
        <v>0.31086097842972354</v>
      </c>
      <c r="M37" s="71">
        <f>$Z$7</f>
        <v>0.31086097842972354</v>
      </c>
      <c r="N37" s="71">
        <f>$Z$7</f>
        <v>0.31086097842972354</v>
      </c>
      <c r="O37" s="71">
        <f>$Z$7</f>
        <v>0.31086097842972354</v>
      </c>
      <c r="P37" s="33"/>
      <c r="Q37" s="54">
        <f t="shared" si="1"/>
        <v>0.31086097842972354</v>
      </c>
      <c r="R37" s="54">
        <f t="shared" si="2"/>
        <v>0.31064053625193683</v>
      </c>
      <c r="S37" s="55">
        <f t="shared" si="3"/>
        <v>0.31041859919828174</v>
      </c>
      <c r="T37" s="18"/>
      <c r="U37" s="18"/>
      <c r="V37" s="18"/>
      <c r="W37" s="18"/>
      <c r="X37" s="18"/>
      <c r="Y37" s="18"/>
      <c r="Z37" s="18"/>
      <c r="AA37" s="18"/>
      <c r="AB37" s="18"/>
      <c r="AC37" s="18"/>
    </row>
    <row r="38" spans="1:29" ht="14.25" customHeight="1" x14ac:dyDescent="0.25">
      <c r="A38" s="18"/>
      <c r="B38" s="18"/>
      <c r="C38" s="68" t="s">
        <v>134</v>
      </c>
      <c r="D38" s="69"/>
      <c r="E38" s="69"/>
      <c r="F38" s="69"/>
      <c r="G38" s="70">
        <f>IFERROR(G27/G12,"")</f>
        <v>6.6600894875808317E-3</v>
      </c>
      <c r="H38" s="70">
        <f>IFERROR(H27/H12,"")</f>
        <v>7.0572551816356233E-3</v>
      </c>
      <c r="I38" s="70">
        <f>IFERROR(I27/I12,"")</f>
        <v>1.5150496074905446E-2</v>
      </c>
      <c r="J38" s="70">
        <f>IFERROR(J27/J12,"")</f>
        <v>1.8149461555169392E-2</v>
      </c>
      <c r="K38" s="71">
        <f>$Z$8</f>
        <v>0.02</v>
      </c>
      <c r="L38" s="71">
        <f>$Z$8</f>
        <v>0.02</v>
      </c>
      <c r="M38" s="71">
        <f>$Z$8</f>
        <v>0.02</v>
      </c>
      <c r="N38" s="71">
        <f>$Z$8</f>
        <v>0.02</v>
      </c>
      <c r="O38" s="71">
        <f>$Z$8</f>
        <v>0.02</v>
      </c>
      <c r="P38" s="72"/>
      <c r="Q38" s="54">
        <f t="shared" si="1"/>
        <v>1.1754325574822824E-2</v>
      </c>
      <c r="R38" s="54">
        <f t="shared" si="2"/>
        <v>1.0662317754719404E-2</v>
      </c>
      <c r="S38" s="55">
        <f t="shared" si="3"/>
        <v>9.6864314491257215E-3</v>
      </c>
      <c r="T38" s="18"/>
      <c r="U38" s="18"/>
      <c r="V38" s="18"/>
      <c r="W38" s="18"/>
      <c r="X38" s="18"/>
      <c r="Y38" s="18"/>
      <c r="Z38" s="18"/>
      <c r="AA38" s="18"/>
      <c r="AB38" s="18"/>
      <c r="AC38" s="18"/>
    </row>
    <row r="39" spans="1:29" ht="14.25" customHeight="1" x14ac:dyDescent="0.25">
      <c r="A39" s="18"/>
      <c r="B39" s="18"/>
      <c r="C39" s="68" t="s">
        <v>135</v>
      </c>
      <c r="D39" s="69"/>
      <c r="E39" s="69"/>
      <c r="F39" s="69"/>
      <c r="G39" s="70">
        <f>IFERROR(G29/G12,"")</f>
        <v>0.38525194074214608</v>
      </c>
      <c r="H39" s="70">
        <f>IFERROR(H29/H12,"")</f>
        <v>0.39050897451527455</v>
      </c>
      <c r="I39" s="70">
        <f>IFERROR(I29/I12,"")</f>
        <v>0.39948752648184754</v>
      </c>
      <c r="J39" s="70">
        <f>IFERROR(J29/J12,"")</f>
        <v>0.3976273171143539</v>
      </c>
      <c r="K39" s="71">
        <f>$Z$9</f>
        <v>0.39321893971340549</v>
      </c>
      <c r="L39" s="71">
        <f>$Z$9</f>
        <v>0.39321893971340549</v>
      </c>
      <c r="M39" s="71">
        <f>$Z$9</f>
        <v>0.39321893971340549</v>
      </c>
      <c r="N39" s="71">
        <f>$Z$9</f>
        <v>0.39321893971340549</v>
      </c>
      <c r="O39" s="71">
        <f>$Z$9</f>
        <v>0.39321893971340549</v>
      </c>
      <c r="P39" s="33"/>
      <c r="Q39" s="54">
        <f t="shared" si="1"/>
        <v>0.39321893971340549</v>
      </c>
      <c r="R39" s="54">
        <f t="shared" si="2"/>
        <v>0.39317765008315586</v>
      </c>
      <c r="S39" s="55">
        <f t="shared" si="3"/>
        <v>0.39313625668646152</v>
      </c>
      <c r="T39" s="18"/>
      <c r="U39" s="18"/>
      <c r="V39" s="18"/>
      <c r="W39" s="18"/>
      <c r="X39" s="18"/>
      <c r="Y39" s="18"/>
      <c r="Z39" s="18"/>
      <c r="AA39" s="18"/>
      <c r="AB39" s="18"/>
      <c r="AC39" s="18"/>
    </row>
    <row r="40" spans="1:29" ht="14.25" customHeight="1" x14ac:dyDescent="0.25">
      <c r="A40" s="18"/>
      <c r="B40" s="18"/>
      <c r="C40" s="68" t="s">
        <v>136</v>
      </c>
      <c r="D40" s="69"/>
      <c r="E40" s="69"/>
      <c r="F40" s="69"/>
      <c r="G40" s="70">
        <f>IFERROR(G30/G12,"")</f>
        <v>7.4136002150231625E-2</v>
      </c>
      <c r="H40" s="70">
        <f>IFERROR(H30/H12,"")</f>
        <v>7.9792242010777878E-2</v>
      </c>
      <c r="I40" s="70">
        <f>IFERROR(I30/I12,"")</f>
        <v>6.8511615571528781E-2</v>
      </c>
      <c r="J40" s="70">
        <f>IFERROR(J30/J12,"")</f>
        <v>9.354880602902281E-2</v>
      </c>
      <c r="K40" s="71">
        <f>$Z$10</f>
        <v>7.8997166440390273E-2</v>
      </c>
      <c r="L40" s="71">
        <f>$Z$10</f>
        <v>7.8997166440390273E-2</v>
      </c>
      <c r="M40" s="71">
        <f>$Z$10</f>
        <v>7.8997166440390273E-2</v>
      </c>
      <c r="N40" s="71">
        <f>$Z$10</f>
        <v>7.8997166440390273E-2</v>
      </c>
      <c r="O40" s="71">
        <f>$Z$10</f>
        <v>7.8997166440390273E-2</v>
      </c>
      <c r="P40" s="33"/>
      <c r="Q40" s="54">
        <f t="shared" si="1"/>
        <v>7.8997166440390273E-2</v>
      </c>
      <c r="R40" s="54">
        <f t="shared" si="2"/>
        <v>7.8468991697408522E-2</v>
      </c>
      <c r="S40" s="55">
        <f t="shared" si="3"/>
        <v>7.7962159383775556E-2</v>
      </c>
      <c r="T40" s="18"/>
      <c r="U40" s="18"/>
      <c r="V40" s="18"/>
      <c r="W40" s="18"/>
      <c r="X40" s="18"/>
      <c r="Y40" s="18"/>
      <c r="Z40" s="18"/>
      <c r="AA40" s="18"/>
      <c r="AB40" s="18"/>
      <c r="AC40" s="18"/>
    </row>
    <row r="41" spans="1:29" ht="14.25" customHeight="1" x14ac:dyDescent="0.25">
      <c r="A41" s="18"/>
      <c r="B41" s="18"/>
      <c r="C41" s="40" t="s">
        <v>137</v>
      </c>
      <c r="D41" s="41"/>
      <c r="E41" s="41"/>
      <c r="F41" s="41"/>
      <c r="G41" s="53">
        <f>IFERROR(G34/G12,"")</f>
        <v>6.3638255150279058E-2</v>
      </c>
      <c r="H41" s="53">
        <f>IFERROR(H34/H12,"")</f>
        <v>6.1249560776896569E-2</v>
      </c>
      <c r="I41" s="53">
        <f>IFERROR(I34/I12,"")</f>
        <v>6.5730262391300157E-2</v>
      </c>
      <c r="J41" s="53">
        <f>IFERROR(J34/J12,"")</f>
        <v>6.1013660904726014E-2</v>
      </c>
      <c r="K41" s="71">
        <f>$Z$11</f>
        <v>6.2907934805800453E-2</v>
      </c>
      <c r="L41" s="71">
        <f>$Z$11</f>
        <v>6.2907934805800453E-2</v>
      </c>
      <c r="M41" s="71">
        <f>$Z$11</f>
        <v>6.2907934805800453E-2</v>
      </c>
      <c r="N41" s="71">
        <f>$Z$11</f>
        <v>6.2907934805800453E-2</v>
      </c>
      <c r="O41" s="71">
        <f>$Z$11</f>
        <v>6.2907934805800453E-2</v>
      </c>
      <c r="P41" s="33"/>
      <c r="Q41" s="54">
        <f t="shared" si="1"/>
        <v>6.2907934805800453E-2</v>
      </c>
      <c r="R41" s="54">
        <f t="shared" si="2"/>
        <v>6.287868101310945E-2</v>
      </c>
      <c r="S41" s="55">
        <f t="shared" si="3"/>
        <v>6.2849669066895514E-2</v>
      </c>
      <c r="T41" s="18"/>
      <c r="U41" s="18"/>
      <c r="V41" s="18"/>
      <c r="W41" s="18"/>
      <c r="X41" s="18"/>
      <c r="Y41" s="18"/>
      <c r="Z41" s="18"/>
      <c r="AA41" s="18"/>
      <c r="AB41" s="18"/>
      <c r="AC41" s="18"/>
    </row>
    <row r="42" spans="1:29" ht="14.25" customHeight="1" x14ac:dyDescent="0.25">
      <c r="A42" s="18"/>
      <c r="B42" s="18"/>
      <c r="C42" s="73" t="s">
        <v>138</v>
      </c>
      <c r="D42" s="74"/>
      <c r="E42" s="41"/>
      <c r="F42" s="41"/>
      <c r="G42" s="41"/>
      <c r="H42" s="53">
        <f t="shared" ref="H42:J44" si="4">IFERROR((H25/G25)-1,"")</f>
        <v>-3.7948212581378482E-2</v>
      </c>
      <c r="I42" s="53">
        <f t="shared" si="4"/>
        <v>0.10840844474018496</v>
      </c>
      <c r="J42" s="53">
        <f t="shared" si="4"/>
        <v>0.14338912811332882</v>
      </c>
      <c r="K42" s="75"/>
      <c r="L42" s="75"/>
      <c r="M42" s="75"/>
      <c r="N42" s="75"/>
      <c r="O42" s="75"/>
      <c r="P42" s="18"/>
      <c r="Q42" s="18"/>
      <c r="R42" s="18"/>
      <c r="S42" s="18"/>
      <c r="T42" s="18"/>
      <c r="U42" s="18"/>
      <c r="V42" s="18"/>
      <c r="W42" s="18"/>
      <c r="X42" s="18"/>
      <c r="Y42" s="18"/>
      <c r="Z42" s="18"/>
      <c r="AA42" s="18"/>
      <c r="AB42" s="18"/>
      <c r="AC42" s="18"/>
    </row>
    <row r="43" spans="1:29" ht="14.25" customHeight="1" x14ac:dyDescent="0.25">
      <c r="A43" s="18"/>
      <c r="B43" s="18"/>
      <c r="C43" s="73" t="s">
        <v>139</v>
      </c>
      <c r="D43" s="74"/>
      <c r="E43" s="49"/>
      <c r="F43" s="49"/>
      <c r="G43" s="49"/>
      <c r="H43" s="53">
        <f t="shared" si="4"/>
        <v>9.3903507387889329E-2</v>
      </c>
      <c r="I43" s="53">
        <f t="shared" si="4"/>
        <v>0.12472634347788891</v>
      </c>
      <c r="J43" s="53">
        <f t="shared" si="4"/>
        <v>4.1956874298271662E-2</v>
      </c>
      <c r="K43" s="74"/>
      <c r="L43" s="75"/>
      <c r="M43" s="75"/>
      <c r="N43" s="75"/>
      <c r="O43" s="75"/>
      <c r="P43" s="18"/>
      <c r="Q43" s="18"/>
      <c r="R43" s="18"/>
      <c r="S43" s="18"/>
      <c r="T43" s="18"/>
      <c r="U43" s="18"/>
      <c r="V43" s="18"/>
      <c r="W43" s="18"/>
      <c r="X43" s="18"/>
      <c r="Y43" s="18"/>
      <c r="Z43" s="18"/>
      <c r="AA43" s="18"/>
      <c r="AB43" s="18"/>
      <c r="AC43" s="18"/>
    </row>
    <row r="44" spans="1:29" ht="14.25" customHeight="1" x14ac:dyDescent="0.25">
      <c r="A44" s="18"/>
      <c r="B44" s="18"/>
      <c r="C44" s="73" t="s">
        <v>140</v>
      </c>
      <c r="D44" s="74"/>
      <c r="E44" s="41"/>
      <c r="F44" s="41"/>
      <c r="G44" s="41"/>
      <c r="H44" s="53">
        <f t="shared" si="4"/>
        <v>0.11969309948628348</v>
      </c>
      <c r="I44" s="53">
        <f t="shared" si="4"/>
        <v>1.2847281115370266</v>
      </c>
      <c r="J44" s="53">
        <f t="shared" si="4"/>
        <v>0.25120450175571429</v>
      </c>
      <c r="K44" s="75"/>
      <c r="L44" s="75"/>
      <c r="M44" s="75"/>
      <c r="N44" s="75"/>
      <c r="O44" s="75"/>
      <c r="P44" s="18"/>
      <c r="Q44" s="18"/>
      <c r="R44" s="18"/>
      <c r="S44" s="18"/>
      <c r="T44" s="18"/>
      <c r="U44" s="18"/>
      <c r="V44" s="18"/>
      <c r="W44" s="18"/>
      <c r="X44" s="18"/>
      <c r="Y44" s="18"/>
      <c r="Z44" s="18"/>
      <c r="AA44" s="18"/>
      <c r="AB44" s="18"/>
      <c r="AC44" s="18"/>
    </row>
    <row r="45" spans="1:29" ht="14.25" customHeight="1" x14ac:dyDescent="0.25">
      <c r="A45" s="18"/>
      <c r="B45" s="18"/>
      <c r="C45" s="73" t="s">
        <v>141</v>
      </c>
      <c r="D45" s="74"/>
      <c r="E45" s="41"/>
      <c r="F45" s="41"/>
      <c r="G45" s="41"/>
      <c r="H45" s="53">
        <f t="shared" ref="H45:J46" si="5">IFERROR((H29/G29)-1,"")</f>
        <v>7.1098543920416368E-2</v>
      </c>
      <c r="I45" s="53">
        <f t="shared" si="5"/>
        <v>8.8718738366521332E-2</v>
      </c>
      <c r="J45" s="53">
        <f t="shared" si="5"/>
        <v>3.9595511286819596E-2</v>
      </c>
      <c r="K45" s="75"/>
      <c r="L45" s="75"/>
      <c r="M45" s="75"/>
      <c r="N45" s="75"/>
      <c r="O45" s="75"/>
      <c r="P45" s="18"/>
      <c r="Q45" s="18"/>
      <c r="R45" s="18"/>
      <c r="S45" s="18"/>
      <c r="T45" s="18"/>
      <c r="U45" s="18"/>
      <c r="V45" s="18"/>
      <c r="W45" s="18"/>
      <c r="X45" s="18"/>
      <c r="Y45" s="18"/>
      <c r="Z45" s="18"/>
      <c r="AA45" s="18"/>
      <c r="AB45" s="18"/>
      <c r="AC45" s="18"/>
    </row>
    <row r="46" spans="1:29" ht="14.25" customHeight="1" x14ac:dyDescent="0.25">
      <c r="A46" s="18"/>
      <c r="B46" s="18"/>
      <c r="C46" s="73" t="s">
        <v>142</v>
      </c>
      <c r="D46" s="74"/>
      <c r="E46" s="41"/>
      <c r="F46" s="41"/>
      <c r="G46" s="41"/>
      <c r="H46" s="53">
        <f t="shared" si="5"/>
        <v>0.13729924410773386</v>
      </c>
      <c r="I46" s="53">
        <f t="shared" si="5"/>
        <v>-8.6208668271318567E-2</v>
      </c>
      <c r="J46" s="53">
        <f t="shared" si="5"/>
        <v>0.42615078886259461</v>
      </c>
      <c r="K46" s="75"/>
      <c r="L46" s="75"/>
      <c r="M46" s="75"/>
      <c r="N46" s="75"/>
      <c r="O46" s="75"/>
      <c r="P46" s="18"/>
      <c r="Q46" s="18"/>
      <c r="R46" s="18"/>
      <c r="S46" s="18"/>
      <c r="T46" s="18"/>
      <c r="U46" s="18"/>
      <c r="V46" s="18"/>
      <c r="W46" s="18"/>
      <c r="X46" s="18"/>
      <c r="Y46" s="18"/>
      <c r="Z46" s="18"/>
      <c r="AA46" s="18"/>
      <c r="AB46" s="18"/>
      <c r="AC46" s="18"/>
    </row>
    <row r="47" spans="1:29" ht="14.25" customHeight="1" x14ac:dyDescent="0.25">
      <c r="A47" s="18"/>
      <c r="B47" s="18"/>
      <c r="C47" s="73" t="s">
        <v>143</v>
      </c>
      <c r="D47" s="74"/>
      <c r="E47" s="41"/>
      <c r="F47" s="41"/>
      <c r="G47" s="41"/>
      <c r="H47" s="53">
        <f>IFERROR((H34/G34)-1,"")</f>
        <v>1.7016409212691652E-2</v>
      </c>
      <c r="I47" s="53">
        <f>IFERROR((I34/H34)-1,"")</f>
        <v>0.14210459972620337</v>
      </c>
      <c r="J47" s="53">
        <f>IFERROR((J34/I34)-1,"")</f>
        <v>-3.0488143974880533E-2</v>
      </c>
      <c r="K47" s="75"/>
      <c r="L47" s="75"/>
      <c r="M47" s="75"/>
      <c r="N47" s="75"/>
      <c r="O47" s="75"/>
      <c r="P47" s="18"/>
      <c r="Q47" s="18"/>
      <c r="R47" s="18"/>
      <c r="S47" s="18"/>
      <c r="T47" s="18"/>
      <c r="U47" s="18"/>
      <c r="V47" s="18"/>
      <c r="W47" s="18"/>
      <c r="X47" s="18"/>
      <c r="Y47" s="18"/>
      <c r="Z47" s="18"/>
      <c r="AA47" s="18"/>
      <c r="AB47" s="18"/>
      <c r="AC47" s="18"/>
    </row>
    <row r="48" spans="1:29" ht="18" customHeight="1" x14ac:dyDescent="0.3">
      <c r="A48" s="76"/>
      <c r="B48" s="76"/>
      <c r="C48" s="27" t="s">
        <v>144</v>
      </c>
      <c r="D48" s="27"/>
      <c r="E48" s="27"/>
      <c r="F48" s="27"/>
      <c r="G48" s="27"/>
      <c r="H48" s="27"/>
      <c r="I48" s="27"/>
      <c r="J48" s="27"/>
      <c r="K48" s="27"/>
      <c r="L48" s="27"/>
      <c r="M48" s="27"/>
      <c r="N48" s="27"/>
      <c r="O48" s="27"/>
      <c r="P48" s="76"/>
      <c r="Q48" s="76"/>
      <c r="R48" s="76"/>
      <c r="S48" s="76"/>
      <c r="T48" s="76"/>
      <c r="U48" s="76"/>
      <c r="V48" s="76"/>
      <c r="W48" s="76"/>
      <c r="X48" s="76"/>
      <c r="Y48" s="76"/>
      <c r="Z48" s="76"/>
      <c r="AA48" s="76"/>
      <c r="AB48" s="76"/>
      <c r="AC48" s="76"/>
    </row>
    <row r="49" spans="1:29" ht="14.25" customHeight="1" x14ac:dyDescent="0.25">
      <c r="A49" s="76"/>
      <c r="B49" s="76"/>
      <c r="C49" s="77" t="s">
        <v>145</v>
      </c>
      <c r="D49" s="78"/>
      <c r="E49" s="28"/>
      <c r="F49" s="79"/>
      <c r="G49" s="28"/>
      <c r="H49" s="28"/>
      <c r="I49" s="28"/>
      <c r="J49" s="80"/>
      <c r="K49" s="198" t="s">
        <v>113</v>
      </c>
      <c r="L49" s="198"/>
      <c r="M49" s="198"/>
      <c r="N49" s="198"/>
      <c r="O49" s="198"/>
      <c r="P49" s="76"/>
      <c r="Q49" s="76"/>
      <c r="R49" s="76"/>
      <c r="S49" s="76"/>
      <c r="T49" s="76"/>
      <c r="U49" s="76"/>
      <c r="V49" s="76"/>
      <c r="W49" s="76"/>
      <c r="X49" s="76"/>
      <c r="Y49" s="76"/>
      <c r="Z49" s="76"/>
      <c r="AA49" s="76"/>
      <c r="AB49" s="76"/>
      <c r="AC49" s="76"/>
    </row>
    <row r="50" spans="1:29" ht="14.25" customHeight="1" x14ac:dyDescent="0.25">
      <c r="A50" s="76"/>
      <c r="B50" s="76"/>
      <c r="C50" s="81"/>
      <c r="D50" s="31"/>
      <c r="E50" s="31"/>
      <c r="F50" s="31"/>
      <c r="G50" s="31">
        <v>45291</v>
      </c>
      <c r="H50" s="31">
        <v>45657</v>
      </c>
      <c r="I50" s="31">
        <v>46022</v>
      </c>
      <c r="J50" s="31">
        <v>46203</v>
      </c>
      <c r="K50" s="32">
        <f>DATE(YEAR(J50),12,31)</f>
        <v>46387</v>
      </c>
      <c r="L50" s="32">
        <f>EDATE(K50,12)</f>
        <v>46752</v>
      </c>
      <c r="M50" s="32">
        <f>EDATE(L50,12)</f>
        <v>47118</v>
      </c>
      <c r="N50" s="32">
        <f>EDATE(M50,12)</f>
        <v>47483</v>
      </c>
      <c r="O50" s="32">
        <f>EDATE(N50,12)</f>
        <v>47848</v>
      </c>
      <c r="P50" s="76"/>
      <c r="Q50" s="76"/>
      <c r="R50" s="76"/>
      <c r="S50" s="76"/>
      <c r="T50" s="76"/>
      <c r="U50" s="76"/>
      <c r="V50" s="76"/>
      <c r="W50" s="76"/>
      <c r="X50" s="76"/>
      <c r="Y50" s="76"/>
      <c r="Z50" s="76"/>
      <c r="AA50" s="76"/>
      <c r="AB50" s="76"/>
      <c r="AC50" s="76"/>
    </row>
    <row r="51" spans="1:29" ht="14.25" customHeight="1" x14ac:dyDescent="0.25">
      <c r="A51" s="76"/>
      <c r="B51" s="76"/>
      <c r="C51" s="82" t="s">
        <v>146</v>
      </c>
      <c r="D51" s="83"/>
      <c r="E51" s="84"/>
      <c r="F51" s="85"/>
      <c r="G51" s="85"/>
      <c r="H51" s="85"/>
      <c r="I51" s="85"/>
      <c r="J51" s="85"/>
      <c r="K51" s="86">
        <f ca="1">MAX(0,(K50-$I$3)/365)</f>
        <v>0.25479452054794521</v>
      </c>
      <c r="L51" s="86">
        <f ca="1">K51+1</f>
        <v>1.2547945205479452</v>
      </c>
      <c r="M51" s="86">
        <f ca="1">L51+1</f>
        <v>2.2547945205479452</v>
      </c>
      <c r="N51" s="86">
        <f ca="1">M51+1</f>
        <v>3.2547945205479452</v>
      </c>
      <c r="O51" s="86">
        <f ca="1">N51+1</f>
        <v>4.2547945205479447</v>
      </c>
      <c r="P51" s="76"/>
      <c r="Q51" s="76"/>
      <c r="R51" s="76"/>
      <c r="S51" s="76"/>
      <c r="T51" s="76"/>
      <c r="U51" s="76"/>
      <c r="V51" s="76"/>
      <c r="W51" s="76"/>
      <c r="X51" s="76"/>
      <c r="Y51" s="76"/>
      <c r="Z51" s="76"/>
      <c r="AA51" s="76"/>
      <c r="AB51" s="76"/>
      <c r="AC51" s="76"/>
    </row>
    <row r="52" spans="1:29" ht="14.25" customHeight="1" x14ac:dyDescent="0.25">
      <c r="A52" s="76"/>
      <c r="B52" s="76"/>
      <c r="C52" s="76" t="s">
        <v>147</v>
      </c>
      <c r="D52" s="87"/>
      <c r="E52" s="88"/>
      <c r="F52" s="88"/>
      <c r="G52" s="88">
        <f t="shared" ref="G52:O52" si="6">G12</f>
        <v>15812.25</v>
      </c>
      <c r="H52" s="88">
        <f t="shared" si="6"/>
        <v>16708.478999999999</v>
      </c>
      <c r="I52" s="88">
        <f t="shared" si="6"/>
        <v>17781.991999999998</v>
      </c>
      <c r="J52" s="89">
        <f t="shared" si="6"/>
        <v>18572.562000000002</v>
      </c>
      <c r="K52" s="89">
        <f t="shared" si="6"/>
        <v>9458.2561136234981</v>
      </c>
      <c r="L52" s="89">
        <f t="shared" si="6"/>
        <v>19796.654879440332</v>
      </c>
      <c r="M52" s="89">
        <f t="shared" si="6"/>
        <v>20888.031449361974</v>
      </c>
      <c r="N52" s="89">
        <f t="shared" si="6"/>
        <v>22039.574892153181</v>
      </c>
      <c r="O52" s="89">
        <f t="shared" si="6"/>
        <v>23254.602167963796</v>
      </c>
      <c r="P52" s="76"/>
      <c r="Q52" s="76"/>
      <c r="R52" s="76"/>
      <c r="S52" s="76"/>
      <c r="T52" s="76"/>
      <c r="U52" s="76"/>
      <c r="V52" s="76"/>
      <c r="W52" s="76"/>
      <c r="X52" s="76"/>
      <c r="Y52" s="76"/>
      <c r="Z52" s="76"/>
      <c r="AA52" s="76"/>
      <c r="AB52" s="76"/>
      <c r="AC52" s="76"/>
    </row>
    <row r="53" spans="1:29" ht="14.25" customHeight="1" x14ac:dyDescent="0.25">
      <c r="A53" s="76"/>
      <c r="B53" s="76"/>
      <c r="C53" s="76" t="s">
        <v>120</v>
      </c>
      <c r="D53" s="87"/>
      <c r="E53" s="89"/>
      <c r="F53" s="89"/>
      <c r="G53" s="89">
        <f t="shared" ref="G53:O53" si="7">G16</f>
        <v>3186.3760000000002</v>
      </c>
      <c r="H53" s="89">
        <f t="shared" si="7"/>
        <v>3251.1570000000002</v>
      </c>
      <c r="I53" s="89">
        <f t="shared" si="7"/>
        <v>3460.6120000000001</v>
      </c>
      <c r="J53" s="89">
        <f t="shared" si="7"/>
        <v>3632.03</v>
      </c>
      <c r="K53" s="89">
        <f t="shared" si="7"/>
        <v>1858.9798865738144</v>
      </c>
      <c r="L53" s="89">
        <f t="shared" si="7"/>
        <v>3890.9480564091104</v>
      </c>
      <c r="M53" s="89">
        <f t="shared" si="7"/>
        <v>4105.4534649949428</v>
      </c>
      <c r="N53" s="89">
        <f t="shared" si="7"/>
        <v>4331.7844157482641</v>
      </c>
      <c r="O53" s="89">
        <f t="shared" si="7"/>
        <v>4570.5928430350978</v>
      </c>
      <c r="P53" s="76"/>
      <c r="Q53" s="39" t="s">
        <v>115</v>
      </c>
      <c r="R53" s="39" t="s">
        <v>116</v>
      </c>
      <c r="S53" s="39" t="s">
        <v>117</v>
      </c>
      <c r="T53" s="76"/>
      <c r="U53" s="76"/>
      <c r="V53" s="76"/>
      <c r="W53" s="76"/>
      <c r="X53" s="76"/>
      <c r="Y53" s="76"/>
      <c r="Z53" s="76"/>
      <c r="AA53" s="76"/>
      <c r="AB53" s="76"/>
      <c r="AC53" s="76"/>
    </row>
    <row r="54" spans="1:29" ht="14.25" customHeight="1" x14ac:dyDescent="0.25">
      <c r="A54" s="76"/>
      <c r="B54" s="76"/>
      <c r="C54" s="90" t="s">
        <v>148</v>
      </c>
      <c r="D54" s="91"/>
      <c r="E54" s="91"/>
      <c r="F54" s="91"/>
      <c r="G54" s="92">
        <f>IFERROR(ABS('IS Annual'!C16)/'IS Annual'!C15,"")</f>
        <v>0.21904284882269739</v>
      </c>
      <c r="H54" s="92">
        <f>IFERROR(ABS('IS Annual'!D16)/'IS Annual'!D15,"")</f>
        <v>0.2162135180081601</v>
      </c>
      <c r="I54" s="92">
        <f>IFERROR(ABS('IS Annual'!E16)/'IS Annual'!E15,"")</f>
        <v>0.21664350430887752</v>
      </c>
      <c r="J54" s="92">
        <f>IFERROR(ABS('IS Annual'!F16)/'IS Annual'!F15,"")</f>
        <v>0.22014083151857758</v>
      </c>
      <c r="K54" s="93">
        <f>$Z$12</f>
        <v>0.21800404367076187</v>
      </c>
      <c r="L54" s="93">
        <f>$Z$12</f>
        <v>0.21800404367076187</v>
      </c>
      <c r="M54" s="93">
        <f>$Z$12</f>
        <v>0.21800404367076187</v>
      </c>
      <c r="N54" s="93">
        <f>$Z$12</f>
        <v>0.21800404367076187</v>
      </c>
      <c r="O54" s="93">
        <f>$Z$12</f>
        <v>0.21800404367076187</v>
      </c>
      <c r="P54" s="76"/>
      <c r="Q54" s="94">
        <f>AVERAGE(G54:J54)</f>
        <v>0.21801017566457814</v>
      </c>
      <c r="R54" s="94">
        <f>IFERROR(GEOMEAN(G54:J54),"")</f>
        <v>0.21800404367076187</v>
      </c>
      <c r="S54" s="45">
        <f>IFERROR(HARMEAN(G54:J54),"")</f>
        <v>0.21799791601098253</v>
      </c>
      <c r="T54" s="76"/>
      <c r="U54" s="76"/>
      <c r="V54" s="76"/>
      <c r="W54" s="76"/>
      <c r="X54" s="76"/>
      <c r="Y54" s="76"/>
      <c r="Z54" s="76"/>
      <c r="AA54" s="76"/>
      <c r="AB54" s="76"/>
      <c r="AC54" s="76"/>
    </row>
    <row r="55" spans="1:29" ht="14.25" customHeight="1" x14ac:dyDescent="0.25">
      <c r="A55" s="76"/>
      <c r="B55" s="76"/>
      <c r="C55" s="81" t="s">
        <v>149</v>
      </c>
      <c r="D55" s="87"/>
      <c r="E55" s="87"/>
      <c r="F55" s="87"/>
      <c r="G55" s="87">
        <f>IFERROR(G53*(1-G54),"")</f>
        <v>2488.4231235397287</v>
      </c>
      <c r="H55" s="87">
        <f>IFERROR(H53*(1-H54),"")</f>
        <v>2548.2129074331442</v>
      </c>
      <c r="I55" s="87">
        <f>IFERROR(I53*(1-I54),"")</f>
        <v>2710.8928892666472</v>
      </c>
      <c r="J55" s="87">
        <f>IFERROR(J53*(1-J54),"")</f>
        <v>2832.4718956995807</v>
      </c>
      <c r="K55" s="95">
        <f>K53*(1-K54)</f>
        <v>1453.7147541981085</v>
      </c>
      <c r="L55" s="95">
        <f>L53*(1-L54)</f>
        <v>3042.7056463990325</v>
      </c>
      <c r="M55" s="95">
        <f>M53*(1-M54)</f>
        <v>3210.4480085239047</v>
      </c>
      <c r="N55" s="95">
        <f>N53*(1-N54)</f>
        <v>3387.4378968051537</v>
      </c>
      <c r="O55" s="95">
        <f>O53*(1-O54)</f>
        <v>3574.1851212808028</v>
      </c>
      <c r="P55" s="76"/>
      <c r="Q55" s="76"/>
      <c r="R55" s="76"/>
      <c r="S55" s="76"/>
      <c r="T55" s="76"/>
      <c r="U55" s="76"/>
      <c r="V55" s="76"/>
      <c r="W55" s="76"/>
      <c r="X55" s="76"/>
      <c r="Y55" s="76"/>
      <c r="Z55" s="76"/>
      <c r="AA55" s="76"/>
      <c r="AB55" s="76"/>
      <c r="AC55" s="76"/>
    </row>
    <row r="56" spans="1:29" ht="14.25" customHeight="1" x14ac:dyDescent="0.25">
      <c r="A56" s="76"/>
      <c r="B56" s="76"/>
      <c r="C56" s="96" t="s">
        <v>150</v>
      </c>
      <c r="D56" s="97"/>
      <c r="E56" s="97"/>
      <c r="F56" s="97"/>
      <c r="G56" s="97">
        <f t="shared" ref="G56:O56" si="8">G19</f>
        <v>409.06099999999998</v>
      </c>
      <c r="H56" s="97">
        <f t="shared" si="8"/>
        <v>461.892</v>
      </c>
      <c r="I56" s="97">
        <f t="shared" si="8"/>
        <v>511.23</v>
      </c>
      <c r="J56" s="97">
        <f t="shared" si="8"/>
        <v>537.71400000000006</v>
      </c>
      <c r="K56" s="97">
        <f t="shared" si="8"/>
        <v>283.74768340870492</v>
      </c>
      <c r="L56" s="97">
        <f t="shared" si="8"/>
        <v>593.89964638320987</v>
      </c>
      <c r="M56" s="97">
        <f t="shared" si="8"/>
        <v>626.64094348085916</v>
      </c>
      <c r="N56" s="97">
        <f t="shared" si="8"/>
        <v>661.18724676459544</v>
      </c>
      <c r="O56" s="97">
        <f t="shared" si="8"/>
        <v>697.63806503891385</v>
      </c>
      <c r="P56" s="76"/>
      <c r="Q56" s="76"/>
      <c r="R56" s="76"/>
      <c r="S56" s="76"/>
      <c r="T56" s="76"/>
      <c r="U56" s="76"/>
      <c r="V56" s="76"/>
      <c r="W56" s="76"/>
      <c r="X56" s="76"/>
      <c r="Y56" s="76"/>
      <c r="Z56" s="76"/>
      <c r="AA56" s="76"/>
      <c r="AB56" s="76"/>
      <c r="AC56" s="76"/>
    </row>
    <row r="57" spans="1:29" ht="14.25" customHeight="1" x14ac:dyDescent="0.25">
      <c r="A57" s="76"/>
      <c r="B57" s="76"/>
      <c r="C57" s="98" t="s">
        <v>151</v>
      </c>
      <c r="D57" s="56"/>
      <c r="E57" s="99"/>
      <c r="F57" s="99"/>
      <c r="G57" s="99"/>
      <c r="H57" s="99">
        <f t="shared" ref="H57:O59" si="9">(H25-G25)*-1</f>
        <v>19.561999999999955</v>
      </c>
      <c r="I57" s="99">
        <f t="shared" si="9"/>
        <v>-53.762999999999977</v>
      </c>
      <c r="J57" s="99">
        <f t="shared" si="9"/>
        <v>-78.82000000000005</v>
      </c>
      <c r="K57" s="99">
        <f t="shared" si="9"/>
        <v>-9.405252011237053</v>
      </c>
      <c r="L57" s="99">
        <f t="shared" si="9"/>
        <v>-35.168013889734198</v>
      </c>
      <c r="M57" s="99">
        <f t="shared" si="9"/>
        <v>-37.106803377335837</v>
      </c>
      <c r="N57" s="99">
        <f t="shared" si="9"/>
        <v>-39.152477054901055</v>
      </c>
      <c r="O57" s="99">
        <f t="shared" si="9"/>
        <v>-41.310927377560915</v>
      </c>
      <c r="P57" s="76"/>
      <c r="Q57" s="76"/>
      <c r="R57" s="76"/>
      <c r="S57" s="76"/>
      <c r="T57" s="76"/>
      <c r="U57" s="76"/>
      <c r="V57" s="76"/>
      <c r="W57" s="76"/>
      <c r="X57" s="76"/>
      <c r="Y57" s="76"/>
      <c r="Z57" s="76"/>
      <c r="AA57" s="76"/>
      <c r="AB57" s="76"/>
      <c r="AC57" s="76"/>
    </row>
    <row r="58" spans="1:29" ht="14.25" customHeight="1" x14ac:dyDescent="0.25">
      <c r="A58" s="76"/>
      <c r="B58" s="76"/>
      <c r="C58" s="98" t="s">
        <v>152</v>
      </c>
      <c r="D58" s="56"/>
      <c r="E58" s="99"/>
      <c r="F58" s="99"/>
      <c r="G58" s="99"/>
      <c r="H58" s="99">
        <f t="shared" si="9"/>
        <v>-437.4369999999999</v>
      </c>
      <c r="I58" s="99">
        <f t="shared" si="9"/>
        <v>-635.58100000000013</v>
      </c>
      <c r="J58" s="99">
        <f t="shared" si="9"/>
        <v>-240.47099999999955</v>
      </c>
      <c r="K58" s="99">
        <f t="shared" si="9"/>
        <v>139.38858887082097</v>
      </c>
      <c r="L58" s="99">
        <f t="shared" si="9"/>
        <v>-321.54009432920338</v>
      </c>
      <c r="M58" s="99">
        <f t="shared" si="9"/>
        <v>-339.26638836111761</v>
      </c>
      <c r="N58" s="99">
        <f t="shared" si="9"/>
        <v>-357.96992133040658</v>
      </c>
      <c r="O58" s="99">
        <f t="shared" si="9"/>
        <v>-377.70456777728941</v>
      </c>
      <c r="P58" s="76"/>
      <c r="Q58" s="76"/>
      <c r="R58" s="76"/>
      <c r="S58" s="76"/>
      <c r="T58" s="76"/>
      <c r="U58" s="76"/>
      <c r="V58" s="76"/>
      <c r="W58" s="76"/>
      <c r="X58" s="76"/>
      <c r="Y58" s="76"/>
      <c r="Z58" s="76"/>
      <c r="AA58" s="76"/>
      <c r="AB58" s="76"/>
      <c r="AC58" s="76"/>
    </row>
    <row r="59" spans="1:29" ht="14.25" customHeight="1" x14ac:dyDescent="0.25">
      <c r="A59" s="76"/>
      <c r="B59" s="76"/>
      <c r="C59" s="98" t="s">
        <v>153</v>
      </c>
      <c r="D59" s="56"/>
      <c r="E59" s="99"/>
      <c r="F59" s="99"/>
      <c r="G59" s="99"/>
      <c r="H59" s="99">
        <f t="shared" si="9"/>
        <v>-12.60499999999999</v>
      </c>
      <c r="I59" s="99">
        <f t="shared" si="9"/>
        <v>-151.49</v>
      </c>
      <c r="J59" s="99">
        <f t="shared" si="9"/>
        <v>-67.675999999999988</v>
      </c>
      <c r="K59" s="99">
        <f t="shared" si="9"/>
        <v>-38.164030594845315</v>
      </c>
      <c r="L59" s="99">
        <f t="shared" si="9"/>
        <v>-20.687066993961309</v>
      </c>
      <c r="M59" s="99">
        <f t="shared" si="9"/>
        <v>-21.827531398432882</v>
      </c>
      <c r="N59" s="99">
        <f t="shared" si="9"/>
        <v>-23.03086885582411</v>
      </c>
      <c r="O59" s="99">
        <f t="shared" si="9"/>
        <v>-24.30054551621231</v>
      </c>
      <c r="P59" s="76"/>
      <c r="Q59" s="76"/>
      <c r="R59" s="76"/>
      <c r="S59" s="76"/>
      <c r="T59" s="76"/>
      <c r="U59" s="76"/>
      <c r="V59" s="76"/>
      <c r="W59" s="76"/>
      <c r="X59" s="76"/>
      <c r="Y59" s="76"/>
      <c r="Z59" s="76"/>
      <c r="AA59" s="76"/>
      <c r="AB59" s="76"/>
      <c r="AC59" s="76"/>
    </row>
    <row r="60" spans="1:29" ht="14.25" customHeight="1" x14ac:dyDescent="0.25">
      <c r="A60" s="76"/>
      <c r="B60" s="76"/>
      <c r="C60" s="98" t="s">
        <v>154</v>
      </c>
      <c r="D60" s="56"/>
      <c r="E60" s="99"/>
      <c r="F60" s="99"/>
      <c r="G60" s="99"/>
      <c r="H60" s="99">
        <f t="shared" ref="H60:O61" si="10">(H29-G29)</f>
        <v>433.11099999999988</v>
      </c>
      <c r="I60" s="99">
        <f t="shared" si="10"/>
        <v>578.8730000000005</v>
      </c>
      <c r="J60" s="99">
        <f t="shared" si="10"/>
        <v>281.27399999999943</v>
      </c>
      <c r="K60" s="99">
        <f t="shared" si="10"/>
        <v>-7.2656858915406701</v>
      </c>
      <c r="L60" s="99">
        <f t="shared" si="10"/>
        <v>406.72732745728354</v>
      </c>
      <c r="M60" s="99">
        <f t="shared" si="10"/>
        <v>429.1499376526408</v>
      </c>
      <c r="N60" s="99">
        <f t="shared" si="10"/>
        <v>452.80869160828297</v>
      </c>
      <c r="O60" s="99">
        <f t="shared" si="10"/>
        <v>477.77173711711839</v>
      </c>
      <c r="P60" s="76"/>
      <c r="Q60" s="76"/>
      <c r="R60" s="76"/>
      <c r="S60" s="76"/>
      <c r="T60" s="76"/>
      <c r="U60" s="76"/>
      <c r="V60" s="76"/>
      <c r="W60" s="76"/>
      <c r="X60" s="76"/>
      <c r="Y60" s="76"/>
      <c r="Z60" s="76"/>
      <c r="AA60" s="76"/>
      <c r="AB60" s="76"/>
      <c r="AC60" s="76"/>
    </row>
    <row r="61" spans="1:29" ht="14.25" customHeight="1" x14ac:dyDescent="0.25">
      <c r="A61" s="76"/>
      <c r="B61" s="76"/>
      <c r="C61" s="98" t="s">
        <v>155</v>
      </c>
      <c r="D61" s="56"/>
      <c r="E61" s="99"/>
      <c r="F61" s="99"/>
      <c r="G61" s="99"/>
      <c r="H61" s="99">
        <f t="shared" si="10"/>
        <v>160.94999999999982</v>
      </c>
      <c r="I61" s="99">
        <f t="shared" si="10"/>
        <v>-114.93399999999974</v>
      </c>
      <c r="J61" s="99">
        <f t="shared" si="10"/>
        <v>519.16799999999989</v>
      </c>
      <c r="K61" s="99">
        <f t="shared" si="10"/>
        <v>-255.27234325016138</v>
      </c>
      <c r="L61" s="99">
        <f t="shared" si="10"/>
        <v>81.710983724273547</v>
      </c>
      <c r="M61" s="99">
        <f t="shared" si="10"/>
        <v>86.215656543242176</v>
      </c>
      <c r="N61" s="99">
        <f t="shared" si="10"/>
        <v>90.968669013517001</v>
      </c>
      <c r="O61" s="99">
        <f t="shared" si="10"/>
        <v>95.983711936825102</v>
      </c>
      <c r="P61" s="76"/>
      <c r="Q61" s="76"/>
      <c r="R61" s="76"/>
      <c r="S61" s="76"/>
      <c r="T61" s="76"/>
      <c r="U61" s="76"/>
      <c r="V61" s="76"/>
      <c r="W61" s="76"/>
      <c r="X61" s="76"/>
      <c r="Y61" s="76"/>
      <c r="Z61" s="76"/>
      <c r="AA61" s="76"/>
      <c r="AB61" s="76"/>
      <c r="AC61" s="76"/>
    </row>
    <row r="62" spans="1:29" ht="14.25" customHeight="1" x14ac:dyDescent="0.25">
      <c r="A62" s="76"/>
      <c r="B62" s="76"/>
      <c r="C62" s="96" t="s">
        <v>156</v>
      </c>
      <c r="D62" s="100"/>
      <c r="E62" s="101"/>
      <c r="F62" s="101"/>
      <c r="G62" s="101"/>
      <c r="H62" s="101">
        <f t="shared" ref="H62:O62" si="11">H34*-1</f>
        <v>-1023.3869999999999</v>
      </c>
      <c r="I62" s="101">
        <f t="shared" si="11"/>
        <v>-1168.8150000000001</v>
      </c>
      <c r="J62" s="101">
        <f t="shared" si="11"/>
        <v>-1133.18</v>
      </c>
      <c r="K62" s="101">
        <f t="shared" si="11"/>
        <v>-594.99935897239061</v>
      </c>
      <c r="L62" s="101">
        <f t="shared" si="11"/>
        <v>-1245.3666745287637</v>
      </c>
      <c r="M62" s="101">
        <f t="shared" si="11"/>
        <v>-1314.0229206379727</v>
      </c>
      <c r="N62" s="101">
        <f t="shared" si="11"/>
        <v>-1386.4641404631288</v>
      </c>
      <c r="O62" s="101">
        <f t="shared" si="11"/>
        <v>-1462.8989971170924</v>
      </c>
      <c r="P62" s="76"/>
      <c r="Q62" s="76"/>
      <c r="R62" s="76"/>
      <c r="S62" s="76"/>
      <c r="T62" s="76"/>
      <c r="U62" s="76"/>
      <c r="V62" s="76"/>
      <c r="W62" s="76"/>
      <c r="X62" s="76"/>
      <c r="Y62" s="76"/>
      <c r="Z62" s="76"/>
      <c r="AA62" s="76"/>
      <c r="AB62" s="76"/>
      <c r="AC62" s="76"/>
    </row>
    <row r="63" spans="1:29" ht="14.25" customHeight="1" x14ac:dyDescent="0.25">
      <c r="A63" s="76"/>
      <c r="B63" s="76"/>
      <c r="C63" s="67" t="s">
        <v>157</v>
      </c>
      <c r="D63" s="67"/>
      <c r="E63" s="102"/>
      <c r="F63" s="102"/>
      <c r="G63" s="102"/>
      <c r="H63" s="102">
        <f t="shared" ref="H63:O63" si="12">SUM(H55:H62)</f>
        <v>2150.2989074331435</v>
      </c>
      <c r="I63" s="102">
        <f t="shared" si="12"/>
        <v>1676.4128892666477</v>
      </c>
      <c r="J63" s="102">
        <f t="shared" si="12"/>
        <v>2650.4808956995803</v>
      </c>
      <c r="K63" s="102">
        <f t="shared" si="12"/>
        <v>971.74435575745929</v>
      </c>
      <c r="L63" s="102">
        <f t="shared" si="12"/>
        <v>2502.2817542221374</v>
      </c>
      <c r="M63" s="102">
        <f t="shared" si="12"/>
        <v>2640.2309024257884</v>
      </c>
      <c r="N63" s="102">
        <f t="shared" si="12"/>
        <v>2785.7850964872882</v>
      </c>
      <c r="O63" s="102">
        <f t="shared" si="12"/>
        <v>2939.3635975855059</v>
      </c>
      <c r="P63" s="76"/>
      <c r="Q63" s="103"/>
      <c r="R63" s="76"/>
      <c r="S63" s="76"/>
      <c r="T63" s="76"/>
      <c r="U63" s="76"/>
      <c r="V63" s="76"/>
      <c r="W63" s="76"/>
      <c r="X63" s="76"/>
      <c r="Y63" s="76"/>
      <c r="Z63" s="76"/>
      <c r="AA63" s="76"/>
      <c r="AB63" s="76"/>
      <c r="AC63" s="76"/>
    </row>
    <row r="64" spans="1:29" ht="14.25" customHeight="1" x14ac:dyDescent="0.25">
      <c r="A64" s="76"/>
      <c r="B64" s="76"/>
      <c r="C64" s="56" t="s">
        <v>158</v>
      </c>
      <c r="D64" s="98"/>
      <c r="E64" s="104"/>
      <c r="F64" s="104"/>
      <c r="G64" s="105"/>
      <c r="H64" s="105"/>
      <c r="I64" s="106"/>
      <c r="J64" s="106"/>
      <c r="K64" s="107">
        <f ca="1">$I$91</f>
        <v>6.9198954892299339E-2</v>
      </c>
      <c r="L64" s="107">
        <f ca="1">$I$91</f>
        <v>6.9198954892299339E-2</v>
      </c>
      <c r="M64" s="107">
        <f ca="1">$I$91</f>
        <v>6.9198954892299339E-2</v>
      </c>
      <c r="N64" s="107">
        <f ca="1">$I$91</f>
        <v>6.9198954892299339E-2</v>
      </c>
      <c r="O64" s="107">
        <f ca="1">$I$91</f>
        <v>6.9198954892299339E-2</v>
      </c>
      <c r="P64" s="76"/>
      <c r="Q64" s="103"/>
      <c r="R64" s="76"/>
      <c r="S64" s="76"/>
      <c r="T64" s="76"/>
      <c r="U64" s="76"/>
      <c r="V64" s="76"/>
      <c r="W64" s="76"/>
      <c r="X64" s="76"/>
      <c r="Y64" s="76"/>
      <c r="Z64" s="76"/>
      <c r="AA64" s="76"/>
      <c r="AB64" s="76"/>
      <c r="AC64" s="76"/>
    </row>
    <row r="65" spans="1:29" ht="14.25" customHeight="1" x14ac:dyDescent="0.25">
      <c r="A65" s="76"/>
      <c r="B65" s="76"/>
      <c r="C65" s="56" t="s">
        <v>159</v>
      </c>
      <c r="D65" s="98"/>
      <c r="E65" s="108"/>
      <c r="F65" s="108"/>
      <c r="G65" s="108"/>
      <c r="H65" s="108"/>
      <c r="I65" s="108"/>
      <c r="J65" s="108"/>
      <c r="K65" s="109">
        <f ca="1">K63/(1+K64)^K51</f>
        <v>955.31824840377396</v>
      </c>
      <c r="L65" s="109">
        <f ca="1">L63/(1+L64)^L51</f>
        <v>2300.7727792252117</v>
      </c>
      <c r="M65" s="109">
        <f ca="1">M63/(1+M64)^M51</f>
        <v>2270.4968602838694</v>
      </c>
      <c r="N65" s="109">
        <f ca="1">N63/(1+N64)^N51</f>
        <v>2240.6193428170327</v>
      </c>
      <c r="O65" s="109">
        <f ca="1">O63/(1+O64)^O51</f>
        <v>2211.1349842510513</v>
      </c>
      <c r="P65" s="76"/>
      <c r="Q65" s="76"/>
      <c r="R65" s="76"/>
      <c r="S65" s="76"/>
      <c r="T65" s="76"/>
      <c r="U65" s="76"/>
      <c r="V65" s="76"/>
      <c r="W65" s="76"/>
      <c r="X65" s="76"/>
      <c r="Y65" s="76"/>
      <c r="Z65" s="76"/>
      <c r="AA65" s="76"/>
      <c r="AB65" s="76"/>
      <c r="AC65" s="76"/>
    </row>
    <row r="66" spans="1:29" ht="14.25" customHeight="1" x14ac:dyDescent="0.25">
      <c r="A66" s="76"/>
      <c r="B66" s="76"/>
      <c r="C66" s="67" t="s">
        <v>160</v>
      </c>
      <c r="D66" s="81"/>
      <c r="E66" s="110"/>
      <c r="F66" s="111"/>
      <c r="G66" s="110"/>
      <c r="H66" s="110"/>
      <c r="I66" s="112">
        <f ca="1">SUM(K65:O65)</f>
        <v>9978.3422149809394</v>
      </c>
      <c r="J66" s="76"/>
      <c r="K66" s="104"/>
      <c r="L66" s="104"/>
      <c r="M66" s="104"/>
      <c r="N66" s="104"/>
      <c r="O66" s="104"/>
      <c r="P66" s="76"/>
      <c r="Q66" s="76"/>
      <c r="R66" s="76"/>
      <c r="S66" s="76"/>
      <c r="T66" s="76"/>
      <c r="U66" s="76"/>
      <c r="V66" s="76"/>
      <c r="W66" s="76"/>
      <c r="X66" s="76"/>
      <c r="Y66" s="76"/>
      <c r="Z66" s="76"/>
      <c r="AA66" s="76"/>
      <c r="AB66" s="76"/>
      <c r="AC66" s="76"/>
    </row>
    <row r="67" spans="1:29" ht="14.25" customHeight="1" x14ac:dyDescent="0.25">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row>
    <row r="68" spans="1:29" ht="18" customHeight="1" x14ac:dyDescent="0.3">
      <c r="A68" s="76"/>
      <c r="B68" s="76"/>
      <c r="C68" s="27" t="s">
        <v>161</v>
      </c>
      <c r="D68" s="27"/>
      <c r="E68" s="27"/>
      <c r="F68" s="27"/>
      <c r="G68" s="27"/>
      <c r="H68" s="27"/>
      <c r="I68" s="27"/>
      <c r="J68" s="27"/>
      <c r="K68" s="27"/>
      <c r="L68" s="27"/>
      <c r="M68" s="27"/>
      <c r="N68" s="27"/>
      <c r="O68" s="27"/>
      <c r="P68" s="76"/>
      <c r="Q68" s="76"/>
      <c r="R68" s="76"/>
      <c r="S68" s="76"/>
      <c r="T68" s="76"/>
      <c r="U68" s="76"/>
      <c r="V68" s="76"/>
      <c r="W68" s="76"/>
      <c r="X68" s="76"/>
      <c r="Y68" s="76"/>
      <c r="Z68" s="76"/>
      <c r="AA68" s="76"/>
      <c r="AB68" s="76"/>
      <c r="AC68" s="76"/>
    </row>
    <row r="69" spans="1:29" ht="14.25" customHeight="1" x14ac:dyDescent="0.25">
      <c r="A69" s="76"/>
      <c r="B69" s="76"/>
      <c r="C69" s="113" t="s">
        <v>162</v>
      </c>
      <c r="D69" s="114"/>
      <c r="E69" s="115"/>
      <c r="F69" s="115"/>
      <c r="G69" s="116"/>
      <c r="H69" s="116"/>
      <c r="I69" s="117"/>
      <c r="J69" s="117"/>
      <c r="K69" s="117"/>
      <c r="L69" s="116"/>
      <c r="M69" s="117"/>
      <c r="N69" s="76"/>
      <c r="O69" s="76"/>
      <c r="P69" s="76"/>
      <c r="Q69" s="76"/>
      <c r="R69" s="76"/>
      <c r="S69" s="76"/>
      <c r="T69" s="76"/>
      <c r="U69" s="76"/>
      <c r="V69" s="76"/>
      <c r="W69" s="76"/>
      <c r="X69" s="76"/>
      <c r="Y69" s="76"/>
      <c r="Z69" s="76"/>
      <c r="AA69" s="76"/>
      <c r="AB69" s="76"/>
      <c r="AC69" s="76"/>
    </row>
    <row r="70" spans="1:29" ht="14.25" customHeight="1" x14ac:dyDescent="0.25">
      <c r="A70" s="76"/>
      <c r="B70" s="76"/>
      <c r="C70" s="90" t="s">
        <v>163</v>
      </c>
      <c r="D70" s="76"/>
      <c r="E70" s="118"/>
      <c r="F70" s="119"/>
      <c r="I70" s="120">
        <f>$Z$13</f>
        <v>0.02</v>
      </c>
      <c r="K70" s="199" t="s">
        <v>164</v>
      </c>
      <c r="L70" s="199"/>
      <c r="M70" s="199"/>
      <c r="N70" s="199"/>
      <c r="O70" s="199"/>
      <c r="P70" s="76"/>
      <c r="Q70" s="76"/>
      <c r="R70" s="76"/>
      <c r="S70" s="76"/>
      <c r="T70" s="76"/>
      <c r="U70" s="76"/>
      <c r="V70" s="76"/>
      <c r="W70" s="76"/>
      <c r="X70" s="76"/>
      <c r="Y70" s="76"/>
      <c r="Z70" s="76"/>
      <c r="AA70" s="76"/>
      <c r="AB70" s="76"/>
      <c r="AC70" s="76"/>
    </row>
    <row r="71" spans="1:29" ht="14.25" customHeight="1" x14ac:dyDescent="0.25">
      <c r="A71" s="76"/>
      <c r="B71" s="76"/>
      <c r="C71" s="90" t="s">
        <v>165</v>
      </c>
      <c r="D71" s="76"/>
      <c r="E71" s="69"/>
      <c r="F71" s="69"/>
      <c r="G71" s="121"/>
      <c r="H71" s="121"/>
      <c r="I71" s="122">
        <f ca="1">I91</f>
        <v>6.9198954892299339E-2</v>
      </c>
      <c r="J71" s="123"/>
      <c r="K71" s="124">
        <f>K50</f>
        <v>46387</v>
      </c>
      <c r="L71" s="124">
        <f>L50</f>
        <v>46752</v>
      </c>
      <c r="M71" s="124">
        <f>M50</f>
        <v>47118</v>
      </c>
      <c r="N71" s="124">
        <f>N50</f>
        <v>47483</v>
      </c>
      <c r="O71" s="124">
        <f>O50</f>
        <v>47848</v>
      </c>
      <c r="P71" s="76"/>
      <c r="Q71" s="76"/>
      <c r="R71" s="76"/>
      <c r="S71" s="76"/>
      <c r="T71" s="76"/>
      <c r="U71" s="76"/>
      <c r="V71" s="76"/>
      <c r="W71" s="76"/>
      <c r="X71" s="76"/>
      <c r="Y71" s="76"/>
      <c r="Z71" s="76"/>
      <c r="AA71" s="76"/>
      <c r="AB71" s="76"/>
      <c r="AC71" s="76"/>
    </row>
    <row r="72" spans="1:29" ht="14.25" customHeight="1" x14ac:dyDescent="0.25">
      <c r="A72" s="76"/>
      <c r="B72" s="76"/>
      <c r="C72" s="90" t="s">
        <v>166</v>
      </c>
      <c r="D72" s="76"/>
      <c r="E72" s="125"/>
      <c r="F72" s="97"/>
      <c r="G72" s="125"/>
      <c r="H72" s="116"/>
      <c r="I72" s="126">
        <f>O63*(1+I70)</f>
        <v>2998.1508695372158</v>
      </c>
      <c r="J72" s="127"/>
      <c r="K72" s="122">
        <f>IFERROR(K63/J63-1,"")</f>
        <v>-0.63337054896938905</v>
      </c>
      <c r="L72" s="122">
        <f>IFERROR(L63/K63-1,"")</f>
        <v>1.575041202345496</v>
      </c>
      <c r="M72" s="122">
        <f>IFERROR(M63/L63-1,"")</f>
        <v>5.5129342637329826E-2</v>
      </c>
      <c r="N72" s="122">
        <f>IFERROR(N63/M63-1,"")</f>
        <v>5.5129342637330492E-2</v>
      </c>
      <c r="O72" s="122">
        <f>IFERROR(O63/N63-1,"")</f>
        <v>5.5129342637330936E-2</v>
      </c>
      <c r="P72" s="76"/>
      <c r="Q72" s="76"/>
      <c r="R72" s="76"/>
      <c r="S72" s="76"/>
      <c r="T72" s="76"/>
      <c r="U72" s="76"/>
      <c r="V72" s="76"/>
      <c r="W72" s="76"/>
      <c r="X72" s="76"/>
      <c r="Y72" s="76"/>
      <c r="Z72" s="76"/>
      <c r="AA72" s="76"/>
      <c r="AB72" s="76"/>
      <c r="AC72" s="76"/>
    </row>
    <row r="73" spans="1:29" ht="14.25" customHeight="1" x14ac:dyDescent="0.25">
      <c r="A73" s="76"/>
      <c r="B73" s="76"/>
      <c r="C73" s="90" t="s">
        <v>161</v>
      </c>
      <c r="D73" s="76"/>
      <c r="E73" s="125"/>
      <c r="F73" s="97"/>
      <c r="G73" s="96"/>
      <c r="H73" s="116"/>
      <c r="I73" s="126">
        <f ca="1">I72/(I71-I70)</f>
        <v>60939.320278254309</v>
      </c>
      <c r="J73" s="117"/>
      <c r="K73" s="117"/>
      <c r="L73" s="116"/>
      <c r="M73" s="117"/>
      <c r="N73" s="76"/>
      <c r="O73" s="76"/>
      <c r="P73" s="76"/>
      <c r="Q73" s="76"/>
      <c r="R73" s="76"/>
      <c r="S73" s="76"/>
      <c r="T73" s="76"/>
      <c r="U73" s="76"/>
      <c r="V73" s="76"/>
      <c r="W73" s="76"/>
      <c r="X73" s="76"/>
      <c r="Y73" s="76"/>
      <c r="Z73" s="76"/>
      <c r="AA73" s="76"/>
      <c r="AB73" s="76"/>
      <c r="AC73" s="76"/>
    </row>
    <row r="74" spans="1:29" ht="14.25" customHeight="1" x14ac:dyDescent="0.25">
      <c r="A74" s="76"/>
      <c r="B74" s="76"/>
      <c r="C74" s="67" t="s">
        <v>167</v>
      </c>
      <c r="D74" s="81"/>
      <c r="E74" s="128"/>
      <c r="F74" s="129"/>
      <c r="G74" s="128"/>
      <c r="H74" s="130"/>
      <c r="I74" s="126">
        <f ca="1">I73/(1+I71)^O51</f>
        <v>45841.577100026625</v>
      </c>
      <c r="J74" s="117"/>
      <c r="K74" s="117"/>
      <c r="L74" s="130"/>
      <c r="M74" s="117"/>
      <c r="N74" s="76"/>
      <c r="O74" s="76"/>
      <c r="P74" s="76"/>
      <c r="Q74" s="76"/>
      <c r="R74" s="76"/>
      <c r="S74" s="76"/>
      <c r="T74" s="76"/>
      <c r="U74" s="76"/>
      <c r="V74" s="76"/>
      <c r="W74" s="76"/>
      <c r="X74" s="76"/>
      <c r="Y74" s="76"/>
      <c r="Z74" s="76"/>
      <c r="AA74" s="76"/>
      <c r="AB74" s="76"/>
      <c r="AC74" s="76"/>
    </row>
    <row r="75" spans="1:29" ht="14.25" customHeight="1" x14ac:dyDescent="0.25">
      <c r="A75" s="76"/>
      <c r="B75" s="76"/>
      <c r="C75" s="76"/>
      <c r="D75" s="76"/>
      <c r="E75" s="131"/>
      <c r="F75" s="131"/>
      <c r="G75" s="131"/>
      <c r="H75" s="117"/>
      <c r="I75" s="117"/>
      <c r="J75" s="117"/>
      <c r="K75" s="117"/>
      <c r="L75" s="117"/>
      <c r="M75" s="117"/>
      <c r="N75" s="76"/>
      <c r="O75" s="76"/>
      <c r="P75" s="76"/>
      <c r="Q75" s="76"/>
      <c r="R75" s="76"/>
      <c r="S75" s="76"/>
      <c r="T75" s="76"/>
      <c r="U75" s="76"/>
      <c r="V75" s="76"/>
      <c r="W75" s="76"/>
      <c r="X75" s="76"/>
      <c r="Y75" s="76"/>
      <c r="Z75" s="76"/>
      <c r="AA75" s="76"/>
      <c r="AB75" s="76"/>
      <c r="AC75" s="76"/>
    </row>
    <row r="76" spans="1:29" ht="18" customHeight="1" x14ac:dyDescent="0.3">
      <c r="A76" s="76"/>
      <c r="B76" s="76"/>
      <c r="C76" s="27" t="s">
        <v>165</v>
      </c>
      <c r="D76" s="27"/>
      <c r="E76" s="27"/>
      <c r="F76" s="27"/>
      <c r="G76" s="27"/>
      <c r="H76" s="27"/>
      <c r="I76" s="27"/>
      <c r="J76" s="27"/>
      <c r="K76" s="27"/>
      <c r="L76" s="27"/>
      <c r="M76" s="27"/>
      <c r="N76" s="27"/>
      <c r="O76" s="27"/>
      <c r="P76" s="76"/>
      <c r="Q76" s="76"/>
      <c r="R76" s="76"/>
      <c r="S76" s="76"/>
      <c r="T76" s="76"/>
      <c r="U76" s="76"/>
      <c r="V76" s="76"/>
      <c r="W76" s="76"/>
      <c r="X76" s="76"/>
      <c r="Y76" s="76"/>
      <c r="Z76" s="76"/>
      <c r="AA76" s="76"/>
      <c r="AB76" s="76"/>
      <c r="AC76" s="76"/>
    </row>
    <row r="77" spans="1:29" ht="14.25" customHeight="1" x14ac:dyDescent="0.25">
      <c r="A77" s="76"/>
      <c r="B77" s="76"/>
      <c r="C77" s="90" t="s">
        <v>168</v>
      </c>
      <c r="D77" s="76"/>
      <c r="E77" s="76"/>
      <c r="F77" s="76"/>
      <c r="G77" s="76"/>
      <c r="H77" s="76"/>
      <c r="I77" s="132">
        <f ca="1">I4</f>
        <v>86.07</v>
      </c>
      <c r="J77" s="76"/>
      <c r="K77" s="76"/>
      <c r="L77" s="76"/>
      <c r="M77" s="76"/>
      <c r="N77" s="76"/>
      <c r="O77" s="76"/>
      <c r="P77" s="76"/>
      <c r="Q77" s="76"/>
      <c r="R77" s="76"/>
      <c r="S77" s="76"/>
      <c r="T77" s="76"/>
      <c r="U77" s="76"/>
      <c r="V77" s="76"/>
      <c r="W77" s="76"/>
      <c r="X77" s="76"/>
      <c r="Y77" s="76"/>
      <c r="Z77" s="76"/>
      <c r="AA77" s="76"/>
      <c r="AB77" s="76"/>
      <c r="AC77" s="76"/>
    </row>
    <row r="78" spans="1:29" ht="14.25" customHeight="1" x14ac:dyDescent="0.25">
      <c r="A78" s="76"/>
      <c r="B78" s="76"/>
      <c r="C78" s="90" t="s">
        <v>108</v>
      </c>
      <c r="D78" s="76"/>
      <c r="E78" s="76"/>
      <c r="F78" s="76"/>
      <c r="G78" s="76"/>
      <c r="H78" s="76"/>
      <c r="I78" s="9">
        <f>I5</f>
        <v>808.96079199999997</v>
      </c>
      <c r="J78" s="76"/>
      <c r="K78" s="76"/>
      <c r="L78" s="76"/>
      <c r="M78" s="76"/>
      <c r="N78" s="133"/>
      <c r="O78" s="76"/>
      <c r="P78" s="76"/>
      <c r="Q78" s="76"/>
      <c r="R78" s="76"/>
      <c r="S78" s="76"/>
      <c r="T78" s="76"/>
      <c r="U78" s="76"/>
      <c r="V78" s="76"/>
      <c r="W78" s="76"/>
      <c r="X78" s="76"/>
      <c r="Y78" s="76"/>
      <c r="Z78" s="76"/>
      <c r="AA78" s="76"/>
      <c r="AB78" s="76"/>
      <c r="AC78" s="76"/>
    </row>
    <row r="79" spans="1:29" ht="14.25" customHeight="1" x14ac:dyDescent="0.25">
      <c r="A79" s="76"/>
      <c r="B79" s="76"/>
      <c r="C79" s="90" t="s">
        <v>169</v>
      </c>
      <c r="D79" s="76"/>
      <c r="E79" s="76"/>
      <c r="F79" s="76"/>
      <c r="G79" s="76"/>
      <c r="H79" s="76"/>
      <c r="I79" s="134">
        <f>IFERROR(ABS(-('IS Annual'!F11))/AVERAGE(I32:J32),"")</f>
        <v>3.8795231258662216E-2</v>
      </c>
      <c r="J79" s="90"/>
      <c r="K79" s="76"/>
      <c r="L79" s="76"/>
      <c r="M79" s="192" t="s">
        <v>170</v>
      </c>
      <c r="N79" s="193">
        <v>4.1399999999999999E-2</v>
      </c>
      <c r="O79" s="76"/>
      <c r="P79" s="76"/>
      <c r="Q79" s="76"/>
      <c r="R79" s="76"/>
      <c r="S79" s="76"/>
      <c r="T79" s="76"/>
      <c r="U79" s="76"/>
      <c r="V79" s="76"/>
      <c r="W79" s="76"/>
      <c r="X79" s="76"/>
      <c r="Y79" s="76"/>
      <c r="Z79" s="76"/>
      <c r="AA79" s="76"/>
      <c r="AB79" s="76"/>
      <c r="AC79" s="76"/>
    </row>
    <row r="80" spans="1:29" ht="14.25" customHeight="1" x14ac:dyDescent="0.25">
      <c r="A80" s="76"/>
      <c r="B80" s="76"/>
      <c r="C80" s="90" t="s">
        <v>171</v>
      </c>
      <c r="D80" s="76"/>
      <c r="E80" s="76"/>
      <c r="F80" s="76"/>
      <c r="G80" s="76"/>
      <c r="H80" s="76"/>
      <c r="I80" s="136">
        <f>K54</f>
        <v>0.21800404367076187</v>
      </c>
      <c r="J80" s="76"/>
      <c r="K80" s="76"/>
      <c r="L80" s="76"/>
      <c r="M80" s="192" t="s">
        <v>172</v>
      </c>
      <c r="N80" s="193">
        <v>5.1999999999999998E-2</v>
      </c>
      <c r="O80" s="90"/>
      <c r="P80" s="76"/>
      <c r="Q80" s="76"/>
      <c r="R80" s="76"/>
      <c r="S80" s="76"/>
      <c r="T80" s="76"/>
      <c r="U80" s="76"/>
      <c r="V80" s="76"/>
      <c r="W80" s="76"/>
      <c r="X80" s="76"/>
      <c r="Y80" s="76"/>
      <c r="Z80" s="76"/>
      <c r="AA80" s="76"/>
      <c r="AB80" s="76"/>
      <c r="AC80" s="76"/>
    </row>
    <row r="81" spans="1:29" ht="14.25" customHeight="1" x14ac:dyDescent="0.25">
      <c r="A81" s="76"/>
      <c r="B81" s="76"/>
      <c r="C81" s="90" t="s">
        <v>173</v>
      </c>
      <c r="D81" s="76"/>
      <c r="E81" s="76"/>
      <c r="F81" s="76"/>
      <c r="G81" s="76"/>
      <c r="H81" s="76"/>
      <c r="I81" s="137">
        <f>I79*(1-I80)</f>
        <v>3.0337713969131513E-2</v>
      </c>
      <c r="J81" s="76"/>
      <c r="K81" s="76"/>
      <c r="L81" s="76"/>
      <c r="M81" s="192" t="s">
        <v>174</v>
      </c>
      <c r="N81" s="138">
        <v>0.51</v>
      </c>
      <c r="O81" s="90"/>
      <c r="P81" s="76"/>
      <c r="Q81" s="76"/>
      <c r="R81" s="76"/>
      <c r="S81" s="76"/>
      <c r="T81" s="76"/>
      <c r="U81" s="76"/>
      <c r="V81" s="76"/>
      <c r="W81" s="76"/>
      <c r="X81" s="76"/>
      <c r="Y81" s="76"/>
      <c r="Z81" s="76"/>
      <c r="AA81" s="76"/>
      <c r="AB81" s="76"/>
      <c r="AC81" s="76"/>
    </row>
    <row r="82" spans="1:29" ht="14.25" customHeight="1" x14ac:dyDescent="0.25">
      <c r="A82" s="76"/>
      <c r="B82" s="76"/>
      <c r="C82" s="90" t="s">
        <v>175</v>
      </c>
      <c r="D82" s="76"/>
      <c r="E82" s="76"/>
      <c r="F82" s="76"/>
      <c r="G82" s="76"/>
      <c r="H82" s="76"/>
      <c r="I82" s="136">
        <f>N83</f>
        <v>7.3113999999999998E-2</v>
      </c>
      <c r="J82" s="76"/>
      <c r="K82" s="76"/>
      <c r="L82" s="76"/>
      <c r="M82" s="76"/>
      <c r="N82" s="76"/>
      <c r="O82" s="76"/>
      <c r="P82" s="76"/>
      <c r="Q82" s="76"/>
      <c r="R82" s="76"/>
      <c r="S82" s="76"/>
      <c r="T82" s="76"/>
      <c r="U82" s="76"/>
      <c r="V82" s="76"/>
      <c r="W82" s="76"/>
      <c r="X82" s="76"/>
      <c r="Y82" s="76"/>
      <c r="Z82" s="76"/>
      <c r="AA82" s="76"/>
      <c r="AB82" s="76"/>
      <c r="AC82" s="76"/>
    </row>
    <row r="83" spans="1:29" ht="14.25" customHeight="1" x14ac:dyDescent="0.25">
      <c r="A83" s="76"/>
      <c r="B83" s="76"/>
      <c r="C83" s="76"/>
      <c r="D83" s="76"/>
      <c r="E83" s="131"/>
      <c r="F83" s="131"/>
      <c r="G83" s="76"/>
      <c r="H83" s="131"/>
      <c r="I83" s="76"/>
      <c r="J83" s="76"/>
      <c r="K83" s="76"/>
      <c r="L83" s="76"/>
      <c r="M83" s="5" t="s">
        <v>176</v>
      </c>
      <c r="N83" s="139">
        <f>N80+N81*(N79)</f>
        <v>7.3113999999999998E-2</v>
      </c>
      <c r="O83" s="76"/>
      <c r="P83" s="76"/>
      <c r="Q83" s="76"/>
      <c r="R83" s="76"/>
      <c r="S83" s="76"/>
      <c r="T83" s="76"/>
      <c r="U83" s="76"/>
      <c r="V83" s="76"/>
      <c r="W83" s="76"/>
      <c r="X83" s="76"/>
      <c r="Y83" s="76"/>
      <c r="Z83" s="76"/>
      <c r="AA83" s="76"/>
      <c r="AB83" s="76"/>
      <c r="AC83" s="76"/>
    </row>
    <row r="84" spans="1:29" ht="14.25" customHeight="1" x14ac:dyDescent="0.25">
      <c r="A84" s="76"/>
      <c r="B84" s="76"/>
      <c r="C84" s="90" t="s">
        <v>177</v>
      </c>
      <c r="D84" s="76"/>
      <c r="E84" s="76"/>
      <c r="F84" s="76"/>
      <c r="G84" s="76"/>
      <c r="H84" s="76"/>
      <c r="I84" s="140">
        <f>N95+N96</f>
        <v>7014.5429999999997</v>
      </c>
      <c r="J84" s="76"/>
      <c r="K84" s="76"/>
      <c r="L84" s="76"/>
      <c r="M84" s="76"/>
      <c r="N84" s="76"/>
      <c r="O84" s="76"/>
      <c r="P84" s="76"/>
      <c r="Q84" s="76"/>
      <c r="R84" s="76"/>
      <c r="S84" s="76"/>
      <c r="T84" s="76"/>
      <c r="U84" s="76"/>
      <c r="V84" s="76"/>
      <c r="W84" s="76"/>
      <c r="X84" s="76"/>
      <c r="Y84" s="76"/>
      <c r="Z84" s="76"/>
      <c r="AA84" s="76"/>
      <c r="AB84" s="76"/>
      <c r="AC84" s="76"/>
    </row>
    <row r="85" spans="1:29" ht="14.25" customHeight="1" x14ac:dyDescent="0.25">
      <c r="A85" s="76"/>
      <c r="B85" s="76"/>
      <c r="C85" s="90" t="s">
        <v>178</v>
      </c>
      <c r="D85" s="76"/>
      <c r="E85" s="76"/>
      <c r="F85" s="76"/>
      <c r="G85" s="76"/>
      <c r="H85" s="76"/>
      <c r="I85" s="126">
        <f ca="1">I77*I78</f>
        <v>69627.255367439997</v>
      </c>
      <c r="J85" s="76"/>
      <c r="K85" s="76"/>
      <c r="L85" s="76"/>
      <c r="M85" s="76"/>
      <c r="N85" s="76"/>
      <c r="O85" s="76"/>
      <c r="P85" s="76"/>
      <c r="Q85" s="76"/>
      <c r="R85" s="76"/>
      <c r="S85" s="76"/>
      <c r="T85" s="76"/>
      <c r="U85" s="76"/>
      <c r="V85" s="76"/>
      <c r="W85" s="76"/>
      <c r="X85" s="76"/>
      <c r="Y85" s="76"/>
      <c r="Z85" s="76"/>
      <c r="AA85" s="76"/>
      <c r="AB85" s="76"/>
      <c r="AC85" s="76"/>
    </row>
    <row r="86" spans="1:29" ht="14.25" customHeight="1" x14ac:dyDescent="0.25">
      <c r="A86" s="76"/>
      <c r="B86" s="76"/>
      <c r="C86" s="56" t="s">
        <v>179</v>
      </c>
      <c r="D86" s="141"/>
      <c r="E86" s="76"/>
      <c r="F86" s="76"/>
      <c r="G86" s="76"/>
      <c r="H86" s="76"/>
      <c r="I86" s="95">
        <f ca="1">SUM(I84:I85)</f>
        <v>76641.798367440002</v>
      </c>
      <c r="J86" s="76"/>
      <c r="K86" s="76"/>
      <c r="L86" s="76"/>
      <c r="M86" s="76"/>
      <c r="N86" s="76"/>
      <c r="O86" s="76"/>
      <c r="P86" s="76"/>
      <c r="Q86" s="76"/>
      <c r="R86" s="76"/>
      <c r="S86" s="76"/>
      <c r="T86" s="76"/>
      <c r="U86" s="76"/>
      <c r="V86" s="76"/>
      <c r="W86" s="76"/>
      <c r="X86" s="76"/>
      <c r="Y86" s="76"/>
      <c r="Z86" s="76"/>
      <c r="AA86" s="76"/>
      <c r="AB86" s="76"/>
      <c r="AC86" s="76"/>
    </row>
    <row r="87" spans="1:29" ht="14.25" customHeight="1" x14ac:dyDescent="0.25">
      <c r="A87" s="76"/>
      <c r="B87" s="76"/>
      <c r="C87" s="141"/>
      <c r="D87" s="141"/>
      <c r="E87" s="76"/>
      <c r="F87" s="76"/>
      <c r="G87" s="76"/>
      <c r="H87" s="76"/>
      <c r="I87" s="142"/>
      <c r="J87" s="76"/>
      <c r="K87" s="76"/>
      <c r="L87" s="76"/>
      <c r="M87" s="76"/>
      <c r="N87" s="76"/>
      <c r="O87" s="76"/>
      <c r="P87" s="76"/>
      <c r="Q87" s="76"/>
      <c r="R87" s="76"/>
      <c r="S87" s="76"/>
      <c r="T87" s="76"/>
      <c r="U87" s="76"/>
      <c r="V87" s="76"/>
      <c r="W87" s="76"/>
      <c r="X87" s="76"/>
      <c r="Y87" s="76"/>
      <c r="Z87" s="76"/>
      <c r="AA87" s="76"/>
      <c r="AB87" s="76"/>
      <c r="AC87" s="76"/>
    </row>
    <row r="88" spans="1:29" ht="14.25" customHeight="1" x14ac:dyDescent="0.25">
      <c r="A88" s="76"/>
      <c r="B88" s="76"/>
      <c r="C88" s="90" t="s">
        <v>180</v>
      </c>
      <c r="D88" s="76"/>
      <c r="E88" s="76"/>
      <c r="F88" s="76"/>
      <c r="G88" s="76"/>
      <c r="H88" s="76"/>
      <c r="I88" s="137">
        <f ca="1">I84/I86</f>
        <v>9.1523726601123331E-2</v>
      </c>
      <c r="J88" s="76"/>
      <c r="K88" s="76"/>
      <c r="L88" s="76"/>
      <c r="M88" s="76"/>
      <c r="N88" s="76"/>
      <c r="O88" s="76"/>
      <c r="P88" s="76"/>
      <c r="Q88" s="76"/>
      <c r="R88" s="76"/>
      <c r="S88" s="76"/>
      <c r="T88" s="76"/>
      <c r="U88" s="76"/>
      <c r="V88" s="76"/>
      <c r="W88" s="76"/>
      <c r="X88" s="76"/>
      <c r="Y88" s="76"/>
      <c r="Z88" s="76"/>
      <c r="AA88" s="76"/>
      <c r="AB88" s="76"/>
      <c r="AC88" s="76"/>
    </row>
    <row r="89" spans="1:29" ht="14.25" customHeight="1" x14ac:dyDescent="0.25">
      <c r="A89" s="76"/>
      <c r="B89" s="76"/>
      <c r="C89" s="90" t="s">
        <v>181</v>
      </c>
      <c r="D89" s="76"/>
      <c r="E89" s="76"/>
      <c r="F89" s="76"/>
      <c r="G89" s="76"/>
      <c r="H89" s="76"/>
      <c r="I89" s="137">
        <f ca="1">I85/I86</f>
        <v>0.9084762733988766</v>
      </c>
      <c r="J89" s="76"/>
      <c r="K89" s="76"/>
      <c r="L89" s="76"/>
      <c r="M89" s="76"/>
      <c r="N89" s="76"/>
      <c r="O89" s="76"/>
      <c r="P89" s="76"/>
      <c r="Q89" s="76"/>
      <c r="R89" s="76"/>
      <c r="S89" s="76"/>
      <c r="T89" s="76"/>
      <c r="U89" s="76"/>
      <c r="V89" s="76"/>
      <c r="W89" s="76"/>
      <c r="X89" s="76"/>
      <c r="Y89" s="76"/>
      <c r="Z89" s="76"/>
      <c r="AA89" s="76"/>
      <c r="AB89" s="76"/>
      <c r="AC89" s="76"/>
    </row>
    <row r="90" spans="1:29" ht="14.25" customHeight="1" x14ac:dyDescent="0.25">
      <c r="A90" s="76"/>
      <c r="B90" s="76"/>
      <c r="C90" s="141"/>
      <c r="D90" s="141"/>
      <c r="E90" s="76"/>
      <c r="F90" s="76"/>
      <c r="G90" s="76"/>
      <c r="H90" s="76"/>
      <c r="I90" s="142"/>
      <c r="J90" s="76"/>
      <c r="K90" s="76"/>
      <c r="L90" s="76"/>
      <c r="M90" s="76"/>
      <c r="N90" s="76"/>
      <c r="O90" s="76"/>
      <c r="P90" s="76"/>
      <c r="Q90" s="76"/>
      <c r="R90" s="76"/>
      <c r="S90" s="76"/>
      <c r="T90" s="76"/>
      <c r="U90" s="76"/>
      <c r="V90" s="76"/>
      <c r="W90" s="76"/>
      <c r="X90" s="76"/>
      <c r="Y90" s="76"/>
      <c r="Z90" s="76"/>
      <c r="AA90" s="76"/>
      <c r="AB90" s="76"/>
      <c r="AC90" s="76"/>
    </row>
    <row r="91" spans="1:29" ht="14.25" customHeight="1" x14ac:dyDescent="0.25">
      <c r="A91" s="76"/>
      <c r="B91" s="76"/>
      <c r="C91" s="67" t="s">
        <v>182</v>
      </c>
      <c r="D91" s="81"/>
      <c r="E91" s="81"/>
      <c r="F91" s="81"/>
      <c r="G91" s="81"/>
      <c r="H91" s="81"/>
      <c r="I91" s="107">
        <f ca="1">I88*I81+I89*I82</f>
        <v>6.9198954892299339E-2</v>
      </c>
      <c r="J91" s="76"/>
      <c r="K91" s="76"/>
      <c r="L91" s="76"/>
      <c r="M91" s="76"/>
      <c r="N91" s="76"/>
      <c r="O91" s="76"/>
      <c r="P91" s="76"/>
      <c r="Q91" s="76"/>
      <c r="R91" s="76"/>
      <c r="S91" s="76"/>
      <c r="T91" s="76"/>
      <c r="U91" s="76"/>
      <c r="V91" s="76"/>
      <c r="W91" s="76"/>
      <c r="X91" s="76"/>
      <c r="Y91" s="76"/>
      <c r="Z91" s="76"/>
      <c r="AA91" s="76"/>
      <c r="AB91" s="76"/>
      <c r="AC91" s="76"/>
    </row>
    <row r="92" spans="1:29" ht="14.25" customHeight="1" x14ac:dyDescent="0.25">
      <c r="A92" s="76"/>
      <c r="B92" s="76"/>
      <c r="C92" s="76"/>
      <c r="D92" s="76"/>
      <c r="E92" s="131"/>
      <c r="F92" s="131"/>
      <c r="G92" s="131"/>
      <c r="H92" s="131"/>
      <c r="I92" s="76"/>
      <c r="J92" s="76"/>
      <c r="K92" s="76"/>
      <c r="L92" s="76"/>
      <c r="M92" s="76"/>
      <c r="N92" s="76"/>
      <c r="O92" s="76"/>
      <c r="P92" s="76"/>
      <c r="Q92" s="76"/>
      <c r="R92" s="76"/>
      <c r="S92" s="76"/>
      <c r="T92" s="76"/>
      <c r="U92" s="76"/>
      <c r="V92" s="76"/>
      <c r="W92" s="76"/>
      <c r="X92" s="76"/>
      <c r="Y92" s="76"/>
      <c r="Z92" s="76"/>
      <c r="AA92" s="76"/>
      <c r="AB92" s="76"/>
      <c r="AC92" s="76"/>
    </row>
    <row r="93" spans="1:29" ht="18" customHeight="1" x14ac:dyDescent="0.3">
      <c r="A93" s="76"/>
      <c r="B93" s="76"/>
      <c r="C93" s="27" t="s">
        <v>183</v>
      </c>
      <c r="D93" s="27"/>
      <c r="E93" s="27"/>
      <c r="F93" s="27"/>
      <c r="G93" s="27"/>
      <c r="H93" s="27"/>
      <c r="I93" s="27"/>
      <c r="J93" s="27"/>
      <c r="K93" s="27"/>
      <c r="L93" s="27"/>
      <c r="M93" s="27"/>
      <c r="N93" s="27"/>
      <c r="O93" s="27"/>
      <c r="P93" s="76"/>
      <c r="Q93" s="76"/>
      <c r="R93" s="76"/>
      <c r="S93" s="76"/>
      <c r="T93" s="76"/>
      <c r="U93" s="76"/>
      <c r="V93" s="76"/>
      <c r="W93" s="76"/>
      <c r="X93" s="76"/>
      <c r="Y93" s="76"/>
      <c r="Z93" s="76"/>
      <c r="AA93" s="76"/>
      <c r="AB93" s="76"/>
      <c r="AC93" s="76"/>
    </row>
    <row r="94" spans="1:29" ht="14.25" customHeight="1" x14ac:dyDescent="0.25">
      <c r="A94" s="76"/>
      <c r="B94" s="76"/>
      <c r="C94" s="90" t="s">
        <v>184</v>
      </c>
      <c r="D94" s="76"/>
      <c r="E94" s="143"/>
      <c r="F94" s="143"/>
      <c r="G94" s="143"/>
      <c r="H94" s="143"/>
      <c r="I94" s="89">
        <f ca="1">I74+I66</f>
        <v>55819.919315007566</v>
      </c>
      <c r="J94" s="76"/>
      <c r="K94" s="76"/>
      <c r="L94" s="76"/>
      <c r="M94" s="76"/>
      <c r="N94" s="76"/>
      <c r="O94" s="76"/>
      <c r="P94" s="76"/>
      <c r="Q94" s="76"/>
      <c r="R94" s="76"/>
      <c r="S94" s="76"/>
      <c r="T94" s="76"/>
      <c r="U94" s="76"/>
      <c r="V94" s="76"/>
      <c r="W94" s="76"/>
      <c r="X94" s="76"/>
      <c r="Y94" s="76"/>
      <c r="Z94" s="76"/>
      <c r="AA94" s="76"/>
      <c r="AB94" s="76"/>
      <c r="AC94" s="76"/>
    </row>
    <row r="95" spans="1:29" ht="14.25" customHeight="1" x14ac:dyDescent="0.25">
      <c r="A95" s="76"/>
      <c r="B95" s="76"/>
      <c r="C95" s="90" t="s">
        <v>185</v>
      </c>
      <c r="D95" s="76"/>
      <c r="E95" s="144"/>
      <c r="F95" s="144"/>
      <c r="G95" s="144"/>
      <c r="H95" s="144"/>
      <c r="I95" s="99">
        <f>(N95+N96)-N97</f>
        <v>6752.3620000000001</v>
      </c>
      <c r="J95" s="56"/>
      <c r="K95" s="143"/>
      <c r="L95" s="76"/>
      <c r="M95" s="90" t="s">
        <v>186</v>
      </c>
      <c r="N95" s="37">
        <f>0</f>
        <v>0</v>
      </c>
      <c r="O95" s="76"/>
      <c r="P95" s="76"/>
      <c r="Q95" s="76"/>
      <c r="R95" s="76"/>
      <c r="S95" s="76"/>
      <c r="T95" s="76"/>
      <c r="U95" s="76"/>
      <c r="V95" s="76"/>
      <c r="W95" s="76"/>
      <c r="X95" s="76"/>
      <c r="Y95" s="76"/>
      <c r="Z95" s="76"/>
      <c r="AA95" s="76"/>
      <c r="AB95" s="76"/>
      <c r="AC95" s="76"/>
    </row>
    <row r="96" spans="1:29" ht="14.25" customHeight="1" x14ac:dyDescent="0.25">
      <c r="A96" s="76"/>
      <c r="B96" s="76"/>
      <c r="C96" s="67" t="s">
        <v>187</v>
      </c>
      <c r="D96" s="81"/>
      <c r="E96" s="76"/>
      <c r="F96" s="76"/>
      <c r="G96" s="76"/>
      <c r="H96" s="76"/>
      <c r="I96" s="111">
        <f ca="1">I94-I95</f>
        <v>49067.557315007565</v>
      </c>
      <c r="J96" s="98"/>
      <c r="K96" s="144"/>
      <c r="L96" s="76"/>
      <c r="M96" s="90" t="s">
        <v>188</v>
      </c>
      <c r="N96" s="37">
        <f>'BS Annual'!F30</f>
        <v>7014.5429999999997</v>
      </c>
      <c r="O96" s="76"/>
      <c r="P96" s="76"/>
      <c r="Q96" s="76"/>
      <c r="R96" s="76"/>
      <c r="S96" s="76"/>
      <c r="T96" s="76"/>
      <c r="U96" s="76"/>
      <c r="V96" s="76"/>
      <c r="W96" s="76"/>
      <c r="X96" s="76"/>
      <c r="Y96" s="76"/>
      <c r="Z96" s="76"/>
      <c r="AA96" s="76"/>
      <c r="AB96" s="76"/>
      <c r="AC96" s="76"/>
    </row>
    <row r="97" spans="1:29" ht="14.25" customHeight="1" x14ac:dyDescent="0.25">
      <c r="A97" s="76"/>
      <c r="B97" s="76"/>
      <c r="C97" s="90" t="s">
        <v>108</v>
      </c>
      <c r="D97" s="76"/>
      <c r="E97" s="76"/>
      <c r="F97" s="76"/>
      <c r="G97" s="76"/>
      <c r="H97" s="76"/>
      <c r="I97" s="145">
        <f>I5</f>
        <v>808.96079199999997</v>
      </c>
      <c r="J97" s="56"/>
      <c r="K97" s="128"/>
      <c r="L97" s="76"/>
      <c r="M97" s="90" t="s">
        <v>189</v>
      </c>
      <c r="N97" s="37">
        <f>'BS Annual'!F7</f>
        <v>262.18099999999998</v>
      </c>
      <c r="O97" s="76"/>
      <c r="P97" s="76"/>
      <c r="Q97" s="76"/>
      <c r="R97" s="76"/>
      <c r="S97" s="76"/>
      <c r="T97" s="76"/>
      <c r="U97" s="76"/>
      <c r="V97" s="76"/>
      <c r="W97" s="76"/>
      <c r="X97" s="76"/>
      <c r="Y97" s="76"/>
      <c r="Z97" s="76"/>
      <c r="AA97" s="76"/>
      <c r="AB97" s="76"/>
      <c r="AC97" s="76"/>
    </row>
    <row r="98" spans="1:29" ht="14.25" customHeight="1" x14ac:dyDescent="0.25">
      <c r="A98" s="76"/>
      <c r="B98" s="76"/>
      <c r="C98" s="146" t="s">
        <v>190</v>
      </c>
      <c r="D98" s="85"/>
      <c r="E98" s="85"/>
      <c r="F98" s="85"/>
      <c r="G98" s="85"/>
      <c r="H98" s="85"/>
      <c r="I98" s="147">
        <f ca="1">I96/I97</f>
        <v>60.65505003486939</v>
      </c>
      <c r="J98" s="148"/>
      <c r="K98" s="149"/>
      <c r="L98" s="76"/>
      <c r="M98" s="76"/>
      <c r="N98" s="76"/>
      <c r="O98" s="76"/>
      <c r="P98" s="76"/>
      <c r="Q98" s="76"/>
      <c r="R98" s="76"/>
      <c r="S98" s="76"/>
      <c r="T98" s="76"/>
      <c r="U98" s="76"/>
      <c r="V98" s="76"/>
      <c r="W98" s="76"/>
      <c r="X98" s="76"/>
      <c r="Y98" s="76"/>
      <c r="Z98" s="76"/>
      <c r="AA98" s="76"/>
      <c r="AB98" s="76"/>
      <c r="AC98" s="76"/>
    </row>
    <row r="99" spans="1:29" ht="14.25" customHeight="1" x14ac:dyDescent="0.25">
      <c r="A99" s="76"/>
      <c r="B99" s="76"/>
      <c r="C99" s="76"/>
      <c r="D99" s="76"/>
      <c r="E99" s="76"/>
      <c r="F99" s="76"/>
      <c r="G99" s="76"/>
      <c r="H99" s="90" t="s">
        <v>191</v>
      </c>
      <c r="I99" s="150">
        <f ca="1">I98/I4-1</f>
        <v>-0.29528232793227149</v>
      </c>
      <c r="J99" s="141"/>
      <c r="R99" s="76"/>
      <c r="S99" s="76"/>
      <c r="T99" s="76"/>
      <c r="U99" s="76"/>
      <c r="V99" s="76"/>
      <c r="W99" s="76"/>
      <c r="X99" s="76"/>
      <c r="Y99" s="76"/>
      <c r="Z99" s="76"/>
      <c r="AA99" s="76"/>
      <c r="AB99" s="76"/>
      <c r="AC99" s="76"/>
    </row>
    <row r="100" spans="1:29" ht="14.25" customHeight="1" x14ac:dyDescent="0.25">
      <c r="A100" s="131"/>
      <c r="B100" s="131"/>
      <c r="C100" s="76"/>
      <c r="D100" s="76"/>
      <c r="E100" s="131"/>
      <c r="F100" s="131"/>
      <c r="G100" s="131"/>
      <c r="H100" s="131"/>
      <c r="I100" s="131"/>
      <c r="J100" s="131"/>
      <c r="R100" s="131"/>
      <c r="S100" s="131"/>
      <c r="T100" s="131"/>
      <c r="U100" s="131"/>
      <c r="V100" s="131"/>
      <c r="W100" s="131"/>
      <c r="X100" s="131"/>
      <c r="Y100" s="131"/>
      <c r="Z100" s="131"/>
      <c r="AA100" s="131"/>
      <c r="AB100" s="131"/>
      <c r="AC100" s="131"/>
    </row>
    <row r="101" spans="1:29" ht="14.25" customHeight="1" x14ac:dyDescent="0.25">
      <c r="C101" s="151" t="s">
        <v>192</v>
      </c>
      <c r="D101" s="152"/>
      <c r="E101" s="153"/>
      <c r="F101" s="153"/>
      <c r="G101" s="154"/>
      <c r="H101" s="154"/>
      <c r="I101" s="154"/>
      <c r="J101" s="154"/>
      <c r="K101" s="154"/>
      <c r="L101" s="154"/>
      <c r="M101" s="154"/>
      <c r="N101" s="154"/>
      <c r="O101" s="154"/>
    </row>
    <row r="102" spans="1:29" ht="14.25" customHeight="1" x14ac:dyDescent="0.25">
      <c r="C102" s="5" t="s">
        <v>165</v>
      </c>
      <c r="D102" s="76"/>
      <c r="E102" s="155"/>
      <c r="F102" s="155"/>
      <c r="H102" s="155"/>
      <c r="I102" s="122">
        <f ca="1">$I$91-0.01</f>
        <v>5.9198954892299337E-2</v>
      </c>
      <c r="J102" s="156">
        <f ca="1">$I$91</f>
        <v>6.9198954892299339E-2</v>
      </c>
      <c r="K102" s="122">
        <f ca="1">$I$91+0.01</f>
        <v>7.9198954892299334E-2</v>
      </c>
    </row>
    <row r="103" spans="1:29" ht="14.25" customHeight="1" x14ac:dyDescent="0.25">
      <c r="C103" s="5" t="s">
        <v>190</v>
      </c>
      <c r="D103" s="117"/>
      <c r="E103" s="155"/>
      <c r="F103" s="155"/>
      <c r="I103" s="157">
        <f ca="1">IFERROR((SUMPRODUCT($K$63:$O$63/(1+I102)^$K$51:$O$51)+$O$63*(1+$I$70)/(I102-$I$70)/(1+I102)^$O$51-$I$95)/$I$97,"")</f>
        <v>78.306784383974588</v>
      </c>
      <c r="J103" s="158">
        <f ca="1">IFERROR((SUMPRODUCT($K$63:$O$63/(1+J102)^$K$51:$O$51)+$O$63*(1+$I$70)/(J102-$I$70)/(1+J102)^$O$51-$I$95)/$I$97,"")</f>
        <v>60.65505003486939</v>
      </c>
      <c r="K103" s="157">
        <f ca="1">IFERROR((SUMPRODUCT($K$63:$O$63/(1+K102)^$K$51:$O$51)+$O$63*(1+$I$70)/(K102-$I$70)/(1+K102)^$O$51-$I$95)/$I$97,"")</f>
        <v>48.970836717879344</v>
      </c>
    </row>
    <row r="104" spans="1:29" ht="14.25" customHeight="1" x14ac:dyDescent="0.2"/>
    <row r="105" spans="1:29" ht="14.25" customHeight="1" x14ac:dyDescent="0.2"/>
    <row r="106" spans="1:29" ht="14.25" customHeight="1" x14ac:dyDescent="0.2"/>
    <row r="107" spans="1:29" ht="12.75" customHeight="1" x14ac:dyDescent="0.2">
      <c r="R107" s="159"/>
    </row>
    <row r="108" spans="1:29" ht="12.75" customHeight="1" x14ac:dyDescent="0.2"/>
    <row r="109" spans="1:29" ht="12.75" customHeight="1" x14ac:dyDescent="0.2"/>
    <row r="110" spans="1:29" ht="12.75" customHeight="1" x14ac:dyDescent="0.2"/>
    <row r="111" spans="1:29" ht="12.75" customHeight="1" x14ac:dyDescent="0.2"/>
    <row r="112" spans="1:29" ht="12.75" customHeight="1" x14ac:dyDescent="0.2"/>
    <row r="113" spans="3:10" ht="12.75" customHeight="1" x14ac:dyDescent="0.2"/>
    <row r="114" spans="3:10" ht="12.75" customHeight="1" x14ac:dyDescent="0.2"/>
    <row r="115" spans="3:10" ht="12.75" customHeight="1" x14ac:dyDescent="0.2"/>
    <row r="116" spans="3:10" ht="12.75" customHeight="1" x14ac:dyDescent="0.2"/>
    <row r="117" spans="3:10" ht="12.75" customHeight="1" x14ac:dyDescent="0.2"/>
    <row r="118" spans="3:10" ht="12.75" customHeight="1" x14ac:dyDescent="0.2"/>
    <row r="119" spans="3:10" ht="12.75" customHeight="1" x14ac:dyDescent="0.2">
      <c r="I119" s="117"/>
      <c r="J119" s="117"/>
    </row>
    <row r="120" spans="3:10" ht="12.75" customHeight="1" x14ac:dyDescent="0.2">
      <c r="C120" s="117"/>
      <c r="D120" s="117"/>
      <c r="E120" s="117"/>
      <c r="F120" s="117"/>
      <c r="G120" s="117"/>
      <c r="H120" s="117"/>
      <c r="I120" s="117"/>
      <c r="J120" s="117"/>
    </row>
    <row r="121" spans="3:10" ht="12.75" customHeight="1" x14ac:dyDescent="0.2">
      <c r="E121" s="162"/>
      <c r="F121" s="162"/>
      <c r="G121" s="162"/>
      <c r="H121" s="162"/>
      <c r="I121" s="162"/>
      <c r="J121" s="162"/>
    </row>
    <row r="122" spans="3:10" ht="12.75" customHeight="1" x14ac:dyDescent="0.2"/>
    <row r="123" spans="3:10" ht="12.75" customHeight="1" x14ac:dyDescent="0.2">
      <c r="E123" s="117"/>
    </row>
    <row r="124" spans="3:10" ht="12.75" customHeight="1" x14ac:dyDescent="0.2">
      <c r="E124" s="162"/>
    </row>
    <row r="125" spans="3:10" ht="12.75" customHeight="1" x14ac:dyDescent="0.2"/>
    <row r="126" spans="3:10" ht="12.75" customHeight="1" x14ac:dyDescent="0.2"/>
    <row r="127" spans="3:10" ht="12.75" customHeight="1" x14ac:dyDescent="0.2"/>
    <row r="128" spans="3:10" ht="12.75" customHeight="1" x14ac:dyDescent="0.2"/>
    <row r="129" spans="3:15" ht="12.75" customHeight="1" x14ac:dyDescent="0.2"/>
    <row r="130" spans="3:15" ht="12.75" customHeight="1" x14ac:dyDescent="0.2"/>
    <row r="131" spans="3:15" ht="12.75" customHeight="1" x14ac:dyDescent="0.2"/>
    <row r="132" spans="3:15" ht="12.75" customHeight="1" x14ac:dyDescent="0.2">
      <c r="D132" s="117"/>
      <c r="E132" s="117"/>
      <c r="F132" s="117"/>
      <c r="G132" s="117"/>
      <c r="H132" s="117"/>
      <c r="I132" s="117"/>
      <c r="J132" s="117"/>
      <c r="K132" s="117"/>
      <c r="L132" s="117"/>
      <c r="M132" s="117"/>
      <c r="N132" s="117"/>
      <c r="O132" s="117"/>
    </row>
    <row r="133" spans="3:15" ht="12.75" customHeight="1" x14ac:dyDescent="0.2">
      <c r="C133" s="117"/>
      <c r="D133" s="163"/>
      <c r="E133" s="130"/>
      <c r="F133" s="130"/>
      <c r="G133" s="130"/>
      <c r="H133" s="130"/>
      <c r="I133" s="130"/>
      <c r="J133" s="130"/>
      <c r="K133" s="164"/>
      <c r="L133" s="164"/>
      <c r="M133" s="164"/>
      <c r="N133" s="164"/>
      <c r="O133" s="164"/>
    </row>
    <row r="134" spans="3:15" ht="12.75" customHeight="1" x14ac:dyDescent="0.2"/>
    <row r="135" spans="3:15" ht="12.75" customHeight="1" x14ac:dyDescent="0.2"/>
    <row r="136" spans="3:15" ht="12.75" customHeight="1" x14ac:dyDescent="0.2"/>
    <row r="137" spans="3:15" ht="12.75" customHeight="1" x14ac:dyDescent="0.2"/>
    <row r="138" spans="3:15" ht="12.75" customHeight="1" x14ac:dyDescent="0.2"/>
    <row r="139" spans="3:15" ht="12.75" customHeight="1" x14ac:dyDescent="0.2"/>
    <row r="140" spans="3:15" ht="12.75" customHeight="1" x14ac:dyDescent="0.2"/>
    <row r="141" spans="3:15" ht="12.75" customHeight="1" x14ac:dyDescent="0.2"/>
    <row r="142" spans="3:15" ht="12.75" customHeight="1" x14ac:dyDescent="0.2"/>
    <row r="143" spans="3:15" ht="12.75" customHeight="1" x14ac:dyDescent="0.2"/>
    <row r="144" spans="3:15"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row r="1004" ht="12.75" customHeight="1" x14ac:dyDescent="0.2"/>
    <row r="1005" ht="12.75" customHeight="1" x14ac:dyDescent="0.2"/>
    <row r="1006" ht="12.75" customHeight="1" x14ac:dyDescent="0.2"/>
    <row r="1007" ht="12.75" customHeight="1" x14ac:dyDescent="0.2"/>
    <row r="1008" ht="12.75" customHeight="1" x14ac:dyDescent="0.2"/>
  </sheetData>
  <mergeCells count="4">
    <mergeCell ref="K10:O10"/>
    <mergeCell ref="K23:O23"/>
    <mergeCell ref="K49:O49"/>
    <mergeCell ref="K70:O70"/>
  </mergeCells>
  <dataValidations count="1">
    <dataValidation type="list" errorTitle="Invalid scenario" error="Choose Bear, Base or Bull" promptTitle="Scenario" prompt="Choose Bear, Base or Bull" sqref="I6" xr:uid="{00000000-0002-0000-0500-000000000000}">
      <formula1>"Bear,Base,Bull"</formula1>
      <formula2>0</formula2>
    </dataValidation>
  </dataValidations>
  <pageMargins left="0.7" right="0.7" top="0.75" bottom="0.75"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1:R59"/>
  <sheetViews>
    <sheetView showGridLines="0" zoomScaleNormal="100" workbookViewId="0">
      <selection activeCell="H47" sqref="H46:H47"/>
    </sheetView>
  </sheetViews>
  <sheetFormatPr defaultColWidth="8.7109375" defaultRowHeight="12.75" x14ac:dyDescent="0.2"/>
  <cols>
    <col min="1" max="1" width="2" customWidth="1"/>
    <col min="2" max="2" width="28" customWidth="1"/>
    <col min="3" max="18" width="13" customWidth="1"/>
  </cols>
  <sheetData>
    <row r="1" spans="2:18" ht="18.75" x14ac:dyDescent="0.3">
      <c r="B1" s="1" t="s">
        <v>208</v>
      </c>
    </row>
    <row r="2" spans="2:18" ht="15" x14ac:dyDescent="0.25">
      <c r="B2" s="2" t="s">
        <v>209</v>
      </c>
    </row>
    <row r="4" spans="2:18" ht="15" x14ac:dyDescent="0.25">
      <c r="B4" s="6" t="s">
        <v>210</v>
      </c>
    </row>
    <row r="5" spans="2:18" ht="31.5" customHeight="1" x14ac:dyDescent="0.25">
      <c r="B5" s="165" t="s">
        <v>211</v>
      </c>
      <c r="C5" s="165" t="s">
        <v>212</v>
      </c>
      <c r="D5" s="165" t="s">
        <v>168</v>
      </c>
      <c r="E5" s="165" t="s">
        <v>213</v>
      </c>
      <c r="F5" s="165" t="s">
        <v>214</v>
      </c>
      <c r="G5" s="165" t="s">
        <v>215</v>
      </c>
      <c r="H5" s="165" t="s">
        <v>184</v>
      </c>
      <c r="I5" s="165" t="s">
        <v>216</v>
      </c>
      <c r="J5" s="165" t="s">
        <v>217</v>
      </c>
      <c r="K5" s="165" t="s">
        <v>218</v>
      </c>
      <c r="L5" s="165" t="s">
        <v>219</v>
      </c>
      <c r="M5" s="165" t="s">
        <v>220</v>
      </c>
      <c r="N5" s="165" t="s">
        <v>221</v>
      </c>
      <c r="O5" s="165" t="s">
        <v>222</v>
      </c>
      <c r="P5" s="165" t="s">
        <v>223</v>
      </c>
      <c r="Q5" s="165" t="s">
        <v>224</v>
      </c>
      <c r="R5" s="165" t="s">
        <v>225</v>
      </c>
    </row>
    <row r="6" spans="2:18" ht="15" x14ac:dyDescent="0.25">
      <c r="B6" s="166" t="s">
        <v>226</v>
      </c>
      <c r="C6" s="166" t="s">
        <v>227</v>
      </c>
      <c r="D6" s="167">
        <v>2895.07</v>
      </c>
      <c r="E6" s="168">
        <v>16.62</v>
      </c>
      <c r="F6" s="9">
        <f>IF(COUNT(D6,E6)&lt;2,"",D6*E6)</f>
        <v>48116.063400000006</v>
      </c>
      <c r="G6" s="168">
        <v>8762.7479999999996</v>
      </c>
      <c r="H6" s="9">
        <f>IF(F6="","",F6+G6)</f>
        <v>56878.811400000006</v>
      </c>
      <c r="I6" s="167">
        <v>152.55000000000001</v>
      </c>
      <c r="J6" s="135">
        <v>0.1193</v>
      </c>
      <c r="K6" s="168">
        <v>4384.8519999999999</v>
      </c>
      <c r="L6" s="168">
        <v>3723.3139999999999</v>
      </c>
      <c r="M6" s="168">
        <v>4727.0159999999996</v>
      </c>
      <c r="N6" s="169">
        <f>IF(COUNT(D6,I6)&lt;2,"",IF(I6&lt;=0,"NM",D6/I6))</f>
        <v>18.97784333005572</v>
      </c>
      <c r="O6" s="169">
        <f>IF(COUNT(H6,K6)&lt;2,"",IF(K6&lt;=0,"NM",H6/K6))</f>
        <v>12.971660480216894</v>
      </c>
      <c r="P6" s="169">
        <f>IF(COUNT(H6,L6)&lt;2,"",IF(L6&lt;=0,"NM",H6/L6))</f>
        <v>15.276393932931793</v>
      </c>
      <c r="Q6" s="170">
        <f>IF(OR(ISNUMBER(N6)=FALSE(),COUNT(J6)=0),"",IF(J6&lt;=0,"NM",N6/(J6*100)))</f>
        <v>1.5907664149250393</v>
      </c>
      <c r="R6" s="169">
        <f>IF(COUNT(H6,M6)&lt;2,"",IF(M6&lt;=0,"NM",H6/M6))</f>
        <v>12.032709726389758</v>
      </c>
    </row>
    <row r="7" spans="2:18" ht="15" x14ac:dyDescent="0.25">
      <c r="B7" s="166" t="s">
        <v>228</v>
      </c>
      <c r="C7" s="166" t="s">
        <v>229</v>
      </c>
      <c r="D7" s="167">
        <v>41.99</v>
      </c>
      <c r="E7" s="168">
        <v>61.11</v>
      </c>
      <c r="F7" s="9">
        <f>IF(COUNT(D7,E7)&lt;2,"",D7*E7)</f>
        <v>2566.0089000000003</v>
      </c>
      <c r="G7" s="168">
        <v>4821</v>
      </c>
      <c r="H7" s="9">
        <f>IF(F7="","",F7+G7)</f>
        <v>7387.0089000000007</v>
      </c>
      <c r="I7" s="167">
        <v>1.38</v>
      </c>
      <c r="J7" s="135">
        <v>0.25430000000000003</v>
      </c>
      <c r="K7" s="168">
        <v>739</v>
      </c>
      <c r="L7" s="168">
        <v>337</v>
      </c>
      <c r="M7" s="168">
        <v>1240</v>
      </c>
      <c r="N7" s="169">
        <f>IF(COUNT(D7,I7)&lt;2,"",IF(I7&lt;=0,"NM",D7/I7))</f>
        <v>30.427536231884062</v>
      </c>
      <c r="O7" s="169">
        <f>IF(COUNT(H7,K7)&lt;2,"",IF(K7&lt;=0,"NM",H7/K7))</f>
        <v>9.9959525033829504</v>
      </c>
      <c r="P7" s="169">
        <f>IF(COUNT(H7,L7)&lt;2,"",IF(L7&lt;=0,"NM",H7/L7))</f>
        <v>21.919907715133533</v>
      </c>
      <c r="Q7" s="170">
        <f>IF(OR(ISNUMBER(N7)=FALSE(),COUNT(J7)=0),"",IF(J7&lt;=0,"NM",N7/(J7*100)))</f>
        <v>1.1965212832042493</v>
      </c>
      <c r="R7" s="169">
        <f>IF(COUNT(H7,M7)&lt;2,"",IF(M7&lt;=0,"NM",H7/M7))</f>
        <v>5.9572652419354846</v>
      </c>
    </row>
    <row r="8" spans="2:18" ht="15" x14ac:dyDescent="0.25">
      <c r="B8" s="166" t="s">
        <v>230</v>
      </c>
      <c r="C8" s="166" t="s">
        <v>231</v>
      </c>
      <c r="D8" s="167">
        <v>130.52500000000001</v>
      </c>
      <c r="E8" s="168">
        <v>137.91499999999999</v>
      </c>
      <c r="F8" s="9">
        <f>IF(COUNT(D8,E8)&lt;2,"",D8*E8)</f>
        <v>18001.355374999999</v>
      </c>
      <c r="G8" s="168">
        <v>6093.66</v>
      </c>
      <c r="H8" s="9">
        <f>IF(F8="","",F8+G8)</f>
        <v>24095.015374999999</v>
      </c>
      <c r="I8" s="167">
        <v>0.25</v>
      </c>
      <c r="J8" s="135">
        <v>6.9800000000000001E-2</v>
      </c>
      <c r="K8" s="168">
        <v>1782.32</v>
      </c>
      <c r="L8" s="168">
        <v>1217</v>
      </c>
      <c r="M8" s="168">
        <v>2313.6999999999998</v>
      </c>
      <c r="N8" s="169">
        <f>IF(COUNT(D8,I8)&lt;2,"",IF(I8&lt;=0,"NM",D8/I8))</f>
        <v>522.1</v>
      </c>
      <c r="O8" s="169">
        <f>IF(COUNT(H8,K8)&lt;2,"",IF(K8&lt;=0,"NM",H8/K8))</f>
        <v>13.518905345280309</v>
      </c>
      <c r="P8" s="169">
        <f>IF(COUNT(H8,L8)&lt;2,"",IF(L8&lt;=0,"NM",H8/L8))</f>
        <v>19.798697925225966</v>
      </c>
      <c r="Q8" s="170">
        <f>IF(OR(ISNUMBER(N8)=FALSE(),COUNT(J8)=0),"",IF(J8&lt;=0,"NM",N8/(J8*100)))</f>
        <v>74.799426934097426</v>
      </c>
      <c r="R8" s="169">
        <f>IF(COUNT(H8,M8)&lt;2,"",IF(M8&lt;=0,"NM",H8/M8))</f>
        <v>10.414062054285344</v>
      </c>
    </row>
    <row r="9" spans="2:18" ht="15" x14ac:dyDescent="0.25">
      <c r="B9" s="166" t="s">
        <v>232</v>
      </c>
      <c r="C9" s="166" t="s">
        <v>233</v>
      </c>
      <c r="D9" s="167">
        <v>23.38</v>
      </c>
      <c r="E9" s="168">
        <v>253.703</v>
      </c>
      <c r="F9" s="9">
        <f>IF(COUNT(D9,E9)&lt;2,"",D9*E9)</f>
        <v>5931.5761400000001</v>
      </c>
      <c r="G9" s="168">
        <v>5012</v>
      </c>
      <c r="H9" s="9">
        <f>IF(F9="","",F9+G9)</f>
        <v>10943.576140000001</v>
      </c>
      <c r="I9" s="167">
        <v>1.82</v>
      </c>
      <c r="J9" s="135">
        <v>3.3700000000000001E-2</v>
      </c>
      <c r="K9" s="168">
        <v>1404</v>
      </c>
      <c r="L9" s="168">
        <v>991</v>
      </c>
      <c r="M9" s="168"/>
      <c r="N9" s="169">
        <f>IF(COUNT(D9,I9)&lt;2,"",IF(I9&lt;=0,"NM",D9/I9))</f>
        <v>12.846153846153845</v>
      </c>
      <c r="O9" s="169">
        <f>IF(COUNT(H9,K9)&lt;2,"",IF(K9&lt;=0,"NM",H9/K9))</f>
        <v>7.7945699002849009</v>
      </c>
      <c r="P9" s="169">
        <f>IF(COUNT(H9,L9)&lt;2,"",IF(L9&lt;=0,"NM",H9/L9))</f>
        <v>11.042962805247226</v>
      </c>
      <c r="Q9" s="170">
        <f>IF(OR(ISNUMBER(N9)=FALSE(),COUNT(J9)=0),"",IF(J9&lt;=0,"NM",N9/(J9*100)))</f>
        <v>3.8119150878794792</v>
      </c>
      <c r="R9" s="169" t="str">
        <f>IF(COUNT(H9,M9)&lt;2,"",IF(M9&lt;=0,"NM",H9/M9))</f>
        <v/>
      </c>
    </row>
    <row r="10" spans="2:18" ht="15" x14ac:dyDescent="0.25">
      <c r="B10" s="166" t="s">
        <v>234</v>
      </c>
      <c r="C10" s="166" t="s">
        <v>235</v>
      </c>
      <c r="D10" s="167">
        <v>14.03</v>
      </c>
      <c r="E10" s="168">
        <v>31.125</v>
      </c>
      <c r="F10" s="9">
        <f>IF(COUNT(D10,E10)&lt;2,"",D10*E10)</f>
        <v>436.68374999999997</v>
      </c>
      <c r="G10" s="168">
        <v>518.30999999999995</v>
      </c>
      <c r="H10" s="9">
        <f>IF(F10="","",F10+G10)</f>
        <v>954.99374999999986</v>
      </c>
      <c r="I10" s="167">
        <v>0.2</v>
      </c>
      <c r="J10" s="135">
        <v>0.2361</v>
      </c>
      <c r="K10" s="168">
        <v>87.93</v>
      </c>
      <c r="L10" s="168">
        <v>26.19</v>
      </c>
      <c r="M10" s="168"/>
      <c r="N10" s="169">
        <f>IF(COUNT(D10,I10)&lt;2,"",IF(I10&lt;=0,"NM",D10/I10))</f>
        <v>70.149999999999991</v>
      </c>
      <c r="O10" s="169">
        <f>IF(COUNT(H10,K10)&lt;2,"",IF(K10&lt;=0,"NM",H10/K10))</f>
        <v>10.860841009894232</v>
      </c>
      <c r="P10" s="169">
        <f>IF(COUNT(H10,L10)&lt;2,"",IF(L10&lt;=0,"NM",H10/L10))</f>
        <v>36.464060710194723</v>
      </c>
      <c r="Q10" s="170">
        <f>IF(OR(ISNUMBER(N10)=FALSE(),COUNT(J10)=0),"",IF(J10&lt;=0,"NM",N10/(J10*100)))</f>
        <v>2.9711986446421004</v>
      </c>
      <c r="R10" s="169" t="str">
        <f>IF(COUNT(H10,M10)&lt;2,"",IF(M10&lt;=0,"NM",H10/M10))</f>
        <v/>
      </c>
    </row>
    <row r="12" spans="2:18" ht="15" x14ac:dyDescent="0.25">
      <c r="B12" s="6" t="s">
        <v>236</v>
      </c>
      <c r="N12" s="171">
        <f>IF(COUNT(N6:N10)=0,"",AVERAGE(N6:N10))</f>
        <v>130.9003066816187</v>
      </c>
      <c r="O12" s="171">
        <f>IF(COUNT(O6:O10)=0,"",AVERAGE(O6:O10))</f>
        <v>11.028385847811856</v>
      </c>
      <c r="P12" s="171">
        <f>IF(COUNT(P6:P10)=0,"",AVERAGE(P6:P10))</f>
        <v>20.900404617746648</v>
      </c>
      <c r="Q12" s="172">
        <f>IF(COUNT(Q6:Q10)=0,"",AVERAGE(Q6:Q10))</f>
        <v>16.873965672949659</v>
      </c>
      <c r="R12" s="171">
        <f>IF(COUNT(R6:R10)=0,"",AVERAGE(R6:R10))</f>
        <v>9.4680123408701959</v>
      </c>
    </row>
    <row r="13" spans="2:18" ht="15" x14ac:dyDescent="0.25">
      <c r="B13" s="6" t="s">
        <v>237</v>
      </c>
      <c r="N13" s="171">
        <f>IF(COUNT(N6:N10)=0,"",MEDIAN(N6:N10))</f>
        <v>30.427536231884062</v>
      </c>
      <c r="O13" s="171">
        <f>IF(COUNT(O6:O10)=0,"",MEDIAN(O6:O10))</f>
        <v>10.860841009894232</v>
      </c>
      <c r="P13" s="171">
        <f>IF(COUNT(P6:P10)=0,"",MEDIAN(P6:P10))</f>
        <v>19.798697925225966</v>
      </c>
      <c r="Q13" s="171">
        <f>IF(COUNT(Q6:Q10)=0,"",MEDIAN(Q6:Q10))</f>
        <v>2.9711986446421004</v>
      </c>
      <c r="R13" s="171">
        <f>IF(COUNT(R6:R10)=0,"",MEDIAN(R6:R10))</f>
        <v>10.414062054285344</v>
      </c>
    </row>
    <row r="14" spans="2:18" ht="15" x14ac:dyDescent="0.25">
      <c r="B14" s="6" t="s">
        <v>238</v>
      </c>
      <c r="N14" s="171">
        <f>IF(COUNT(N6:N10)=0,"",QUARTILE(N6:N10,1))</f>
        <v>18.97784333005572</v>
      </c>
      <c r="O14" s="171">
        <f>IF(COUNT(O6:O10)=0,"",QUARTILE(O6:O10,1))</f>
        <v>9.9959525033829504</v>
      </c>
      <c r="P14" s="171">
        <f>IF(COUNT(P6:P10)=0,"",QUARTILE(P6:P10,1))</f>
        <v>15.276393932931793</v>
      </c>
      <c r="Q14" s="171">
        <f>IF(COUNT(Q6:Q10)=0,"",QUARTILE(Q6:Q10,1))</f>
        <v>1.5907664149250393</v>
      </c>
      <c r="R14" s="171">
        <f>IF(COUNT(R6:R10)=0,"",QUARTILE(R6:R10,1))</f>
        <v>8.1856636481104132</v>
      </c>
    </row>
    <row r="15" spans="2:18" ht="15" x14ac:dyDescent="0.25">
      <c r="B15" s="6" t="s">
        <v>239</v>
      </c>
      <c r="N15" s="171">
        <f>IF(COUNT(N6:N10)=0,"",QUARTILE(N6:N10,3))</f>
        <v>70.149999999999991</v>
      </c>
      <c r="O15" s="171">
        <f>IF(COUNT(O6:O10)=0,"",QUARTILE(O6:O10,3))</f>
        <v>12.971660480216894</v>
      </c>
      <c r="P15" s="171">
        <f>IF(COUNT(P6:P10)=0,"",QUARTILE(P6:P10,3))</f>
        <v>21.919907715133533</v>
      </c>
      <c r="Q15" s="171">
        <f>IF(COUNT(Q6:Q10)=0,"",QUARTILE(Q6:Q10,3))</f>
        <v>3.8119150878794792</v>
      </c>
      <c r="R15" s="171">
        <f>IF(COUNT(R6:R10)=0,"",QUARTILE(R6:R10,3))</f>
        <v>11.22338589033755</v>
      </c>
    </row>
    <row r="16" spans="2:18" ht="15" x14ac:dyDescent="0.25">
      <c r="B16" s="6" t="s">
        <v>240</v>
      </c>
      <c r="N16" s="171">
        <f>IF(COUNT(N6:N10)=0,"",MAX(N6:N10))</f>
        <v>522.1</v>
      </c>
      <c r="O16" s="171">
        <f>IF(COUNT(O6:O10)=0,"",MAX(O6:O10))</f>
        <v>13.518905345280309</v>
      </c>
      <c r="P16" s="171">
        <f>IF(COUNT(P6:P10)=0,"",MAX(P6:P10))</f>
        <v>36.464060710194723</v>
      </c>
      <c r="Q16" s="171">
        <f>IF(COUNT(Q6:Q10)=0,"",MAX(Q6:Q10))</f>
        <v>74.799426934097426</v>
      </c>
      <c r="R16" s="171">
        <f>IF(COUNT(R6:R10)=0,"",MAX(R6:R10))</f>
        <v>12.032709726389758</v>
      </c>
    </row>
    <row r="17" spans="2:18" ht="15" x14ac:dyDescent="0.25">
      <c r="B17" s="6" t="s">
        <v>241</v>
      </c>
      <c r="N17" s="171">
        <f>IF(COUNT(N6:N10)=0,"",MIN(N6:N10))</f>
        <v>12.846153846153845</v>
      </c>
      <c r="O17" s="171">
        <f>IF(COUNT(O6:O10)=0,"",MIN(O6:O10))</f>
        <v>7.7945699002849009</v>
      </c>
      <c r="P17" s="171">
        <f>IF(COUNT(P6:P10)=0,"",MIN(P6:P10))</f>
        <v>11.042962805247226</v>
      </c>
      <c r="Q17" s="171">
        <f>IF(COUNT(Q6:Q10)=0,"",MIN(Q6:Q10))</f>
        <v>1.1965212832042493</v>
      </c>
      <c r="R17" s="171">
        <f>IF(COUNT(R6:R10)=0,"",MIN(R6:R10))</f>
        <v>5.9572652419354846</v>
      </c>
    </row>
    <row r="19" spans="2:18" ht="15" x14ac:dyDescent="0.25">
      <c r="B19" s="6" t="s">
        <v>242</v>
      </c>
    </row>
    <row r="20" spans="2:18" ht="31.5" customHeight="1" x14ac:dyDescent="0.25">
      <c r="B20" s="165" t="s">
        <v>243</v>
      </c>
      <c r="C20" s="165" t="s">
        <v>244</v>
      </c>
      <c r="D20" s="165" t="s">
        <v>245</v>
      </c>
      <c r="E20" s="165" t="s">
        <v>184</v>
      </c>
      <c r="F20" s="165" t="s">
        <v>187</v>
      </c>
      <c r="G20" s="165" t="s">
        <v>246</v>
      </c>
      <c r="H20" s="165" t="s">
        <v>247</v>
      </c>
      <c r="I20" s="165" t="s">
        <v>218</v>
      </c>
      <c r="J20" s="165" t="s">
        <v>219</v>
      </c>
      <c r="K20" s="165" t="s">
        <v>220</v>
      </c>
      <c r="L20" s="165"/>
      <c r="M20" s="165"/>
      <c r="N20" s="165" t="s">
        <v>221</v>
      </c>
      <c r="O20" s="165" t="s">
        <v>222</v>
      </c>
      <c r="P20" s="165" t="s">
        <v>223</v>
      </c>
      <c r="Q20" s="165" t="s">
        <v>224</v>
      </c>
      <c r="R20" s="165" t="s">
        <v>225</v>
      </c>
    </row>
    <row r="21" spans="2:18" ht="15" x14ac:dyDescent="0.25">
      <c r="B21" s="166"/>
      <c r="C21" s="166"/>
      <c r="D21" s="173"/>
      <c r="E21" s="168"/>
      <c r="F21" s="168"/>
      <c r="G21" s="168"/>
      <c r="H21" s="135"/>
      <c r="I21" s="168"/>
      <c r="J21" s="168"/>
      <c r="K21" s="168"/>
      <c r="N21" s="169" t="str">
        <f>IF(COUNT(F21,G21)&lt;2,"",IF(G21&lt;=0,"NM",F21/G21))</f>
        <v/>
      </c>
      <c r="O21" s="169" t="str">
        <f>IF(COUNT(E21,I21)&lt;2,"",IF(I21&lt;=0,"NM",E21/I21))</f>
        <v/>
      </c>
      <c r="P21" s="169" t="str">
        <f>IF(COUNT(E21,J21)&lt;2,"",IF(J21&lt;=0,"NM",E21/J21))</f>
        <v/>
      </c>
      <c r="Q21" s="170" t="str">
        <f>IF(OR(ISNUMBER(N21)=FALSE(),COUNT(H21)=0),"",IF(H21&lt;=0,"NM",N21/(H21*100)))</f>
        <v/>
      </c>
      <c r="R21" s="169" t="str">
        <f>IF(COUNT(E21,K21)&lt;2,"",IF(K21&lt;=0,"NM",E21/K21))</f>
        <v/>
      </c>
    </row>
    <row r="22" spans="2:18" ht="15" x14ac:dyDescent="0.25">
      <c r="B22" s="166"/>
      <c r="C22" s="166"/>
      <c r="D22" s="173"/>
      <c r="E22" s="168"/>
      <c r="F22" s="168"/>
      <c r="G22" s="168"/>
      <c r="H22" s="135"/>
      <c r="I22" s="168"/>
      <c r="J22" s="168"/>
      <c r="K22" s="168"/>
      <c r="N22" s="169" t="str">
        <f>IF(COUNT(F22,G22)&lt;2,"",IF(G22&lt;=0,"NM",F22/G22))</f>
        <v/>
      </c>
      <c r="O22" s="169" t="str">
        <f>IF(COUNT(E22,I22)&lt;2,"",IF(I22&lt;=0,"NM",E22/I22))</f>
        <v/>
      </c>
      <c r="P22" s="169" t="str">
        <f>IF(COUNT(E22,J22)&lt;2,"",IF(J22&lt;=0,"NM",E22/J22))</f>
        <v/>
      </c>
      <c r="Q22" s="170" t="str">
        <f>IF(OR(ISNUMBER(N22)=FALSE(),COUNT(H22)=0),"",IF(H22&lt;=0,"NM",N22/(H22*100)))</f>
        <v/>
      </c>
      <c r="R22" s="169" t="str">
        <f>IF(COUNT(E22,K22)&lt;2,"",IF(K22&lt;=0,"NM",E22/K22))</f>
        <v/>
      </c>
    </row>
    <row r="23" spans="2:18" ht="15" x14ac:dyDescent="0.25">
      <c r="B23" s="166"/>
      <c r="C23" s="166"/>
      <c r="D23" s="173"/>
      <c r="E23" s="168"/>
      <c r="F23" s="168"/>
      <c r="G23" s="168"/>
      <c r="H23" s="135"/>
      <c r="I23" s="168"/>
      <c r="J23" s="168"/>
      <c r="K23" s="168"/>
      <c r="N23" s="169" t="str">
        <f>IF(COUNT(F23,G23)&lt;2,"",IF(G23&lt;=0,"NM",F23/G23))</f>
        <v/>
      </c>
      <c r="O23" s="169" t="str">
        <f>IF(COUNT(E23,I23)&lt;2,"",IF(I23&lt;=0,"NM",E23/I23))</f>
        <v/>
      </c>
      <c r="P23" s="169" t="str">
        <f>IF(COUNT(E23,J23)&lt;2,"",IF(J23&lt;=0,"NM",E23/J23))</f>
        <v/>
      </c>
      <c r="Q23" s="170" t="str">
        <f>IF(OR(ISNUMBER(N23)=FALSE(),COUNT(H23)=0),"",IF(H23&lt;=0,"NM",N23/(H23*100)))</f>
        <v/>
      </c>
      <c r="R23" s="169" t="str">
        <f>IF(COUNT(E23,K23)&lt;2,"",IF(K23&lt;=0,"NM",E23/K23))</f>
        <v/>
      </c>
    </row>
    <row r="24" spans="2:18" ht="15" x14ac:dyDescent="0.25">
      <c r="B24" s="166"/>
      <c r="C24" s="166"/>
      <c r="D24" s="173"/>
      <c r="E24" s="168"/>
      <c r="F24" s="168"/>
      <c r="G24" s="168"/>
      <c r="H24" s="135"/>
      <c r="I24" s="168"/>
      <c r="J24" s="168"/>
      <c r="K24" s="168"/>
      <c r="N24" s="169" t="str">
        <f>IF(COUNT(F24,G24)&lt;2,"",IF(G24&lt;=0,"NM",F24/G24))</f>
        <v/>
      </c>
      <c r="O24" s="169" t="str">
        <f>IF(COUNT(E24,I24)&lt;2,"",IF(I24&lt;=0,"NM",E24/I24))</f>
        <v/>
      </c>
      <c r="P24" s="169" t="str">
        <f>IF(COUNT(E24,J24)&lt;2,"",IF(J24&lt;=0,"NM",E24/J24))</f>
        <v/>
      </c>
      <c r="Q24" s="170" t="str">
        <f>IF(OR(ISNUMBER(N24)=FALSE(),COUNT(H24)=0),"",IF(H24&lt;=0,"NM",N24/(H24*100)))</f>
        <v/>
      </c>
      <c r="R24" s="169" t="str">
        <f>IF(COUNT(E24,K24)&lt;2,"",IF(K24&lt;=0,"NM",E24/K24))</f>
        <v/>
      </c>
    </row>
    <row r="25" spans="2:18" ht="15" x14ac:dyDescent="0.25">
      <c r="B25" s="166"/>
      <c r="C25" s="166"/>
      <c r="D25" s="173"/>
      <c r="E25" s="168"/>
      <c r="F25" s="168"/>
      <c r="G25" s="168"/>
      <c r="H25" s="135"/>
      <c r="I25" s="168"/>
      <c r="J25" s="168"/>
      <c r="K25" s="168"/>
      <c r="N25" s="169" t="str">
        <f>IF(COUNT(F25,G25)&lt;2,"",IF(G25&lt;=0,"NM",F25/G25))</f>
        <v/>
      </c>
      <c r="O25" s="169" t="str">
        <f>IF(COUNT(E25,I25)&lt;2,"",IF(I25&lt;=0,"NM",E25/I25))</f>
        <v/>
      </c>
      <c r="P25" s="169" t="str">
        <f>IF(COUNT(E25,J25)&lt;2,"",IF(J25&lt;=0,"NM",E25/J25))</f>
        <v/>
      </c>
      <c r="Q25" s="170" t="str">
        <f>IF(OR(ISNUMBER(N25)=FALSE(),COUNT(H25)=0),"",IF(H25&lt;=0,"NM",N25/(H25*100)))</f>
        <v/>
      </c>
      <c r="R25" s="169" t="str">
        <f>IF(COUNT(E25,K25)&lt;2,"",IF(K25&lt;=0,"NM",E25/K25))</f>
        <v/>
      </c>
    </row>
    <row r="27" spans="2:18" ht="15" x14ac:dyDescent="0.25">
      <c r="B27" s="6" t="s">
        <v>236</v>
      </c>
      <c r="N27" s="171" t="str">
        <f>IF(COUNT(N21:N25)=0,"",AVERAGE(N21:N25))</f>
        <v/>
      </c>
      <c r="O27" s="171" t="str">
        <f>IF(COUNT(O21:O25)=0,"",AVERAGE(O21:O25))</f>
        <v/>
      </c>
      <c r="P27" s="171" t="str">
        <f>IF(COUNT(P21:P25)=0,"",AVERAGE(P21:P25))</f>
        <v/>
      </c>
      <c r="Q27" s="171" t="str">
        <f>IF(COUNT(Q21:Q25)=0,"",AVERAGE(Q21:Q25))</f>
        <v/>
      </c>
      <c r="R27" s="171" t="str">
        <f>IF(COUNT(R21:R25)=0,"",AVERAGE(R21:R25))</f>
        <v/>
      </c>
    </row>
    <row r="28" spans="2:18" ht="15" x14ac:dyDescent="0.25">
      <c r="B28" s="6" t="s">
        <v>237</v>
      </c>
      <c r="N28" s="171" t="str">
        <f>IF(COUNT(N21:N25)=0,"",MEDIAN(N21:N25))</f>
        <v/>
      </c>
      <c r="O28" s="171" t="str">
        <f>IF(COUNT(O21:O25)=0,"",MEDIAN(O21:O25))</f>
        <v/>
      </c>
      <c r="P28" s="171" t="str">
        <f>IF(COUNT(P21:P25)=0,"",MEDIAN(P21:P25))</f>
        <v/>
      </c>
      <c r="Q28" s="171" t="str">
        <f>IF(COUNT(Q21:Q25)=0,"",MEDIAN(Q21:Q25))</f>
        <v/>
      </c>
      <c r="R28" s="171" t="str">
        <f>IF(COUNT(R21:R25)=0,"",MEDIAN(R21:R25))</f>
        <v/>
      </c>
    </row>
    <row r="29" spans="2:18" ht="15" x14ac:dyDescent="0.25">
      <c r="B29" s="6" t="s">
        <v>238</v>
      </c>
      <c r="N29" s="171" t="str">
        <f>IF(COUNT(N21:N25)=0,"",QUARTILE(N21:N25,1))</f>
        <v/>
      </c>
      <c r="O29" s="171" t="str">
        <f>IF(COUNT(O21:O25)=0,"",QUARTILE(O21:O25,1))</f>
        <v/>
      </c>
      <c r="P29" s="171" t="str">
        <f>IF(COUNT(P21:P25)=0,"",QUARTILE(P21:P25,1))</f>
        <v/>
      </c>
      <c r="Q29" s="171" t="str">
        <f>IF(COUNT(Q21:Q25)=0,"",QUARTILE(Q21:Q25,1))</f>
        <v/>
      </c>
      <c r="R29" s="171" t="str">
        <f>IF(COUNT(R21:R25)=0,"",QUARTILE(R21:R25,1))</f>
        <v/>
      </c>
    </row>
    <row r="30" spans="2:18" ht="15" x14ac:dyDescent="0.25">
      <c r="B30" s="6" t="s">
        <v>239</v>
      </c>
      <c r="N30" s="171" t="str">
        <f>IF(COUNT(N21:N25)=0,"",QUARTILE(N21:N25,3))</f>
        <v/>
      </c>
      <c r="O30" s="171" t="str">
        <f>IF(COUNT(O21:O25)=0,"",QUARTILE(O21:O25,3))</f>
        <v/>
      </c>
      <c r="P30" s="171" t="str">
        <f>IF(COUNT(P21:P25)=0,"",QUARTILE(P21:P25,3))</f>
        <v/>
      </c>
      <c r="Q30" s="171" t="str">
        <f>IF(COUNT(Q21:Q25)=0,"",QUARTILE(Q21:Q25,3))</f>
        <v/>
      </c>
      <c r="R30" s="171" t="str">
        <f>IF(COUNT(R21:R25)=0,"",QUARTILE(R21:R25,3))</f>
        <v/>
      </c>
    </row>
    <row r="31" spans="2:18" ht="15" x14ac:dyDescent="0.25">
      <c r="B31" s="6" t="s">
        <v>240</v>
      </c>
      <c r="N31" s="171" t="str">
        <f>IF(COUNT(N21:N25)=0,"",MAX(N21:N25))</f>
        <v/>
      </c>
      <c r="O31" s="171" t="str">
        <f>IF(COUNT(O21:O25)=0,"",MAX(O21:O25))</f>
        <v/>
      </c>
      <c r="P31" s="171" t="str">
        <f>IF(COUNT(P21:P25)=0,"",MAX(P21:P25))</f>
        <v/>
      </c>
      <c r="Q31" s="171" t="str">
        <f>IF(COUNT(Q21:Q25)=0,"",MAX(Q21:Q25))</f>
        <v/>
      </c>
      <c r="R31" s="171" t="str">
        <f>IF(COUNT(R21:R25)=0,"",MAX(R21:R25))</f>
        <v/>
      </c>
    </row>
    <row r="32" spans="2:18" ht="15" x14ac:dyDescent="0.25">
      <c r="B32" s="6" t="s">
        <v>241</v>
      </c>
      <c r="N32" s="171" t="str">
        <f>IF(COUNT(N21:N25)=0,"",MIN(N21:N25))</f>
        <v/>
      </c>
      <c r="O32" s="171" t="str">
        <f>IF(COUNT(O21:O25)=0,"",MIN(O21:O25))</f>
        <v/>
      </c>
      <c r="P32" s="171" t="str">
        <f>IF(COUNT(P21:P25)=0,"",MIN(P21:P25))</f>
        <v/>
      </c>
      <c r="Q32" s="171" t="str">
        <f>IF(COUNT(Q21:Q25)=0,"",MIN(Q21:Q25))</f>
        <v/>
      </c>
      <c r="R32" s="171" t="str">
        <f>IF(COUNT(R21:R25)=0,"",MIN(R21:R25))</f>
        <v/>
      </c>
    </row>
    <row r="34" spans="2:5" ht="15" x14ac:dyDescent="0.25">
      <c r="B34" s="3" t="s">
        <v>248</v>
      </c>
      <c r="C34" s="3"/>
      <c r="D34" s="3"/>
    </row>
    <row r="35" spans="2:5" ht="15" x14ac:dyDescent="0.25">
      <c r="B35" s="5" t="s">
        <v>249</v>
      </c>
      <c r="C35" s="174">
        <f>'IS Annual'!F21</f>
        <v>3.14</v>
      </c>
    </row>
    <row r="36" spans="2:5" ht="15" x14ac:dyDescent="0.25">
      <c r="B36" s="5" t="s">
        <v>217</v>
      </c>
      <c r="C36" s="135">
        <v>0.1105</v>
      </c>
    </row>
    <row r="37" spans="2:5" ht="15" x14ac:dyDescent="0.25">
      <c r="B37" s="5" t="s">
        <v>250</v>
      </c>
      <c r="C37" s="10">
        <f>'IS Annual'!F10+'CF Annual'!F8</f>
        <v>4169.7440000000006</v>
      </c>
    </row>
    <row r="38" spans="2:5" ht="15" x14ac:dyDescent="0.25">
      <c r="B38" s="5" t="s">
        <v>120</v>
      </c>
      <c r="C38" s="10">
        <f>'IS Annual'!F10</f>
        <v>3632.03</v>
      </c>
    </row>
    <row r="39" spans="2:5" ht="15" x14ac:dyDescent="0.25">
      <c r="B39" s="5" t="s">
        <v>220</v>
      </c>
      <c r="C39" s="168">
        <v>4639.0290000000005</v>
      </c>
    </row>
    <row r="40" spans="2:5" ht="15" x14ac:dyDescent="0.25">
      <c r="B40" s="5" t="s">
        <v>215</v>
      </c>
      <c r="C40" s="10">
        <f>'DCF Model'!I95</f>
        <v>6752.3620000000001</v>
      </c>
    </row>
    <row r="41" spans="2:5" ht="15" x14ac:dyDescent="0.25">
      <c r="B41" s="5" t="s">
        <v>213</v>
      </c>
      <c r="C41" s="10">
        <f>'DCF Model'!I5</f>
        <v>808.96079199999997</v>
      </c>
    </row>
    <row r="44" spans="2:5" ht="15" x14ac:dyDescent="0.25">
      <c r="B44" s="6" t="s">
        <v>251</v>
      </c>
    </row>
    <row r="45" spans="2:5" ht="15" x14ac:dyDescent="0.25">
      <c r="B45" s="161" t="s">
        <v>252</v>
      </c>
      <c r="C45" s="161" t="s">
        <v>238</v>
      </c>
      <c r="D45" s="161" t="s">
        <v>237</v>
      </c>
      <c r="E45" s="161" t="s">
        <v>239</v>
      </c>
    </row>
    <row r="46" spans="2:5" ht="15" x14ac:dyDescent="0.25">
      <c r="B46" s="5" t="s">
        <v>221</v>
      </c>
      <c r="C46" s="175">
        <f>IF(OR(ISNUMBER($N$14)=FALSE(),ISNUMBER($C$35)=FALSE()),"",IF($C$35&lt;=0,"NM",$N$14*$C$35))</f>
        <v>59.590428056374961</v>
      </c>
      <c r="D46" s="175">
        <f>IF(OR(ISNUMBER($N$13)=FALSE(),ISNUMBER($C$35)=FALSE()),"",IF($C$35&lt;=0,"NM",$N$13*$C$35))</f>
        <v>95.542463768115965</v>
      </c>
      <c r="E46" s="175">
        <f>IF(OR(ISNUMBER($N$15)=FALSE(),ISNUMBER($C$35)=FALSE()),"",IF($C$35&lt;=0,"NM",$N$15*$C$35))</f>
        <v>220.27099999999999</v>
      </c>
    </row>
    <row r="47" spans="2:5" ht="15" x14ac:dyDescent="0.25">
      <c r="B47" s="5" t="s">
        <v>222</v>
      </c>
      <c r="C47" s="175">
        <f>IF(OR(ISNUMBER($O$14)=FALSE(),ISNUMBER($C$37)=FALSE()),"",IF($C$37&lt;=0,"NM",($O$14*$C$37-$C$40)/$C$41))</f>
        <v>43.176630215801666</v>
      </c>
      <c r="D47" s="175">
        <f>IF(OR(ISNUMBER($O$13)=FALSE(),ISNUMBER($C$37)=FALSE()),"",IF($C$37&lt;=0,"NM",($O$13*$C$37-$C$40)/$C$41))</f>
        <v>47.634650550481098</v>
      </c>
      <c r="E47" s="175">
        <f>IF(OR(ISNUMBER($O$15)=FALSE(),ISNUMBER($C$37)=FALSE()),"",IF($C$37&lt;=0,"NM",($O$15*$C$37-$C$40)/$C$41))</f>
        <v>58.514753651276486</v>
      </c>
    </row>
    <row r="48" spans="2:5" ht="15" x14ac:dyDescent="0.25">
      <c r="B48" s="5" t="s">
        <v>223</v>
      </c>
      <c r="C48" s="175">
        <f>IF(OR(ISNUMBER($P$14)=FALSE(),ISNUMBER($C$38)=FALSE()),"",IF($C$38&lt;=0,"NM",($P$14*$C$38-$C$40)/$C$41))</f>
        <v>60.240198954198839</v>
      </c>
      <c r="D48" s="175">
        <f>IF(OR(ISNUMBER($P$13)=FALSE(),ISNUMBER($C$38)=FALSE()),"",IF($C$38&lt;=0,"NM",($P$13*$C$38-$C$40)/$C$41))</f>
        <v>80.544203711369093</v>
      </c>
      <c r="E48" s="175">
        <f>IF(OR(ISNUMBER($P$15)=FALSE(),ISNUMBER($C$38)=FALSE()),"",IF($C$38&lt;=0,"NM",($P$15*$C$38-$C$40)/$C$41))</f>
        <v>90.067900866320926</v>
      </c>
    </row>
    <row r="49" spans="2:5" ht="15" x14ac:dyDescent="0.25">
      <c r="B49" s="5" t="s">
        <v>224</v>
      </c>
      <c r="C49" s="175">
        <f>IF(OR(ISNUMBER($Q$14)=FALSE(),ISNUMBER($C$35)=FALSE()),"",IF($C$35&lt;=0,"NM",$Q$14*$C$36*100*$C$35))</f>
        <v>55.194822298654088</v>
      </c>
      <c r="D49" s="175">
        <f>IF(OR(ISNUMBER($Q$13)=FALSE(),ISNUMBER($C$35)=FALSE()),"",IF($C$35&lt;=0,"NM",$Q$13*$C$36*100*$C$35))</f>
        <v>103.09167937314697</v>
      </c>
      <c r="E49" s="175">
        <f>IF(OR(ISNUMBER($Q$15)=FALSE(),ISNUMBER($C$35)=FALSE()),"",IF($C$35&lt;=0,"NM",$Q$15*$C$36*100*$C$35))</f>
        <v>132.26201780415428</v>
      </c>
    </row>
    <row r="50" spans="2:5" ht="15" x14ac:dyDescent="0.25">
      <c r="B50" s="5" t="s">
        <v>225</v>
      </c>
      <c r="C50" s="175">
        <f>IF(OR(ISNUMBER($R$14)=FALSE(),ISNUMBER($C$39)=FALSE()),"",IF($C$39&lt;=0,"NM",($R$14*$C$39-$C$40)/$C$41))</f>
        <v>38.594168415309319</v>
      </c>
      <c r="D50" s="175">
        <f>IF(OR(ISNUMBER($R$13)=FALSE(),ISNUMBER($C$39)=FALSE()),"",IF($C$39&lt;=0,"NM",($R$13*$C$39-$C$40)/$C$41))</f>
        <v>51.373038457010033</v>
      </c>
      <c r="E50" s="175">
        <f>IF(OR(ISNUMBER($R$15)=FALSE(),ISNUMBER($C$39)=FALSE()),"",IF($C$39&lt;=0,"NM",($R$15*$C$39-$C$40)/$C$41))</f>
        <v>56.01414935257668</v>
      </c>
    </row>
    <row r="53" spans="2:5" ht="15" x14ac:dyDescent="0.25">
      <c r="B53" s="6" t="s">
        <v>253</v>
      </c>
    </row>
    <row r="54" spans="2:5" ht="15" x14ac:dyDescent="0.25">
      <c r="B54" s="161" t="s">
        <v>252</v>
      </c>
      <c r="C54" s="161" t="s">
        <v>238</v>
      </c>
      <c r="D54" s="161" t="s">
        <v>237</v>
      </c>
      <c r="E54" s="161" t="s">
        <v>239</v>
      </c>
    </row>
    <row r="55" spans="2:5" ht="15" x14ac:dyDescent="0.25">
      <c r="B55" s="5" t="s">
        <v>221</v>
      </c>
      <c r="C55" s="175" t="str">
        <f>IF(OR(ISNUMBER($N$29)=FALSE(),ISNUMBER($C$35)=FALSE()),"",IF($C$35&lt;=0,"NM",$N$29*$C$35))</f>
        <v/>
      </c>
      <c r="D55" s="175" t="str">
        <f>IF(OR(ISNUMBER($N$28)=FALSE(),ISNUMBER($C$35)=FALSE()),"",IF($C$35&lt;=0,"NM",$N$28*$C$35))</f>
        <v/>
      </c>
      <c r="E55" s="175" t="str">
        <f>IF(OR(ISNUMBER($N$30)=FALSE(),ISNUMBER($C$35)=FALSE()),"",IF($C$35&lt;=0,"NM",$N$30*$C$35))</f>
        <v/>
      </c>
    </row>
    <row r="56" spans="2:5" ht="15" x14ac:dyDescent="0.25">
      <c r="B56" s="5" t="s">
        <v>222</v>
      </c>
      <c r="C56" s="175" t="str">
        <f>IF(OR(ISNUMBER($O$29)=FALSE(),ISNUMBER($C$37)=FALSE()),"",IF($C$37&lt;=0,"NM",($O$29*$C$37-$C$40)/$C$41))</f>
        <v/>
      </c>
      <c r="D56" s="175" t="str">
        <f>IF(OR(ISNUMBER($O$28)=FALSE(),ISNUMBER($C$37)=FALSE()),"",IF($C$37&lt;=0,"NM",($O$28*$C$37-$C$40)/$C$41))</f>
        <v/>
      </c>
      <c r="E56" s="175" t="str">
        <f>IF(OR(ISNUMBER($O$30)=FALSE(),ISNUMBER($C$37)=FALSE()),"",IF($C$37&lt;=0,"NM",($O$30*$C$37-$C$40)/$C$41))</f>
        <v/>
      </c>
    </row>
    <row r="57" spans="2:5" ht="15" x14ac:dyDescent="0.25">
      <c r="B57" s="5" t="s">
        <v>223</v>
      </c>
      <c r="C57" s="175" t="str">
        <f>IF(OR(ISNUMBER($P$29)=FALSE(),ISNUMBER($C$38)=FALSE()),"",IF($C$38&lt;=0,"NM",($P$29*$C$38-$C$40)/$C$41))</f>
        <v/>
      </c>
      <c r="D57" s="175" t="str">
        <f>IF(OR(ISNUMBER($P$28)=FALSE(),ISNUMBER($C$38)=FALSE()),"",IF($C$38&lt;=0,"NM",($P$28*$C$38-$C$40)/$C$41))</f>
        <v/>
      </c>
      <c r="E57" s="175" t="str">
        <f>IF(OR(ISNUMBER($P$30)=FALSE(),ISNUMBER($C$38)=FALSE()),"",IF($C$38&lt;=0,"NM",($P$30*$C$38-$C$40)/$C$41))</f>
        <v/>
      </c>
    </row>
    <row r="58" spans="2:5" ht="15" x14ac:dyDescent="0.25">
      <c r="B58" s="5" t="s">
        <v>224</v>
      </c>
      <c r="C58" s="175" t="str">
        <f>IF(OR(ISNUMBER($Q$29)=FALSE(),ISNUMBER($C$35)=FALSE()),"",IF($C$35&lt;=0,"NM",$Q$29*$C$36*100*$C$35))</f>
        <v/>
      </c>
      <c r="D58" s="175" t="str">
        <f>IF(OR(ISNUMBER($Q$28)=FALSE(),ISNUMBER($C$35)=FALSE()),"",IF($C$35&lt;=0,"NM",$Q$28*$C$36*100*$C$35))</f>
        <v/>
      </c>
      <c r="E58" s="175" t="str">
        <f>IF(OR(ISNUMBER($Q$30)=FALSE(),ISNUMBER($C$35)=FALSE()),"",IF($C$35&lt;=0,"NM",$Q$30*$C$36*100*$C$35))</f>
        <v/>
      </c>
    </row>
    <row r="59" spans="2:5" ht="15" x14ac:dyDescent="0.25">
      <c r="B59" s="5" t="s">
        <v>225</v>
      </c>
      <c r="C59" s="175" t="str">
        <f>IF(OR(ISNUMBER($R$29)=FALSE(),ISNUMBER($C$39)=FALSE()),"",IF($C$39&lt;=0,"NM",($R$29*$C$39-$C$40)/$C$41))</f>
        <v/>
      </c>
      <c r="D59" s="175" t="str">
        <f>IF(OR(ISNUMBER($R$28)=FALSE(),ISNUMBER($C$39)=FALSE()),"",IF($C$39&lt;=0,"NM",($R$28*$C$39-$C$40)/$C$41))</f>
        <v/>
      </c>
      <c r="E59" s="175" t="str">
        <f>IF(OR(ISNUMBER($R$30)=FALSE(),ISNUMBER($C$39)=FALSE()),"",IF($C$39&lt;=0,"NM",($R$30*$C$39-$C$40)/$C$41))</f>
        <v/>
      </c>
    </row>
  </sheetData>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G19"/>
  <sheetViews>
    <sheetView showGridLines="0" zoomScaleNormal="100" workbookViewId="0">
      <selection activeCell="H26" sqref="H26:H27"/>
    </sheetView>
  </sheetViews>
  <sheetFormatPr defaultColWidth="8.7109375" defaultRowHeight="12.75" x14ac:dyDescent="0.2"/>
  <cols>
    <col min="1" max="1" width="2" customWidth="1"/>
    <col min="2" max="2" width="46" customWidth="1"/>
    <col min="3" max="3" width="14" customWidth="1"/>
    <col min="4" max="4" width="13" customWidth="1"/>
    <col min="5" max="5" width="14" customWidth="1"/>
    <col min="6" max="6" width="13" customWidth="1"/>
    <col min="7" max="7" width="14" customWidth="1"/>
  </cols>
  <sheetData>
    <row r="1" spans="2:7" ht="18.75" x14ac:dyDescent="0.3">
      <c r="B1" s="1" t="s">
        <v>254</v>
      </c>
    </row>
    <row r="2" spans="2:7" ht="15" x14ac:dyDescent="0.25">
      <c r="B2" s="2" t="s">
        <v>1</v>
      </c>
    </row>
    <row r="4" spans="2:7" ht="31.5" customHeight="1" x14ac:dyDescent="0.25">
      <c r="B4" s="165" t="s">
        <v>255</v>
      </c>
      <c r="C4" s="165" t="s">
        <v>256</v>
      </c>
      <c r="D4" s="165" t="s">
        <v>257</v>
      </c>
      <c r="E4" s="165" t="s">
        <v>258</v>
      </c>
      <c r="F4" s="165" t="s">
        <v>259</v>
      </c>
      <c r="G4" s="165" t="s">
        <v>260</v>
      </c>
    </row>
    <row r="5" spans="2:7" ht="15" x14ac:dyDescent="0.25">
      <c r="B5" s="5" t="s">
        <v>39</v>
      </c>
      <c r="C5" s="10">
        <f>'BS Annual'!F7</f>
        <v>262.18099999999998</v>
      </c>
      <c r="D5" s="135">
        <v>1</v>
      </c>
      <c r="E5" s="9">
        <f t="shared" ref="E5:E13" si="0">C5*D5</f>
        <v>262.18099999999998</v>
      </c>
      <c r="F5" s="135">
        <v>1</v>
      </c>
      <c r="G5" s="9">
        <f t="shared" ref="G5:G13" si="1">C5*F5</f>
        <v>262.18099999999998</v>
      </c>
    </row>
    <row r="6" spans="2:7" ht="15" x14ac:dyDescent="0.25">
      <c r="B6" s="5" t="s">
        <v>40</v>
      </c>
      <c r="C6" s="10">
        <f>'BS Annual'!F8</f>
        <v>457.78500000000003</v>
      </c>
      <c r="D6" s="135">
        <v>0.85</v>
      </c>
      <c r="E6" s="9">
        <f t="shared" si="0"/>
        <v>389.11725000000001</v>
      </c>
      <c r="F6" s="135">
        <v>0.6</v>
      </c>
      <c r="G6" s="9">
        <f t="shared" si="1"/>
        <v>274.67099999999999</v>
      </c>
    </row>
    <row r="7" spans="2:7" ht="15" x14ac:dyDescent="0.25">
      <c r="B7" s="5" t="s">
        <v>41</v>
      </c>
      <c r="C7" s="10">
        <f>'BS Annual'!F9</f>
        <v>170.72800000000001</v>
      </c>
      <c r="D7" s="135">
        <v>0.85</v>
      </c>
      <c r="E7" s="9">
        <f t="shared" si="0"/>
        <v>145.11879999999999</v>
      </c>
      <c r="F7" s="135">
        <v>0.6</v>
      </c>
      <c r="G7" s="9">
        <f t="shared" si="1"/>
        <v>102.43680000000001</v>
      </c>
    </row>
    <row r="8" spans="2:7" ht="15" x14ac:dyDescent="0.25">
      <c r="B8" s="5" t="s">
        <v>42</v>
      </c>
      <c r="C8" s="10">
        <f>'BS Annual'!F10</f>
        <v>5971.8559999999998</v>
      </c>
      <c r="D8" s="135">
        <v>0.65</v>
      </c>
      <c r="E8" s="9">
        <f t="shared" si="0"/>
        <v>3881.7064</v>
      </c>
      <c r="F8" s="135">
        <v>0.4</v>
      </c>
      <c r="G8" s="9">
        <f t="shared" si="1"/>
        <v>2388.7424000000001</v>
      </c>
    </row>
    <row r="9" spans="2:7" ht="15" x14ac:dyDescent="0.25">
      <c r="B9" s="5" t="s">
        <v>43</v>
      </c>
      <c r="C9" s="10">
        <f>'BS Annual'!F11</f>
        <v>337.08199999999999</v>
      </c>
      <c r="D9" s="135">
        <v>0.25</v>
      </c>
      <c r="E9" s="9">
        <f t="shared" si="0"/>
        <v>84.270499999999998</v>
      </c>
      <c r="F9" s="135">
        <v>0</v>
      </c>
      <c r="G9" s="9">
        <f t="shared" si="1"/>
        <v>0</v>
      </c>
    </row>
    <row r="10" spans="2:7" ht="15" x14ac:dyDescent="0.25">
      <c r="B10" s="5" t="s">
        <v>47</v>
      </c>
      <c r="C10" s="10">
        <f>'BS Annual'!F15</f>
        <v>6550.2449999999999</v>
      </c>
      <c r="D10" s="135">
        <v>0.4</v>
      </c>
      <c r="E10" s="9">
        <f t="shared" si="0"/>
        <v>2620.098</v>
      </c>
      <c r="F10" s="135">
        <v>0.15</v>
      </c>
      <c r="G10" s="9">
        <f t="shared" si="1"/>
        <v>982.53674999999998</v>
      </c>
    </row>
    <row r="11" spans="2:7" ht="15" x14ac:dyDescent="0.25">
      <c r="B11" s="5" t="s">
        <v>48</v>
      </c>
      <c r="C11" s="10">
        <f>'BS Annual'!F16</f>
        <v>2484.413</v>
      </c>
      <c r="D11" s="135">
        <v>0</v>
      </c>
      <c r="E11" s="9">
        <f t="shared" si="0"/>
        <v>0</v>
      </c>
      <c r="F11" s="135">
        <v>0</v>
      </c>
      <c r="G11" s="9">
        <f t="shared" si="1"/>
        <v>0</v>
      </c>
    </row>
    <row r="12" spans="2:7" ht="15" x14ac:dyDescent="0.25">
      <c r="B12" s="5" t="s">
        <v>49</v>
      </c>
      <c r="C12" s="10">
        <f>'BS Annual'!F17</f>
        <v>955.21100000000001</v>
      </c>
      <c r="D12" s="135">
        <v>0</v>
      </c>
      <c r="E12" s="9">
        <f t="shared" si="0"/>
        <v>0</v>
      </c>
      <c r="F12" s="135">
        <v>0</v>
      </c>
      <c r="G12" s="9">
        <f t="shared" si="1"/>
        <v>0</v>
      </c>
    </row>
    <row r="13" spans="2:7" ht="15" x14ac:dyDescent="0.25">
      <c r="B13" s="5" t="s">
        <v>50</v>
      </c>
      <c r="C13" s="10">
        <f>'BS Annual'!F18</f>
        <v>199.61500000000001</v>
      </c>
      <c r="D13" s="135">
        <v>0.1</v>
      </c>
      <c r="E13" s="9">
        <f t="shared" si="0"/>
        <v>19.961500000000001</v>
      </c>
      <c r="F13" s="135">
        <v>0</v>
      </c>
      <c r="G13" s="9">
        <f t="shared" si="1"/>
        <v>0</v>
      </c>
    </row>
    <row r="14" spans="2:7" ht="15" x14ac:dyDescent="0.25">
      <c r="B14" s="6" t="s">
        <v>261</v>
      </c>
      <c r="C14" s="11">
        <f>SUM(C5:C13)</f>
        <v>17389.116000000002</v>
      </c>
      <c r="E14" s="11">
        <f>SUM(E5:E13)</f>
        <v>7402.45345</v>
      </c>
      <c r="G14" s="11">
        <f>SUM(G5:G13)</f>
        <v>4010.5679500000006</v>
      </c>
    </row>
    <row r="15" spans="2:7" ht="15" x14ac:dyDescent="0.25">
      <c r="B15" s="5" t="s">
        <v>262</v>
      </c>
      <c r="D15" s="135">
        <v>0.05</v>
      </c>
      <c r="E15" s="9">
        <f>-E14*D15</f>
        <v>-370.12267250000002</v>
      </c>
      <c r="F15" s="135">
        <v>0.1</v>
      </c>
      <c r="G15" s="9">
        <f>-G14*F15</f>
        <v>-401.05679500000008</v>
      </c>
    </row>
    <row r="16" spans="2:7" ht="15" x14ac:dyDescent="0.25">
      <c r="B16" s="5" t="s">
        <v>263</v>
      </c>
      <c r="C16" s="10">
        <f>-'BS Annual'!F34</f>
        <v>-19224.840999999997</v>
      </c>
      <c r="E16" s="9">
        <f>C16</f>
        <v>-19224.840999999997</v>
      </c>
      <c r="G16" s="9">
        <f>C16</f>
        <v>-19224.840999999997</v>
      </c>
    </row>
    <row r="17" spans="2:7" ht="15" x14ac:dyDescent="0.25">
      <c r="B17" s="6" t="s">
        <v>264</v>
      </c>
      <c r="E17" s="11">
        <f>E14+E15+E16</f>
        <v>-12192.510222499997</v>
      </c>
      <c r="G17" s="11">
        <f>G14+G15+G16</f>
        <v>-15615.329844999997</v>
      </c>
    </row>
    <row r="18" spans="2:7" ht="15" x14ac:dyDescent="0.25">
      <c r="B18" s="5" t="s">
        <v>213</v>
      </c>
      <c r="E18" s="10">
        <f>'DCF Model'!I5</f>
        <v>808.96079199999997</v>
      </c>
      <c r="G18" s="10">
        <f>'DCF Model'!I5</f>
        <v>808.96079199999997</v>
      </c>
    </row>
    <row r="19" spans="2:7" ht="15" x14ac:dyDescent="0.25">
      <c r="B19" s="6" t="s">
        <v>265</v>
      </c>
      <c r="E19" s="176">
        <f>E17/E18</f>
        <v>-15.071818489937394</v>
      </c>
      <c r="G19" s="176">
        <f>G17/G18</f>
        <v>-19.302950154597848</v>
      </c>
    </row>
  </sheetData>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B1:I18"/>
  <sheetViews>
    <sheetView showGridLines="0" zoomScaleNormal="100" workbookViewId="0"/>
  </sheetViews>
  <sheetFormatPr defaultColWidth="8.7109375" defaultRowHeight="12.75" x14ac:dyDescent="0.2"/>
  <cols>
    <col min="1" max="1" width="2" customWidth="1"/>
    <col min="2" max="2" width="36" customWidth="1"/>
    <col min="3" max="6" width="13" customWidth="1"/>
    <col min="8" max="9" width="13" hidden="1" customWidth="1"/>
  </cols>
  <sheetData>
    <row r="1" spans="2:9" ht="18.75" x14ac:dyDescent="0.3">
      <c r="B1" s="1" t="s">
        <v>266</v>
      </c>
    </row>
    <row r="2" spans="2:9" ht="15" x14ac:dyDescent="0.25">
      <c r="B2" s="2" t="s">
        <v>267</v>
      </c>
    </row>
    <row r="4" spans="2:9" ht="15" x14ac:dyDescent="0.25">
      <c r="B4" s="6" t="s">
        <v>268</v>
      </c>
      <c r="C4" s="177">
        <f ca="1">'DCF Model'!I4</f>
        <v>86.07</v>
      </c>
    </row>
    <row r="6" spans="2:9" ht="15" x14ac:dyDescent="0.25">
      <c r="B6" s="161" t="s">
        <v>269</v>
      </c>
      <c r="C6" s="161" t="s">
        <v>241</v>
      </c>
      <c r="D6" s="161" t="s">
        <v>111</v>
      </c>
      <c r="E6" s="161" t="s">
        <v>240</v>
      </c>
      <c r="F6" s="161" t="s">
        <v>270</v>
      </c>
    </row>
    <row r="7" spans="2:9" ht="15" x14ac:dyDescent="0.25">
      <c r="B7" s="5" t="s">
        <v>271</v>
      </c>
      <c r="C7" s="178">
        <f ca="1">'DCF Model'!K103</f>
        <v>48.970836717879344</v>
      </c>
      <c r="D7" s="178">
        <f ca="1">'DCF Model'!I98</f>
        <v>60.65505003486939</v>
      </c>
      <c r="E7" s="178">
        <f ca="1">'DCF Model'!I103</f>
        <v>78.306784383974588</v>
      </c>
      <c r="F7" s="122">
        <f t="shared" ref="F7:F18" ca="1" si="0">IF(ISNUMBER(D7),D7/$C$4-1,"")</f>
        <v>-0.29528232793227149</v>
      </c>
      <c r="H7" s="179">
        <f t="shared" ref="H7:H18" ca="1" si="1">IF(AND(ISNUMBER(C7),ISNUMBER(E7)),MAX(0,MIN(C7,E7)),0)</f>
        <v>48.970836717879344</v>
      </c>
      <c r="I7" s="179">
        <f t="shared" ref="I7:I18" ca="1" si="2">IF(AND(ISNUMBER(C7),ISNUMBER(E7)),MAX(0,MAX(C7,E7))-H7,0)</f>
        <v>29.335947666095244</v>
      </c>
    </row>
    <row r="8" spans="2:9" ht="15" x14ac:dyDescent="0.25">
      <c r="B8" s="5" t="s">
        <v>272</v>
      </c>
      <c r="C8" s="178">
        <f>Comps!C46</f>
        <v>59.590428056374961</v>
      </c>
      <c r="D8" s="178">
        <f>Comps!D46</f>
        <v>95.542463768115965</v>
      </c>
      <c r="E8" s="178">
        <f>Comps!E46</f>
        <v>220.27099999999999</v>
      </c>
      <c r="F8" s="122">
        <f t="shared" ca="1" si="0"/>
        <v>0.11005534760213753</v>
      </c>
      <c r="H8" s="179">
        <f t="shared" si="1"/>
        <v>59.590428056374961</v>
      </c>
      <c r="I8" s="179">
        <f t="shared" si="2"/>
        <v>160.68057194362501</v>
      </c>
    </row>
    <row r="9" spans="2:9" ht="15" x14ac:dyDescent="0.25">
      <c r="B9" s="5" t="s">
        <v>273</v>
      </c>
      <c r="C9" s="178">
        <f>Comps!C47</f>
        <v>43.176630215801666</v>
      </c>
      <c r="D9" s="178">
        <f>Comps!D47</f>
        <v>47.634650550481098</v>
      </c>
      <c r="E9" s="178">
        <f>Comps!E47</f>
        <v>58.514753651276486</v>
      </c>
      <c r="F9" s="122">
        <f t="shared" ca="1" si="0"/>
        <v>-0.44655918960751595</v>
      </c>
      <c r="H9" s="179">
        <f t="shared" si="1"/>
        <v>43.176630215801666</v>
      </c>
      <c r="I9" s="179">
        <f t="shared" si="2"/>
        <v>15.33812343547482</v>
      </c>
    </row>
    <row r="10" spans="2:9" ht="15" x14ac:dyDescent="0.25">
      <c r="B10" s="5" t="s">
        <v>274</v>
      </c>
      <c r="C10" s="178">
        <f>Comps!C48</f>
        <v>60.240198954198839</v>
      </c>
      <c r="D10" s="178">
        <f>Comps!D48</f>
        <v>80.544203711369093</v>
      </c>
      <c r="E10" s="178">
        <f>Comps!E48</f>
        <v>90.067900866320926</v>
      </c>
      <c r="F10" s="122">
        <f t="shared" ca="1" si="0"/>
        <v>-6.4201188435353829E-2</v>
      </c>
      <c r="H10" s="179">
        <f t="shared" si="1"/>
        <v>60.240198954198839</v>
      </c>
      <c r="I10" s="179">
        <f t="shared" si="2"/>
        <v>29.827701912122087</v>
      </c>
    </row>
    <row r="11" spans="2:9" ht="15" x14ac:dyDescent="0.25">
      <c r="B11" s="5" t="s">
        <v>275</v>
      </c>
      <c r="C11" s="178">
        <f>Comps!C49</f>
        <v>55.194822298654088</v>
      </c>
      <c r="D11" s="178">
        <f>Comps!D49</f>
        <v>103.09167937314697</v>
      </c>
      <c r="E11" s="178">
        <f>Comps!E49</f>
        <v>132.26201780415428</v>
      </c>
      <c r="F11" s="122">
        <f t="shared" ca="1" si="0"/>
        <v>0.19776553239394667</v>
      </c>
      <c r="H11" s="179">
        <f t="shared" si="1"/>
        <v>55.194822298654088</v>
      </c>
      <c r="I11" s="179">
        <f t="shared" si="2"/>
        <v>77.067195505500194</v>
      </c>
    </row>
    <row r="12" spans="2:9" ht="15" x14ac:dyDescent="0.25">
      <c r="B12" s="5" t="s">
        <v>276</v>
      </c>
      <c r="C12" s="178">
        <f>Comps!C50</f>
        <v>38.594168415309319</v>
      </c>
      <c r="D12" s="178">
        <f>Comps!D50</f>
        <v>51.373038457010033</v>
      </c>
      <c r="E12" s="178">
        <f>Comps!E50</f>
        <v>56.01414935257668</v>
      </c>
      <c r="F12" s="122">
        <f t="shared" ca="1" si="0"/>
        <v>-0.40312491626571356</v>
      </c>
      <c r="H12" s="179">
        <f t="shared" si="1"/>
        <v>38.594168415309319</v>
      </c>
      <c r="I12" s="179">
        <f t="shared" si="2"/>
        <v>17.419980937267361</v>
      </c>
    </row>
    <row r="13" spans="2:9" ht="15" x14ac:dyDescent="0.25">
      <c r="B13" s="5" t="s">
        <v>277</v>
      </c>
      <c r="C13" s="178" t="str">
        <f>Comps!C55</f>
        <v/>
      </c>
      <c r="D13" s="178" t="str">
        <f>Comps!D55</f>
        <v/>
      </c>
      <c r="E13" s="178" t="str">
        <f>Comps!E55</f>
        <v/>
      </c>
      <c r="F13" s="122" t="str">
        <f t="shared" si="0"/>
        <v/>
      </c>
      <c r="H13" s="179">
        <f t="shared" si="1"/>
        <v>0</v>
      </c>
      <c r="I13" s="179">
        <f t="shared" si="2"/>
        <v>0</v>
      </c>
    </row>
    <row r="14" spans="2:9" ht="15" x14ac:dyDescent="0.25">
      <c r="B14" s="5" t="s">
        <v>278</v>
      </c>
      <c r="C14" s="178" t="str">
        <f>Comps!C56</f>
        <v/>
      </c>
      <c r="D14" s="178" t="str">
        <f>Comps!D56</f>
        <v/>
      </c>
      <c r="E14" s="178" t="str">
        <f>Comps!E56</f>
        <v/>
      </c>
      <c r="F14" s="122" t="str">
        <f t="shared" si="0"/>
        <v/>
      </c>
      <c r="H14" s="179">
        <f t="shared" si="1"/>
        <v>0</v>
      </c>
      <c r="I14" s="179">
        <f t="shared" si="2"/>
        <v>0</v>
      </c>
    </row>
    <row r="15" spans="2:9" ht="15" x14ac:dyDescent="0.25">
      <c r="B15" s="5" t="s">
        <v>279</v>
      </c>
      <c r="C15" s="178" t="str">
        <f>Comps!C57</f>
        <v/>
      </c>
      <c r="D15" s="178" t="str">
        <f>Comps!D57</f>
        <v/>
      </c>
      <c r="E15" s="178" t="str">
        <f>Comps!E57</f>
        <v/>
      </c>
      <c r="F15" s="122" t="str">
        <f t="shared" si="0"/>
        <v/>
      </c>
      <c r="H15" s="179">
        <f t="shared" si="1"/>
        <v>0</v>
      </c>
      <c r="I15" s="179">
        <f t="shared" si="2"/>
        <v>0</v>
      </c>
    </row>
    <row r="16" spans="2:9" ht="15" x14ac:dyDescent="0.25">
      <c r="B16" s="5" t="s">
        <v>280</v>
      </c>
      <c r="C16" s="178" t="str">
        <f>Comps!C58</f>
        <v/>
      </c>
      <c r="D16" s="178" t="str">
        <f>Comps!D58</f>
        <v/>
      </c>
      <c r="E16" s="178" t="str">
        <f>Comps!E58</f>
        <v/>
      </c>
      <c r="F16" s="122" t="str">
        <f t="shared" si="0"/>
        <v/>
      </c>
      <c r="H16" s="179">
        <f t="shared" si="1"/>
        <v>0</v>
      </c>
      <c r="I16" s="179">
        <f t="shared" si="2"/>
        <v>0</v>
      </c>
    </row>
    <row r="17" spans="2:9" ht="15" x14ac:dyDescent="0.25">
      <c r="B17" s="5" t="s">
        <v>281</v>
      </c>
      <c r="C17" s="178" t="str">
        <f>Comps!C59</f>
        <v/>
      </c>
      <c r="D17" s="178" t="str">
        <f>Comps!D59</f>
        <v/>
      </c>
      <c r="E17" s="178" t="str">
        <f>Comps!E59</f>
        <v/>
      </c>
      <c r="F17" s="122" t="str">
        <f t="shared" si="0"/>
        <v/>
      </c>
      <c r="H17" s="179">
        <f t="shared" si="1"/>
        <v>0</v>
      </c>
      <c r="I17" s="179">
        <f t="shared" si="2"/>
        <v>0</v>
      </c>
    </row>
    <row r="18" spans="2:9" ht="15" x14ac:dyDescent="0.25">
      <c r="B18" s="5" t="s">
        <v>282</v>
      </c>
      <c r="C18" s="178">
        <f>Liquidation!G19</f>
        <v>-19.302950154597848</v>
      </c>
      <c r="E18" s="178">
        <f>Liquidation!E19</f>
        <v>-15.071818489937394</v>
      </c>
      <c r="F18" s="122" t="str">
        <f t="shared" si="0"/>
        <v/>
      </c>
      <c r="H18" s="179">
        <f t="shared" si="1"/>
        <v>0</v>
      </c>
      <c r="I18" s="179">
        <f t="shared" si="2"/>
        <v>0</v>
      </c>
    </row>
  </sheetData>
  <pageMargins left="0.75" right="0.75" top="1" bottom="1" header="0.511811023622047" footer="0.511811023622047"/>
  <pageSetup fitToHeight="0" orientation="landscape"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IS Quarterly</vt:lpstr>
      <vt:lpstr>IS Annual</vt:lpstr>
      <vt:lpstr>BS Annual</vt:lpstr>
      <vt:lpstr>CF Quarterly</vt:lpstr>
      <vt:lpstr>CF Annual</vt:lpstr>
      <vt:lpstr>DCF Model</vt:lpstr>
      <vt:lpstr>Comps</vt:lpstr>
      <vt:lpstr>Liquidation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Wall Street Prep, LLC</dc:creator>
  <dc:description/>
  <cp:lastModifiedBy>Samuel Heier</cp:lastModifiedBy>
  <cp:revision>1</cp:revision>
  <dcterms:created xsi:type="dcterms:W3CDTF">2006-10-30T23:26:47Z</dcterms:created>
  <dcterms:modified xsi:type="dcterms:W3CDTF">2026-09-29T20:01:46Z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1b0b552e-fe71-4692-9a0a-515971af59e0</vt:lpwstr>
  </property>
</Properties>
</file>
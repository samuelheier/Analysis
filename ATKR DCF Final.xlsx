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amheier/Documents/Investing/"/>
    </mc:Choice>
  </mc:AlternateContent>
  <xr:revisionPtr revIDLastSave="0" documentId="13_ncr:1_{29AEDA72-F706-DA47-97D8-950F8DBBF255}" xr6:coauthVersionLast="47" xr6:coauthVersionMax="47" xr10:uidLastSave="{00000000-0000-0000-0000-000000000000}"/>
  <bookViews>
    <workbookView xWindow="640" yWindow="500" windowWidth="28160" windowHeight="16160" xr2:uid="{26D33398-62AE-1948-AF25-DA5D9050AE5B}"/>
  </bookViews>
  <sheets>
    <sheet name="FCF Model" sheetId="13" r:id="rId1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13" l="1"/>
  <c r="I22" i="13"/>
  <c r="J17" i="13"/>
  <c r="K17" i="13"/>
  <c r="L17" i="13"/>
  <c r="M17" i="13"/>
  <c r="I17" i="13"/>
  <c r="J14" i="13"/>
  <c r="K14" i="13"/>
  <c r="L14" i="13"/>
  <c r="M14" i="13"/>
  <c r="I14" i="13"/>
  <c r="J11" i="13"/>
  <c r="K11" i="13"/>
  <c r="L11" i="13"/>
  <c r="M11" i="13"/>
  <c r="I11" i="13"/>
  <c r="H89" i="13"/>
  <c r="H90" i="13"/>
  <c r="J35" i="13"/>
  <c r="D11" i="13"/>
  <c r="G78" i="13"/>
  <c r="G79" i="13" s="1"/>
  <c r="G81" i="13" s="1"/>
  <c r="G73" i="13"/>
  <c r="G71" i="13"/>
  <c r="E40" i="13"/>
  <c r="F40" i="13"/>
  <c r="G40" i="13"/>
  <c r="H40" i="13"/>
  <c r="D40" i="13"/>
  <c r="E39" i="13"/>
  <c r="F39" i="13"/>
  <c r="G39" i="13"/>
  <c r="H39" i="13"/>
  <c r="D39" i="13"/>
  <c r="E38" i="13"/>
  <c r="F38" i="13"/>
  <c r="G38" i="13"/>
  <c r="H38" i="13"/>
  <c r="D38" i="13"/>
  <c r="D36" i="13"/>
  <c r="E36" i="13"/>
  <c r="F36" i="13"/>
  <c r="G36" i="13"/>
  <c r="H36" i="13"/>
  <c r="D37" i="13"/>
  <c r="E37" i="13"/>
  <c r="F37" i="13"/>
  <c r="G37" i="13"/>
  <c r="H37" i="13"/>
  <c r="E35" i="13"/>
  <c r="F35" i="13"/>
  <c r="G35" i="13"/>
  <c r="H35" i="13"/>
  <c r="D35" i="13"/>
  <c r="I39" i="13" l="1"/>
  <c r="J39" i="13" s="1"/>
  <c r="K39" i="13" s="1"/>
  <c r="G82" i="13"/>
  <c r="I38" i="13"/>
  <c r="J38" i="13" s="1"/>
  <c r="I40" i="13"/>
  <c r="J40" i="13" s="1"/>
  <c r="I37" i="13"/>
  <c r="J37" i="13" s="1"/>
  <c r="K37" i="13" s="1"/>
  <c r="L37" i="13" s="1"/>
  <c r="M37" i="13" s="1"/>
  <c r="I36" i="13"/>
  <c r="I35" i="13"/>
  <c r="E17" i="13"/>
  <c r="F17" i="13"/>
  <c r="G17" i="13"/>
  <c r="H17" i="13"/>
  <c r="D17" i="13"/>
  <c r="E14" i="13"/>
  <c r="F14" i="13"/>
  <c r="G14" i="13"/>
  <c r="H14" i="13"/>
  <c r="D14" i="13"/>
  <c r="G11" i="13"/>
  <c r="H11" i="13"/>
  <c r="F11" i="13"/>
  <c r="E11" i="13"/>
  <c r="L39" i="13" l="1"/>
  <c r="M39" i="13" s="1"/>
  <c r="I24" i="13"/>
  <c r="J24" i="13" s="1"/>
  <c r="K24" i="13" s="1"/>
  <c r="L24" i="13" s="1"/>
  <c r="M24" i="13" s="1"/>
  <c r="K38" i="13"/>
  <c r="L38" i="13" s="1"/>
  <c r="M38" i="13" s="1"/>
  <c r="K35" i="13"/>
  <c r="L35" i="13" s="1"/>
  <c r="K40" i="13"/>
  <c r="L40" i="13" s="1"/>
  <c r="J36" i="13"/>
  <c r="M35" i="13" l="1"/>
  <c r="M40" i="13"/>
  <c r="K36" i="13"/>
  <c r="L36" i="13" s="1"/>
  <c r="G70" i="13"/>
  <c r="G3" i="13"/>
  <c r="G44" i="13"/>
  <c r="F44" i="13" s="1"/>
  <c r="E44" i="13" s="1"/>
  <c r="D44" i="13" s="1"/>
  <c r="G9" i="13"/>
  <c r="F9" i="13" s="1"/>
  <c r="E9" i="13" s="1"/>
  <c r="D9" i="13" s="1"/>
  <c r="G21" i="13"/>
  <c r="F21" i="13" s="1"/>
  <c r="E21" i="13" s="1"/>
  <c r="D21" i="13" s="1"/>
  <c r="I33" i="13"/>
  <c r="I27" i="13"/>
  <c r="I54" i="13" s="1"/>
  <c r="I26" i="13"/>
  <c r="I53" i="13" s="1"/>
  <c r="I23" i="13"/>
  <c r="J23" i="13" s="1"/>
  <c r="I21" i="13"/>
  <c r="J21" i="13" s="1"/>
  <c r="K21" i="13" s="1"/>
  <c r="L21" i="13" s="1"/>
  <c r="M21" i="13" s="1"/>
  <c r="I9" i="13"/>
  <c r="J9" i="13" s="1"/>
  <c r="K9" i="13" s="1"/>
  <c r="L9" i="13" s="1"/>
  <c r="M9" i="13" s="1"/>
  <c r="I44" i="13"/>
  <c r="J44" i="13" s="1"/>
  <c r="K44" i="13" s="1"/>
  <c r="L44" i="13" s="1"/>
  <c r="M44" i="13" s="1"/>
  <c r="I55" i="13" l="1"/>
  <c r="M36" i="13"/>
  <c r="J27" i="13"/>
  <c r="J54" i="13" s="1"/>
  <c r="J33" i="13"/>
  <c r="K23" i="13"/>
  <c r="K52" i="13" s="1"/>
  <c r="I52" i="13"/>
  <c r="J52" i="13"/>
  <c r="J26" i="13"/>
  <c r="J53" i="13" s="1"/>
  <c r="J22" i="13"/>
  <c r="J51" i="13" s="1"/>
  <c r="I51" i="13"/>
  <c r="J55" i="13" l="1"/>
  <c r="L23" i="13"/>
  <c r="K33" i="13"/>
  <c r="K26" i="13"/>
  <c r="K53" i="13" s="1"/>
  <c r="K27" i="13"/>
  <c r="K54" i="13" s="1"/>
  <c r="K22" i="13"/>
  <c r="K55" i="13" l="1"/>
  <c r="M23" i="13"/>
  <c r="M52" i="13" s="1"/>
  <c r="L26" i="13"/>
  <c r="L53" i="13" s="1"/>
  <c r="L33" i="13"/>
  <c r="L55" i="13" s="1"/>
  <c r="L52" i="13"/>
  <c r="L27" i="13"/>
  <c r="L54" i="13" s="1"/>
  <c r="L22" i="13"/>
  <c r="L51" i="13" s="1"/>
  <c r="K51" i="13"/>
  <c r="M33" i="13" l="1"/>
  <c r="M55" i="13" s="1"/>
  <c r="M26" i="13"/>
  <c r="M53" i="13" s="1"/>
  <c r="M27" i="13"/>
  <c r="M54" i="13" s="1"/>
  <c r="M22" i="13"/>
  <c r="M51" i="13" s="1"/>
  <c r="I10" i="13"/>
  <c r="I13" i="13" s="1"/>
  <c r="I47" i="13" s="1"/>
  <c r="I49" i="13" s="1"/>
  <c r="I16" i="13" l="1"/>
  <c r="I50" i="13" s="1"/>
  <c r="I56" i="13" s="1"/>
  <c r="I58" i="13" s="1"/>
  <c r="I46" i="13"/>
  <c r="J10" i="13"/>
  <c r="J13" i="13" s="1"/>
  <c r="J47" i="13" s="1"/>
  <c r="J49" i="13" s="1"/>
  <c r="J16" i="13" l="1"/>
  <c r="J50" i="13" s="1"/>
  <c r="J56" i="13" s="1"/>
  <c r="J58" i="13" s="1"/>
  <c r="K10" i="13"/>
  <c r="J46" i="13"/>
  <c r="K16" i="13" l="1"/>
  <c r="K50" i="13" s="1"/>
  <c r="K46" i="13"/>
  <c r="K13" i="13"/>
  <c r="K47" i="13" s="1"/>
  <c r="K49" i="13" s="1"/>
  <c r="K56" i="13" s="1"/>
  <c r="K58" i="13" s="1"/>
  <c r="L10" i="13"/>
  <c r="L16" i="13" l="1"/>
  <c r="L50" i="13" s="1"/>
  <c r="L46" i="13"/>
  <c r="L13" i="13"/>
  <c r="L47" i="13" s="1"/>
  <c r="L49" i="13" s="1"/>
  <c r="M10" i="13"/>
  <c r="L56" i="13" l="1"/>
  <c r="L58" i="13" s="1"/>
  <c r="M16" i="13"/>
  <c r="M50" i="13" s="1"/>
  <c r="M46" i="13"/>
  <c r="M13" i="13"/>
  <c r="M47" i="13" s="1"/>
  <c r="M49" i="13" s="1"/>
  <c r="M56" i="13" s="1"/>
  <c r="D65" i="13" s="1"/>
  <c r="D66" i="13" l="1"/>
  <c r="D67" i="13" s="1"/>
  <c r="M58" i="13"/>
  <c r="D59" i="13" s="1"/>
</calcChain>
</file>

<file path=xl/sharedStrings.xml><?xml version="1.0" encoding="utf-8"?>
<sst xmlns="http://schemas.openxmlformats.org/spreadsheetml/2006/main" count="73" uniqueCount="66">
  <si>
    <t>WALL STREET PREP - FINANCIAL MODELING QUICK LESSON - BUILDING A SIMPLE DISCOUNTED CASH FLOW MODEL</t>
  </si>
  <si>
    <t>Valuation Date:</t>
  </si>
  <si>
    <t>absolute numbers are in thousands of $</t>
  </si>
  <si>
    <t>Share Price on Valuation Date:</t>
  </si>
  <si>
    <t>Diluted Shares Outstanding</t>
  </si>
  <si>
    <t>Select Operating Data</t>
  </si>
  <si>
    <t>Projected Annual Forecast</t>
  </si>
  <si>
    <t>Revenue</t>
  </si>
  <si>
    <t>Revenue Growth Rate (%)</t>
  </si>
  <si>
    <t>EBIT</t>
  </si>
  <si>
    <t>EBIT Margin (%)</t>
  </si>
  <si>
    <t xml:space="preserve">Depreciation &amp; Amortization </t>
  </si>
  <si>
    <t>D&amp;A as a % of revenue</t>
  </si>
  <si>
    <t>Select Balance Sheet And Other Data</t>
  </si>
  <si>
    <t>Accounts Receivable</t>
  </si>
  <si>
    <t>Inventories</t>
  </si>
  <si>
    <t>Prepaid Expenses</t>
  </si>
  <si>
    <t>Accounts Payable</t>
  </si>
  <si>
    <t>Accrued Expenses</t>
  </si>
  <si>
    <t>Cash</t>
  </si>
  <si>
    <t>Debt</t>
  </si>
  <si>
    <t>Capital Expenditures</t>
  </si>
  <si>
    <t>Accounts Receivable Growth (%)</t>
  </si>
  <si>
    <t>Inventories Growth (%)</t>
  </si>
  <si>
    <t>Prepaid Expenses Growth (%)</t>
  </si>
  <si>
    <t>Accounts Payable Growth (%)</t>
  </si>
  <si>
    <t>Accrued Expenses Growth (%)</t>
  </si>
  <si>
    <t>Capital Expenditures Growth (%)</t>
  </si>
  <si>
    <t>Free Cash Flow Buildup</t>
  </si>
  <si>
    <t>$mm</t>
  </si>
  <si>
    <t>Period</t>
  </si>
  <si>
    <t>Total Revenues</t>
  </si>
  <si>
    <t>Tax rate</t>
  </si>
  <si>
    <t>EBIAT</t>
  </si>
  <si>
    <t>Depreciation &amp; Amortization</t>
  </si>
  <si>
    <t>Chg in Accounts receivable</t>
  </si>
  <si>
    <t>Chg in Inventories</t>
  </si>
  <si>
    <t>Chg in Accounts payable</t>
  </si>
  <si>
    <t>Chg in Accrued expenses</t>
  </si>
  <si>
    <t>Capital expenditures</t>
  </si>
  <si>
    <t>Unlevered free cash flows</t>
  </si>
  <si>
    <r>
      <t xml:space="preserve">Discount Rate </t>
    </r>
    <r>
      <rPr>
        <i/>
        <sz val="11"/>
        <rFont val="Calibri"/>
        <family val="2"/>
      </rPr>
      <t>(WACC)</t>
    </r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</si>
  <si>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</si>
  <si>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</si>
  <si>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</si>
  <si>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</si>
  <si>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</si>
  <si>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</si>
  <si>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</si>
  <si>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</si>
  <si>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Share Price</t>
  </si>
  <si>
    <t>Cost of Debt</t>
  </si>
  <si>
    <t>Tax Rate</t>
  </si>
  <si>
    <t>After-tax Cost of Debt</t>
  </si>
  <si>
    <t>Cost of Equity</t>
  </si>
  <si>
    <t>Total Debt ($)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</si>
  <si>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</si>
  <si>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</si>
  <si>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</si>
  <si>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</si>
  <si>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</si>
  <si>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</si>
  <si>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</si>
  <si>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</si>
  <si>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Equity Value</t>
  </si>
  <si>
    <t>Equity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</si>
</sst>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"/>
    <numFmt numFmtId="165" formatCode="#,##0.0_);\(#,##0.0\)"/>
    <numFmt numFmtId="166" formatCode="[$-409]h:mm:ss\ AM/PM"/>
    <numFmt numFmtId="167" formatCode="0.0%"/>
    <numFmt numFmtId="168" formatCode="#,##0.0%_);\(#,##0.0%\)"/>
    <numFmt numFmtId="169" formatCode="mm/dd/yy;@"/>
    <numFmt numFmtId="170" formatCode="0.0"/>
    <numFmt numFmtId="171" formatCode="#,##0.000_);[Red]\(#,##0.000\)"/>
    <numFmt numFmtId="172" formatCode="&quot;$&quot;#,##0.0_);\(&quot;$&quot;#,##0.0\)"/>
    <numFmt numFmtId="173" formatCode="&quot;$&quot;#,##0.00"/>
    <numFmt numFmtId="174" formatCode="[&gt;1]&quot;10Q: &quot;0&quot; qtrs&quot;;&quot;10Q: &quot;0&quot; qtr&quot;"/>
    <numFmt numFmtId="175" formatCode="&quot;$&quot;#,##0.00_);[Red]\(&quot;$&quot;#,##0.00\);&quot;--  &quot;;_(@_)"/>
    <numFmt numFmtId="176" formatCode="mmm\-dd\-yy"/>
    <numFmt numFmtId="177" formatCode="mmm\-dd\-yyyy"/>
    <numFmt numFmtId="178" formatCode="mmm\-d\-yyyy"/>
    <numFmt numFmtId="179" formatCode="mmm\-yyyy"/>
    <numFmt numFmtId="180" formatCode="#,##0.0_);[Red]\(#,##0.0\);&quot;--  &quot;"/>
    <numFmt numFmtId="181" formatCode="#,##0.0_);[Red]\(#,##0.0\)"/>
    <numFmt numFmtId="182" formatCode="#,##0.00&quot;x&quot;_);[Red]\(#,##0.00&quot;x&quot;\)"/>
    <numFmt numFmtId="183" formatCode="#,##0.0%_);[Red]\(#,##0.0%\)"/>
    <numFmt numFmtId="184" formatCode="#,##0.00%_);[Red]\(#,##0.00%\)"/>
    <numFmt numFmtId="185" formatCode="0.00\x"/>
    <numFmt numFmtId="186" formatCode="0.0&quot; years&quot;"/>
    <numFmt numFmtId="187" formatCode="_(* #,##0.0_);_(* \(#,##0.0\);_(* &quot;-&quot;?_);_(@_)"/>
    <numFmt numFmtId="188" formatCode="_(#,##0\ \b\p_);_(\(#,##0\ \b\p\);&quot;-&quot;?;_(@_)"/>
    <numFmt numFmtId="189" formatCode="#,##0.0_);\(#,##0.0\);&quot;-&quot;?"/>
    <numFmt numFmtId="190" formatCode="#,##0.00_);\(#,##0.00\);&quot;-&quot;?"/>
    <numFmt numFmtId="191" formatCode="&quot;$&quot;#,##0.0_);\(&quot;$&quot;#,##0.0\);&quot;$&quot;&quot;-&quot;?"/>
    <numFmt numFmtId="192" formatCode="&quot;$&quot;#,##0.00_);\(&quot;$&quot;#,##0.00\);&quot;$&quot;&quot;-&quot;?"/>
    <numFmt numFmtId="193" formatCode="#,##0.00%_);\(#,##0.00%\)"/>
    <numFmt numFmtId="194" formatCode="#,##0.00\x_);\(#,##0.00\x\);&quot;-&quot;?"/>
    <numFmt numFmtId="195" formatCode="yyyy\A"/>
    <numFmt numFmtId="196" formatCode="yyyy\P"/>
    <numFmt numFmtId="197" formatCode="#,##0.0_);\(#,##0.0\);@_)"/>
    <numFmt numFmtId="198" formatCode="&quot;$&quot;#,##0.0_);\(&quot;$&quot;#,##0.0\);@_)"/>
    <numFmt numFmtId="199" formatCode="0.0%_);\(0.0%\);@_)"/>
    <numFmt numFmtId="200" formatCode="&quot;$&quot;#,##0.00_);\(&quot;$&quot;#,##0.00\);@_)"/>
  </numFmts>
  <fonts count="3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9"/>
      <color indexed="12"/>
      <name val="Trebuchet MS"/>
      <family val="2"/>
    </font>
    <font>
      <sz val="9"/>
      <name val="Trebuchet MS"/>
      <family val="2"/>
    </font>
    <font>
      <sz val="10"/>
      <color indexed="12"/>
      <name val="Times New Roman"/>
      <family val="1"/>
    </font>
    <font>
      <sz val="10"/>
      <name val="Trebuchet MS"/>
      <family val="2"/>
    </font>
    <font>
      <i/>
      <sz val="1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indexed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rgb="FF008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0">
    <xf numFmtId="0" fontId="0" fillId="0" borderId="0"/>
    <xf numFmtId="174" fontId="4" fillId="0" borderId="0" applyFill="0" applyBorder="0" applyAlignment="0" applyProtection="0">
      <alignment horizontal="right"/>
    </xf>
    <xf numFmtId="188" fontId="11" fillId="0" borderId="0" applyFont="0" applyFill="0" applyBorder="0" applyAlignment="0" applyProtection="0">
      <alignment horizontal="right"/>
    </xf>
    <xf numFmtId="164" fontId="11" fillId="2" borderId="0" applyFont="0" applyFill="0" applyBorder="0" applyAlignment="0" applyProtection="0"/>
    <xf numFmtId="189" fontId="11" fillId="0" borderId="0" applyFont="0" applyFill="0" applyBorder="0" applyAlignment="0" applyProtection="0"/>
    <xf numFmtId="190" fontId="11" fillId="0" borderId="0" applyFont="0" applyFill="0" applyBorder="0" applyAlignment="0" applyProtection="0">
      <alignment horizontal="left" indent="1"/>
    </xf>
    <xf numFmtId="175" fontId="1" fillId="0" borderId="1" applyFont="0" applyFill="0" applyBorder="0" applyAlignment="0" applyProtection="0"/>
    <xf numFmtId="166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192" fontId="11" fillId="2" borderId="0" applyFont="0" applyFill="0" applyBorder="0" applyAlignment="0" applyProtection="0"/>
    <xf numFmtId="44" fontId="3" fillId="0" borderId="0" applyFont="0" applyFill="0" applyBorder="0" applyAlignment="0" applyProtection="0"/>
    <xf numFmtId="15" fontId="13" fillId="0" borderId="0" applyFont="0" applyFill="0" applyBorder="0" applyAlignment="0" applyProtection="0"/>
    <xf numFmtId="169" fontId="12" fillId="0" borderId="0" applyFont="0" applyFill="0" applyBorder="0" applyAlignment="0" applyProtection="0">
      <alignment horizontal="left"/>
    </xf>
    <xf numFmtId="17" fontId="10" fillId="0" borderId="0" applyFont="0" applyFill="0" applyBorder="0" applyAlignment="0" applyProtection="0">
      <alignment horizontal="right"/>
    </xf>
    <xf numFmtId="176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5" fillId="3" borderId="2" applyFont="0" applyFill="0" applyBorder="0" applyAlignment="0" applyProtection="0"/>
    <xf numFmtId="179" fontId="4" fillId="0" borderId="3" applyFont="0" applyFill="0" applyBorder="0" applyAlignment="0" applyProtection="0"/>
    <xf numFmtId="14" fontId="4" fillId="0" borderId="3" applyFont="0" applyFill="0" applyBorder="0" applyAlignment="0" applyProtection="0"/>
    <xf numFmtId="180" fontId="1" fillId="0" borderId="0" applyFont="0" applyFill="0" applyBorder="0" applyAlignment="0" applyProtection="0">
      <alignment horizontal="right"/>
    </xf>
    <xf numFmtId="37" fontId="5" fillId="4" borderId="0" applyFont="0" applyFill="0" applyBorder="0" applyAlignment="0" applyProtection="0"/>
    <xf numFmtId="181" fontId="3" fillId="0" borderId="0" applyFont="0" applyFill="0" applyBorder="0" applyAlignment="0"/>
    <xf numFmtId="171" fontId="1" fillId="0" borderId="0" applyFont="0" applyFill="0" applyBorder="0" applyAlignment="0"/>
    <xf numFmtId="166" fontId="1" fillId="0" borderId="0" applyFont="0" applyFill="0" applyBorder="0" applyAlignment="0"/>
    <xf numFmtId="0" fontId="3" fillId="0" borderId="0"/>
    <xf numFmtId="0" fontId="8" fillId="0" borderId="0"/>
    <xf numFmtId="0" fontId="2" fillId="0" borderId="0"/>
    <xf numFmtId="182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168" fontId="9" fillId="0" borderId="0" applyFont="0" applyFill="0" applyBorder="0" applyAlignment="0" applyProtection="0">
      <alignment horizontal="right"/>
    </xf>
    <xf numFmtId="193" fontId="8" fillId="0" borderId="0" applyFont="0" applyFill="0" applyBorder="0" applyAlignment="0" applyProtection="0">
      <alignment horizontal="right"/>
    </xf>
    <xf numFmtId="183" fontId="6" fillId="3" borderId="4" applyFill="0" applyBorder="0" applyAlignment="0" applyProtection="0">
      <alignment horizontal="right"/>
      <protection locked="0"/>
    </xf>
    <xf numFmtId="184" fontId="6" fillId="5" borderId="0" applyFill="0" applyBorder="0" applyAlignment="0" applyProtection="0">
      <protection hidden="1"/>
    </xf>
    <xf numFmtId="9" fontId="3" fillId="0" borderId="0" applyFont="0" applyFill="0" applyBorder="0" applyAlignment="0" applyProtection="0"/>
    <xf numFmtId="181" fontId="7" fillId="0" borderId="0" applyNumberFormat="0" applyFill="0" applyBorder="0" applyAlignment="0" applyProtection="0">
      <alignment horizontal="left"/>
    </xf>
    <xf numFmtId="185" fontId="1" fillId="0" borderId="0" applyFont="0" applyFill="0" applyBorder="0" applyAlignment="0" applyProtection="0">
      <alignment horizontal="right"/>
    </xf>
    <xf numFmtId="170" fontId="11" fillId="0" borderId="0" applyFont="0" applyFill="0" applyBorder="0" applyAlignment="0" applyProtection="0"/>
    <xf numFmtId="194" fontId="11" fillId="0" borderId="0" applyFont="0" applyFill="0" applyBorder="0" applyAlignment="0" applyProtection="0">
      <alignment horizontal="right"/>
    </xf>
    <xf numFmtId="186" fontId="1" fillId="0" borderId="0" applyFont="0" applyFill="0" applyBorder="0" applyAlignment="0"/>
    <xf numFmtId="9" fontId="35" fillId="0" borderId="0" applyFont="0" applyFill="0" applyBorder="0" applyAlignment="0" applyProtection="0"/>
  </cellStyleXfs>
  <cellXfs count="90">
    <xf numFmtId="0" fontId="0" fillId="0" borderId="0" xfId="0"/>
    <xf numFmtId="0" fontId="17" fillId="6" borderId="5" xfId="0" applyFont="1" applyFill="1" applyBorder="1"/>
    <xf numFmtId="0" fontId="16" fillId="0" borderId="6" xfId="0" applyFont="1" applyBorder="1" applyAlignment="1">
      <alignment horizontal="centerContinuous"/>
    </xf>
    <xf numFmtId="0" fontId="16" fillId="0" borderId="7" xfId="0" applyFont="1" applyBorder="1" applyAlignment="1">
      <alignment horizontal="centerContinuous"/>
    </xf>
    <xf numFmtId="0" fontId="16" fillId="7" borderId="8" xfId="0" applyFont="1" applyFill="1" applyBorder="1" applyAlignment="1">
      <alignment horizontal="centerContinuous"/>
    </xf>
    <xf numFmtId="0" fontId="16" fillId="7" borderId="9" xfId="0" applyFont="1" applyFill="1" applyBorder="1" applyAlignment="1">
      <alignment horizontal="centerContinuous"/>
    </xf>
    <xf numFmtId="0" fontId="16" fillId="7" borderId="10" xfId="0" applyFont="1" applyFill="1" applyBorder="1" applyAlignment="1">
      <alignment horizontal="centerContinuous"/>
    </xf>
    <xf numFmtId="0" fontId="16" fillId="0" borderId="0" xfId="0" applyFont="1" applyAlignment="1">
      <alignment horizontal="centerContinuous"/>
    </xf>
    <xf numFmtId="195" fontId="16" fillId="0" borderId="11" xfId="0" applyNumberFormat="1" applyFont="1" applyBorder="1"/>
    <xf numFmtId="196" fontId="16" fillId="0" borderId="11" xfId="0" applyNumberFormat="1" applyFont="1" applyBorder="1"/>
    <xf numFmtId="0" fontId="19" fillId="0" borderId="0" xfId="0" applyFont="1"/>
    <xf numFmtId="0" fontId="20" fillId="0" borderId="8" xfId="0" applyFont="1" applyBorder="1"/>
    <xf numFmtId="0" fontId="20" fillId="0" borderId="0" xfId="0" applyFont="1"/>
    <xf numFmtId="0" fontId="21" fillId="0" borderId="0" xfId="24" applyFont="1"/>
    <xf numFmtId="0" fontId="21" fillId="0" borderId="3" xfId="24" applyFont="1" applyBorder="1"/>
    <xf numFmtId="0" fontId="22" fillId="0" borderId="0" xfId="0" applyFont="1"/>
    <xf numFmtId="0" fontId="19" fillId="0" borderId="0" xfId="0" applyFont="1" applyAlignment="1">
      <alignment horizontal="left"/>
    </xf>
    <xf numFmtId="198" fontId="18" fillId="8" borderId="0" xfId="0" applyNumberFormat="1" applyFont="1" applyFill="1"/>
    <xf numFmtId="199" fontId="23" fillId="8" borderId="0" xfId="0" applyNumberFormat="1" applyFont="1" applyFill="1"/>
    <xf numFmtId="197" fontId="19" fillId="0" borderId="0" xfId="0" applyNumberFormat="1" applyFont="1"/>
    <xf numFmtId="198" fontId="19" fillId="0" borderId="0" xfId="0" applyNumberFormat="1" applyFont="1"/>
    <xf numFmtId="0" fontId="19" fillId="0" borderId="0" xfId="0" applyFont="1" applyAlignment="1">
      <alignment readingOrder="1"/>
    </xf>
    <xf numFmtId="0" fontId="24" fillId="0" borderId="0" xfId="0" applyFont="1" applyAlignment="1">
      <alignment horizontal="left" vertical="top" readingOrder="1"/>
    </xf>
    <xf numFmtId="15" fontId="24" fillId="0" borderId="0" xfId="0" applyNumberFormat="1" applyFont="1" applyAlignment="1">
      <alignment horizontal="right" vertical="top" readingOrder="1"/>
    </xf>
    <xf numFmtId="0" fontId="19" fillId="0" borderId="0" xfId="24" applyFont="1"/>
    <xf numFmtId="0" fontId="19" fillId="0" borderId="3" xfId="24" applyFont="1" applyBorder="1"/>
    <xf numFmtId="165" fontId="19" fillId="0" borderId="0" xfId="24" applyNumberFormat="1" applyFont="1" applyAlignment="1">
      <alignment horizontal="left"/>
    </xf>
    <xf numFmtId="0" fontId="19" fillId="0" borderId="0" xfId="24" applyFont="1" applyAlignment="1">
      <alignment horizontal="left" indent="1"/>
    </xf>
    <xf numFmtId="0" fontId="21" fillId="0" borderId="0" xfId="24" applyFont="1" applyAlignment="1">
      <alignment horizontal="left" indent="1"/>
    </xf>
    <xf numFmtId="14" fontId="25" fillId="0" borderId="0" xfId="0" applyNumberFormat="1" applyFont="1" applyAlignment="1">
      <alignment horizontal="right" vertical="top" readingOrder="1"/>
    </xf>
    <xf numFmtId="198" fontId="19" fillId="0" borderId="0" xfId="24" applyNumberFormat="1" applyFont="1"/>
    <xf numFmtId="167" fontId="22" fillId="0" borderId="0" xfId="24" applyNumberFormat="1" applyFont="1"/>
    <xf numFmtId="198" fontId="21" fillId="0" borderId="12" xfId="24" applyNumberFormat="1" applyFont="1" applyBorder="1"/>
    <xf numFmtId="165" fontId="19" fillId="0" borderId="0" xfId="24" applyNumberFormat="1" applyFont="1" applyAlignment="1">
      <alignment horizontal="right" indent="1"/>
    </xf>
    <xf numFmtId="167" fontId="26" fillId="4" borderId="0" xfId="24" applyNumberFormat="1" applyFont="1" applyFill="1" applyAlignment="1">
      <alignment horizontal="right" indent="1"/>
    </xf>
    <xf numFmtId="0" fontId="15" fillId="0" borderId="0" xfId="0" applyFont="1"/>
    <xf numFmtId="165" fontId="15" fillId="0" borderId="0" xfId="24" applyNumberFormat="1" applyFont="1" applyAlignment="1">
      <alignment horizontal="right" indent="1"/>
    </xf>
    <xf numFmtId="187" fontId="19" fillId="0" borderId="0" xfId="24" applyNumberFormat="1" applyFont="1"/>
    <xf numFmtId="199" fontId="19" fillId="0" borderId="0" xfId="24" applyNumberFormat="1" applyFont="1"/>
    <xf numFmtId="170" fontId="19" fillId="0" borderId="0" xfId="24" applyNumberFormat="1" applyFont="1" applyAlignment="1">
      <alignment horizontal="right" indent="1"/>
    </xf>
    <xf numFmtId="165" fontId="25" fillId="0" borderId="0" xfId="24" applyNumberFormat="1" applyFont="1" applyAlignment="1">
      <alignment horizontal="right" indent="1"/>
    </xf>
    <xf numFmtId="198" fontId="19" fillId="0" borderId="0" xfId="24" applyNumberFormat="1" applyFont="1" applyAlignment="1">
      <alignment horizontal="right" indent="1"/>
    </xf>
    <xf numFmtId="198" fontId="21" fillId="0" borderId="12" xfId="24" applyNumberFormat="1" applyFont="1" applyBorder="1" applyAlignment="1">
      <alignment horizontal="right" indent="1"/>
    </xf>
    <xf numFmtId="0" fontId="27" fillId="0" borderId="0" xfId="0" applyFont="1"/>
    <xf numFmtId="0" fontId="0" fillId="0" borderId="12" xfId="0" applyBorder="1"/>
    <xf numFmtId="167" fontId="26" fillId="0" borderId="0" xfId="24" applyNumberFormat="1" applyFont="1" applyAlignment="1">
      <alignment horizontal="right" indent="1"/>
    </xf>
    <xf numFmtId="0" fontId="19" fillId="0" borderId="14" xfId="24" applyFont="1" applyBorder="1"/>
    <xf numFmtId="0" fontId="19" fillId="0" borderId="11" xfId="0" applyFont="1" applyBorder="1"/>
    <xf numFmtId="197" fontId="19" fillId="0" borderId="0" xfId="24" applyNumberFormat="1" applyFont="1" applyAlignment="1">
      <alignment horizontal="right" indent="1"/>
    </xf>
    <xf numFmtId="198" fontId="21" fillId="0" borderId="0" xfId="24" applyNumberFormat="1" applyFont="1" applyAlignment="1">
      <alignment horizontal="right" indent="1"/>
    </xf>
    <xf numFmtId="8" fontId="21" fillId="0" borderId="0" xfId="24" applyNumberFormat="1" applyFont="1" applyAlignment="1">
      <alignment horizontal="right" indent="1"/>
    </xf>
    <xf numFmtId="14" fontId="18" fillId="8" borderId="0" xfId="0" applyNumberFormat="1" applyFont="1" applyFill="1" applyAlignment="1">
      <alignment horizontal="right" vertical="top" readingOrder="1"/>
    </xf>
    <xf numFmtId="197" fontId="18" fillId="8" borderId="0" xfId="0" applyNumberFormat="1" applyFont="1" applyFill="1" applyAlignment="1">
      <alignment horizontal="right" vertical="top" readingOrder="1"/>
    </xf>
    <xf numFmtId="200" fontId="18" fillId="8" borderId="0" xfId="0" applyNumberFormat="1" applyFont="1" applyFill="1" applyAlignment="1">
      <alignment horizontal="right" vertical="top" readingOrder="1"/>
    </xf>
    <xf numFmtId="0" fontId="16" fillId="0" borderId="15" xfId="0" applyFont="1" applyBorder="1" applyAlignment="1">
      <alignment horizontal="centerContinuous"/>
    </xf>
    <xf numFmtId="0" fontId="16" fillId="0" borderId="16" xfId="0" applyFont="1" applyBorder="1" applyAlignment="1">
      <alignment horizontal="centerContinuous"/>
    </xf>
    <xf numFmtId="198" fontId="28" fillId="0" borderId="0" xfId="24" applyNumberFormat="1" applyFont="1"/>
    <xf numFmtId="165" fontId="28" fillId="0" borderId="0" xfId="24" applyNumberFormat="1" applyFont="1"/>
    <xf numFmtId="197" fontId="28" fillId="0" borderId="0" xfId="0" applyNumberFormat="1" applyFont="1"/>
    <xf numFmtId="197" fontId="19" fillId="0" borderId="0" xfId="0" applyNumberFormat="1" applyFont="1" applyAlignment="1">
      <alignment readingOrder="1"/>
    </xf>
    <xf numFmtId="198" fontId="19" fillId="0" borderId="0" xfId="0" applyNumberFormat="1" applyFont="1" applyAlignment="1">
      <alignment readingOrder="1"/>
    </xf>
    <xf numFmtId="167" fontId="28" fillId="0" borderId="0" xfId="24" applyNumberFormat="1" applyFont="1"/>
    <xf numFmtId="200" fontId="28" fillId="0" borderId="0" xfId="24" applyNumberFormat="1" applyFont="1"/>
    <xf numFmtId="197" fontId="28" fillId="0" borderId="0" xfId="24" applyNumberFormat="1" applyFont="1"/>
    <xf numFmtId="199" fontId="28" fillId="0" borderId="0" xfId="24" applyNumberFormat="1" applyFont="1"/>
    <xf numFmtId="167" fontId="28" fillId="0" borderId="0" xfId="24" applyNumberFormat="1" applyFont="1" applyAlignment="1">
      <alignment horizontal="right" indent="1"/>
    </xf>
    <xf numFmtId="0" fontId="29" fillId="0" borderId="0" xfId="0" applyFont="1" applyAlignment="1">
      <alignment horizontal="left" vertical="top" readingOrder="1"/>
    </xf>
    <xf numFmtId="172" fontId="19" fillId="0" borderId="0" xfId="0" applyNumberFormat="1" applyFont="1" applyAlignment="1">
      <alignment readingOrder="1"/>
    </xf>
    <xf numFmtId="199" fontId="30" fillId="8" borderId="0" xfId="0" applyNumberFormat="1" applyFont="1" applyFill="1" applyAlignment="1">
      <alignment readingOrder="1"/>
    </xf>
    <xf numFmtId="0" fontId="22" fillId="0" borderId="0" xfId="0" applyFont="1" applyAlignment="1">
      <alignment horizontal="left"/>
    </xf>
    <xf numFmtId="15" fontId="29" fillId="0" borderId="0" xfId="0" applyNumberFormat="1" applyFont="1" applyAlignment="1">
      <alignment horizontal="right" vertical="top" readingOrder="1"/>
    </xf>
    <xf numFmtId="14" fontId="31" fillId="0" borderId="0" xfId="0" applyNumberFormat="1" applyFont="1" applyAlignment="1">
      <alignment horizontal="right" vertical="top" readingOrder="1"/>
    </xf>
    <xf numFmtId="0" fontId="22" fillId="0" borderId="0" xfId="0" applyFont="1" applyAlignment="1">
      <alignment readingOrder="1"/>
    </xf>
    <xf numFmtId="198" fontId="21" fillId="0" borderId="0" xfId="0" applyNumberFormat="1" applyFont="1"/>
    <xf numFmtId="198" fontId="21" fillId="0" borderId="0" xfId="24" applyNumberFormat="1" applyFont="1"/>
    <xf numFmtId="0" fontId="32" fillId="0" borderId="0" xfId="24" applyFont="1"/>
    <xf numFmtId="0" fontId="21" fillId="0" borderId="0" xfId="24" quotePrefix="1" applyFont="1"/>
    <xf numFmtId="0" fontId="21" fillId="0" borderId="0" xfId="0" applyFont="1"/>
    <xf numFmtId="167" fontId="21" fillId="0" borderId="0" xfId="24" applyNumberFormat="1" applyFont="1"/>
    <xf numFmtId="0" fontId="33" fillId="0" borderId="8" xfId="0" applyFont="1" applyBorder="1"/>
    <xf numFmtId="167" fontId="26" fillId="9" borderId="0" xfId="24" applyNumberFormat="1" applyFont="1" applyFill="1" applyAlignment="1">
      <alignment horizontal="right" indent="1"/>
    </xf>
    <xf numFmtId="198" fontId="34" fillId="10" borderId="0" xfId="0" applyNumberFormat="1" applyFont="1" applyFill="1"/>
    <xf numFmtId="10" fontId="24" fillId="0" borderId="0" xfId="0" applyNumberFormat="1" applyFont="1" applyAlignment="1">
      <alignment horizontal="right" vertical="top" readingOrder="1"/>
    </xf>
    <xf numFmtId="0" fontId="19" fillId="0" borderId="11" xfId="24" applyFont="1" applyBorder="1"/>
    <xf numFmtId="167" fontId="21" fillId="0" borderId="0" xfId="39" applyNumberFormat="1" applyFont="1"/>
    <xf numFmtId="167" fontId="21" fillId="0" borderId="0" xfId="0" applyNumberFormat="1" applyFont="1"/>
    <xf numFmtId="8" fontId="21" fillId="11" borderId="13" xfId="24" applyNumberFormat="1" applyFont="1" applyFill="1" applyBorder="1" applyAlignment="1">
      <alignment horizontal="right" indent="1"/>
    </xf>
    <xf numFmtId="8" fontId="36" fillId="9" borderId="13" xfId="24" applyNumberFormat="1" applyFont="1" applyFill="1" applyBorder="1" applyAlignment="1">
      <alignment horizontal="right" indent="1"/>
    </xf>
    <xf numFmtId="0" fontId="37" fillId="9" borderId="12" xfId="0" applyFont="1" applyFill="1" applyBorder="1"/>
    <xf numFmtId="0" fontId="19" fillId="9" borderId="12" xfId="0" applyFont="1" applyFill="1" applyBorder="1"/>
  </cellXfs>
  <cellStyles count="40">
    <cellStyle name="10Q" xfId="1" xr:uid="{87E56F15-7D43-8D48-886D-2C4B85D44B9B}"/>
    <cellStyle name="bp" xfId="2" xr:uid="{EDFE8AFB-0A92-054A-B393-384DAA6EC982}"/>
    <cellStyle name="Comma (0)" xfId="3" xr:uid="{8D4135EA-0450-DB44-A468-FF57BEFDF0E2}"/>
    <cellStyle name="Comma (1)" xfId="4" xr:uid="{B9BE3420-8AF0-F340-82A4-C69EB66166C3}"/>
    <cellStyle name="Comma (2)" xfId="5" xr:uid="{8A9BFC8A-6D1D-A24C-8F77-DE1F32CBF400}"/>
    <cellStyle name="Currency (0)" xfId="7" xr:uid="{D03AC60E-D452-8646-8045-2269F09E8053}"/>
    <cellStyle name="Currency (1)" xfId="8" xr:uid="{C6A8661F-2B33-1D4F-B2E0-FC21057B0D7C}"/>
    <cellStyle name="Currency (2)" xfId="9" xr:uid="{38E534F0-7C61-1F46-825C-1704C2DB974B}"/>
    <cellStyle name="Currency 2" xfId="10" xr:uid="{82CAC2D7-C33F-734A-858A-78B03A60FC31}"/>
    <cellStyle name="Currency--" xfId="6" xr:uid="{920B33CB-3637-CF4A-AB1C-29598B5B1879}"/>
    <cellStyle name="Date (dd-mmm-yy)" xfId="11" xr:uid="{B6487634-8C8D-184D-803F-A9F89377E93C}"/>
    <cellStyle name="Date (mm-dd-yy)" xfId="12" xr:uid="{FB033CF9-6D98-794C-B207-C978A27760D1}"/>
    <cellStyle name="Date (mmm-yy)" xfId="13" xr:uid="{C697B1B8-71FA-584C-B8D3-83E19D6C6DA3}"/>
    <cellStyle name="Date [mm-d-yyyy]" xfId="16" xr:uid="{00CCC479-FDB6-8B4B-A911-9217F90FBE81}"/>
    <cellStyle name="Date [mm-dd-yy]" xfId="14" xr:uid="{966FD26C-41F0-B742-81FD-E93B41973963}"/>
    <cellStyle name="Date [mm-dd-yyyy]" xfId="15" xr:uid="{84FFA82C-5F17-2A47-BC49-CF0D17C59BB2}"/>
    <cellStyle name="Date [mmm-yyyy]" xfId="17" xr:uid="{48CEC8DB-7B32-0B47-80DB-01F9A6E531A1}"/>
    <cellStyle name="m/d/yy" xfId="18" xr:uid="{90BBCA05-5F95-C042-8EA5-31F578A11503}"/>
    <cellStyle name="Normal" xfId="0" builtinId="0"/>
    <cellStyle name="Normal [0]" xfId="20" xr:uid="{024179A8-EAC5-8A4E-B287-1DA3EA6C18A3}"/>
    <cellStyle name="Normal [1]" xfId="21" xr:uid="{F5B805EA-A892-DC41-82A9-C671FAD8E7BC}"/>
    <cellStyle name="Normal [3]" xfId="22" xr:uid="{645FCA5C-9DD5-5B46-B264-9AA51C8C62A5}"/>
    <cellStyle name="Normal [3] 2" xfId="23" xr:uid="{20E9C1BC-7B91-D549-948F-70EE47A58075}"/>
    <cellStyle name="Normal 2" xfId="24" xr:uid="{AD4D31F1-A197-2B4B-A1A3-2E91351A2A26}"/>
    <cellStyle name="Normal 3" xfId="25" xr:uid="{8712362E-AA4B-0E4C-A325-25D194AA1F9B}"/>
    <cellStyle name="Normal 4" xfId="26" xr:uid="{1DA0EADD-A6FF-9449-85F8-8D6C1A20D08C}"/>
    <cellStyle name="Normal--" xfId="19" xr:uid="{3D32E104-5E26-D44F-870E-C6DE6C098AE5}"/>
    <cellStyle name="Normalx" xfId="27" xr:uid="{61A14C29-481D-AA4E-B0FB-95DC64231607}"/>
    <cellStyle name="Percent" xfId="39" builtinId="5"/>
    <cellStyle name="Percent (0)" xfId="28" xr:uid="{DCC97175-8C81-FE42-AF04-DBD314AD65A1}"/>
    <cellStyle name="Percent (1)" xfId="29" xr:uid="{E9DDABD4-0EC9-2E4A-81E3-F97B54CFF24A}"/>
    <cellStyle name="Percent (2)" xfId="30" xr:uid="{E2EF0826-90C8-9A4E-BB4D-F2D86FD49240}"/>
    <cellStyle name="Percent [1]" xfId="31" xr:uid="{00842C10-54A0-8140-B3BB-B28AC93488F6}"/>
    <cellStyle name="Percent [2]" xfId="32" xr:uid="{779790E2-2395-3D4B-B5E9-6907C751D1A2}"/>
    <cellStyle name="Percent 2" xfId="33" xr:uid="{7F8A3E89-799E-8A4F-8494-433CBD2F4236}"/>
    <cellStyle name="Red font" xfId="34" xr:uid="{7FBC073A-4D81-9A42-A043-C73C19A6A55A}"/>
    <cellStyle name="Times" xfId="35" xr:uid="{0AAECC8F-CB87-1440-B40C-EC148D1EAD81}"/>
    <cellStyle name="x (1)" xfId="36" xr:uid="{D88E2E0C-FC96-A54D-8C8F-D72E1F8ED637}"/>
    <cellStyle name="x (2)" xfId="37" xr:uid="{8F7CEFAF-B6D1-8245-ABC3-FBB833114081}"/>
    <cellStyle name="Years" xfId="38" xr:uid="{69DBE103-8EB4-E046-9BDB-629F36BD59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9068-89C8-824E-ACF2-F221A2F642FB}">
  <sheetPr codeName="Sheet1"/>
  <dimension ref="A1:M93"/>
  <sheetViews>
    <sheetView tabSelected="1" zoomScaleNormal="100" workbookViewId="0">
      <selection activeCell="B7" sqref="B7"/>
    </sheetView>
  </sheetViews>
  <sheetFormatPr baseColWidth="10" defaultColWidth="11.5" defaultRowHeight="13" x14ac:dyDescent="0.15"/>
  <cols>
    <col min="1" max="1" width="1.6640625" customWidth="1"/>
    <col min="2" max="2" width="37.5" customWidth="1"/>
    <col min="3" max="3" width="8.6640625" hidden="1" customWidth="1"/>
    <col min="4" max="4" width="12.1640625" customWidth="1"/>
    <col min="5" max="13" width="12.33203125" customWidth="1"/>
    <col min="14" max="257" width="8.83203125" customWidth="1"/>
  </cols>
  <sheetData>
    <row r="1" spans="1:13" s="12" customFormat="1" ht="24" x14ac:dyDescent="0.3">
      <c r="A1" s="79" t="s">
        <v>0</v>
      </c>
      <c r="B1" s="43"/>
      <c r="C1" s="43"/>
      <c r="H1" s="11"/>
      <c r="I1" s="11"/>
      <c r="J1" s="11"/>
      <c r="K1" s="11"/>
      <c r="L1" s="11"/>
      <c r="M1" s="11"/>
    </row>
    <row r="2" spans="1:13" x14ac:dyDescent="0.15">
      <c r="B2" s="44"/>
      <c r="C2" s="44"/>
      <c r="D2" s="44"/>
      <c r="E2" s="44"/>
      <c r="F2" s="44"/>
      <c r="G2" s="44"/>
    </row>
    <row r="3" spans="1:13" s="21" customFormat="1" ht="15" x14ac:dyDescent="0.2">
      <c r="B3" s="22" t="s">
        <v>1</v>
      </c>
      <c r="C3" s="22"/>
      <c r="D3" s="23"/>
      <c r="E3" s="23"/>
      <c r="F3" s="23"/>
      <c r="G3" s="51">
        <f ca="1">TODAY()</f>
        <v>46132</v>
      </c>
      <c r="K3" s="21" t="s">
        <v>2</v>
      </c>
    </row>
    <row r="4" spans="1:13" s="21" customFormat="1" ht="15" x14ac:dyDescent="0.2">
      <c r="B4" s="22" t="s">
        <v>3</v>
      </c>
      <c r="C4" s="22"/>
      <c r="D4" s="23"/>
      <c r="E4" s="23"/>
      <c r="F4" s="23"/>
      <c r="G4" s="53">
        <v>94.31</v>
      </c>
    </row>
    <row r="5" spans="1:13" s="21" customFormat="1" ht="15" x14ac:dyDescent="0.2">
      <c r="B5" s="22" t="s">
        <v>4</v>
      </c>
      <c r="C5" s="22"/>
      <c r="D5" s="23"/>
      <c r="E5" s="23"/>
      <c r="F5" s="23"/>
      <c r="G5" s="52">
        <v>37.317892999999998</v>
      </c>
    </row>
    <row r="6" spans="1:13" s="21" customFormat="1" ht="15" x14ac:dyDescent="0.2">
      <c r="B6" s="22"/>
      <c r="C6" s="22"/>
      <c r="D6" s="23"/>
      <c r="E6" s="23"/>
      <c r="F6" s="23"/>
      <c r="G6" s="29"/>
    </row>
    <row r="7" spans="1:13" s="21" customFormat="1" ht="20" thickBot="1" x14ac:dyDescent="0.3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s="21" customFormat="1" ht="15" x14ac:dyDescent="0.2">
      <c r="B8" s="22"/>
      <c r="C8" s="22"/>
      <c r="D8" s="54"/>
      <c r="E8" s="7"/>
      <c r="F8" s="7"/>
      <c r="G8" s="7"/>
      <c r="H8" s="55"/>
      <c r="I8" s="4" t="s">
        <v>6</v>
      </c>
      <c r="J8" s="4"/>
      <c r="K8" s="4"/>
      <c r="L8" s="5"/>
      <c r="M8" s="6"/>
    </row>
    <row r="9" spans="1:13" s="21" customFormat="1" ht="15" x14ac:dyDescent="0.2">
      <c r="B9" s="22"/>
      <c r="C9" s="22"/>
      <c r="D9" s="8">
        <f>E9-365</f>
        <v>44044</v>
      </c>
      <c r="E9" s="8">
        <f>F9-365</f>
        <v>44409</v>
      </c>
      <c r="F9" s="8">
        <f>G9-365</f>
        <v>44774</v>
      </c>
      <c r="G9" s="8">
        <f>H9-365</f>
        <v>45139</v>
      </c>
      <c r="H9" s="8">
        <v>45504</v>
      </c>
      <c r="I9" s="9">
        <f>H9+365</f>
        <v>45869</v>
      </c>
      <c r="J9" s="9">
        <f>I9+365</f>
        <v>46234</v>
      </c>
      <c r="K9" s="9">
        <f>J9+365</f>
        <v>46599</v>
      </c>
      <c r="L9" s="9">
        <f>K9+365</f>
        <v>46964</v>
      </c>
      <c r="M9" s="9">
        <f>L9+365</f>
        <v>47329</v>
      </c>
    </row>
    <row r="10" spans="1:13" s="21" customFormat="1" ht="15" x14ac:dyDescent="0.2">
      <c r="B10" s="22" t="s">
        <v>7</v>
      </c>
      <c r="C10" s="81">
        <v>1916.5</v>
      </c>
      <c r="D10" s="81">
        <v>1765.4</v>
      </c>
      <c r="E10" s="81">
        <v>2928</v>
      </c>
      <c r="F10" s="81">
        <v>3913.9</v>
      </c>
      <c r="G10" s="81">
        <v>3518.8</v>
      </c>
      <c r="H10" s="81">
        <v>3202.1</v>
      </c>
      <c r="I10" s="60">
        <f>H10*(1+I11)</f>
        <v>3666.7056916215752</v>
      </c>
      <c r="J10" s="60">
        <f>I10*(1+J11)</f>
        <v>4198.7229096436877</v>
      </c>
      <c r="K10" s="60">
        <f>J10*(1+K11)</f>
        <v>4807.9326661667064</v>
      </c>
      <c r="L10" s="60">
        <f>K10*(1+L11)</f>
        <v>5505.5351400539512</v>
      </c>
      <c r="M10" s="60">
        <f>L10*(1+M11)</f>
        <v>6304.355589600078</v>
      </c>
    </row>
    <row r="11" spans="1:13" s="21" customFormat="1" ht="15" x14ac:dyDescent="0.2">
      <c r="B11" s="66" t="s">
        <v>8</v>
      </c>
      <c r="C11" s="66"/>
      <c r="D11" s="82">
        <f>(D10/C10)-1</f>
        <v>-7.8841638403339354E-2</v>
      </c>
      <c r="E11" s="82">
        <f>(E10/D10)-1</f>
        <v>0.65854763792908111</v>
      </c>
      <c r="F11" s="82">
        <f>(F10/E10)-1</f>
        <v>0.33671448087431699</v>
      </c>
      <c r="G11" s="82">
        <f>(G10/F10)-1</f>
        <v>-0.10094790362553974</v>
      </c>
      <c r="H11" s="82">
        <f>(H10/G10)-1</f>
        <v>-9.0002273502330365E-2</v>
      </c>
      <c r="I11" s="68">
        <f>AVERAGE($D$11:$H$11)</f>
        <v>0.14509406065443772</v>
      </c>
      <c r="J11" s="68">
        <f t="shared" ref="J11:M11" si="0">AVERAGE($D$11:$H$11)</f>
        <v>0.14509406065443772</v>
      </c>
      <c r="K11" s="68">
        <f t="shared" si="0"/>
        <v>0.14509406065443772</v>
      </c>
      <c r="L11" s="68">
        <f t="shared" si="0"/>
        <v>0.14509406065443772</v>
      </c>
      <c r="M11" s="68">
        <f t="shared" si="0"/>
        <v>0.14509406065443772</v>
      </c>
    </row>
    <row r="12" spans="1:13" s="21" customFormat="1" ht="15" x14ac:dyDescent="0.2">
      <c r="B12" s="22"/>
      <c r="C12" s="22"/>
      <c r="D12" s="23"/>
      <c r="E12" s="23"/>
      <c r="F12" s="23"/>
      <c r="G12" s="29"/>
    </row>
    <row r="13" spans="1:13" s="21" customFormat="1" ht="15" x14ac:dyDescent="0.2">
      <c r="B13" s="22" t="s">
        <v>9</v>
      </c>
      <c r="C13" s="81"/>
      <c r="D13" s="81">
        <v>243</v>
      </c>
      <c r="E13" s="81">
        <v>778.9</v>
      </c>
      <c r="F13" s="81">
        <v>1238</v>
      </c>
      <c r="G13" s="81">
        <v>905.5</v>
      </c>
      <c r="H13" s="81">
        <v>629.1</v>
      </c>
      <c r="I13" s="67">
        <f>I14*I10</f>
        <v>860.77311306122363</v>
      </c>
      <c r="J13" s="67">
        <f>J14*J10</f>
        <v>985.66617933743794</v>
      </c>
      <c r="K13" s="67">
        <f>K14*K10</f>
        <v>1128.6804877472521</v>
      </c>
      <c r="L13" s="67">
        <f>L14*L10</f>
        <v>1292.4453228959323</v>
      </c>
      <c r="M13" s="67">
        <f>M14*M10</f>
        <v>1479.9714629687392</v>
      </c>
    </row>
    <row r="14" spans="1:13" s="21" customFormat="1" ht="15" x14ac:dyDescent="0.2">
      <c r="B14" s="66" t="s">
        <v>10</v>
      </c>
      <c r="C14" s="66"/>
      <c r="D14" s="82">
        <f>D13/D10</f>
        <v>0.13764585929534381</v>
      </c>
      <c r="E14" s="82">
        <f t="shared" ref="E14:H14" si="1">E13/E10</f>
        <v>0.26601775956284152</v>
      </c>
      <c r="F14" s="82">
        <f t="shared" si="1"/>
        <v>0.31630854135261505</v>
      </c>
      <c r="G14" s="82">
        <f t="shared" si="1"/>
        <v>0.25733204501534612</v>
      </c>
      <c r="H14" s="82">
        <f t="shared" si="1"/>
        <v>0.19646481996190002</v>
      </c>
      <c r="I14" s="68">
        <f>AVERAGE($D$14:$H$14)</f>
        <v>0.23475380503760931</v>
      </c>
      <c r="J14" s="68">
        <f t="shared" ref="J14:M14" si="2">AVERAGE($D$14:$H$14)</f>
        <v>0.23475380503760931</v>
      </c>
      <c r="K14" s="68">
        <f t="shared" si="2"/>
        <v>0.23475380503760931</v>
      </c>
      <c r="L14" s="68">
        <f t="shared" si="2"/>
        <v>0.23475380503760931</v>
      </c>
      <c r="M14" s="68">
        <f t="shared" si="2"/>
        <v>0.23475380503760931</v>
      </c>
    </row>
    <row r="15" spans="1:13" s="21" customFormat="1" ht="15" x14ac:dyDescent="0.2">
      <c r="B15" s="22"/>
      <c r="C15" s="22"/>
      <c r="D15" s="23"/>
      <c r="E15" s="23"/>
      <c r="F15" s="23"/>
      <c r="G15" s="29"/>
    </row>
    <row r="16" spans="1:13" s="21" customFormat="1" ht="15" x14ac:dyDescent="0.2">
      <c r="B16" s="22" t="s">
        <v>11</v>
      </c>
      <c r="C16" s="81"/>
      <c r="D16" s="81">
        <v>74.5</v>
      </c>
      <c r="E16" s="81">
        <v>78.599999999999994</v>
      </c>
      <c r="F16" s="81">
        <v>84.4</v>
      </c>
      <c r="G16" s="81">
        <v>115.5</v>
      </c>
      <c r="H16" s="81">
        <v>121</v>
      </c>
      <c r="I16" s="67">
        <f>I17*I10</f>
        <v>118.22917817765298</v>
      </c>
      <c r="J16" s="67">
        <f>J17*J10</f>
        <v>135.38352972728569</v>
      </c>
      <c r="K16" s="67">
        <f>K17*K10</f>
        <v>155.02687580114835</v>
      </c>
      <c r="L16" s="67">
        <f>L17*L10</f>
        <v>177.52035472170815</v>
      </c>
      <c r="M16" s="67">
        <f>M17*M10</f>
        <v>203.27750383709699</v>
      </c>
    </row>
    <row r="17" spans="2:13" s="21" customFormat="1" ht="15" x14ac:dyDescent="0.2">
      <c r="B17" s="66" t="s">
        <v>12</v>
      </c>
      <c r="C17" s="66"/>
      <c r="D17" s="82">
        <f>D16/D10</f>
        <v>4.2200067973263845E-2</v>
      </c>
      <c r="E17" s="82">
        <f t="shared" ref="E17:H17" si="3">E16/E10</f>
        <v>2.6844262295081966E-2</v>
      </c>
      <c r="F17" s="82">
        <f t="shared" si="3"/>
        <v>2.1564168731955338E-2</v>
      </c>
      <c r="G17" s="82">
        <f t="shared" si="3"/>
        <v>3.2823689894282138E-2</v>
      </c>
      <c r="H17" s="82">
        <f t="shared" si="3"/>
        <v>3.7787701820680177E-2</v>
      </c>
      <c r="I17" s="68">
        <f>AVERAGE($D$17:$H$17)</f>
        <v>3.2243978143052694E-2</v>
      </c>
      <c r="J17" s="68">
        <f t="shared" ref="J17:M17" si="4">AVERAGE($D$17:$H$17)</f>
        <v>3.2243978143052694E-2</v>
      </c>
      <c r="K17" s="68">
        <f t="shared" si="4"/>
        <v>3.2243978143052694E-2</v>
      </c>
      <c r="L17" s="68">
        <f t="shared" si="4"/>
        <v>3.2243978143052694E-2</v>
      </c>
      <c r="M17" s="68">
        <f t="shared" si="4"/>
        <v>3.2243978143052694E-2</v>
      </c>
    </row>
    <row r="18" spans="2:13" s="21" customFormat="1" ht="15" x14ac:dyDescent="0.2">
      <c r="B18" s="22"/>
      <c r="C18" s="22"/>
      <c r="D18" s="23"/>
      <c r="E18" s="23"/>
      <c r="F18" s="23"/>
      <c r="G18" s="29"/>
    </row>
    <row r="19" spans="2:13" s="21" customFormat="1" ht="20" thickBot="1" x14ac:dyDescent="0.3"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s="21" customFormat="1" ht="15" x14ac:dyDescent="0.2">
      <c r="B20" s="22"/>
      <c r="C20" s="22"/>
      <c r="D20" s="54"/>
      <c r="E20" s="7"/>
      <c r="F20" s="7"/>
      <c r="G20" s="7"/>
      <c r="H20" s="55"/>
      <c r="I20" s="4" t="s">
        <v>6</v>
      </c>
      <c r="J20" s="4"/>
      <c r="K20" s="4"/>
      <c r="L20" s="5"/>
      <c r="M20" s="6"/>
    </row>
    <row r="21" spans="2:13" s="21" customFormat="1" ht="15" x14ac:dyDescent="0.2">
      <c r="B21" s="22"/>
      <c r="C21" s="22"/>
      <c r="D21" s="8">
        <f>E21-365</f>
        <v>44044</v>
      </c>
      <c r="E21" s="8">
        <f>F21-365</f>
        <v>44409</v>
      </c>
      <c r="F21" s="8">
        <f>G21-365</f>
        <v>44774</v>
      </c>
      <c r="G21" s="8">
        <f>H21-365</f>
        <v>45139</v>
      </c>
      <c r="H21" s="8">
        <v>45504</v>
      </c>
      <c r="I21" s="9">
        <f>H21+365</f>
        <v>45869</v>
      </c>
      <c r="J21" s="9">
        <f>I21+365</f>
        <v>46234</v>
      </c>
      <c r="K21" s="9">
        <f>J21+365</f>
        <v>46599</v>
      </c>
      <c r="L21" s="9">
        <f>K21+365</f>
        <v>46964</v>
      </c>
      <c r="M21" s="9">
        <f>L21+365</f>
        <v>47329</v>
      </c>
    </row>
    <row r="22" spans="2:13" s="21" customFormat="1" ht="15" x14ac:dyDescent="0.2">
      <c r="B22" s="16" t="s">
        <v>14</v>
      </c>
      <c r="C22" s="17">
        <v>315.39999999999998</v>
      </c>
      <c r="D22" s="17">
        <v>298.2</v>
      </c>
      <c r="E22" s="17">
        <v>524.9</v>
      </c>
      <c r="F22" s="17">
        <v>528.9</v>
      </c>
      <c r="G22" s="17">
        <v>559.9</v>
      </c>
      <c r="H22" s="17">
        <v>489.9</v>
      </c>
      <c r="I22" s="59">
        <f>H22*(1+I35)</f>
        <v>562.93492013606578</v>
      </c>
      <c r="J22" s="59">
        <f t="shared" ref="I22:M24" si="5">I22*(1+J35)</f>
        <v>649.47516335136231</v>
      </c>
      <c r="K22" s="59">
        <f t="shared" si="5"/>
        <v>748.15319145422768</v>
      </c>
      <c r="L22" s="59">
        <f t="shared" si="5"/>
        <v>861.55994051779669</v>
      </c>
      <c r="M22" s="59">
        <f t="shared" si="5"/>
        <v>992.87538698884498</v>
      </c>
    </row>
    <row r="23" spans="2:13" s="21" customFormat="1" ht="15" x14ac:dyDescent="0.2">
      <c r="B23" s="16" t="s">
        <v>15</v>
      </c>
      <c r="C23" s="17">
        <v>226.1</v>
      </c>
      <c r="D23" s="17">
        <v>199.1</v>
      </c>
      <c r="E23" s="17">
        <v>286</v>
      </c>
      <c r="F23" s="17">
        <v>454.51100000000002</v>
      </c>
      <c r="G23" s="17">
        <v>493.52</v>
      </c>
      <c r="H23" s="17">
        <v>524.70000000000005</v>
      </c>
      <c r="I23" s="59">
        <f t="shared" si="5"/>
        <v>598.20014511971226</v>
      </c>
      <c r="J23" s="59">
        <f t="shared" si="5"/>
        <v>686.77242969903432</v>
      </c>
      <c r="K23" s="59">
        <f t="shared" si="5"/>
        <v>790.24755508044757</v>
      </c>
      <c r="L23" s="59">
        <f t="shared" si="5"/>
        <v>905.83803388297554</v>
      </c>
      <c r="M23" s="59">
        <f t="shared" si="5"/>
        <v>1040.2053924481754</v>
      </c>
    </row>
    <row r="24" spans="2:13" s="21" customFormat="1" ht="15" x14ac:dyDescent="0.2">
      <c r="B24" s="16" t="s">
        <v>16</v>
      </c>
      <c r="C24" s="16"/>
      <c r="D24" s="17">
        <v>46.7</v>
      </c>
      <c r="E24" s="17">
        <v>34.200000000000003</v>
      </c>
      <c r="F24" s="17">
        <v>80.7</v>
      </c>
      <c r="G24" s="17">
        <v>96.7</v>
      </c>
      <c r="H24" s="17">
        <v>158.4</v>
      </c>
      <c r="I24" s="59">
        <f t="shared" si="5"/>
        <v>163.55155430853807</v>
      </c>
      <c r="J24" s="59">
        <f t="shared" si="5"/>
        <v>169.5196015077326</v>
      </c>
      <c r="K24" s="59">
        <f t="shared" si="5"/>
        <v>176.21451188034982</v>
      </c>
      <c r="L24" s="59">
        <f t="shared" si="5"/>
        <v>182.58796637722821</v>
      </c>
      <c r="M24" s="59">
        <f t="shared" si="5"/>
        <v>189.41386336197777</v>
      </c>
    </row>
    <row r="25" spans="2:13" s="21" customFormat="1" ht="15" x14ac:dyDescent="0.2">
      <c r="B25" s="22"/>
      <c r="C25" s="22"/>
      <c r="D25" s="23"/>
      <c r="E25" s="23"/>
      <c r="F25" s="23"/>
      <c r="G25" s="29"/>
    </row>
    <row r="26" spans="2:13" s="21" customFormat="1" ht="15" x14ac:dyDescent="0.2">
      <c r="B26" s="16" t="s">
        <v>17</v>
      </c>
      <c r="C26" s="16"/>
      <c r="D26" s="17">
        <v>144</v>
      </c>
      <c r="E26" s="17">
        <v>316.10000000000002</v>
      </c>
      <c r="F26" s="17">
        <v>249.6</v>
      </c>
      <c r="G26" s="17">
        <v>299.10000000000002</v>
      </c>
      <c r="H26" s="17">
        <v>264.2</v>
      </c>
      <c r="I26" s="60">
        <f t="shared" ref="I26:M27" si="6">H26*(1+I38)</f>
        <v>284.56820219753632</v>
      </c>
      <c r="J26" s="60">
        <f t="shared" si="6"/>
        <v>307.77026177295346</v>
      </c>
      <c r="K26" s="60">
        <f t="shared" si="6"/>
        <v>332.50847601874909</v>
      </c>
      <c r="L26" s="60">
        <f t="shared" si="6"/>
        <v>358.99909104029143</v>
      </c>
      <c r="M26" s="60">
        <f t="shared" si="6"/>
        <v>387.90834131265541</v>
      </c>
    </row>
    <row r="27" spans="2:13" s="21" customFormat="1" ht="15" x14ac:dyDescent="0.2">
      <c r="B27" s="16" t="s">
        <v>18</v>
      </c>
      <c r="C27" s="16"/>
      <c r="D27" s="17">
        <v>32.799999999999997</v>
      </c>
      <c r="E27" s="17">
        <v>57.4</v>
      </c>
      <c r="F27" s="17">
        <v>61.3</v>
      </c>
      <c r="G27" s="17">
        <v>45.6</v>
      </c>
      <c r="H27" s="17">
        <v>44.7</v>
      </c>
      <c r="I27" s="59">
        <f t="shared" si="6"/>
        <v>45.334452125929126</v>
      </c>
      <c r="J27" s="59">
        <f t="shared" si="6"/>
        <v>45.955717152870115</v>
      </c>
      <c r="K27" s="59">
        <f t="shared" si="6"/>
        <v>46.596909490593255</v>
      </c>
      <c r="L27" s="59">
        <f t="shared" si="6"/>
        <v>47.246936264250309</v>
      </c>
      <c r="M27" s="59">
        <f t="shared" si="6"/>
        <v>47.902195052245553</v>
      </c>
    </row>
    <row r="28" spans="2:13" s="21" customFormat="1" ht="15" x14ac:dyDescent="0.2">
      <c r="B28" s="22"/>
      <c r="C28" s="22"/>
      <c r="D28" s="23"/>
      <c r="E28" s="23"/>
      <c r="F28" s="23"/>
      <c r="G28" s="29"/>
    </row>
    <row r="29" spans="2:13" s="21" customFormat="1" ht="15" x14ac:dyDescent="0.2">
      <c r="B29" s="22"/>
      <c r="C29" s="22"/>
      <c r="D29" s="23"/>
      <c r="E29" s="23"/>
      <c r="F29" s="23"/>
      <c r="G29" s="29"/>
    </row>
    <row r="30" spans="2:13" s="21" customFormat="1" ht="15" x14ac:dyDescent="0.2">
      <c r="B30" s="22" t="s">
        <v>19</v>
      </c>
      <c r="C30" s="17"/>
      <c r="D30" s="17">
        <v>284.5</v>
      </c>
      <c r="E30" s="17">
        <v>576.29999999999995</v>
      </c>
      <c r="F30" s="17">
        <v>388.8</v>
      </c>
      <c r="G30" s="17">
        <v>388.1</v>
      </c>
      <c r="H30" s="17">
        <v>351.4</v>
      </c>
    </row>
    <row r="31" spans="2:13" s="21" customFormat="1" ht="15" x14ac:dyDescent="0.2">
      <c r="B31" s="22" t="s">
        <v>20</v>
      </c>
      <c r="C31" s="17"/>
      <c r="D31" s="17">
        <v>843.6</v>
      </c>
      <c r="E31" s="17">
        <v>800.4</v>
      </c>
      <c r="F31" s="17">
        <v>832.3</v>
      </c>
      <c r="G31" s="17">
        <v>884.4</v>
      </c>
      <c r="H31" s="17">
        <v>921.03</v>
      </c>
    </row>
    <row r="32" spans="2:13" s="21" customFormat="1" ht="15" x14ac:dyDescent="0.2">
      <c r="B32" s="22"/>
      <c r="C32" s="22"/>
      <c r="D32" s="23"/>
      <c r="E32" s="23"/>
      <c r="F32" s="23"/>
      <c r="G32" s="29"/>
    </row>
    <row r="33" spans="2:13" s="21" customFormat="1" ht="15" x14ac:dyDescent="0.2">
      <c r="B33" s="22" t="s">
        <v>21</v>
      </c>
      <c r="C33" s="17">
        <v>34.799999999999997</v>
      </c>
      <c r="D33" s="17">
        <v>36.700000000000003</v>
      </c>
      <c r="E33" s="17">
        <v>64.5</v>
      </c>
      <c r="F33" s="17">
        <v>135.80000000000001</v>
      </c>
      <c r="G33" s="17">
        <v>218.9</v>
      </c>
      <c r="H33" s="17">
        <v>144.9</v>
      </c>
      <c r="I33" s="59">
        <f>H33*(1+I40)</f>
        <v>151.76618845508855</v>
      </c>
      <c r="J33" s="59">
        <f>I33*(1+J40)</f>
        <v>159.59964908048897</v>
      </c>
      <c r="K33" s="59">
        <f>J33*(1+K40)</f>
        <v>167.27386940394604</v>
      </c>
      <c r="L33" s="59">
        <f>K33*(1+L40)</f>
        <v>175.47504059687904</v>
      </c>
      <c r="M33" s="59">
        <f>L33*(1+M40)</f>
        <v>184.17438656701387</v>
      </c>
    </row>
    <row r="34" spans="2:13" s="21" customFormat="1" ht="15" x14ac:dyDescent="0.2">
      <c r="B34" s="22"/>
      <c r="C34" s="22"/>
      <c r="D34" s="23"/>
      <c r="E34" s="23"/>
      <c r="F34" s="23"/>
      <c r="G34" s="29"/>
    </row>
    <row r="35" spans="2:13" s="21" customFormat="1" ht="15" x14ac:dyDescent="0.2">
      <c r="B35" s="69" t="s">
        <v>22</v>
      </c>
      <c r="C35" s="69"/>
      <c r="D35" s="82">
        <f t="shared" ref="D35:H37" si="7">D22/D$10</f>
        <v>0.16891356066613797</v>
      </c>
      <c r="E35" s="82">
        <f t="shared" si="7"/>
        <v>0.17926912568306011</v>
      </c>
      <c r="F35" s="82">
        <f t="shared" si="7"/>
        <v>0.1351337540560566</v>
      </c>
      <c r="G35" s="82">
        <f t="shared" si="7"/>
        <v>0.15911674434466294</v>
      </c>
      <c r="H35" s="82">
        <f t="shared" si="7"/>
        <v>0.15299334811529933</v>
      </c>
      <c r="I35" s="68">
        <f>AVERAGE(F35:H35)</f>
        <v>0.14908128217200631</v>
      </c>
      <c r="J35" s="68">
        <f>AVERAGE(G35:I35)</f>
        <v>0.1537304582106562</v>
      </c>
      <c r="K35" s="68">
        <f t="shared" ref="K35" si="8">AVERAGE(H35:J35)</f>
        <v>0.15193502949932061</v>
      </c>
      <c r="L35" s="68">
        <f t="shared" ref="L35" si="9">AVERAGE(I35:K35)</f>
        <v>0.15158225662732772</v>
      </c>
      <c r="M35" s="68">
        <f t="shared" ref="M35" si="10">AVERAGE(J35:L35)</f>
        <v>0.15241591477910152</v>
      </c>
    </row>
    <row r="36" spans="2:13" s="21" customFormat="1" ht="15" x14ac:dyDescent="0.2">
      <c r="B36" s="69" t="s">
        <v>23</v>
      </c>
      <c r="C36" s="69"/>
      <c r="D36" s="82">
        <f t="shared" si="7"/>
        <v>0.11277897360371586</v>
      </c>
      <c r="E36" s="82">
        <f t="shared" si="7"/>
        <v>9.7677595628415298E-2</v>
      </c>
      <c r="F36" s="82">
        <f t="shared" si="7"/>
        <v>0.11612739211528143</v>
      </c>
      <c r="G36" s="82">
        <f t="shared" si="7"/>
        <v>0.14025235875866771</v>
      </c>
      <c r="H36" s="82">
        <f t="shared" si="7"/>
        <v>0.16386121607694953</v>
      </c>
      <c r="I36" s="68">
        <f t="shared" ref="I36:I40" si="11">AVERAGE(F36:H36)</f>
        <v>0.14008032231696624</v>
      </c>
      <c r="J36" s="68">
        <f t="shared" ref="J36:M40" si="12">AVERAGE(G36:I36)</f>
        <v>0.14806463238419451</v>
      </c>
      <c r="K36" s="68">
        <f t="shared" si="12"/>
        <v>0.15066872359270345</v>
      </c>
      <c r="L36" s="68">
        <f t="shared" si="12"/>
        <v>0.14627122609795473</v>
      </c>
      <c r="M36" s="68">
        <f t="shared" si="12"/>
        <v>0.14833486069161758</v>
      </c>
    </row>
    <row r="37" spans="2:13" s="21" customFormat="1" ht="15" x14ac:dyDescent="0.2">
      <c r="B37" s="69" t="s">
        <v>24</v>
      </c>
      <c r="C37" s="69"/>
      <c r="D37" s="82">
        <f t="shared" si="7"/>
        <v>2.6452928514784185E-2</v>
      </c>
      <c r="E37" s="82">
        <f t="shared" si="7"/>
        <v>1.1680327868852459E-2</v>
      </c>
      <c r="F37" s="82">
        <f t="shared" si="7"/>
        <v>2.061882010271085E-2</v>
      </c>
      <c r="G37" s="82">
        <f t="shared" si="7"/>
        <v>2.7480959417983404E-2</v>
      </c>
      <c r="H37" s="82">
        <f t="shared" si="7"/>
        <v>4.9467536928890415E-2</v>
      </c>
      <c r="I37" s="68">
        <f t="shared" si="11"/>
        <v>3.2522438816528221E-2</v>
      </c>
      <c r="J37" s="68">
        <f t="shared" si="12"/>
        <v>3.6490311721134011E-2</v>
      </c>
      <c r="K37" s="68">
        <f t="shared" si="12"/>
        <v>3.9493429155517547E-2</v>
      </c>
      <c r="L37" s="68">
        <f t="shared" si="12"/>
        <v>3.616872656439326E-2</v>
      </c>
      <c r="M37" s="68">
        <f t="shared" si="12"/>
        <v>3.7384155813681604E-2</v>
      </c>
    </row>
    <row r="38" spans="2:13" s="21" customFormat="1" ht="15" x14ac:dyDescent="0.2">
      <c r="B38" s="69" t="s">
        <v>25</v>
      </c>
      <c r="C38" s="69"/>
      <c r="D38" s="82">
        <f t="shared" ref="D38:H39" si="13">D26/D$10</f>
        <v>8.1567916619463013E-2</v>
      </c>
      <c r="E38" s="82">
        <f t="shared" si="13"/>
        <v>0.10795765027322406</v>
      </c>
      <c r="F38" s="82">
        <f t="shared" si="13"/>
        <v>6.3772707529574077E-2</v>
      </c>
      <c r="G38" s="82">
        <f t="shared" si="13"/>
        <v>8.5000568375582591E-2</v>
      </c>
      <c r="H38" s="82">
        <f t="shared" si="13"/>
        <v>8.2508353892757874E-2</v>
      </c>
      <c r="I38" s="68">
        <f t="shared" si="11"/>
        <v>7.7093876599304847E-2</v>
      </c>
      <c r="J38" s="68">
        <f t="shared" si="12"/>
        <v>8.1534266289215104E-2</v>
      </c>
      <c r="K38" s="68">
        <f t="shared" si="12"/>
        <v>8.0378832260425956E-2</v>
      </c>
      <c r="L38" s="68">
        <f t="shared" si="12"/>
        <v>7.9668991716315307E-2</v>
      </c>
      <c r="M38" s="68">
        <f t="shared" si="12"/>
        <v>8.0527363421985451E-2</v>
      </c>
    </row>
    <row r="39" spans="2:13" s="21" customFormat="1" ht="15" x14ac:dyDescent="0.2">
      <c r="B39" s="69" t="s">
        <v>26</v>
      </c>
      <c r="C39" s="69"/>
      <c r="D39" s="82">
        <f t="shared" si="13"/>
        <v>1.8579358785544349E-2</v>
      </c>
      <c r="E39" s="82">
        <f t="shared" si="13"/>
        <v>1.9603825136612022E-2</v>
      </c>
      <c r="F39" s="82">
        <f t="shared" si="13"/>
        <v>1.566212728991543E-2</v>
      </c>
      <c r="G39" s="82">
        <f t="shared" si="13"/>
        <v>1.2958963282937365E-2</v>
      </c>
      <c r="H39" s="82">
        <f t="shared" si="13"/>
        <v>1.395958901970582E-2</v>
      </c>
      <c r="I39" s="68">
        <f t="shared" si="11"/>
        <v>1.4193559864186205E-2</v>
      </c>
      <c r="J39" s="68">
        <f t="shared" si="12"/>
        <v>1.370403738894313E-2</v>
      </c>
      <c r="K39" s="68">
        <f t="shared" si="12"/>
        <v>1.3952395424278384E-2</v>
      </c>
      <c r="L39" s="68">
        <f t="shared" si="12"/>
        <v>1.3949997559135905E-2</v>
      </c>
      <c r="M39" s="68">
        <f t="shared" si="12"/>
        <v>1.3868810124119139E-2</v>
      </c>
    </row>
    <row r="40" spans="2:13" s="21" customFormat="1" ht="15" x14ac:dyDescent="0.2">
      <c r="B40" s="66" t="s">
        <v>27</v>
      </c>
      <c r="C40" s="66"/>
      <c r="D40" s="82">
        <f>D33/D$10</f>
        <v>2.0788489860654808E-2</v>
      </c>
      <c r="E40" s="82">
        <f t="shared" ref="E40:H40" si="14">E33/E$10</f>
        <v>2.2028688524590164E-2</v>
      </c>
      <c r="F40" s="82">
        <f t="shared" si="14"/>
        <v>3.4696849689567953E-2</v>
      </c>
      <c r="G40" s="82">
        <f t="shared" si="14"/>
        <v>6.2208707513925203E-2</v>
      </c>
      <c r="H40" s="82">
        <f t="shared" si="14"/>
        <v>4.5251553667905439E-2</v>
      </c>
      <c r="I40" s="68">
        <f t="shared" si="11"/>
        <v>4.7385703623799534E-2</v>
      </c>
      <c r="J40" s="68">
        <f t="shared" si="12"/>
        <v>5.1615321601876728E-2</v>
      </c>
      <c r="K40" s="68">
        <f t="shared" si="12"/>
        <v>4.8084192964527234E-2</v>
      </c>
      <c r="L40" s="68">
        <f t="shared" si="12"/>
        <v>4.9028406063401163E-2</v>
      </c>
      <c r="M40" s="68">
        <f t="shared" si="12"/>
        <v>4.9575973543268377E-2</v>
      </c>
    </row>
    <row r="41" spans="2:13" s="21" customFormat="1" ht="15" x14ac:dyDescent="0.2">
      <c r="B41" s="66"/>
      <c r="C41" s="66"/>
      <c r="D41" s="70"/>
      <c r="E41" s="70"/>
      <c r="F41" s="70"/>
      <c r="G41" s="71"/>
      <c r="H41" s="72"/>
      <c r="I41" s="72"/>
      <c r="J41" s="72"/>
      <c r="K41" s="72"/>
      <c r="L41" s="72"/>
      <c r="M41" s="72"/>
    </row>
    <row r="42" spans="2:13" s="10" customFormat="1" ht="20" thickBot="1" x14ac:dyDescent="0.3">
      <c r="B42" s="1" t="s">
        <v>28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s="10" customFormat="1" ht="15" x14ac:dyDescent="0.2">
      <c r="B43" s="15" t="s">
        <v>29</v>
      </c>
      <c r="C43" s="15"/>
      <c r="D43" s="2"/>
      <c r="E43" s="7"/>
      <c r="F43" s="7"/>
      <c r="G43" s="7"/>
      <c r="H43" s="3"/>
      <c r="I43" s="4" t="s">
        <v>6</v>
      </c>
      <c r="J43" s="4"/>
      <c r="K43" s="4"/>
      <c r="L43" s="5"/>
      <c r="M43" s="6"/>
    </row>
    <row r="44" spans="2:13" s="10" customFormat="1" ht="15" x14ac:dyDescent="0.2">
      <c r="B44" s="13"/>
      <c r="C44" s="13"/>
      <c r="D44" s="8">
        <f>E44-365</f>
        <v>44044</v>
      </c>
      <c r="E44" s="8">
        <f>F44-365</f>
        <v>44409</v>
      </c>
      <c r="F44" s="8">
        <f>G44-365</f>
        <v>44774</v>
      </c>
      <c r="G44" s="8">
        <f>H44-365</f>
        <v>45139</v>
      </c>
      <c r="H44" s="8">
        <v>45504</v>
      </c>
      <c r="I44" s="9">
        <f>H44+365</f>
        <v>45869</v>
      </c>
      <c r="J44" s="9">
        <f>I44+365</f>
        <v>46234</v>
      </c>
      <c r="K44" s="9">
        <f>J44+365</f>
        <v>46599</v>
      </c>
      <c r="L44" s="9">
        <f>K44+365</f>
        <v>46964</v>
      </c>
      <c r="M44" s="9">
        <f>L44+365</f>
        <v>47329</v>
      </c>
    </row>
    <row r="45" spans="2:13" s="10" customFormat="1" ht="15" x14ac:dyDescent="0.2">
      <c r="B45" s="14" t="s">
        <v>30</v>
      </c>
      <c r="C45" s="13"/>
      <c r="D45" s="47"/>
      <c r="E45" s="47"/>
      <c r="F45" s="47"/>
      <c r="G45" s="47"/>
      <c r="H45" s="47"/>
      <c r="I45" s="25">
        <v>1</v>
      </c>
      <c r="J45" s="25">
        <v>2</v>
      </c>
      <c r="K45" s="25">
        <v>3</v>
      </c>
      <c r="L45" s="25">
        <v>4</v>
      </c>
      <c r="M45" s="25">
        <v>5</v>
      </c>
    </row>
    <row r="46" spans="2:13" s="10" customFormat="1" ht="15" x14ac:dyDescent="0.2">
      <c r="B46" s="24" t="s">
        <v>31</v>
      </c>
      <c r="C46" s="24"/>
      <c r="D46" s="56"/>
      <c r="E46" s="56"/>
      <c r="F46" s="56"/>
      <c r="G46" s="56"/>
      <c r="H46" s="56"/>
      <c r="I46" s="56">
        <f>I10</f>
        <v>3666.7056916215752</v>
      </c>
      <c r="J46" s="56">
        <f>J10</f>
        <v>4198.7229096436877</v>
      </c>
      <c r="K46" s="56">
        <f>K10</f>
        <v>4807.9326661667064</v>
      </c>
      <c r="L46" s="56">
        <f>L10</f>
        <v>5505.5351400539512</v>
      </c>
      <c r="M46" s="56">
        <f>M10</f>
        <v>6304.355589600078</v>
      </c>
    </row>
    <row r="47" spans="2:13" s="10" customFormat="1" ht="15" x14ac:dyDescent="0.2">
      <c r="B47" s="24" t="s">
        <v>9</v>
      </c>
      <c r="C47" s="24"/>
      <c r="D47" s="19"/>
      <c r="E47" s="19"/>
      <c r="F47" s="19"/>
      <c r="G47" s="19"/>
      <c r="H47" s="19"/>
      <c r="I47" s="19">
        <f>I13</f>
        <v>860.77311306122363</v>
      </c>
      <c r="J47" s="19">
        <f>J13</f>
        <v>985.66617933743794</v>
      </c>
      <c r="K47" s="19">
        <f>K13</f>
        <v>1128.6804877472521</v>
      </c>
      <c r="L47" s="19">
        <f>L13</f>
        <v>1292.4453228959323</v>
      </c>
      <c r="M47" s="19">
        <f>M13</f>
        <v>1479.9714629687392</v>
      </c>
    </row>
    <row r="48" spans="2:13" s="10" customFormat="1" ht="15" x14ac:dyDescent="0.2">
      <c r="B48" s="24" t="s">
        <v>32</v>
      </c>
      <c r="C48" s="24"/>
      <c r="D48" s="19"/>
      <c r="E48" s="19"/>
      <c r="F48" s="19"/>
      <c r="G48" s="19"/>
      <c r="H48" s="19"/>
      <c r="I48" s="18">
        <v>0.21</v>
      </c>
      <c r="J48" s="18">
        <v>0.21</v>
      </c>
      <c r="K48" s="18">
        <v>0.21</v>
      </c>
      <c r="L48" s="18">
        <v>0.21</v>
      </c>
      <c r="M48" s="18">
        <v>0.21</v>
      </c>
    </row>
    <row r="49" spans="2:13" s="10" customFormat="1" ht="15" x14ac:dyDescent="0.2">
      <c r="B49" s="13" t="s">
        <v>33</v>
      </c>
      <c r="C49" s="13"/>
      <c r="D49" s="73"/>
      <c r="E49" s="73"/>
      <c r="F49" s="73"/>
      <c r="G49" s="73"/>
      <c r="H49" s="73"/>
      <c r="I49" s="73">
        <f t="shared" ref="I49:M49" si="15">I47*(1-I48)</f>
        <v>680.01075931836669</v>
      </c>
      <c r="J49" s="73">
        <f t="shared" si="15"/>
        <v>778.67628167657597</v>
      </c>
      <c r="K49" s="73">
        <f t="shared" si="15"/>
        <v>891.65758532032919</v>
      </c>
      <c r="L49" s="73">
        <f t="shared" si="15"/>
        <v>1021.0318050877866</v>
      </c>
      <c r="M49" s="73">
        <f t="shared" si="15"/>
        <v>1169.1774557453041</v>
      </c>
    </row>
    <row r="50" spans="2:13" s="10" customFormat="1" ht="15" x14ac:dyDescent="0.2">
      <c r="B50" s="26" t="s">
        <v>34</v>
      </c>
      <c r="C50" s="26"/>
      <c r="D50" s="57"/>
      <c r="E50" s="57"/>
      <c r="F50" s="57"/>
      <c r="G50" s="57"/>
      <c r="H50" s="57"/>
      <c r="I50" s="57">
        <f>I16</f>
        <v>118.22917817765298</v>
      </c>
      <c r="J50" s="57">
        <f>J16</f>
        <v>135.38352972728569</v>
      </c>
      <c r="K50" s="57">
        <f>K16</f>
        <v>155.02687580114835</v>
      </c>
      <c r="L50" s="57">
        <f>L16</f>
        <v>177.52035472170815</v>
      </c>
      <c r="M50" s="57">
        <f>M16</f>
        <v>203.27750383709699</v>
      </c>
    </row>
    <row r="51" spans="2:13" s="10" customFormat="1" ht="15" x14ac:dyDescent="0.2">
      <c r="B51" s="16" t="s">
        <v>35</v>
      </c>
      <c r="C51" s="16"/>
      <c r="D51" s="58"/>
      <c r="E51" s="58"/>
      <c r="F51" s="58"/>
      <c r="G51" s="58"/>
      <c r="H51" s="58"/>
      <c r="I51" s="58">
        <f t="shared" ref="I51:M52" si="16">H22-I22</f>
        <v>-73.034920136065807</v>
      </c>
      <c r="J51" s="58">
        <f t="shared" si="16"/>
        <v>-86.540243215296528</v>
      </c>
      <c r="K51" s="58">
        <f t="shared" si="16"/>
        <v>-98.678028102865369</v>
      </c>
      <c r="L51" s="58">
        <f t="shared" si="16"/>
        <v>-113.40674906356901</v>
      </c>
      <c r="M51" s="58">
        <f t="shared" si="16"/>
        <v>-131.31544647104829</v>
      </c>
    </row>
    <row r="52" spans="2:13" s="10" customFormat="1" ht="15" x14ac:dyDescent="0.2">
      <c r="B52" s="16" t="s">
        <v>36</v>
      </c>
      <c r="C52" s="16"/>
      <c r="D52" s="58"/>
      <c r="E52" s="58"/>
      <c r="F52" s="58"/>
      <c r="G52" s="58"/>
      <c r="H52" s="58"/>
      <c r="I52" s="58">
        <f t="shared" si="16"/>
        <v>-73.500145119712215</v>
      </c>
      <c r="J52" s="58">
        <f t="shared" si="16"/>
        <v>-88.572284579322059</v>
      </c>
      <c r="K52" s="58">
        <f t="shared" si="16"/>
        <v>-103.47512538141325</v>
      </c>
      <c r="L52" s="58">
        <f t="shared" si="16"/>
        <v>-115.59047880252797</v>
      </c>
      <c r="M52" s="58">
        <f t="shared" si="16"/>
        <v>-134.36735856519988</v>
      </c>
    </row>
    <row r="53" spans="2:13" s="10" customFormat="1" ht="15" x14ac:dyDescent="0.2">
      <c r="B53" s="16" t="s">
        <v>37</v>
      </c>
      <c r="C53" s="16"/>
      <c r="D53" s="58"/>
      <c r="E53" s="58"/>
      <c r="F53" s="58"/>
      <c r="G53" s="58"/>
      <c r="H53" s="58"/>
      <c r="I53" s="58">
        <f t="shared" ref="I53:M54" si="17">I26-H26</f>
        <v>20.368202197536334</v>
      </c>
      <c r="J53" s="58">
        <f t="shared" si="17"/>
        <v>23.202059575417138</v>
      </c>
      <c r="K53" s="58">
        <f t="shared" si="17"/>
        <v>24.738214245795632</v>
      </c>
      <c r="L53" s="58">
        <f t="shared" si="17"/>
        <v>26.490615021542339</v>
      </c>
      <c r="M53" s="58">
        <f t="shared" si="17"/>
        <v>28.909250272363977</v>
      </c>
    </row>
    <row r="54" spans="2:13" s="10" customFormat="1" ht="15" x14ac:dyDescent="0.2">
      <c r="B54" s="16" t="s">
        <v>38</v>
      </c>
      <c r="C54" s="16"/>
      <c r="D54" s="58"/>
      <c r="E54" s="58"/>
      <c r="F54" s="58"/>
      <c r="G54" s="58"/>
      <c r="H54" s="58"/>
      <c r="I54" s="58">
        <f t="shared" si="17"/>
        <v>0.6344521259291227</v>
      </c>
      <c r="J54" s="58">
        <f t="shared" si="17"/>
        <v>0.62126502694098917</v>
      </c>
      <c r="K54" s="58">
        <f t="shared" si="17"/>
        <v>0.64119233772314033</v>
      </c>
      <c r="L54" s="58">
        <f t="shared" si="17"/>
        <v>0.65002677365705352</v>
      </c>
      <c r="M54" s="58">
        <f t="shared" si="17"/>
        <v>0.65525878799524406</v>
      </c>
    </row>
    <row r="55" spans="2:13" s="10" customFormat="1" ht="15" x14ac:dyDescent="0.2">
      <c r="B55" s="26" t="s">
        <v>39</v>
      </c>
      <c r="C55" s="26"/>
      <c r="D55" s="58"/>
      <c r="E55" s="58"/>
      <c r="F55" s="58"/>
      <c r="G55" s="58"/>
      <c r="H55" s="58"/>
      <c r="I55" s="58">
        <f>H33-I33</f>
        <v>-6.8661884550885475</v>
      </c>
      <c r="J55" s="58">
        <f t="shared" ref="J55:M55" si="18">I33-J33</f>
        <v>-7.83346062540042</v>
      </c>
      <c r="K55" s="58">
        <f t="shared" si="18"/>
        <v>-7.6742203234570638</v>
      </c>
      <c r="L55" s="58">
        <f t="shared" si="18"/>
        <v>-8.2011711929330033</v>
      </c>
      <c r="M55" s="58">
        <f t="shared" si="18"/>
        <v>-8.6993459701348286</v>
      </c>
    </row>
    <row r="56" spans="2:13" s="10" customFormat="1" ht="15" x14ac:dyDescent="0.2">
      <c r="B56" s="13" t="s">
        <v>40</v>
      </c>
      <c r="C56" s="13"/>
      <c r="D56" s="74"/>
      <c r="E56" s="74"/>
      <c r="F56" s="74"/>
      <c r="G56" s="74"/>
      <c r="H56" s="74"/>
      <c r="I56" s="32">
        <f>SUM(I49:I55)</f>
        <v>665.84133810861863</v>
      </c>
      <c r="J56" s="32">
        <f t="shared" ref="J56:L56" si="19">SUM(J49:J55)</f>
        <v>754.93714758620081</v>
      </c>
      <c r="K56" s="32">
        <f t="shared" si="19"/>
        <v>862.23649389726074</v>
      </c>
      <c r="L56" s="32">
        <f t="shared" si="19"/>
        <v>988.49440254566423</v>
      </c>
      <c r="M56" s="32">
        <f>SUM(M49:M55)</f>
        <v>1127.6373176363772</v>
      </c>
    </row>
    <row r="57" spans="2:13" s="10" customFormat="1" ht="15" x14ac:dyDescent="0.2">
      <c r="B57" s="27" t="s">
        <v>41</v>
      </c>
      <c r="C57" s="27"/>
      <c r="D57" s="61"/>
      <c r="E57" s="61"/>
      <c r="F57" s="61"/>
      <c r="G57" s="31"/>
      <c r="H57" s="31"/>
      <c r="I57" s="85">
        <v>0.10100000000000001</v>
      </c>
      <c r="J57" s="85">
        <v>0.10100000000000001</v>
      </c>
      <c r="K57" s="85">
        <v>0.10100000000000001</v>
      </c>
      <c r="L57" s="85">
        <v>0.10100000000000001</v>
      </c>
      <c r="M57" s="85">
        <v>0.10100000000000001</v>
      </c>
    </row>
    <row r="58" spans="2:13" s="10" customFormat="1" ht="15" x14ac:dyDescent="0.2">
      <c r="B58" s="27" t="s">
        <v>42</v>
      </c>
      <c r="C58" s="27"/>
      <c r="D58" s="30"/>
      <c r="E58" s="30"/>
      <c r="F58" s="30"/>
      <c r="G58" s="30"/>
      <c r="H58" s="30"/>
      <c r="I58" s="30">
        <f>I56/(1+I57)^I45</f>
        <v>604.76052507594795</v>
      </c>
      <c r="J58" s="30">
        <f t="shared" ref="J58:M58" si="20">J56/(1+J57)^J45</f>
        <v>622.78215212345219</v>
      </c>
      <c r="K58" s="30">
        <f t="shared" si="20"/>
        <v>646.04748978705493</v>
      </c>
      <c r="L58" s="30">
        <f t="shared" si="20"/>
        <v>672.70543814692485</v>
      </c>
      <c r="M58" s="30">
        <f t="shared" si="20"/>
        <v>697.00010732113992</v>
      </c>
    </row>
    <row r="59" spans="2:13" s="10" customFormat="1" ht="15" x14ac:dyDescent="0.2">
      <c r="B59" s="13" t="s">
        <v>43</v>
      </c>
      <c r="C59" s="13"/>
      <c r="D59" s="32">
        <f>SUM(I58:M58)</f>
        <v>3243.2957124545201</v>
      </c>
      <c r="E59" s="74"/>
      <c r="F59" s="74"/>
    </row>
    <row r="60" spans="2:13" s="10" customFormat="1" ht="15" x14ac:dyDescent="0.2"/>
    <row r="61" spans="2:13" s="10" customFormat="1" ht="20" thickBot="1" x14ac:dyDescent="0.3">
      <c r="B61" s="1" t="s">
        <v>44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s="10" customFormat="1" ht="15" x14ac:dyDescent="0.2">
      <c r="B62" s="75" t="s">
        <v>45</v>
      </c>
      <c r="C62" s="75"/>
      <c r="D62" s="36"/>
      <c r="E62" s="36"/>
      <c r="F62" s="36"/>
      <c r="I62" s="28"/>
      <c r="J62" s="36"/>
    </row>
    <row r="63" spans="2:13" s="10" customFormat="1" ht="15" x14ac:dyDescent="0.2">
      <c r="B63" s="24" t="s">
        <v>46</v>
      </c>
      <c r="C63" s="24"/>
      <c r="D63" s="34">
        <v>0.01</v>
      </c>
      <c r="E63" s="80"/>
      <c r="F63" s="80"/>
      <c r="I63" s="27"/>
      <c r="J63" s="45"/>
    </row>
    <row r="64" spans="2:13" s="10" customFormat="1" ht="15" x14ac:dyDescent="0.2">
      <c r="B64" s="24" t="s">
        <v>47</v>
      </c>
      <c r="C64" s="24"/>
      <c r="D64" s="65">
        <v>0.10100000000000001</v>
      </c>
      <c r="E64" s="65"/>
      <c r="F64" s="65"/>
      <c r="I64" s="27"/>
      <c r="J64" s="45"/>
    </row>
    <row r="65" spans="2:13" s="10" customFormat="1" ht="15" x14ac:dyDescent="0.2">
      <c r="B65" s="24" t="s">
        <v>48</v>
      </c>
      <c r="C65" s="24"/>
      <c r="D65" s="33">
        <f>M56*(1+D63)</f>
        <v>1138.9136908127409</v>
      </c>
      <c r="E65" s="33"/>
      <c r="F65" s="33"/>
      <c r="I65" s="27"/>
      <c r="J65" s="33"/>
    </row>
    <row r="66" spans="2:13" s="10" customFormat="1" ht="15" x14ac:dyDescent="0.2">
      <c r="B66" s="24" t="s">
        <v>44</v>
      </c>
      <c r="C66" s="24"/>
      <c r="D66" s="33">
        <f>D65/(D64-D63)</f>
        <v>12515.535063876272</v>
      </c>
      <c r="E66" s="33"/>
      <c r="F66" s="33"/>
      <c r="I66" s="27"/>
      <c r="J66" s="33"/>
    </row>
    <row r="67" spans="2:13" s="10" customFormat="1" ht="15" x14ac:dyDescent="0.2">
      <c r="B67" s="13" t="s">
        <v>49</v>
      </c>
      <c r="C67" s="13"/>
      <c r="D67" s="42">
        <f>D66/((1+D64)^5)</f>
        <v>7735.9352570807823</v>
      </c>
      <c r="E67" s="42"/>
      <c r="F67" s="49"/>
      <c r="I67" s="27"/>
      <c r="J67" s="41"/>
    </row>
    <row r="68" spans="2:13" s="10" customFormat="1" ht="15" x14ac:dyDescent="0.2">
      <c r="D68" s="35"/>
      <c r="E68" s="35"/>
      <c r="F68" s="35"/>
    </row>
    <row r="69" spans="2:13" s="10" customFormat="1" ht="20" thickBot="1" x14ac:dyDescent="0.3">
      <c r="B69" s="1" t="s">
        <v>47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s="10" customFormat="1" ht="15" x14ac:dyDescent="0.2">
      <c r="B70" s="24" t="s">
        <v>50</v>
      </c>
      <c r="C70" s="24"/>
      <c r="G70" s="62">
        <f>G4</f>
        <v>94.31</v>
      </c>
    </row>
    <row r="71" spans="2:13" s="10" customFormat="1" ht="15" x14ac:dyDescent="0.2">
      <c r="B71" s="24" t="s">
        <v>4</v>
      </c>
      <c r="C71" s="24"/>
      <c r="G71" s="63">
        <f>G5</f>
        <v>37.317892999999998</v>
      </c>
    </row>
    <row r="72" spans="2:13" s="10" customFormat="1" ht="15" x14ac:dyDescent="0.2">
      <c r="B72" s="24" t="s">
        <v>51</v>
      </c>
      <c r="C72" s="24"/>
      <c r="G72" s="34">
        <v>6.8000000000000005E-2</v>
      </c>
    </row>
    <row r="73" spans="2:13" s="10" customFormat="1" ht="15" x14ac:dyDescent="0.2">
      <c r="B73" s="24" t="s">
        <v>52</v>
      </c>
      <c r="C73" s="24"/>
      <c r="G73" s="34">
        <f>I48</f>
        <v>0.21</v>
      </c>
    </row>
    <row r="74" spans="2:13" s="10" customFormat="1" ht="15" x14ac:dyDescent="0.2">
      <c r="B74" s="24" t="s">
        <v>53</v>
      </c>
      <c r="C74" s="24"/>
      <c r="G74" s="64">
        <v>5.3999999999999999E-2</v>
      </c>
    </row>
    <row r="75" spans="2:13" s="10" customFormat="1" ht="15" x14ac:dyDescent="0.2">
      <c r="B75" s="24" t="s">
        <v>54</v>
      </c>
      <c r="C75" s="24"/>
      <c r="G75" s="34">
        <v>0.11600000000000001</v>
      </c>
    </row>
    <row r="76" spans="2:13" s="10" customFormat="1" ht="15" x14ac:dyDescent="0.2">
      <c r="D76" s="35"/>
      <c r="E76" s="35"/>
      <c r="F76" s="35"/>
    </row>
    <row r="77" spans="2:13" s="10" customFormat="1" ht="15" x14ac:dyDescent="0.2">
      <c r="B77" s="24" t="s">
        <v>55</v>
      </c>
      <c r="C77" s="24"/>
      <c r="D77" s="24"/>
      <c r="E77" s="24"/>
      <c r="F77" s="24"/>
      <c r="G77" s="30">
        <v>2954</v>
      </c>
      <c r="H77" s="24"/>
      <c r="L77" s="24"/>
      <c r="M77" s="24"/>
    </row>
    <row r="78" spans="2:13" s="10" customFormat="1" ht="15" x14ac:dyDescent="0.2">
      <c r="B78" s="24" t="s">
        <v>56</v>
      </c>
      <c r="C78" s="24"/>
      <c r="D78" s="24"/>
      <c r="E78" s="24"/>
      <c r="F78" s="24"/>
      <c r="G78" s="30">
        <f>929.2+22</f>
        <v>951.2</v>
      </c>
      <c r="H78" s="24"/>
      <c r="L78" s="24"/>
      <c r="M78" s="24"/>
    </row>
    <row r="79" spans="2:13" s="10" customFormat="1" ht="15" x14ac:dyDescent="0.2">
      <c r="B79" s="28" t="s">
        <v>57</v>
      </c>
      <c r="C79" s="28"/>
      <c r="D79" s="24"/>
      <c r="E79" s="24"/>
      <c r="F79" s="24"/>
      <c r="G79" s="32">
        <f>SUM(G77:G78)</f>
        <v>3905.2</v>
      </c>
      <c r="H79" s="24"/>
      <c r="L79" s="24"/>
      <c r="M79" s="24"/>
    </row>
    <row r="80" spans="2:13" s="10" customFormat="1" ht="15" x14ac:dyDescent="0.2">
      <c r="B80" s="28"/>
      <c r="C80" s="28"/>
      <c r="D80" s="24"/>
      <c r="E80" s="24"/>
      <c r="F80" s="24"/>
      <c r="G80" s="37"/>
      <c r="H80" s="24"/>
      <c r="L80" s="24"/>
      <c r="M80" s="24"/>
    </row>
    <row r="81" spans="2:13" s="10" customFormat="1" ht="15" x14ac:dyDescent="0.2">
      <c r="B81" s="10" t="s">
        <v>58</v>
      </c>
      <c r="D81" s="24"/>
      <c r="E81" s="24"/>
      <c r="F81" s="24"/>
      <c r="G81" s="38">
        <f>G77/G79</f>
        <v>0.75642732766567655</v>
      </c>
      <c r="H81" s="24"/>
      <c r="L81" s="24"/>
      <c r="M81" s="24"/>
    </row>
    <row r="82" spans="2:13" s="10" customFormat="1" ht="15" x14ac:dyDescent="0.2">
      <c r="B82" s="10" t="s">
        <v>59</v>
      </c>
      <c r="D82" s="24"/>
      <c r="E82" s="24"/>
      <c r="F82" s="24"/>
      <c r="G82" s="38">
        <f>G78/G79</f>
        <v>0.24357267233432348</v>
      </c>
      <c r="H82" s="24"/>
      <c r="L82" s="24"/>
      <c r="M82" s="24"/>
    </row>
    <row r="83" spans="2:13" s="10" customFormat="1" ht="15" x14ac:dyDescent="0.2">
      <c r="B83" s="28"/>
      <c r="C83" s="28"/>
      <c r="D83" s="24"/>
      <c r="E83" s="24"/>
      <c r="F83" s="24"/>
      <c r="G83" s="37"/>
      <c r="H83" s="24"/>
      <c r="L83" s="24"/>
      <c r="M83" s="24"/>
    </row>
    <row r="84" spans="2:13" s="10" customFormat="1" ht="15" x14ac:dyDescent="0.2">
      <c r="B84" s="76" t="s">
        <v>60</v>
      </c>
      <c r="C84" s="76"/>
      <c r="D84" s="84">
        <v>0.10100000000000001</v>
      </c>
      <c r="E84" s="77"/>
      <c r="F84" s="77"/>
      <c r="G84" s="78"/>
    </row>
    <row r="85" spans="2:13" s="10" customFormat="1" ht="15" x14ac:dyDescent="0.2">
      <c r="D85" s="35"/>
      <c r="E85" s="35"/>
      <c r="F85" s="35"/>
    </row>
    <row r="86" spans="2:13" s="10" customFormat="1" ht="20" thickBot="1" x14ac:dyDescent="0.3">
      <c r="B86" s="1" t="s">
        <v>61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s="10" customFormat="1" ht="15" x14ac:dyDescent="0.2">
      <c r="B87" s="24" t="s">
        <v>62</v>
      </c>
      <c r="C87" s="24"/>
      <c r="D87" s="41"/>
      <c r="E87" s="41"/>
      <c r="F87" s="41"/>
      <c r="H87" s="20">
        <v>3571.5</v>
      </c>
    </row>
    <row r="88" spans="2:13" s="10" customFormat="1" ht="15" x14ac:dyDescent="0.2">
      <c r="B88" s="24" t="s">
        <v>63</v>
      </c>
      <c r="C88" s="24"/>
      <c r="D88" s="40"/>
      <c r="E88" s="40"/>
      <c r="F88" s="40"/>
      <c r="H88" s="19">
        <v>599.79999999999995</v>
      </c>
      <c r="I88" s="41"/>
    </row>
    <row r="89" spans="2:13" s="10" customFormat="1" ht="15" x14ac:dyDescent="0.2">
      <c r="B89" s="13" t="s">
        <v>64</v>
      </c>
      <c r="C89" s="13"/>
      <c r="H89" s="32">
        <f>H87-H88</f>
        <v>2971.7</v>
      </c>
      <c r="I89" s="40"/>
    </row>
    <row r="90" spans="2:13" s="10" customFormat="1" ht="15" x14ac:dyDescent="0.2">
      <c r="B90" s="24" t="s">
        <v>4</v>
      </c>
      <c r="C90" s="24"/>
      <c r="H90" s="48">
        <f>G71</f>
        <v>37.317892999999998</v>
      </c>
      <c r="I90" s="49"/>
    </row>
    <row r="91" spans="2:13" s="10" customFormat="1" ht="15" x14ac:dyDescent="0.2">
      <c r="B91" s="46" t="s">
        <v>65</v>
      </c>
      <c r="C91" s="83"/>
      <c r="D91" s="47"/>
      <c r="E91" s="47"/>
      <c r="F91" s="47"/>
      <c r="G91" s="87"/>
      <c r="H91" s="86">
        <f>H89/H90</f>
        <v>79.63204139097563</v>
      </c>
      <c r="I91" s="39"/>
    </row>
    <row r="92" spans="2:13" s="10" customFormat="1" ht="15" x14ac:dyDescent="0.2">
      <c r="G92" s="88"/>
      <c r="H92" s="89"/>
      <c r="I92" s="50"/>
    </row>
    <row r="93" spans="2:13" s="35" customFormat="1" ht="15" x14ac:dyDescent="0.2">
      <c r="B93" s="24"/>
      <c r="C93" s="24"/>
    </row>
  </sheetData>
  <sheetProtection selectLockedCells="1" selectUnlockedCells="1"/>
  <pageMargins left="0.7" right="0.7" top="0.75" bottom="0.75" header="0.3" footer="0.3"/>
  <pageSetup orientation="portrait" horizontalDpi="4294967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 Street Prep, LLC</dc:creator>
  <cp:keywords/>
  <dc:description/>
  <cp:lastModifiedBy>Sam Heier</cp:lastModifiedBy>
  <cp:revision/>
  <dcterms:created xsi:type="dcterms:W3CDTF">2006-10-30T23:26:47Z</dcterms:created>
  <dcterms:modified xsi:type="dcterms:W3CDTF">2026-04-20T18:39:17Z</dcterms:modified>
  <cp:category/>
  <cp:contentStatus/>
</cp:coreProperties>
</file>
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/>
  <mc:AlternateContent xmlns:mc="http://schemas.openxmlformats.org/markup-compatibility/2006">
    <mc:Choice Requires="x15">
      <x15ac:absPath xmlns:x15ac="http://schemas.microsoft.com/office/spreadsheetml/2010/11/ac" url="/Users/samheier/Downloads/"/>
    </mc:Choice>
  </mc:AlternateContent>
  <xr:revisionPtr revIDLastSave="0" documentId="8_{69915ED7-17FB-114E-BB1D-F2B7B9C8EEE7}" xr6:coauthVersionLast="47" xr6:coauthVersionMax="47" xr10:uidLastSave="{00000000-0000-0000-0000-000000000000}"/>
  <bookViews>
    <workbookView xWindow="0" yWindow="500" windowWidth="34580" windowHeight="19220" tabRatio="500" xr2:uid="{00000000-000D-0000-FFFF-FFFF00000000}"/>
  </bookViews>
  <sheets>
    <sheet name="DCF" sheetId="1" r:id="rId1"/>
  </sheets>
  <definedNames>
    <definedName name="IQ_ACCOUNT_CHANGE" hidden="1">"c1449"</definedName>
    <definedName name="IQ_ACCOUNTS_PAY" hidden="1">"c1343"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"c1341"</definedName>
    <definedName name="IQ_ACCT_RECV_10YR_ANN_GROWTH" hidden="1">"c1924"</definedName>
    <definedName name="IQ_ACCT_RECV_1YR_ANN_GROWTH" hidden="1">"c1919"</definedName>
    <definedName name="IQ_ACCT_RECV_2YR_ANN_GROWTH" hidden="1">"c1920"</definedName>
    <definedName name="IQ_ACCT_RECV_3YR_ANN_GROWTH" hidden="1">"c1921"</definedName>
    <definedName name="IQ_ACCT_RECV_5YR_ANN_GROWTH" hidden="1">"c1922"</definedName>
    <definedName name="IQ_ACCT_RECV_7YR_ANN_GROWTH" hidden="1">"c1923"</definedName>
    <definedName name="IQ_ACCUM_DEP" hidden="1">"c1340"</definedName>
    <definedName name="IQ_ACCUMULATED_PENSION_OBLIGATION" hidden="1">"c2108"</definedName>
    <definedName name="IQ_ACQ_COST_SUB" hidden="1">"c2125"</definedName>
    <definedName name="IQ_ACQ_COSTS_CAPITALIZED" hidden="1">"c5"</definedName>
    <definedName name="IQ_ACQUIRE_REAL_ESTATE_CF" hidden="1">"c6"</definedName>
    <definedName name="IQ_ACQUISITION_RE_ASSETS" hidden="1">"c1628"</definedName>
    <definedName name="IQ_AD" hidden="1">"c7"</definedName>
    <definedName name="IQ_ADD_PAID_IN" hidden="1">"c1344"</definedName>
    <definedName name="IQ_ADVERTISING_MARKETING" hidden="1">"c1566"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IT" hidden="1">"c13"</definedName>
    <definedName name="IQ_AE_UTI" hidden="1">"c14"</definedName>
    <definedName name="IQ_ALLOW_BORROW_CONST" hidden="1">"c15"</definedName>
    <definedName name="IQ_ALLOW_CONST" hidden="1">"c1342"</definedName>
    <definedName name="IQ_ALLOW_DOUBT_ACCT" hidden="1">"c2092"</definedName>
    <definedName name="IQ_ALLOW_EQUITY_CONST" hidden="1">"c16"</definedName>
    <definedName name="IQ_ALLOW_LL" hidden="1">"c17"</definedName>
    <definedName name="IQ_ALLOWANCE_10YR_ANN_GROWTH" hidden="1">"c18"</definedName>
    <definedName name="IQ_ALLOWANCE_1YR_ANN_GROWTH" hidden="1">"c19"</definedName>
    <definedName name="IQ_ALLOWANCE_2YR_ANN_GROWTH" hidden="1">"c20"</definedName>
    <definedName name="IQ_ALLOWANCE_3YR_ANN_GROWTH" hidden="1">"c21"</definedName>
    <definedName name="IQ_ALLOWANCE_5YR_ANN_GROWTH" hidden="1">"c22"</definedName>
    <definedName name="IQ_ALLOWANCE_7YR_ANN_GROWTH" hidden="1">"c23"</definedName>
    <definedName name="IQ_ALLOWANCE_CHARGE_OFFS" hidden="1">"c24"</definedName>
    <definedName name="IQ_ALLOWANCE_NON_PERF_LOANS" hidden="1">"c25"</definedName>
    <definedName name="IQ_ALLOWANCE_TOTAL_LOANS" hidden="1">"c26"</definedName>
    <definedName name="IQ_AMORTIZATION" hidden="1">"c1591"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IT" hidden="1">"c37"</definedName>
    <definedName name="IQ_AP_UTI" hidden="1">"c38"</definedName>
    <definedName name="IQ_APIC" hidden="1">"c39"</definedName>
    <definedName name="IQ_AR" hidden="1">"c40"</definedName>
    <definedName name="IQ_AR_BR" hidden="1">"c41"</definedName>
    <definedName name="IQ_AR_LT" hidden="1">"c42"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IT" hidden="1">"c60"</definedName>
    <definedName name="IQ_ASSET_WRITEDOWN_UTI" hidden="1">"c61"</definedName>
    <definedName name="IQ_ASSETS_CAP_LEASE_DEPR" hidden="1">"c2068"</definedName>
    <definedName name="IQ_ASSETS_CAP_LEASE_GROSS" hidden="1">"c2069"</definedName>
    <definedName name="IQ_ASSETS_OPER_LEASE_DEPR" hidden="1">"c2070"</definedName>
    <definedName name="IQ_ASSETS_OPER_LEASE_GROSS" hidden="1">"c2071"</definedName>
    <definedName name="IQ_AUDITOR_NAME" hidden="1">"c1539"</definedName>
    <definedName name="IQ_AUDITOR_OPINION" hidden="1">"c1540"</definedName>
    <definedName name="IQ_AUTO_WRITTEN" hidden="1">"c62"</definedName>
    <definedName name="IQ_AVG_BANK_ASSETS" hidden="1">"c2072"</definedName>
    <definedName name="IQ_AVG_BANK_LOANS" hidden="1">"c2073"</definedName>
    <definedName name="IQ_AVG_BROKER_REC" hidden="1">"c63"</definedName>
    <definedName name="IQ_AVG_BROKER_REC_NO" hidden="1">"c64"</definedName>
    <definedName name="IQ_AVG_DAILY_VOL" hidden="1">"c65"</definedName>
    <definedName name="IQ_AVG_INT_BEAR_LIAB" hidden="1">"c66"</definedName>
    <definedName name="IQ_AVG_INT_BEAR_LIAB_10YR_ANN_GROWTH" hidden="1">"c67"</definedName>
    <definedName name="IQ_AVG_INT_BEAR_LIAB_1YR_ANN_GROWTH" hidden="1">"c68"</definedName>
    <definedName name="IQ_AVG_INT_BEAR_LIAB_2YR_ANN_GROWTH" hidden="1">"c69"</definedName>
    <definedName name="IQ_AVG_INT_BEAR_LIAB_3YR_ANN_GROWTH" hidden="1">"c70"</definedName>
    <definedName name="IQ_AVG_INT_BEAR_LIAB_5YR_ANN_GROWTH" hidden="1">"c71"</definedName>
    <definedName name="IQ_AVG_INT_BEAR_LIAB_7YR_ANN_GROWTH" hidden="1">"c72"</definedName>
    <definedName name="IQ_AVG_INT_EARN_ASSETS" hidden="1">"c73"</definedName>
    <definedName name="IQ_AVG_INT_EARN_ASSETS_10YR_ANN_GROWTH" hidden="1">"c74"</definedName>
    <definedName name="IQ_AVG_INT_EARN_ASSETS_1YR_ANN_GROWTH" hidden="1">"c75"</definedName>
    <definedName name="IQ_AVG_INT_EARN_ASSETS_2YR_ANN_GROWTH" hidden="1">"c76"</definedName>
    <definedName name="IQ_AVG_INT_EARN_ASSETS_3YR_ANN_GROWTH" hidden="1">"c77"</definedName>
    <definedName name="IQ_AVG_INT_EARN_ASSETS_5YR_ANN_GROWTH" hidden="1">"c78"</definedName>
    <definedName name="IQ_AVG_INT_EARN_ASSETS_7YR_ANN_GROWTH" hidden="1">"c79"</definedName>
    <definedName name="IQ_AVG_MKTCAP" hidden="1">"c80"</definedName>
    <definedName name="IQ_AVG_PRICE" hidden="1">"c81"</definedName>
    <definedName name="IQ_AVG_PRICE_TARGET" hidden="1">"c82"</definedName>
    <definedName name="IQ_AVG_SHAREOUTSTANDING" hidden="1">"c83"</definedName>
    <definedName name="IQ_AVG_TEV" hidden="1">"c84"</definedName>
    <definedName name="IQ_AVG_VOLUME" hidden="1">"c1346"</definedName>
    <definedName name="IQ_BASIC_EPS_EXCL" hidden="1">"c85"</definedName>
    <definedName name="IQ_BASIC_EPS_INCL" hidden="1">"c86"</definedName>
    <definedName name="IQ_BASIC_NORMAL_EPS" hidden="1">"c1592"</definedName>
    <definedName name="IQ_BASIC_WEIGHT" hidden="1">"c87"</definedName>
    <definedName name="IQ_BETA" hidden="1">"c2133"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G_INT_BEAR_CD" hidden="1">"c89"</definedName>
    <definedName name="IQ_BOARD_MEMBER" hidden="1">"c96"</definedName>
    <definedName name="IQ_BOARD_MEMBER_BACKGROUND" hidden="1">"c2101"</definedName>
    <definedName name="IQ_BOARD_MEMBER_TITLE" hidden="1">"c97"</definedName>
    <definedName name="IQ_BROK_COMISSION" hidden="1">"c98"</definedName>
    <definedName name="IQ_BUILDINGS" hidden="1">"c99"</definedName>
    <definedName name="IQ_BUSINESS_DESCRIPTION" hidden="1">"c322"</definedName>
    <definedName name="IQ_BV_OVER_SHARES" hidden="1">"c1349"</definedName>
    <definedName name="IQ_BV_SHARE" hidden="1">"c100"</definedName>
    <definedName name="IQ_CAL_Q" hidden="1">"c101"</definedName>
    <definedName name="IQ_CAL_Y" hidden="1">"c102"</definedName>
    <definedName name="IQ_CAPEX" hidden="1">"c103"</definedName>
    <definedName name="IQ_CAPEX_10YR_ANN_GROWTH" hidden="1">"c104"</definedName>
    <definedName name="IQ_CAPEX_1YR_ANN_GROWTH" hidden="1">"c105"</definedName>
    <definedName name="IQ_CAPEX_2YR_ANN_GROWTH" hidden="1">"c106"</definedName>
    <definedName name="IQ_CAPEX_3YR_ANN_GROWTH" hidden="1">"c107"</definedName>
    <definedName name="IQ_CAPEX_5YR_ANN_GROWTH" hidden="1">"c108"</definedName>
    <definedName name="IQ_CAPEX_7YR_ANN_GROWTH" hidden="1">"c109"</definedName>
    <definedName name="IQ_CAPEX_BNK" hidden="1">"c110"</definedName>
    <definedName name="IQ_CAPEX_BR" hidden="1">"c111"</definedName>
    <definedName name="IQ_CAPEX_FIN" hidden="1">"c112"</definedName>
    <definedName name="IQ_CAPEX_INS" hidden="1">"c113"</definedName>
    <definedName name="IQ_CAPEX_UTI" hidden="1">"c114"</definedName>
    <definedName name="IQ_CAPITAL_LEASE" hidden="1">"c1350"</definedName>
    <definedName name="IQ_CAPITAL_LEASES" hidden="1">"c115"</definedName>
    <definedName name="IQ_CAPITALIZED_INTEREST" hidden="1">"c2076"</definedName>
    <definedName name="IQ_CASH" hidden="1">"c1458"</definedName>
    <definedName name="IQ_CASH_ACQUIRE_CF" hidden="1">"c1630"</definedName>
    <definedName name="IQ_CASH_CONVERSION" hidden="1">"c117"</definedName>
    <definedName name="IQ_CASH_DUE_BANKS" hidden="1">"c1351"</definedName>
    <definedName name="IQ_CASH_EQUIV" hidden="1">"c118"</definedName>
    <definedName name="IQ_CASH_FINAN" hidden="1">"c119"</definedName>
    <definedName name="IQ_CASH_INTEREST" hidden="1">"c120"</definedName>
    <definedName name="IQ_CASH_INVEST" hidden="1">"c121"</definedName>
    <definedName name="IQ_CASH_OPER" hidden="1">"c122"</definedName>
    <definedName name="IQ_CASH_SEGREG" hidden="1">"c123"</definedName>
    <definedName name="IQ_CASH_SHARE" hidden="1">"c1911"</definedName>
    <definedName name="IQ_CASH_ST" hidden="1">"c1355"</definedName>
    <definedName name="IQ_CASH_ST_INVEST" hidden="1">"c124"</definedName>
    <definedName name="IQ_CASH_TAXES" hidden="1">"c125"</definedName>
    <definedName name="IQ_CFO_10YR_ANN_GROWTH" hidden="1">"c126"</definedName>
    <definedName name="IQ_CFO_1YR_ANN_GROWTH" hidden="1">"c127"</definedName>
    <definedName name="IQ_CFO_2YR_ANN_GROWTH" hidden="1">"c128"</definedName>
    <definedName name="IQ_CFO_3YR_ANN_GROWTH" hidden="1">"c129"</definedName>
    <definedName name="IQ_CFO_5YR_ANN_GROWTH" hidden="1">"c130"</definedName>
    <definedName name="IQ_CFO_7YR_ANN_GROWTH" hidden="1">"c131"</definedName>
    <definedName name="IQ_CFO_CURRENT_LIAB" hidden="1">"c132"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IT" hidden="1">"c145"</definedName>
    <definedName name="IQ_CHANGE_AR_UTI" hidden="1">"c146"</definedName>
    <definedName name="IQ_CHANGE_DEF_TAX" hidden="1">"c147"</definedName>
    <definedName name="IQ_CHANGE_DEPOSIT_ACCT" hidden="1">"c148"</definedName>
    <definedName name="IQ_CHANGE_INC_TAX" hidden="1">"c149"</definedName>
    <definedName name="IQ_CHANGE_INS_RES_LIAB" hidden="1">"c150"</definedName>
    <definedName name="IQ_CHANGE_INVENTORY" hidden="1">"c151"</definedName>
    <definedName name="IQ_CHANGE_NET_WORKING_CAPITAL" hidden="1">"c1909"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"c1357"</definedName>
    <definedName name="IQ_CHARGE_OFFS_GROSS" hidden="1">"c162"</definedName>
    <definedName name="IQ_CHARGE_OFFS_NET" hidden="1">"c163"</definedName>
    <definedName name="IQ_CHARGE_OFFS_RECOVERED" hidden="1">"c164"</definedName>
    <definedName name="IQ_CHARGE_OFFS_TOTAL_AVG_LOANS" hidden="1">"c165"</definedName>
    <definedName name="IQ_CITY" hidden="1">"c166"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ASSA_OUTSTANDING_BS_DATE" hidden="1">"c1971"</definedName>
    <definedName name="IQ_CLASSA_OUTSTANDING_FILING_DATE" hidden="1">"c1973"</definedName>
    <definedName name="IQ_CLOSEPRICE" hidden="1">"c174"</definedName>
    <definedName name="IQ_CLOSEPRICE_ADJ" hidden="1">"c2115"</definedName>
    <definedName name="IQ_COGS" hidden="1">"c175"</definedName>
    <definedName name="IQ_COMBINED_RATIO" hidden="1">"c176"</definedName>
    <definedName name="IQ_COMMERCIAL_DOM" hidden="1">"c177"</definedName>
    <definedName name="IQ_COMMERCIAL_FIRE_WRITTEN" hidden="1">"c178"</definedName>
    <definedName name="IQ_COMMERCIAL_MORT" hidden="1">"c179"</definedName>
    <definedName name="IQ_COMMISS_FEES" hidden="1">"c180"</definedName>
    <definedName name="IQ_COMMISSION_DEF" hidden="1">"c181"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IT" hidden="1">"c188"</definedName>
    <definedName name="IQ_COMMON_APIC_UTI" hidden="1">"c189"</definedName>
    <definedName name="IQ_COMMON_DIV_CF" hidden="1">"c190"</definedName>
    <definedName name="IQ_COMMON_EQUITY_10YR_ANN_GROWTH" hidden="1">"c191"</definedName>
    <definedName name="IQ_COMMON_EQUITY_1YR_ANN_GROWTH" hidden="1">"c192"</definedName>
    <definedName name="IQ_COMMON_EQUITY_2YR_ANN_GROWTH" hidden="1">"c193"</definedName>
    <definedName name="IQ_COMMON_EQUITY_3YR_ANN_GROWTH" hidden="1">"c194"</definedName>
    <definedName name="IQ_COMMON_EQUITY_5YR_ANN_GROWTH" hidden="1">"c195"</definedName>
    <definedName name="IQ_COMMON_EQUITY_7YR_ANN_GROWTH" hidden="1">"c196"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IT" hidden="1">"c211"</definedName>
    <definedName name="IQ_COMMON_REP_UTI" hidden="1">"c212"</definedName>
    <definedName name="IQ_COMMON_STOCK" hidden="1">"c1358"</definedName>
    <definedName name="IQ_COMP_BENEFITS" hidden="1">"c213"</definedName>
    <definedName name="IQ_COMPANY_ADDRESS" hidden="1">"c214"</definedName>
    <definedName name="IQ_COMPANY_NAME" hidden="1">"c215"</definedName>
    <definedName name="IQ_COMPANY_NAME_LONG" hidden="1">"c1585"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YPE" hidden="1">"c2096"</definedName>
    <definedName name="IQ_COMPANY_WEBSITE" hidden="1">"c220"</definedName>
    <definedName name="IQ_COMPANY_ZIP" hidden="1">"c221"</definedName>
    <definedName name="IQ_CONSTRUCTION_LOANS" hidden="1">"c222"</definedName>
    <definedName name="IQ_CONSUMER_LOANS" hidden="1">"c223"</definedName>
    <definedName name="IQ_COST_BORROWINGS" hidden="1">"c225"</definedName>
    <definedName name="IQ_COST_REV" hidden="1">"c226"</definedName>
    <definedName name="IQ_COST_REVENUE" hidden="1">"c1359"</definedName>
    <definedName name="IQ_COST_SAVINGS" hidden="1">"c227"</definedName>
    <definedName name="IQ_COST_SERVICE" hidden="1">"c228"</definedName>
    <definedName name="IQ_COST_TOTAL_BORROWINGS" hidden="1">"c229"</definedName>
    <definedName name="IQ_COUNTRY_NAME" hidden="1">"c230"</definedName>
    <definedName name="IQ_COVERED_POPS" hidden="1">"c2124"</definedName>
    <definedName name="IQ_CQ" hidden="1">5000</definedName>
    <definedName name="IQ_CREDIT_CARD_FEE_BNK" hidden="1">"c231"</definedName>
    <definedName name="IQ_CREDIT_CARD_FEE_FIN" hidden="1">"c1583"</definedName>
    <definedName name="IQ_CREDIT_LOSS_CF" hidden="1">"c232"</definedName>
    <definedName name="IQ_CUMULATIVE_SPLIT_FACTOR" hidden="1">"c2094"</definedName>
    <definedName name="IQ_CURR_DOMESTIC_TAXES" hidden="1">"c2074"</definedName>
    <definedName name="IQ_CURR_FOREIGN_TAXES" hidden="1">"c2075"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IT" hidden="1">"c239"</definedName>
    <definedName name="IQ_CURRENCY_GAIN_UTI" hidden="1">"c240"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IT" hidden="1">"c1570"</definedName>
    <definedName name="IQ_CURRENT_PORT_DEBT_UTI" hidden="1">"c1571"</definedName>
    <definedName name="IQ_CURRENT_PORT_LEASES" hidden="1">"c245"</definedName>
    <definedName name="IQ_CURRENT_RATIO" hidden="1">"c246"</definedName>
    <definedName name="IQ_CY" hidden="1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IT" hidden="1">"c254"</definedName>
    <definedName name="IQ_DA_CF_UTI" hidden="1">"c255"</definedName>
    <definedName name="IQ_DA_FIN" hidden="1">"c256"</definedName>
    <definedName name="IQ_DA_INS" hidden="1">"c257"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IT" hidden="1">"c270"</definedName>
    <definedName name="IQ_DA_SUPPL_UTI" hidden="1">"c271"</definedName>
    <definedName name="IQ_DA_UTI" hidden="1">"c272"</definedName>
    <definedName name="IQ_DAYS_COVER_SHORT" hidden="1">"c1578"</definedName>
    <definedName name="IQ_DAYS_INVENTORY_OUT" hidden="1">"c273"</definedName>
    <definedName name="IQ_DAYS_PAY_OUTST" hidden="1">"c1362"</definedName>
    <definedName name="IQ_DAYS_PAYABLE_OUT" hidden="1">"c274"</definedName>
    <definedName name="IQ_DAYS_SALES_OUT" hidden="1">"c275"</definedName>
    <definedName name="IQ_DAYS_SALES_OUTST" hidden="1">"c1363"</definedName>
    <definedName name="IQ_DEF_ACQ_CST" hidden="1">"c1364"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OTHER_COST" hidden="1">"c284"</definedName>
    <definedName name="IQ_DEF_BENEFIT_ROA" hidden="1">"c285"</definedName>
    <definedName name="IQ_DEF_BENEFIT_SERVICE_COST" hidden="1">"c286"</definedName>
    <definedName name="IQ_DEF_BENEFIT_TOTAL_COST" hidden="1">"c287"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IT" hidden="1">"c297"</definedName>
    <definedName name="IQ_DEF_CHARGES_LT_UTI" hidden="1">"c298"</definedName>
    <definedName name="IQ_DEF_CHARGES_REIT" hidden="1">"c299"</definedName>
    <definedName name="IQ_DEF_CONTRIBUTION_TOTAL_COST" hidden="1">"c300"</definedName>
    <definedName name="IQ_DEF_INC_TAX" hidden="1">"c1365"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IT" hidden="1">"c318"</definedName>
    <definedName name="IQ_DEF_TAX_LIAB_LT_UTI" hidden="1">"c319"</definedName>
    <definedName name="IQ_DEFERRED_DOMESTIC_TAXES" hidden="1">"c2077"</definedName>
    <definedName name="IQ_DEFERRED_FOREIGN_TAXES" hidden="1">"c2078"</definedName>
    <definedName name="IQ_DEFERRED_INC_TAX" hidden="1">"c1447"</definedName>
    <definedName name="IQ_DEFERRED_TAXES" hidden="1">"c1356"</definedName>
    <definedName name="IQ_DEMAND_DEP" hidden="1">"c320"</definedName>
    <definedName name="IQ_DEPOSITS_FIN" hidden="1">"c321"</definedName>
    <definedName name="IQ_DEPRE_AMORT" hidden="1">"c1360"</definedName>
    <definedName name="IQ_DEPRE_AMORT_SUPPL" hidden="1">"c1593"</definedName>
    <definedName name="IQ_DEPRE_DEPLE" hidden="1">"c1361"</definedName>
    <definedName name="IQ_DEPRE_SUPP" hidden="1">"c1443"</definedName>
    <definedName name="IQ_DESCRIPTION_LONG" hidden="1">"c1520"</definedName>
    <definedName name="IQ_DEVELOP_LAND" hidden="1">"c323"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WEIGHT" hidden="1">"c326"</definedName>
    <definedName name="IQ_DISCONT_OPER" hidden="1">"c1367"</definedName>
    <definedName name="IQ_DISCOUNT_RATE_PENSION_DOMESTIC" hidden="1">"c327"</definedName>
    <definedName name="IQ_DISCOUNT_RATE_PENSION_FOREIGN" hidden="1">"c328"</definedName>
    <definedName name="IQ_DISTR_EXCESS_EARN" hidden="1">"c329"</definedName>
    <definedName name="IQ_DIV_PAYMENT_DATE" hidden="1">"c2106"</definedName>
    <definedName name="IQ_DIV_RECORD_DATE" hidden="1">"c2105"</definedName>
    <definedName name="IQ_DIV_SHARE" hidden="1">"c330"</definedName>
    <definedName name="IQ_DIVEST_CF" hidden="1">"c331"</definedName>
    <definedName name="IQ_DIVID_SHARE" hidden="1">"c1366"</definedName>
    <definedName name="IQ_DIVIDEND_YIELD" hidden="1">"c332"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PS_10YR_ANN_GROWTH" hidden="1">"c337"</definedName>
    <definedName name="IQ_DPS_1YR_ANN_GROWTH" hidden="1">"c338"</definedName>
    <definedName name="IQ_DPS_2YR_ANN_GROWTH" hidden="1">"c339"</definedName>
    <definedName name="IQ_DPS_3YR_ANN_GROWTH" hidden="1">"c340"</definedName>
    <definedName name="IQ_DPS_5YR_ANN_GROWTH" hidden="1">"c341"</definedName>
    <definedName name="IQ_DPS_7YR_ANN_GROWTH" hidden="1">"c342"</definedName>
    <definedName name="IQ_EARNING_ASSET_YIELD" hidden="1">"c343"</definedName>
    <definedName name="IQ_EARNING_CO" hidden="1">"c344"</definedName>
    <definedName name="IQ_EARNING_CO_10YR_ANN_GROWTH" hidden="1">"c345"</definedName>
    <definedName name="IQ_EARNING_CO_1YR_ANN_GROWTH" hidden="1">"c346"</definedName>
    <definedName name="IQ_EARNING_CO_2YR_ANN_GROWTH" hidden="1">"c347"</definedName>
    <definedName name="IQ_EARNING_CO_3YR_ANN_GROWTH" hidden="1">"c348"</definedName>
    <definedName name="IQ_EARNING_CO_5YR_ANN_GROWTH" hidden="1">"c349"</definedName>
    <definedName name="IQ_EARNING_CO_7YR_ANN_GROWTH" hidden="1">"c350"</definedName>
    <definedName name="IQ_EARNING_CO_MARGIN" hidden="1">"c351"</definedName>
    <definedName name="IQ_EARNINGS_ANNOUNCE_DATE" hidden="1">"c1649"</definedName>
    <definedName name="IQ_EBIT" hidden="1">"c352"</definedName>
    <definedName name="IQ_EBIT_10YR_ANN_GROWTH" hidden="1">"c353"</definedName>
    <definedName name="IQ_EBIT_1YR_ANN_GROWTH" hidden="1">"c354"</definedName>
    <definedName name="IQ_EBIT_2YR_ANN_GROWTH" hidden="1">"c355"</definedName>
    <definedName name="IQ_EBIT_3YR_ANN_GROWTH" hidden="1">"c356"</definedName>
    <definedName name="IQ_EBIT_5YR_ANN_GROWTH" hidden="1">"c357"</definedName>
    <definedName name="IQ_EBIT_7YR_ANN_GROWTH" hidden="1">"c358"</definedName>
    <definedName name="IQ_EBIT_INT" hidden="1">"c360"</definedName>
    <definedName name="IQ_EBIT_MARGIN" hidden="1">"c359"</definedName>
    <definedName name="IQ_EBIT_OVER_IE" hidden="1">"c1369"</definedName>
    <definedName name="IQ_EBITA" hidden="1">"c1910"</definedName>
    <definedName name="IQ_EBITA_10YR_ANN_GROWTH" hidden="1">"c1954"</definedName>
    <definedName name="IQ_EBITA_1YR_ANN_GROWTH" hidden="1">"c1949"</definedName>
    <definedName name="IQ_EBITA_2YR_ANN_GROWTH" hidden="1">"c1950"</definedName>
    <definedName name="IQ_EBITA_3YR_ANN_GROWTH" hidden="1">"c1951"</definedName>
    <definedName name="IQ_EBITA_5YR_ANN_GROWTH" hidden="1">"c1952"</definedName>
    <definedName name="IQ_EBITA_7YR_ANN_GROWTH" hidden="1">"c1953"</definedName>
    <definedName name="IQ_EBITA_MARGIN" hidden="1">"c1963"</definedName>
    <definedName name="IQ_EBITDA" hidden="1">"c361"</definedName>
    <definedName name="IQ_EBITDA_10YR_ANN_GROWTH" hidden="1">"c362"</definedName>
    <definedName name="IQ_EBITDA_1YR_ANN_GROWTH" hidden="1">"c363"</definedName>
    <definedName name="IQ_EBITDA_2YR_ANN_GROWTH" hidden="1">"c364"</definedName>
    <definedName name="IQ_EBITDA_3YR_ANN_GROWTH" hidden="1">"c365"</definedName>
    <definedName name="IQ_EBITDA_5YR_ANN_GROWTH" hidden="1">"c366"</definedName>
    <definedName name="IQ_EBITDA_7YR_ANN_GROWTH" hidden="1">"c367"</definedName>
    <definedName name="IQ_EBITDA_CAPEX_INT" hidden="1">"c368"</definedName>
    <definedName name="IQ_EBITDA_CAPEX_OVER_TOTAL_IE" hidden="1">"c1370"</definedName>
    <definedName name="IQ_EBITDA_INT" hidden="1">"c373"</definedName>
    <definedName name="IQ_EBITDA_MARGIN" hidden="1">"c372"</definedName>
    <definedName name="IQ_EBITDA_OVER_TOTAL_IE" hidden="1">"c1371"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IT" hidden="1">"c384"</definedName>
    <definedName name="IQ_EBT_EXCL_UTI" hidden="1">"c385"</definedName>
    <definedName name="IQ_EBT_FIN" hidden="1">"c386"</definedName>
    <definedName name="IQ_EBT_INCL_MARGIN" hidden="1">"c387"</definedName>
    <definedName name="IQ_EBT_INS" hidden="1">"c388"</definedName>
    <definedName name="IQ_EBT_REIT" hidden="1">"c389"</definedName>
    <definedName name="IQ_EBT_UTI" hidden="1">"c390"</definedName>
    <definedName name="IQ_EFFECT_SPECIAL_CHARGE" hidden="1">"c1595"</definedName>
    <definedName name="IQ_EFFECT_TAX_RATE" hidden="1">"c1899"</definedName>
    <definedName name="IQ_EFFICIENCY_RATIO" hidden="1">"c391"</definedName>
    <definedName name="IQ_EMPLOYEES" hidden="1">"c392"</definedName>
    <definedName name="IQ_ENTERPRISE_VALUE" hidden="1">"c1348"</definedName>
    <definedName name="IQ_EPS_10YR_ANN_GROWTH" hidden="1">"c393"</definedName>
    <definedName name="IQ_EPS_1YR_ANN_GROWTH" hidden="1">"c394"</definedName>
    <definedName name="IQ_EPS_2YR_ANN_GROWTH" hidden="1">"c395"</definedName>
    <definedName name="IQ_EPS_3YR_ANN_GROWTH" hidden="1">"c396"</definedName>
    <definedName name="IQ_EPS_5YR_ANN_GROWTH" hidden="1">"c397"</definedName>
    <definedName name="IQ_EPS_7YR_ANN_GROWTH" hidden="1">"c398"</definedName>
    <definedName name="IQ_EPS_EST" hidden="1">"c399"</definedName>
    <definedName name="IQ_EPS_HIGH_EST" hidden="1">"c400"</definedName>
    <definedName name="IQ_EPS_LOW_EST" hidden="1">"c401"</definedName>
    <definedName name="IQ_EPS_NORM" hidden="1">"c1902"</definedName>
    <definedName name="IQ_EPS_NUM_EST" hidden="1">"c402"</definedName>
    <definedName name="IQ_EPS_STDDEV_EST" hidden="1">"c403"</definedName>
    <definedName name="IQ_EQUITY_AFFIL" hidden="1">"c1451"</definedName>
    <definedName name="IQ_EQUITY_METHOD" hidden="1">"c404"</definedName>
    <definedName name="IQ_EQV_OVER_BV" hidden="1">"c1596"</definedName>
    <definedName name="IQ_EQV_OVER_LTM_PRETAX_INC" hidden="1">"c1390"</definedName>
    <definedName name="IQ_ESOP_DEBT" hidden="1">"c1597"</definedName>
    <definedName name="IQ_EST_ACT_EPS" hidden="1">"c1648"</definedName>
    <definedName name="IQ_EST_CURRENCY" hidden="1">"c2140"</definedName>
    <definedName name="IQ_EST_DATE" hidden="1">"c1634"</definedName>
    <definedName name="IQ_EST_EPS_GROWTH_1YR" hidden="1">"c1636"</definedName>
    <definedName name="IQ_EST_EPS_GROWTH_5YR" hidden="1">"c1655"</definedName>
    <definedName name="IQ_EST_EPS_GROWTH_5YR_HIGH" hidden="1">"c1657"</definedName>
    <definedName name="IQ_EST_EPS_GROWTH_5YR_LOW" hidden="1">"c1658"</definedName>
    <definedName name="IQ_EST_EPS_GROWTH_5YR_MEDIAN" hidden="1">"c1656"</definedName>
    <definedName name="IQ_EST_EPS_GROWTH_5YR_NUM" hidden="1">"c1659"</definedName>
    <definedName name="IQ_EST_EPS_GROWTH_5YR_STDDEV" hidden="1">"c1660"</definedName>
    <definedName name="IQ_EST_EPS_GROWTH_Q_1YR" hidden="1">"c1641"</definedName>
    <definedName name="IQ_EV_OVER_EMPLOYEE" hidden="1">"c1428"</definedName>
    <definedName name="IQ_EV_OVER_LTM_EBIT" hidden="1">"c1426"</definedName>
    <definedName name="IQ_EV_OVER_LTM_EBITDA" hidden="1">"c1427"</definedName>
    <definedName name="IQ_EV_OVER_LTM_REVENUE" hidden="1">"c1429"</definedName>
    <definedName name="IQ_EXCHANGE" hidden="1">"c405"</definedName>
    <definedName name="IQ_EXERCISE_PRICE" hidden="1">"c1897"</definedName>
    <definedName name="IQ_EXERCISED" hidden="1">"c406"</definedName>
    <definedName name="IQ_EXP_RETURN_PENSION_DOMESTIC" hidden="1">"c407"</definedName>
    <definedName name="IQ_EXP_RETURN_PENSION_FOREIGN" hidden="1">"c408"</definedName>
    <definedName name="IQ_EXPLORE_DRILL" hidden="1">"c409"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IT" hidden="1">"c415"</definedName>
    <definedName name="IQ_EXTRA_ACC_ITEMS_UTI" hidden="1">"c416"</definedName>
    <definedName name="IQ_EXTRA_ITEMS" hidden="1">"c1459"</definedName>
    <definedName name="IQ_FDIC" hidden="1">"c417"</definedName>
    <definedName name="IQ_FFO" hidden="1">"c1574"</definedName>
    <definedName name="IQ_FHLB_DEBT" hidden="1">"c423"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ILING_CURRENCY" hidden="1">"c2129"</definedName>
    <definedName name="IQ_FILINGDATE_BS" hidden="1">"c424"</definedName>
    <definedName name="IQ_FILINGDATE_CF" hidden="1">"c425"</definedName>
    <definedName name="IQ_FILINGDATE_IS" hidden="1">"c426"</definedName>
    <definedName name="IQ_FIN_DIV_ASSETS_CURRENT" hidden="1">"c427"</definedName>
    <definedName name="IQ_FIN_DIV_ASSETS_LT" hidden="1">"c428"</definedName>
    <definedName name="IQ_FIN_DIV_DEBT_CURRENT" hidden="1">"c429"</definedName>
    <definedName name="IQ_FIN_DIV_DEBT_LT" hidden="1">"c430"</definedName>
    <definedName name="IQ_FIN_DIV_EXP" hidden="1">"c431"</definedName>
    <definedName name="IQ_FIN_DIV_INT_EXP" hidden="1">"c432"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REV" hidden="1">"c437"</definedName>
    <definedName name="IQ_FINANCING_CASH" hidden="1">"c1405"</definedName>
    <definedName name="IQ_FINANCING_CASH_SUPPL" hidden="1">"c1406"</definedName>
    <definedName name="IQ_FINISHED_INV" hidden="1">"c438"</definedName>
    <definedName name="IQ_FIRST_YEAR_LIFE" hidden="1">"c439"</definedName>
    <definedName name="IQ_FISCAL_Q" hidden="1">"c440"</definedName>
    <definedName name="IQ_FISCAL_Y" hidden="1">"c441"</definedName>
    <definedName name="IQ_FIVE_PERCENT_OWNER" hidden="1">"c442"</definedName>
    <definedName name="IQ_FIVEPERCENT_PERCENT" hidden="1">"c443"</definedName>
    <definedName name="IQ_FIVEPERCENT_SHARES" hidden="1">"c444"</definedName>
    <definedName name="IQ_FIXED_ASSET_TURNS" hidden="1">"c445"</definedName>
    <definedName name="IQ_FLOAT_PERCENT" hidden="1">"c1575"</definedName>
    <definedName name="IQ_FOREIGN_DEP_IB" hidden="1">"c446"</definedName>
    <definedName name="IQ_FOREIGN_DEP_NON_IB" hidden="1">"c447"</definedName>
    <definedName name="IQ_FOREIGN_EXCHANGE" hidden="1">"c1376"</definedName>
    <definedName name="IQ_FOREIGN_LOANS" hidden="1">"c448"</definedName>
    <definedName name="IQ_FQ" hidden="1">500</definedName>
    <definedName name="IQ_FUEL" hidden="1">"c449"</definedName>
    <definedName name="IQ_FULL_TIME" hidden="1">"c450"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X" hidden="1">"c451"</definedName>
    <definedName name="IQ_FY" hidden="1">1000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SALE_ASSETS" hidden="1">"c1377"</definedName>
    <definedName name="IQ_GOODWILL_NET" hidden="1">"c1380"</definedName>
    <definedName name="IQ_GP" hidden="1">"c511"</definedName>
    <definedName name="IQ_GP_10YR_ANN_GROWTH" hidden="1">"c512"</definedName>
    <definedName name="IQ_GP_1YR_ANN_GROWTH" hidden="1">"c513"</definedName>
    <definedName name="IQ_GP_2YR_ANN_GROWTH" hidden="1">"c514"</definedName>
    <definedName name="IQ_GP_3YR_ANN_GROWTH" hidden="1">"c515"</definedName>
    <definedName name="IQ_GP_5YR_ANN_GROWTH" hidden="1">"c516"</definedName>
    <definedName name="IQ_GP_7YR_ANN_GROWTH" hidden="1">"c517"</definedName>
    <definedName name="IQ_GPPE" hidden="1">"c518"</definedName>
    <definedName name="IQ_GROSS_DIVID" hidden="1">"c1446"</definedName>
    <definedName name="IQ_GROSS_LOANS" hidden="1">"c521"</definedName>
    <definedName name="IQ_GROSS_LOANS_10YR_ANN_GROWTH" hidden="1">"c522"</definedName>
    <definedName name="IQ_GROSS_LOANS_1YR_ANN_GROWTH" hidden="1">"c523"</definedName>
    <definedName name="IQ_GROSS_LOANS_2YR_ANN_GROWTH" hidden="1">"c524"</definedName>
    <definedName name="IQ_GROSS_LOANS_3YR_ANN_GROWTH" hidden="1">"c525"</definedName>
    <definedName name="IQ_GROSS_LOANS_5YR_ANN_GROWTH" hidden="1">"c526"</definedName>
    <definedName name="IQ_GROSS_LOANS_7YR_ANN_GROWTH" hidden="1">"c527"</definedName>
    <definedName name="IQ_GROSS_LOANS_TOTAL_DEPOSITS" hidden="1">"c528"</definedName>
    <definedName name="IQ_GROSS_MARGIN" hidden="1">"c529"</definedName>
    <definedName name="IQ_GROSS_PROFIT" hidden="1">"c1378"</definedName>
    <definedName name="IQ_GW" hidden="1">"c530"</definedName>
    <definedName name="IQ_GW_AMORT_BR" hidden="1">"c532"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IT" hidden="1">"c1480"</definedName>
    <definedName name="IQ_GW_INTAN_AMORT_UTI" hidden="1">"c1481"</definedName>
    <definedName name="IQ_HIGHPRICE" hidden="1">"c545"</definedName>
    <definedName name="IQ_HOMEOWNERS_WRITTEN" hidden="1">"c546"</definedName>
    <definedName name="IQ_IMPAIR_OIL" hidden="1">"c547"</definedName>
    <definedName name="IQ_IMPAIRMENT_GW" hidden="1">"c548"</definedName>
    <definedName name="IQ_INC_AFTER_TAX" hidden="1">"c1598"</definedName>
    <definedName name="IQ_INC_AVAIL_EXCL" hidden="1">"c1395"</definedName>
    <definedName name="IQ_INC_AVAIL_INCL" hidden="1">"c1396"</definedName>
    <definedName name="IQ_INC_BEFORE_TAX" hidden="1">"c1375"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S_ANNUITY_LIAB" hidden="1">"c563"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IT" hidden="1">"c575"</definedName>
    <definedName name="IQ_INS_SETTLE_UTI" hidden="1">"c576"</definedName>
    <definedName name="IQ_INSIDER_3MTH_BOUGHT_PCT" hidden="1">"c1534"</definedName>
    <definedName name="IQ_INSIDER_3MTH_NET_PCT" hidden="1">"c1535"</definedName>
    <definedName name="IQ_INSIDER_3MTH_SOLD_PCT" hidden="1">"c1533"</definedName>
    <definedName name="IQ_INSIDER_6MTH_BOUGHT_PCT" hidden="1">"c1537"</definedName>
    <definedName name="IQ_INSIDER_6MTH_NET_PCT" hidden="1">"c1538"</definedName>
    <definedName name="IQ_INSIDER_6MTH_SOLD_PCT" hidden="1">"c1536"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UR_RECEIV" hidden="1">"c1600"</definedName>
    <definedName name="IQ_INT_BORROW" hidden="1">"c583"</definedName>
    <definedName name="IQ_INT_DEPOSITS" hidden="1">"c584"</definedName>
    <definedName name="IQ_INT_DIV_INC" hidden="1">"c585"</definedName>
    <definedName name="IQ_INT_EXP_BR" hidden="1">"c586"</definedName>
    <definedName name="IQ_INT_EXP_COVERAGE" hidden="1">"c587"</definedName>
    <definedName name="IQ_INT_EXP_FIN" hidden="1">"c588"</definedName>
    <definedName name="IQ_INT_EXP_INS" hidden="1">"c589"</definedName>
    <definedName name="IQ_INT_EXP_LTD" hidden="1">"c2086"</definedName>
    <definedName name="IQ_INT_EXP_REIT" hidden="1">"c590"</definedName>
    <definedName name="IQ_INT_EXP_TOTAL" hidden="1">"c591"</definedName>
    <definedName name="IQ_INT_EXP_UTI" hidden="1">"c592"</definedName>
    <definedName name="IQ_INT_INC_BR" hidden="1">"c593"</definedName>
    <definedName name="IQ_INT_INC_FIN" hidden="1">"c594"</definedName>
    <definedName name="IQ_INT_INC_INVEST" hidden="1">"c595"</definedName>
    <definedName name="IQ_INT_INC_LOANS" hidden="1">"c596"</definedName>
    <definedName name="IQ_INT_INC_REIT" hidden="1">"c597"</definedName>
    <definedName name="IQ_INT_INC_TOTAL" hidden="1">"c598"</definedName>
    <definedName name="IQ_INT_INC_UTI" hidden="1">"c599"</definedName>
    <definedName name="IQ_INT_INV_INC" hidden="1">"c600"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RATE_SPREAD" hidden="1">"c604"</definedName>
    <definedName name="IQ_INTANGIBLES_NET" hidden="1">"c1407"</definedName>
    <definedName name="IQ_INTEREST_EXP" hidden="1">"c618"</definedName>
    <definedName name="IQ_INTEREST_EXP_NET" hidden="1">"c1450"</definedName>
    <definedName name="IQ_INTEREST_EXP_NON" hidden="1">"c1383"</definedName>
    <definedName name="IQ_INTEREST_EXP_SUPPL" hidden="1">"c1460"</definedName>
    <definedName name="IQ_INTEREST_INC" hidden="1">"c1393"</definedName>
    <definedName name="IQ_INTEREST_INC_NON" hidden="1">"c1384"</definedName>
    <definedName name="IQ_INTEREST_INVEST_INC" hidden="1">"c619"</definedName>
    <definedName name="IQ_INV_10YR_ANN_GROWTH" hidden="1">"c1930"</definedName>
    <definedName name="IQ_INV_1YR_ANN_GROWTH" hidden="1">"c1925"</definedName>
    <definedName name="IQ_INV_2YR_ANN_GROWTH" hidden="1">"c1926"</definedName>
    <definedName name="IQ_INV_3YR_ANN_GROWTH" hidden="1">"c1927"</definedName>
    <definedName name="IQ_INV_5YR_ANN_GROWTH" hidden="1">"c1928"</definedName>
    <definedName name="IQ_INV_7YR_ANN_GROWTH" hidden="1">"c1929"</definedName>
    <definedName name="IQ_INV_BANKING_FEE" hidden="1">"c620"</definedName>
    <definedName name="IQ_INV_METHOD" hidden="1">"c621"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IT" hidden="1">"c633"</definedName>
    <definedName name="IQ_INVEST_LOANS_CF_UTI" hidden="1">"c634"</definedName>
    <definedName name="IQ_INVEST_REAL_ESTATE" hidden="1">"c635"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IT" hidden="1">"c642"</definedName>
    <definedName name="IQ_INVEST_SECURITY_CF_UTI" hidden="1">"c643"</definedName>
    <definedName name="IQ_IPRD" hidden="1">"c644"</definedName>
    <definedName name="IQ_ISS_DEBT_NET" hidden="1">"c1391"</definedName>
    <definedName name="IQ_ISS_STOCK_NET" hidden="1">"c1601"</definedName>
    <definedName name="IQ_LAND" hidden="1">"c645"</definedName>
    <definedName name="IQ_LAST_SPLIT_DATE" hidden="1">"c2095"</definedName>
    <definedName name="IQ_LAST_SPLIT_FACTOR" hidden="1">"c2093"</definedName>
    <definedName name="IQ_LASTSALEPRICE" hidden="1">"c646"</definedName>
    <definedName name="IQ_LASTSALEPRICE_DATE" hidden="1">"c2109"</definedName>
    <definedName name="IQ_LATESTK" hidden="1">1000</definedName>
    <definedName name="IQ_LATESTQ" hidden="1">500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IT" hidden="1">"c652"</definedName>
    <definedName name="IQ_LEGAL_SETTLE_UTI" hidden="1">"c653"</definedName>
    <definedName name="IQ_LEVERAGE_RATIO" hidden="1">"c654"</definedName>
    <definedName name="IQ_LEVERED_FCF" hidden="1">"c1907"</definedName>
    <definedName name="IQ_LFCF_10YR_ANN_GROWTH" hidden="1">"c1942"</definedName>
    <definedName name="IQ_LFCF_1YR_ANN_GROWTH" hidden="1">"c1937"</definedName>
    <definedName name="IQ_LFCF_2YR_ANN_GROWTH" hidden="1">"c1938"</definedName>
    <definedName name="IQ_LFCF_3YR_ANN_GROWTH" hidden="1">"c1939"</definedName>
    <definedName name="IQ_LFCF_5YR_ANN_GROWTH" hidden="1">"c1940"</definedName>
    <definedName name="IQ_LFCF_7YR_ANN_GROWTH" hidden="1">"c1941"</definedName>
    <definedName name="IQ_LFCF_MARGIN" hidden="1">"c1961"</definedName>
    <definedName name="IQ_LICENSED_POPS" hidden="1">"c2123"</definedName>
    <definedName name="IQ_LIFOR" hidden="1">"c655"</definedName>
    <definedName name="IQ_LL" hidden="1">"c656"</definedName>
    <definedName name="IQ_LOAN_LEASE_RECEIV" hidden="1">"c657"</definedName>
    <definedName name="IQ_LOAN_LOSS" hidden="1">"c1386"</definedName>
    <definedName name="IQ_LOAN_SERVICE_REV" hidden="1">"c658"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IT" hidden="1">"c664"</definedName>
    <definedName name="IQ_LOANS_CF_UTI" hidden="1">"c665"</definedName>
    <definedName name="IQ_LOANS_FOR_SALE" hidden="1">"c666"</definedName>
    <definedName name="IQ_LOANS_PAST_DUE" hidden="1">"c667"</definedName>
    <definedName name="IQ_LOANS_RECEIV_CURRENT" hidden="1">"c668"</definedName>
    <definedName name="IQ_LOANS_RECEIV_LT" hidden="1">"c669"</definedName>
    <definedName name="IQ_LOANS_RECEIV_LT_UTI" hidden="1">"c670"</definedName>
    <definedName name="IQ_LONG_TERM_DEBT" hidden="1">"c1387"</definedName>
    <definedName name="IQ_LONG_TERM_DEBT_OVER_TOTAL_CAP" hidden="1">"c1388"</definedName>
    <definedName name="IQ_LONG_TERM_GROWTH" hidden="1">"c671"</definedName>
    <definedName name="IQ_LONG_TERM_INV" hidden="1">"c1389"</definedName>
    <definedName name="IQ_LOSS_LOSS_EXP" hidden="1">"c672"</definedName>
    <definedName name="IQ_LOWPRICE" hidden="1">"c673"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IT" hidden="1">"c686"</definedName>
    <definedName name="IQ_LT_DEBT_ISSUED_UTI" hidden="1">"c687"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IT" hidden="1">"c694"</definedName>
    <definedName name="IQ_LT_DEBT_REPAID_UTI" hidden="1">"c695"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IT" hidden="1">"c700"</definedName>
    <definedName name="IQ_LT_INVEST_UTI" hidden="1">"c701"</definedName>
    <definedName name="IQ_LT_NOTE_RECEIV" hidden="1">"c1602"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 hidden="1">2000</definedName>
    <definedName name="IQ_LTM_REVENUE_OVER_EMPLOYEES" hidden="1">"c1437"</definedName>
    <definedName name="IQ_MACHINERY" hidden="1">"c711"</definedName>
    <definedName name="IQ_MAINT_REPAIR" hidden="1">"c2087"</definedName>
    <definedName name="IQ_MARKETCAP" hidden="1">"c712"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IT" hidden="1">"c724"</definedName>
    <definedName name="IQ_MERGER_RESTRUCTURE_UTI" hidden="1">"c725"</definedName>
    <definedName name="IQ_MERGER_UTI" hidden="1">"c726"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KTCAP_TOTAL_REV_FWD" hidden="1">"c742"</definedName>
    <definedName name="IQ_MM_ACCOUNT" hidden="1">"c743"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NET_CHANGE" hidden="1">"c749"</definedName>
    <definedName name="IQ_NET_DEBT" hidden="1">"c1584"</definedName>
    <definedName name="IQ_NET_DEBT_EBITDA" hidden="1">"c750"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IT" hidden="1">"c756"</definedName>
    <definedName name="IQ_NET_DEBT_ISSUED_UTI" hidden="1">"c757"</definedName>
    <definedName name="IQ_NET_INC" hidden="1">"c1394"</definedName>
    <definedName name="IQ_NET_INC_BEFORE" hidden="1">"c1368"</definedName>
    <definedName name="IQ_NET_INC_CF" hidden="1">"c1397"</definedName>
    <definedName name="IQ_NET_INC_MARGIN" hidden="1">"c1398"</definedName>
    <definedName name="IQ_NET_INT_INC_10YR_ANN_GROWTH" hidden="1">"c758"</definedName>
    <definedName name="IQ_NET_INT_INC_1YR_ANN_GROWTH" hidden="1">"c759"</definedName>
    <definedName name="IQ_NET_INT_INC_2YR_ANN_GROWTH" hidden="1">"c760"</definedName>
    <definedName name="IQ_NET_INT_INC_3YR_ANN_GROWTH" hidden="1">"c761"</definedName>
    <definedName name="IQ_NET_INT_INC_5YR_ANN_GROWTH" hidden="1">"c762"</definedName>
    <definedName name="IQ_NET_INT_INC_7YR_ANN_GROWTH" hidden="1">"c763"</definedName>
    <definedName name="IQ_NET_INT_INC_BNK" hidden="1">"c764"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MARGIN" hidden="1">"c768"</definedName>
    <definedName name="IQ_NET_INTEREST_EXP" hidden="1">"c769"</definedName>
    <definedName name="IQ_NET_INTEREST_EXP_REIT" hidden="1">"c770"</definedName>
    <definedName name="IQ_NET_INTEREST_EXP_UTI" hidden="1">"c771"</definedName>
    <definedName name="IQ_NET_INTEREST_INC" hidden="1">"c1392"</definedName>
    <definedName name="IQ_NET_INTEREST_INC_AFTER_LL" hidden="1">"c1604"</definedName>
    <definedName name="IQ_NET_LOANS" hidden="1">"c772"</definedName>
    <definedName name="IQ_NET_LOANS_10YR_ANN_GROWTH" hidden="1">"c773"</definedName>
    <definedName name="IQ_NET_LOANS_1YR_ANN_GROWTH" hidden="1">"c774"</definedName>
    <definedName name="IQ_NET_LOANS_2YR_ANN_GROWTH" hidden="1">"c775"</definedName>
    <definedName name="IQ_NET_LOANS_3YR_ANN_GROWTH" hidden="1">"c776"</definedName>
    <definedName name="IQ_NET_LOANS_5YR_ANN_GROWTH" hidden="1">"c777"</definedName>
    <definedName name="IQ_NET_LOANS_7YR_ANN_GROWTH" hidden="1">"c778"</definedName>
    <definedName name="IQ_NET_LOANS_TOTAL_DEPOSITS" hidden="1">"c779"</definedName>
    <definedName name="IQ_NET_RENTAL_EXP_FN" hidden="1">"c780"</definedName>
    <definedName name="IQ_NI" hidden="1">"c781"</definedName>
    <definedName name="IQ_NI_10YR_ANN_GROWTH" hidden="1">"c782"</definedName>
    <definedName name="IQ_NI_1YR_ANN_GROWTH" hidden="1">"c783"</definedName>
    <definedName name="IQ_NI_2YR_ANN_GROWTH" hidden="1">"c784"</definedName>
    <definedName name="IQ_NI_3YR_ANN_GROWTH" hidden="1">"c785"</definedName>
    <definedName name="IQ_NI_5YR_ANN_GROWTH" hidden="1">"c786"</definedName>
    <definedName name="IQ_NI_7YR_ANN_GROWTH" hidden="1">"c787"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BEFORE_CAPITALIZED" hidden="1">"c792"</definedName>
    <definedName name="IQ_NI_CF" hidden="1">"c793"</definedName>
    <definedName name="IQ_NI_MARGIN" hidden="1">"c794"</definedName>
    <definedName name="IQ_NI_NORM" hidden="1">"c1901"</definedName>
    <definedName name="IQ_NI_NORM_10YR_ANN_GROWTH" hidden="1">"c1960"</definedName>
    <definedName name="IQ_NI_NORM_1YR_ANN_GROWTH" hidden="1">"c1955"</definedName>
    <definedName name="IQ_NI_NORM_2YR_ANN_GROWTH" hidden="1">"c1956"</definedName>
    <definedName name="IQ_NI_NORM_3YR_ANN_GROWTH" hidden="1">"c1957"</definedName>
    <definedName name="IQ_NI_NORM_5YR_ANN_GROWTH" hidden="1">"c1958"</definedName>
    <definedName name="IQ_NI_NORM_7YR_ANN_GROWTH" hidden="1">"c1959"</definedName>
    <definedName name="IQ_NI_NORM_MARGIN" hidden="1">"c1964"</definedName>
    <definedName name="IQ_NI_SFAS" hidden="1">"c795"</definedName>
    <definedName name="IQ_NON_ACCRUAL_LOANS" hidden="1">"c796"</definedName>
    <definedName name="IQ_NON_CASH" hidden="1">"c1399"</definedName>
    <definedName name="IQ_NON_CASH_ITEMS" hidden="1">"c797"</definedName>
    <definedName name="IQ_NON_INS_EXP" hidden="1">"c798"</definedName>
    <definedName name="IQ_NON_INS_REV" hidden="1">"c799"</definedName>
    <definedName name="IQ_NON_INT_BEAR_CD" hidden="1">"c800"</definedName>
    <definedName name="IQ_NON_INT_EXP" hidden="1">"c801"</definedName>
    <definedName name="IQ_NON_INT_INC" hidden="1">"c802"</definedName>
    <definedName name="IQ_NON_INT_INC_10YR_ANN_GROWTH" hidden="1">"c803"</definedName>
    <definedName name="IQ_NON_INT_INC_1YR_ANN_GROWTH" hidden="1">"c804"</definedName>
    <definedName name="IQ_NON_INT_INC_2YR_ANN_GROWTH" hidden="1">"c805"</definedName>
    <definedName name="IQ_NON_INT_INC_3YR_ANN_GROWTH" hidden="1">"c806"</definedName>
    <definedName name="IQ_NON_INT_INC_5YR_ANN_GROWTH" hidden="1">"c807"</definedName>
    <definedName name="IQ_NON_INT_INC_7YR_ANN_GROWTH" hidden="1">"c808"</definedName>
    <definedName name="IQ_NON_INTEREST_EXP" hidden="1">"c1400"</definedName>
    <definedName name="IQ_NON_INTEREST_INC" hidden="1">"c1401"</definedName>
    <definedName name="IQ_NON_OPER_EXP" hidden="1">"c809"</definedName>
    <definedName name="IQ_NON_OPER_INC" hidden="1">"c810"</definedName>
    <definedName name="IQ_NON_PERF_ASSETS_10YR_ANN_GROWTH" hidden="1">"c811"</definedName>
    <definedName name="IQ_NON_PERF_ASSETS_1YR_ANN_GROWTH" hidden="1">"c812"</definedName>
    <definedName name="IQ_NON_PERF_ASSETS_2YR_ANN_GROWTH" hidden="1">"c813"</definedName>
    <definedName name="IQ_NON_PERF_ASSETS_3YR_ANN_GROWTH" hidden="1">"c814"</definedName>
    <definedName name="IQ_NON_PERF_ASSETS_5YR_ANN_GROWTH" hidden="1">"c815"</definedName>
    <definedName name="IQ_NON_PERF_ASSETS_7YR_ANN_GROWTH" hidden="1">"c816"</definedName>
    <definedName name="IQ_NON_PERF_ASSETS_TOTAL_ASSETS" hidden="1">"c817"</definedName>
    <definedName name="IQ_NON_PERF_LOANS_10YR_ANN_GROWTH" hidden="1">"c818"</definedName>
    <definedName name="IQ_NON_PERF_LOANS_1YR_ANN_GROWTH" hidden="1">"c819"</definedName>
    <definedName name="IQ_NON_PERF_LOANS_2YR_ANN_GROWTH" hidden="1">"c820"</definedName>
    <definedName name="IQ_NON_PERF_LOANS_3YR_ANN_GROWTH" hidden="1">"c821"</definedName>
    <definedName name="IQ_NON_PERF_LOANS_5YR_ANN_GROWTH" hidden="1">"c822"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LOANS" hidden="1">"c827"</definedName>
    <definedName name="IQ_NONUTIL_REV" hidden="1">"c2089"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"c1423"</definedName>
    <definedName name="IQ_NOW_ACCOUNT" hidden="1">"c828"</definedName>
    <definedName name="IQ_NPPE" hidden="1">"c829"</definedName>
    <definedName name="IQ_NPPE_10YR_ANN_GROWTH" hidden="1">"c830"</definedName>
    <definedName name="IQ_NPPE_1YR_ANN_GROWTH" hidden="1">"c831"</definedName>
    <definedName name="IQ_NPPE_2YR_ANN_GROWTH" hidden="1">"c832"</definedName>
    <definedName name="IQ_NPPE_3YR_ANN_GROWTH" hidden="1">"c833"</definedName>
    <definedName name="IQ_NPPE_5YR_ANN_GROWTH" hidden="1">"c834"</definedName>
    <definedName name="IQ_NPPE_7YR_ANN_GROWTH" hidden="1">"c835"</definedName>
    <definedName name="IQ_NTM" hidden="1">6000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BER_ADRHOLDERS" hidden="1">"c1970"</definedName>
    <definedName name="IQ_NUMBER_DAYS" hidden="1">"c1904"</definedName>
    <definedName name="IQ_NUMBER_SHAREHOLDERS" hidden="1">"c1967"</definedName>
    <definedName name="IQ_NUMBER_SHAREHOLDERS_CLASSA" hidden="1">"c1968"</definedName>
    <definedName name="IQ_NUMBER_SHAREHOLDERS_OTHER" hidden="1">"c1969"</definedName>
    <definedName name="IQ_OCCUPY_EXP" hidden="1">"c839"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CLOSE_BALANCE_GAS" hidden="1">"c2049"</definedName>
    <definedName name="IQ_OG_CLOSE_BALANCE_OIL" hidden="1">"c2037"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RESERVES_GAS" hidden="1">"c2053"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T_DISC_GAS" hidden="1">"c2043"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IMPROVED_RECOVERY_GAS" hidden="1">"c2044"</definedName>
    <definedName name="IQ_OG_IMPROVED_RECOVERY_OIL" hidden="1">"c2032"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OIL" hidden="1">"c2029"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ODUCTION_GAS" hidden="1">"c2047"</definedName>
    <definedName name="IQ_OG_PRODUCTION_OIL" hidden="1">"c2035"</definedName>
    <definedName name="IQ_OG_PURCHASES_GAS" hidden="1">"c2045"</definedName>
    <definedName name="IQ_OG_PURCHASES_OIL" hidden="1">"c2033"</definedName>
    <definedName name="IQ_OG_REVISIONS_GAS" hidden="1">"c2042"</definedName>
    <definedName name="IQ_OG_REVISIONS_OIL" hidden="1">"c2030"</definedName>
    <definedName name="IQ_OG_SALES_IN_PLACE_GAS" hidden="1">"c2046"</definedName>
    <definedName name="IQ_OG_SALES_IN_PLACE_OIL" hidden="1">"c2034"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PRODUCTION" hidden="1">"c2060"</definedName>
    <definedName name="IQ_OG_TOTAL_OIL_PRODUCTON" hidden="1">"c2059"</definedName>
    <definedName name="IQ_OG_UNDEVELOPED_RESERVES_GAS" hidden="1">"c2051"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NPRICE" hidden="1">"c848"</definedName>
    <definedName name="IQ_OPER_INC" hidden="1">"c849"</definedName>
    <definedName name="IQ_OPER_INC_BR" hidden="1">"c850"</definedName>
    <definedName name="IQ_OPER_INC_FIN" hidden="1">"c851"</definedName>
    <definedName name="IQ_OPER_INC_INS" hidden="1">"c852"</definedName>
    <definedName name="IQ_OPER_INC_MARGIN" hidden="1">"c1448"</definedName>
    <definedName name="IQ_OPER_INC_REIT" hidden="1">"c853"</definedName>
    <definedName name="IQ_OPER_INC_UTI" hidden="1">"c854"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ERCISED" hidden="1">"c2116"</definedName>
    <definedName name="IQ_OPTIONS_ISSUED" hidden="1">"c857"</definedName>
    <definedName name="IQ_ORDER_BACKLOG" hidden="1">"c2090"</definedName>
    <definedName name="IQ_OTHER_ADJUST_GROSS_LOANS" hidden="1">"c859"</definedName>
    <definedName name="IQ_OTHER_ASSETS" hidden="1">"c860"</definedName>
    <definedName name="IQ_OTHER_ASSETS_BNK" hidden="1">"c861"</definedName>
    <definedName name="IQ_OTHER_ASSETS_BR" hidden="1">"c862"</definedName>
    <definedName name="IQ_OTHER_ASSETS_FIN" hidden="1">"c863"</definedName>
    <definedName name="IQ_OTHER_ASSETS_INS" hidden="1">"c864"</definedName>
    <definedName name="IQ_OTHER_ASSETS_REIT" hidden="1">"c865"</definedName>
    <definedName name="IQ_OTHER_ASSETS_UTI" hidden="1">"c866"</definedName>
    <definedName name="IQ_OTHER_BEARING_LIAB" hidden="1">"c1608"</definedName>
    <definedName name="IQ_OTHER_BENEFITS_OBLIGATION" hidden="1">"c867"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REIT" hidden="1">"c882"</definedName>
    <definedName name="IQ_OTHER_CL_SUPPL_UTI" hidden="1">"c883"</definedName>
    <definedName name="IQ_OTHER_CL_UTI" hidden="1">"c884"</definedName>
    <definedName name="IQ_OTHER_CURRENT_ASSETS" hidden="1">"c1403"</definedName>
    <definedName name="IQ_OTHER_CURRENT_LIAB" hidden="1">"c1404"</definedName>
    <definedName name="IQ_OTHER_DEP" hidden="1">"c885"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FIN" hidden="1">"c889"</definedName>
    <definedName name="IQ_OTHER_EQUITY_INS" hidden="1">"c890"</definedName>
    <definedName name="IQ_OTHER_EQUITY_REIT" hidden="1">"c891"</definedName>
    <definedName name="IQ_OTHER_EQUITY_UTI" hidden="1">"c892"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IT" hidden="1">"c912"</definedName>
    <definedName name="IQ_OTHER_INTAN_UTI" hidden="1">"c913"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"c1408"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IT" hidden="1">"c940"</definedName>
    <definedName name="IQ_OTHER_LIAB_LT_UTI" hidden="1">"c941"</definedName>
    <definedName name="IQ_OTHER_LIAB_REIT" hidden="1">"c942"</definedName>
    <definedName name="IQ_OTHER_LIAB_UTI" hidden="1">"c943"</definedName>
    <definedName name="IQ_OTHER_LIAB_WRITTEN" hidden="1">"c944"</definedName>
    <definedName name="IQ_OTHER_LOANS" hidden="1">"c945"</definedName>
    <definedName name="IQ_OTHER_LONG_TERM" hidden="1">"c1409"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IT" hidden="1">"c951"</definedName>
    <definedName name="IQ_OTHER_LT_ASSETS_UTI" hidden="1">"c952"</definedName>
    <definedName name="IQ_OTHER_NET" hidden="1">"c1453"</definedName>
    <definedName name="IQ_OTHER_NON_INT_EXP" hidden="1">"c953"</definedName>
    <definedName name="IQ_OTHER_NON_INT_EXP_TOTAL" hidden="1">"c954"</definedName>
    <definedName name="IQ_OTHER_NON_INT_INC" hidden="1">"c955"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UTSTANDING_BS_DATE" hidden="1">"c1972"</definedName>
    <definedName name="IQ_OTHER_OUTSTANDING_FILING_DATE" hidden="1">"c1974"</definedName>
    <definedName name="IQ_OTHER_PC_WRITTEN" hidden="1">"c1006"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"c1410"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IT" hidden="1">"c1499"</definedName>
    <definedName name="IQ_OTHER_UNUSUAL_SUPPL_UTI" hidden="1">"c1500"</definedName>
    <definedName name="IQ_OTHER_UNUSUAL_UTI" hidden="1">"c1565"</definedName>
    <definedName name="IQ_OUTSTANDING_BS_DATE" hidden="1">"c2128"</definedName>
    <definedName name="IQ_OUTSTANDING_FILING_DATE" hidden="1">"c2127"</definedName>
    <definedName name="IQ_PART_TIME" hidden="1">"c1024"</definedName>
    <definedName name="IQ_PAY_ACCRUED" hidden="1">"c1457"</definedName>
    <definedName name="IQ_PAYOUT_RATIO" hidden="1">"c1900"</definedName>
    <definedName name="IQ_PBV" hidden="1">"c1025"</definedName>
    <definedName name="IQ_PBV_AVG" hidden="1">"c1026"</definedName>
    <definedName name="IQ_PC_WRITTEN" hidden="1">"c1027"</definedName>
    <definedName name="IQ_PE_EXCL" hidden="1">"c1028"</definedName>
    <definedName name="IQ_PE_EXCL_AVG" hidden="1">"c1029"</definedName>
    <definedName name="IQ_PE_EXCL_FWD" hidden="1">"c1030"</definedName>
    <definedName name="IQ_PE_RATIO" hidden="1">"c1610"</definedName>
    <definedName name="IQ_PENSION" hidden="1">"c1031"</definedName>
    <definedName name="IQ_PERIODDATE" hidden="1">"c1414"</definedName>
    <definedName name="IQ_PERIODDATE_BS" hidden="1">"c1032"</definedName>
    <definedName name="IQ_PERIODDATE_CF" hidden="1">"c1033"</definedName>
    <definedName name="IQ_PERIODDATE_IS" hidden="1">"c1034"</definedName>
    <definedName name="IQ_PERIODLENGTH_CF" hidden="1">"c1502"</definedName>
    <definedName name="IQ_PERIODLENGTH_IS" hidden="1">"c1503"</definedName>
    <definedName name="IQ_PERTYPE" hidden="1">"c1611"</definedName>
    <definedName name="IQ_PLL" hidden="1">"c2114"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ST_RETIRE_EXP" hidden="1">"c1039"</definedName>
    <definedName name="IQ_POSTPAID_CHURN" hidden="1">"c2121"</definedName>
    <definedName name="IQ_POSTPAID_SUBS" hidden="1">"c2118"</definedName>
    <definedName name="IQ_PRE_OPEN_COST" hidden="1">"c1040"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IT" hidden="1">"c1058"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IT" hidden="1">"c1065"</definedName>
    <definedName name="IQ_PREF_REP_UTI" hidden="1">"c1066"</definedName>
    <definedName name="IQ_PREF_STOCK" hidden="1">"c1416"</definedName>
    <definedName name="IQ_PREF_TOT" hidden="1">"c1415"</definedName>
    <definedName name="IQ_PREMIUMS_ANNUITY_REV" hidden="1">"c1067"</definedName>
    <definedName name="IQ_PREPAID_CHURN" hidden="1">"c2120"</definedName>
    <definedName name="IQ_PREPAID_EXP" hidden="1">"c1068"</definedName>
    <definedName name="IQ_PREPAID_EXPEN" hidden="1">"c1418"</definedName>
    <definedName name="IQ_PREPAID_SUBS" hidden="1">"c2117"</definedName>
    <definedName name="IQ_PRICE_OVER_BVPS" hidden="1">"c1412"</definedName>
    <definedName name="IQ_PRICE_OVER_LTM_EPS" hidden="1">"c1413"</definedName>
    <definedName name="IQ_PRICEDATE" hidden="1">"c1069"</definedName>
    <definedName name="IQ_PRICING_DATE" hidden="1">"c1613"</definedName>
    <definedName name="IQ_PRIMARY_INDUSTRY" hidden="1">"c1070"</definedName>
    <definedName name="IQ_PRO_FORMA_BASIC_EPS" hidden="1">"c1614"</definedName>
    <definedName name="IQ_PRO_FORMA_DILUT_EPS" hidden="1">"c1615"</definedName>
    <definedName name="IQ_PRO_FORMA_NET_INC" hidden="1">"c1452"</definedName>
    <definedName name="IQ_PROFESSIONAL" hidden="1">"c1071"</definedName>
    <definedName name="IQ_PROFESSIONAL_TITLE" hidden="1">"c1072"</definedName>
    <definedName name="IQ_PROPERTY_EXP" hidden="1">"c1073"</definedName>
    <definedName name="IQ_PROPERTY_GROSS" hidden="1">"c1379"</definedName>
    <definedName name="IQ_PROPERTY_MGMT_FEE" hidden="1">"c1074"</definedName>
    <definedName name="IQ_PROPERTY_NET" hidden="1">"c1402"</definedName>
    <definedName name="IQ_PROV_BAD_DEBTS" hidden="1">"c1075"</definedName>
    <definedName name="IQ_PROV_BAD_DEBTS_CF" hidden="1">"c1076"</definedName>
    <definedName name="IQ_PROVISION_10YR_ANN_GROWTH" hidden="1">"c1077"</definedName>
    <definedName name="IQ_PROVISION_1YR_ANN_GROWTH" hidden="1">"c1078"</definedName>
    <definedName name="IQ_PROVISION_2YR_ANN_GROWTH" hidden="1">"c1079"</definedName>
    <definedName name="IQ_PROVISION_3YR_ANN_GROWTH" hidden="1">"c1080"</definedName>
    <definedName name="IQ_PROVISION_5YR_ANN_GROWTH" hidden="1">"c1081"</definedName>
    <definedName name="IQ_PROVISION_7YR_ANN_GROWTH" hidden="1">"c1082"</definedName>
    <definedName name="IQ_PROVISION_CHARGE_OFFS" hidden="1">"c1083"</definedName>
    <definedName name="IQ_PTBV" hidden="1">"c1084"</definedName>
    <definedName name="IQ_PTBV_AVG" hidden="1">"c1085"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D_EXP" hidden="1">"c1090"</definedName>
    <definedName name="IQ_RD_EXP_FN" hidden="1">"c1091"</definedName>
    <definedName name="IQ_RE" hidden="1">"c1092"</definedName>
    <definedName name="IQ_REAL_ESTATE" hidden="1">"c1093"</definedName>
    <definedName name="IQ_REAL_ESTATE_ASSETS" hidden="1">"c1094"</definedName>
    <definedName name="IQ_REDEEM_PREF_STOCK" hidden="1">"c1417"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NTAL_REV" hidden="1">"c1101"</definedName>
    <definedName name="IQ_RESEARCH_DEV" hidden="1">"c1419"</definedName>
    <definedName name="IQ_RESIDENTIAL_LOANS" hidden="1">"c1102"</definedName>
    <definedName name="IQ_RESTATEMENT_BS" hidden="1">"c1643"</definedName>
    <definedName name="IQ_RESTATEMENT_CF" hidden="1">"c1644"</definedName>
    <definedName name="IQ_RESTATEMENT_IS" hidden="1">"c1642"</definedName>
    <definedName name="IQ_RESTRICTED_CASH" hidden="1">"c1103"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IT" hidden="1">"c1110"</definedName>
    <definedName name="IQ_RESTRUCTURE_UTI" hidden="1">"c1111"</definedName>
    <definedName name="IQ_RESTRUCTURED_LOANS" hidden="1">"c1112"</definedName>
    <definedName name="IQ_RETAIL_AVG_STORE_SIZE_GROSS" hidden="1">"c2066"</definedName>
    <definedName name="IQ_RETAIL_AVG_STORE_SIZE_NET" hidden="1">"c2067"</definedName>
    <definedName name="IQ_RETAIL_CLOSED_STORES" hidden="1">"c2063"</definedName>
    <definedName name="IQ_RETAIL_OPENED_STORES" hidden="1">"c2062"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Q_FOOTAGE" hidden="1">"c2064"</definedName>
    <definedName name="IQ_RETAIL_STORE_SELLING_AREA" hidden="1">"c2065"</definedName>
    <definedName name="IQ_RETAIL_TOTAL_STORES" hidden="1">"c2061"</definedName>
    <definedName name="IQ_RETAINED_EARN" hidden="1">"c1420"</definedName>
    <definedName name="IQ_RETURN_ASSETS" hidden="1">"c1113"</definedName>
    <definedName name="IQ_RETURN_ASSETS_BANK" hidden="1">"c1114"</definedName>
    <definedName name="IQ_RETURN_ASSETS_BROK" hidden="1">"c1115"</definedName>
    <definedName name="IQ_RETURN_ASSETS_FS" hidden="1">"c1116"</definedName>
    <definedName name="IQ_RETURN_CAPITAL" hidden="1">"c1117"</definedName>
    <definedName name="IQ_RETURN_EQUITY" hidden="1">"c1118"</definedName>
    <definedName name="IQ_RETURN_EQUITY_BANK" hidden="1">"c1119"</definedName>
    <definedName name="IQ_RETURN_EQUITY_BROK" hidden="1">"c1120"</definedName>
    <definedName name="IQ_RETURN_EQUITY_FS" hidden="1">"c1121"</definedName>
    <definedName name="IQ_RETURN_INVESTMENT" hidden="1">"c1421"</definedName>
    <definedName name="IQ_REV" hidden="1">"c1122"</definedName>
    <definedName name="IQ_REV_BEFORE_LL" hidden="1">"c1123"</definedName>
    <definedName name="IQ_REV_UTI" hidden="1">"c1125"</definedName>
    <definedName name="IQ_REVENUE" hidden="1">"c1422"</definedName>
    <definedName name="IQ_SALARY" hidden="1">"c1130"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ME_STORE" hidden="1">"c1149"</definedName>
    <definedName name="IQ_SAVING_DEP" hidden="1">"c1150"</definedName>
    <definedName name="IQ_SECUR_RECEIV" hidden="1">"c1151"</definedName>
    <definedName name="IQ_SECURITY_BORROW" hidden="1">"c1152"</definedName>
    <definedName name="IQ_SECURITY_OWN" hidden="1">"c1153"</definedName>
    <definedName name="IQ_SECURITY_RESELL" hidden="1">"c1154"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IT" hidden="1">"c1161"</definedName>
    <definedName name="IQ_SGA_SUPPL" hidden="1">"c1162"</definedName>
    <definedName name="IQ_SGA_UTI" hidden="1">"c1163"</definedName>
    <definedName name="IQ_SHAREOUTSTANDING" hidden="1">"c1347"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TERM_INVEST" hidden="1">"c1425"</definedName>
    <definedName name="IQ_SMALL_INT_BEAR_CD" hidden="1">"c1166"</definedName>
    <definedName name="IQ_SOFTWARE" hidden="1">"c1167"</definedName>
    <definedName name="IQ_SOURCE" hidden="1">"c1168"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IT" hidden="1">"c1174"</definedName>
    <definedName name="IQ_SPECIAL_DIV_CF_UTI" hidden="1">"c1175"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IT" hidden="1">"c1186"</definedName>
    <definedName name="IQ_ST_DEBT_ISSUED_UTI" hidden="1">"c1187"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IT" hidden="1">"c1194"</definedName>
    <definedName name="IQ_ST_DEBT_REPAID_UTI" hidden="1">"c1195"</definedName>
    <definedName name="IQ_ST_DEBT_UTI" hidden="1">"c1196"</definedName>
    <definedName name="IQ_ST_INVEST" hidden="1">"c1197"</definedName>
    <definedName name="IQ_ST_INVEST_UTI" hidden="1">"c1198"</definedName>
    <definedName name="IQ_ST_NOTE_RECEIV" hidden="1">"c1199"</definedName>
    <definedName name="IQ_STATE" hidden="1">"c1200"</definedName>
    <definedName name="IQ_STATUTORY_SURPLUS" hidden="1">"c1201"</definedName>
    <definedName name="IQ_STOCK_BASED" hidden="1">"c1202"</definedName>
    <definedName name="IQ_STOCK_BASED_CF" hidden="1">"c1203"</definedName>
    <definedName name="IQ_STRIKE_PRICE_ISSUED" hidden="1">"c1645"</definedName>
    <definedName name="IQ_STRIKE_PRICE_OS" hidden="1">"c1646"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VA" hidden="1">"c1214"</definedName>
    <definedName name="IQ_TAX_BENEFIT_OPTIONS" hidden="1">"c1215"</definedName>
    <definedName name="IQ_TAX_EQUIV_NET_INT_INC" hidden="1">"c1216"</definedName>
    <definedName name="IQ_TBV" hidden="1">"c1906"</definedName>
    <definedName name="IQ_TBV_10YR_ANN_GROWTH" hidden="1">"c1936"</definedName>
    <definedName name="IQ_TBV_1YR_ANN_GROWTH" hidden="1">"c1931"</definedName>
    <definedName name="IQ_TBV_2YR_ANN_GROWTH" hidden="1">"c1932"</definedName>
    <definedName name="IQ_TBV_3YR_ANN_GROWTH" hidden="1">"c1933"</definedName>
    <definedName name="IQ_TBV_5YR_ANN_GROWTH" hidden="1">"c1934"</definedName>
    <definedName name="IQ_TBV_7YR_ANN_GROWTH" hidden="1">"c1935"</definedName>
    <definedName name="IQ_TBV_SHARE" hidden="1">"c1217"</definedName>
    <definedName name="IQ_TEMPLATE" hidden="1">"c1521"</definedName>
    <definedName name="IQ_TENANT" hidden="1">"c1218"</definedName>
    <definedName name="IQ_TEV" hidden="1">"c1219"</definedName>
    <definedName name="IQ_TEV_EBIT" hidden="1">"c1220"</definedName>
    <definedName name="IQ_TEV_EBIT_AVG" hidden="1">"c1221"</definedName>
    <definedName name="IQ_TEV_EBITDA" hidden="1">"c1222"</definedName>
    <definedName name="IQ_TEV_EBITDA_AVG" hidden="1">"c1223"</definedName>
    <definedName name="IQ_TEV_EBITDA_FWD" hidden="1">"c1224"</definedName>
    <definedName name="IQ_TEV_EMPLOYEE_AVG" hidden="1">"c1225"</definedName>
    <definedName name="IQ_TEV_TOTAL_REV" hidden="1">"c1226"</definedName>
    <definedName name="IQ_TEV_TOTAL_REV_AVG" hidden="1">"c1227"</definedName>
    <definedName name="IQ_TEV_TOTAL_REV_FWD" hidden="1">"c1228"</definedName>
    <definedName name="IQ_TIER_ONE_RATIO" hidden="1">"c1229"</definedName>
    <definedName name="IQ_TIME_DEP" hidden="1">"c1230"</definedName>
    <definedName name="IQ_TODAY" hidden="1">0</definedName>
    <definedName name="IQ_TOT_ADJ_INC" hidden="1">"c1616"</definedName>
    <definedName name="IQ_TOTAL_AR_BR" hidden="1">"c1231"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GROWTH" hidden="1">"c1235"</definedName>
    <definedName name="IQ_TOTAL_ASSETS_1YR_ANN_GROWTH" hidden="1">"c1236"</definedName>
    <definedName name="IQ_TOTAL_ASSETS_2YR_ANN_GROWTH" hidden="1">"c1237"</definedName>
    <definedName name="IQ_TOTAL_ASSETS_3YR_ANN_GROWTH" hidden="1">"c1238"</definedName>
    <definedName name="IQ_TOTAL_ASSETS_5YR_ANN_GROWTH" hidden="1">"c1239"</definedName>
    <definedName name="IQ_TOTAL_ASSETS_7YR_ANN_GROWTH" hidden="1">"c1240"</definedName>
    <definedName name="IQ_TOTAL_AVG_CE_TOTAL_AVG_ASSETS" hidden="1">"c1241"</definedName>
    <definedName name="IQ_TOTAL_AVG_EQUITY_TOTAL_AVG_ASSETS" hidden="1">"c1242"</definedName>
    <definedName name="IQ_TOTAL_CA" hidden="1">"c1243"</definedName>
    <definedName name="IQ_TOTAL_CAP" hidden="1">"c1507"</definedName>
    <definedName name="IQ_TOTAL_CAPITAL_RATIO" hidden="1">"c1244"</definedName>
    <definedName name="IQ_TOTAL_CASH_DIVID" hidden="1">"c1455"</definedName>
    <definedName name="IQ_TOTAL_CASH_FINAN" hidden="1">"c1352"</definedName>
    <definedName name="IQ_TOTAL_CASH_INVEST" hidden="1">"c1353"</definedName>
    <definedName name="IQ_TOTAL_CASH_OPER" hidden="1">"c1354"</definedName>
    <definedName name="IQ_TOTAL_CHURN" hidden="1">"c2122"</definedName>
    <definedName name="IQ_TOTAL_CL" hidden="1">"c1245"</definedName>
    <definedName name="IQ_TOTAL_COMMON" hidden="1">"c1411"</definedName>
    <definedName name="IQ_TOTAL_COMMON_EQUITY" hidden="1">"c1246"</definedName>
    <definedName name="IQ_TOTAL_CURRENT_ASSETS" hidden="1">"c1430"</definedName>
    <definedName name="IQ_TOTAL_CURRENT_LIAB" hidden="1">"c1431"</definedName>
    <definedName name="IQ_TOTAL_DEBT" hidden="1">"c1247"</definedName>
    <definedName name="IQ_TOTAL_DEBT_CAPITAL" hidden="1">"c1248"</definedName>
    <definedName name="IQ_TOTAL_DEBT_EBITDA" hidden="1">"c1249"</definedName>
    <definedName name="IQ_TOTAL_DEBT_EQUITY" hidden="1">"c1250"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OVER_EBITDA" hidden="1">"c1433"</definedName>
    <definedName name="IQ_TOTAL_DEBT_OVER_TOTAL_BV" hidden="1">"c1434"</definedName>
    <definedName name="IQ_TOTAL_DEBT_OVER_TOTAL_CAP" hidden="1">"c1432"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IT" hidden="1">"c1263"</definedName>
    <definedName name="IQ_TOTAL_DEBT_REPAID_UTI" hidden="1">"c1264"</definedName>
    <definedName name="IQ_TOTAL_DEPOSITS" hidden="1">"c1265"</definedName>
    <definedName name="IQ_TOTAL_DIV_PAID_CF" hidden="1">"c1266"</definedName>
    <definedName name="IQ_TOTAL_EMPLOYEE" hidden="1">"c1522"</definedName>
    <definedName name="IQ_TOTAL_EMPLOYEES" hidden="1">"c1522"</definedName>
    <definedName name="IQ_TOTAL_EQUITY" hidden="1">"c1267"</definedName>
    <definedName name="IQ_TOTAL_EQUITY_10YR_ANN_GROWTH" hidden="1">"c1268"</definedName>
    <definedName name="IQ_TOTAL_EQUITY_1YR_ANN_GROWTH" hidden="1">"c1269"</definedName>
    <definedName name="IQ_TOTAL_EQUITY_2YR_ANN_GROWTH" hidden="1">"c1270"</definedName>
    <definedName name="IQ_TOTAL_EQUITY_3YR_ANN_GROWTH" hidden="1">"c1271"</definedName>
    <definedName name="IQ_TOTAL_EQUITY_5YR_ANN_GROWTH" hidden="1">"c1272"</definedName>
    <definedName name="IQ_TOTAL_EQUITY_7YR_ANN_GROWTH" hidden="1">"c1273"</definedName>
    <definedName name="IQ_TOTAL_EQUITY_ALLOWANCE_TOTAL_LOANS" hidden="1">"c1274"</definedName>
    <definedName name="IQ_TOTAL_INTEREST_EXP" hidden="1">"c1382"</definedName>
    <definedName name="IQ_TOTAL_INVENTORY" hidden="1">"c1385"</definedName>
    <definedName name="IQ_TOTAL_INVEST" hidden="1">"c1275"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FIN" hidden="1">"c1280"</definedName>
    <definedName name="IQ_TOTAL_LIAB_INS" hidden="1">"c1281"</definedName>
    <definedName name="IQ_TOTAL_LIAB_REIT" hidden="1">"c1282"</definedName>
    <definedName name="IQ_TOTAL_LIAB_SHAREHOLD" hidden="1">"c1435"</definedName>
    <definedName name="IQ_TOTAL_LIAB_TOTAL_ASSETS" hidden="1">"c1283"</definedName>
    <definedName name="IQ_TOTAL_LONG_DEBT" hidden="1">"c1617"</definedName>
    <definedName name="IQ_TOTAL_NON_REC" hidden="1">"c1444"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EXP" hidden="1">"c1291"</definedName>
    <definedName name="IQ_TOTAL_PENSION_OBLIGATION" hidden="1">"c1292"</definedName>
    <definedName name="IQ_TOTAL_PROVED_RESERVES_OIL" hidden="1">"c2040"</definedName>
    <definedName name="IQ_TOTAL_RECEIV" hidden="1">"c1293"</definedName>
    <definedName name="IQ_TOTAL_REV" hidden="1">"c1294"</definedName>
    <definedName name="IQ_TOTAL_REV_10YR_ANN_GROWTH" hidden="1">"c1295"</definedName>
    <definedName name="IQ_TOTAL_REV_1YR_ANN_GROWTH" hidden="1">"c1296"</definedName>
    <definedName name="IQ_TOTAL_REV_2YR_ANN_GROWTH" hidden="1">"c1297"</definedName>
    <definedName name="IQ_TOTAL_REV_3YR_ANN_GROWTH" hidden="1">"c1298"</definedName>
    <definedName name="IQ_TOTAL_REV_5YR_ANN_GROWTH" hidden="1">"c1299"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IT" hidden="1">"c1307"</definedName>
    <definedName name="IQ_TOTAL_REV_SHARE" hidden="1">"c1912"</definedName>
    <definedName name="IQ_TOTAL_REV_UTI" hidden="1">"c1308"</definedName>
    <definedName name="IQ_TOTAL_REVENUE" hidden="1">"c1436"</definedName>
    <definedName name="IQ_TOTAL_SPECIAL" hidden="1">"c1618"</definedName>
    <definedName name="IQ_TOTAL_ST_BORROW" hidden="1">"c1424"</definedName>
    <definedName name="IQ_TOTAL_SUBS" hidden="1">"c2119"</definedName>
    <definedName name="IQ_TOTAL_UNUSUAL" hidden="1">"c1508"</definedName>
    <definedName name="IQ_TRADE_AR" hidden="1">"c1345"</definedName>
    <definedName name="IQ_TRADE_PRINCIPAL" hidden="1">"c1309"</definedName>
    <definedName name="IQ_TRADING_ASSETS" hidden="1">"c1310"</definedName>
    <definedName name="IQ_TREASURY" hidden="1">"c1311"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IT" hidden="1">"c1317"</definedName>
    <definedName name="IQ_TREASURY_OTHER_EQUITY_UTI" hidden="1">"c1318"</definedName>
    <definedName name="IQ_TREASURY_STOCK" hidden="1">"c1438"</definedName>
    <definedName name="IQ_TRUST_INC" hidden="1">"c1319"</definedName>
    <definedName name="IQ_TRUST_PREF" hidden="1">"c1320"</definedName>
    <definedName name="IQ_UFCF_10YR_ANN_GROWTH" hidden="1">"c1948"</definedName>
    <definedName name="IQ_UFCF_1YR_ANN_GROWTH" hidden="1">"c1943"</definedName>
    <definedName name="IQ_UFCF_2YR_ANN_GROWTH" hidden="1">"c1944"</definedName>
    <definedName name="IQ_UFCF_3YR_ANN_GROWTH" hidden="1">"c1945"</definedName>
    <definedName name="IQ_UFCF_5YR_ANN_GROWTH" hidden="1">"c1946"</definedName>
    <definedName name="IQ_UFCF_7YR_ANN_GROWTH" hidden="1">"c1947"</definedName>
    <definedName name="IQ_UFCF_MARGIN" hidden="1">"c1962"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LEVERED_FCF" hidden="1">"c1908"</definedName>
    <definedName name="IQ_UNPAID_CLAIMS" hidden="1">"c1330"</definedName>
    <definedName name="IQ_UNREALIZED_GAIN" hidden="1">"c1619"</definedName>
    <definedName name="IQ_UNUSUAL_EXP" hidden="1">"c1456"</definedName>
    <definedName name="IQ_US_GAAP" hidden="1">"c1331"</definedName>
    <definedName name="IQ_UTIL_PPE_NET" hidden="1">"c1620"</definedName>
    <definedName name="IQ_UTIL_REV" hidden="1">"c2091"</definedName>
    <definedName name="IQ_UV_PENSION_LIAB" hidden="1">"c1332"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UME" hidden="1">"c1333"</definedName>
    <definedName name="IQ_WEIGHTED_AVG_PRICE" hidden="1">"c1334"</definedName>
    <definedName name="IQ_WIP_INV" hidden="1">"c1335"</definedName>
    <definedName name="IQ_WORKMEN_WRITTEN" hidden="1">"c1336"</definedName>
    <definedName name="IQ_XDIV_DATE" hidden="1">"c2104"</definedName>
    <definedName name="IQ_YEARHIGH" hidden="1">"c1337"</definedName>
    <definedName name="IQ_YEARLOW" hidden="1">"c1338"</definedName>
    <definedName name="IQ_YTD" hidden="1">3000</definedName>
    <definedName name="IQ_Z_SCORE" hidden="1">"c1339"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H91" i="1" l="1"/>
  <c r="H89" i="1"/>
  <c r="G79" i="1"/>
  <c r="G78" i="1"/>
  <c r="G80" i="1" s="1"/>
  <c r="G74" i="1"/>
  <c r="G72" i="1"/>
  <c r="G71" i="1"/>
  <c r="I45" i="1"/>
  <c r="J45" i="1" s="1"/>
  <c r="K45" i="1" s="1"/>
  <c r="L45" i="1" s="1"/>
  <c r="M45" i="1" s="1"/>
  <c r="G45" i="1"/>
  <c r="F45" i="1"/>
  <c r="E45" i="1"/>
  <c r="D45" i="1"/>
  <c r="J41" i="1"/>
  <c r="H41" i="1"/>
  <c r="G41" i="1"/>
  <c r="F41" i="1"/>
  <c r="I41" i="1" s="1"/>
  <c r="E41" i="1"/>
  <c r="D41" i="1"/>
  <c r="H40" i="1"/>
  <c r="G40" i="1"/>
  <c r="J40" i="1" s="1"/>
  <c r="F40" i="1"/>
  <c r="I40" i="1" s="1"/>
  <c r="E40" i="1"/>
  <c r="D40" i="1"/>
  <c r="H39" i="1"/>
  <c r="G39" i="1"/>
  <c r="F39" i="1"/>
  <c r="I39" i="1" s="1"/>
  <c r="E39" i="1"/>
  <c r="D39" i="1"/>
  <c r="H38" i="1"/>
  <c r="G38" i="1"/>
  <c r="F38" i="1"/>
  <c r="E38" i="1"/>
  <c r="D38" i="1"/>
  <c r="J37" i="1"/>
  <c r="H37" i="1"/>
  <c r="G37" i="1"/>
  <c r="F37" i="1"/>
  <c r="I37" i="1" s="1"/>
  <c r="E37" i="1"/>
  <c r="D37" i="1"/>
  <c r="H36" i="1"/>
  <c r="G36" i="1"/>
  <c r="F36" i="1"/>
  <c r="I36" i="1" s="1"/>
  <c r="E36" i="1"/>
  <c r="D36" i="1"/>
  <c r="I22" i="1"/>
  <c r="J22" i="1" s="1"/>
  <c r="K22" i="1" s="1"/>
  <c r="L22" i="1" s="1"/>
  <c r="M22" i="1" s="1"/>
  <c r="G22" i="1"/>
  <c r="F22" i="1"/>
  <c r="E22" i="1"/>
  <c r="D22" i="1"/>
  <c r="H18" i="1"/>
  <c r="G18" i="1"/>
  <c r="F18" i="1"/>
  <c r="E18" i="1"/>
  <c r="D18" i="1"/>
  <c r="M15" i="1"/>
  <c r="L15" i="1"/>
  <c r="K15" i="1"/>
  <c r="J15" i="1"/>
  <c r="H15" i="1"/>
  <c r="G15" i="1"/>
  <c r="F15" i="1"/>
  <c r="E15" i="1"/>
  <c r="D15" i="1"/>
  <c r="H12" i="1"/>
  <c r="G12" i="1"/>
  <c r="F12" i="1"/>
  <c r="E12" i="1"/>
  <c r="D12" i="1"/>
  <c r="I11" i="1"/>
  <c r="J11" i="1" s="1"/>
  <c r="J24" i="1" s="1"/>
  <c r="L10" i="1"/>
  <c r="M10" i="1" s="1"/>
  <c r="I10" i="1"/>
  <c r="J10" i="1" s="1"/>
  <c r="K10" i="1" s="1"/>
  <c r="G10" i="1"/>
  <c r="F10" i="1"/>
  <c r="E10" i="1"/>
  <c r="D10" i="1"/>
  <c r="J18" i="1" l="1"/>
  <c r="J17" i="1" s="1"/>
  <c r="J51" i="1" s="1"/>
  <c r="I18" i="1"/>
  <c r="I17" i="1" s="1"/>
  <c r="I51" i="1" s="1"/>
  <c r="L18" i="1"/>
  <c r="K40" i="1"/>
  <c r="J36" i="1"/>
  <c r="I27" i="1"/>
  <c r="I54" i="1" s="1"/>
  <c r="J39" i="1"/>
  <c r="M18" i="1"/>
  <c r="K41" i="1"/>
  <c r="L41" i="1" s="1"/>
  <c r="G83" i="1"/>
  <c r="J28" i="1"/>
  <c r="J55" i="1" s="1"/>
  <c r="J47" i="1"/>
  <c r="J14" i="1"/>
  <c r="J48" i="1" s="1"/>
  <c r="J50" i="1" s="1"/>
  <c r="J34" i="1"/>
  <c r="K11" i="1"/>
  <c r="K14" i="1" s="1"/>
  <c r="K48" i="1" s="1"/>
  <c r="K50" i="1" s="1"/>
  <c r="J23" i="1"/>
  <c r="K39" i="1"/>
  <c r="K37" i="1"/>
  <c r="I38" i="1"/>
  <c r="J38" i="1" s="1"/>
  <c r="I34" i="1"/>
  <c r="I14" i="1"/>
  <c r="I48" i="1" s="1"/>
  <c r="I50" i="1" s="1"/>
  <c r="I25" i="1"/>
  <c r="G82" i="1"/>
  <c r="K18" i="1"/>
  <c r="K17" i="1" s="1"/>
  <c r="K51" i="1" s="1"/>
  <c r="I28" i="1"/>
  <c r="I55" i="1" s="1"/>
  <c r="I47" i="1"/>
  <c r="I24" i="1"/>
  <c r="I23" i="1"/>
  <c r="J25" i="1" l="1"/>
  <c r="M37" i="1"/>
  <c r="D85" i="1"/>
  <c r="I57" i="1"/>
  <c r="K36" i="1"/>
  <c r="J53" i="1"/>
  <c r="I53" i="1"/>
  <c r="L39" i="1"/>
  <c r="M39" i="1" s="1"/>
  <c r="L36" i="1"/>
  <c r="M36" i="1" s="1"/>
  <c r="L37" i="1"/>
  <c r="K47" i="1"/>
  <c r="L11" i="1"/>
  <c r="K25" i="1"/>
  <c r="K34" i="1"/>
  <c r="K23" i="1"/>
  <c r="K27" i="1"/>
  <c r="K54" i="1" s="1"/>
  <c r="K24" i="1"/>
  <c r="K28" i="1"/>
  <c r="K55" i="1" s="1"/>
  <c r="M41" i="1"/>
  <c r="J52" i="1"/>
  <c r="J57" i="1" s="1"/>
  <c r="I52" i="1"/>
  <c r="J56" i="1"/>
  <c r="I56" i="1"/>
  <c r="L40" i="1"/>
  <c r="M40" i="1" s="1"/>
  <c r="K38" i="1"/>
  <c r="J27" i="1"/>
  <c r="J54" i="1" s="1"/>
  <c r="I59" i="1" l="1"/>
  <c r="L56" i="1"/>
  <c r="L24" i="1"/>
  <c r="L23" i="1"/>
  <c r="L52" i="1" s="1"/>
  <c r="L27" i="1"/>
  <c r="L54" i="1" s="1"/>
  <c r="L34" i="1"/>
  <c r="M11" i="1"/>
  <c r="L28" i="1"/>
  <c r="L55" i="1" s="1"/>
  <c r="L47" i="1"/>
  <c r="L14" i="1"/>
  <c r="L48" i="1" s="1"/>
  <c r="L50" i="1" s="1"/>
  <c r="K56" i="1"/>
  <c r="L38" i="1"/>
  <c r="M38" i="1" s="1"/>
  <c r="M58" i="1"/>
  <c r="I58" i="1"/>
  <c r="D65" i="1"/>
  <c r="L58" i="1"/>
  <c r="K58" i="1"/>
  <c r="J58" i="1"/>
  <c r="J59" i="1" s="1"/>
  <c r="L53" i="1"/>
  <c r="K53" i="1"/>
  <c r="K52" i="1"/>
  <c r="L17" i="1"/>
  <c r="L51" i="1" s="1"/>
  <c r="L25" i="1" l="1"/>
  <c r="L57" i="1"/>
  <c r="L59" i="1" s="1"/>
  <c r="M28" i="1"/>
  <c r="M55" i="1" s="1"/>
  <c r="M34" i="1"/>
  <c r="M27" i="1"/>
  <c r="M54" i="1" s="1"/>
  <c r="M23" i="1"/>
  <c r="M52" i="1" s="1"/>
  <c r="M24" i="1"/>
  <c r="M53" i="1" s="1"/>
  <c r="M47" i="1"/>
  <c r="M14" i="1"/>
  <c r="M48" i="1" s="1"/>
  <c r="M50" i="1" s="1"/>
  <c r="M25" i="1"/>
  <c r="M17" i="1"/>
  <c r="M51" i="1" s="1"/>
  <c r="M56" i="1"/>
  <c r="K57" i="1"/>
  <c r="K59" i="1" s="1"/>
  <c r="M57" i="1" l="1"/>
  <c r="D66" i="1" l="1"/>
  <c r="D67" i="1" s="1"/>
  <c r="D68" i="1" s="1"/>
  <c r="M59" i="1"/>
  <c r="D60" i="1" s="1"/>
  <c r="H88" i="1" s="1"/>
  <c r="H90" i="1" s="1"/>
  <c r="H92" i="1" s="1"/>
</calcChain>
</file>

<file path=xl/sharedStrings.xml><?xml version="1.0" encoding="utf-8"?>
<sst xmlns="http://schemas.openxmlformats.org/spreadsheetml/2006/main" count="71" uniqueCount="64">
  <si>
    <t xml:space="preserve">ATKORE (ATKR) </t>
  </si>
  <si>
    <t>Valuation Date:</t>
  </si>
  <si>
    <t>Share Price on Valuation Date:</t>
  </si>
  <si>
    <t>Diluted Shares Outstanding</t>
  </si>
  <si>
    <t>Select Operating Data</t>
  </si>
  <si>
    <t>Projected Annual Forecast</t>
  </si>
  <si>
    <t>Revenue</t>
  </si>
  <si>
    <t>Revenue Growth Rate (%)</t>
  </si>
  <si>
    <t>EBIT</t>
  </si>
  <si>
    <t>EBIT Margin (%)</t>
  </si>
  <si>
    <t xml:space="preserve">Depreciation &amp; Amortization </t>
  </si>
  <si>
    <t>D&amp;A as a % of revenue</t>
  </si>
  <si>
    <t>Select Balance Sheet And Other Data</t>
  </si>
  <si>
    <t>Accounts Receivable</t>
  </si>
  <si>
    <t>Inventories</t>
  </si>
  <si>
    <t>Prepaid Expenses</t>
  </si>
  <si>
    <t>Accounts Payable</t>
  </si>
  <si>
    <t>Accrued Expenses</t>
  </si>
  <si>
    <t>Cash</t>
  </si>
  <si>
    <t>Debt</t>
  </si>
  <si>
    <t>Capital Expenditures</t>
  </si>
  <si>
    <t>Accounts Receivable (% of Revenue)</t>
  </si>
  <si>
    <t>Inventories (% of Revenue)</t>
  </si>
  <si>
    <t>Prepaid Expenses (% of Revenue)</t>
  </si>
  <si>
    <t>Accounts Payable (% of Revenue)</t>
  </si>
  <si>
    <t>Accrued Expenses (% of Revenue)</t>
  </si>
  <si>
    <t>Capital Expenditures (% of Revenue)</t>
  </si>
  <si>
    <t>Free Cash Flow Buildup</t>
  </si>
  <si>
    <t>Period</t>
  </si>
  <si>
    <t>Total Revenues</t>
  </si>
  <si>
    <t>Tax rate</t>
  </si>
  <si>
    <t>EBIAT</t>
  </si>
  <si>
    <t>Depreciation &amp; Amortization</t>
  </si>
  <si>
    <t>Chg in Accounts receivable</t>
  </si>
  <si>
    <t>Chg in Inventories</t>
  </si>
  <si>
    <t>Chg in Accounts payable</t>
  </si>
  <si>
    <t>Chg in Accrued expenses</t>
  </si>
  <si>
    <t>Capital expenditures</t>
  </si>
  <si>
    <t>Unlevered free cash flows</t>
  </si>
  <si>
    <t>Discount Rate (WACC)</t>
  </si>
  <si>
    <t>Present value of free cash flows</t>
  </si>
  <si>
    <t>Sum of present values of FCFs</t>
  </si>
  <si>
    <t>Terminal Value</t>
  </si>
  <si>
    <t>Growth in perpetuity method:</t>
  </si>
  <si>
    <t>Long term growth rate</t>
  </si>
  <si>
    <t>WACC</t>
  </si>
  <si>
    <t>Free cash flow (t+1)</t>
  </si>
  <si>
    <t>Present Value of Terminal Value</t>
  </si>
  <si>
    <t>Share Price</t>
  </si>
  <si>
    <t>Cost of Debt</t>
  </si>
  <si>
    <t>Tax Rate</t>
  </si>
  <si>
    <t>After-tax Cost of Debt</t>
  </si>
  <si>
    <t>Cost of Equity</t>
  </si>
  <si>
    <t>Total Debt ($)</t>
  </si>
  <si>
    <t>Total Equity ($)</t>
  </si>
  <si>
    <t>Total Capital</t>
  </si>
  <si>
    <t>Debt Weighting</t>
  </si>
  <si>
    <t>Equity Weighting</t>
  </si>
  <si>
    <t>WACC =</t>
  </si>
  <si>
    <t>Enterprise Value to Equity Value</t>
  </si>
  <si>
    <t>Enterprise Value</t>
  </si>
  <si>
    <t>Less: Net debt</t>
  </si>
  <si>
    <t>Equity Value</t>
  </si>
  <si>
    <t>Equity Value Per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</si>
</sst>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0">
    <numFmt numFmtId="164" formatCode="[&gt;1]&quot;10Q: &quot;0&quot; qtrs&quot;;&quot;10Q: &quot;0&quot; qtr&quot;"/>
    <numFmt numFmtId="165" formatCode="_(#,##0&quot; bp&quot;_);_(\(#,##0&quot; bp)&quot;;\-?;_(@_)"/>
    <numFmt numFmtId="166" formatCode="#,##0.0"/>
    <numFmt numFmtId="167" formatCode="#,##0.0_);\(#,##0.0\);\-?"/>
    <numFmt numFmtId="168" formatCode="#,##0.00_);\(#,##0.00\);\-?"/>
    <numFmt numFmtId="169" formatCode="[$-409]h:mm:ss\ AM/PM"/>
    <numFmt numFmtId="170" formatCode="\$#,##0.0_);&quot;($&quot;#,##0.0\);&quot;$-&quot;?"/>
    <numFmt numFmtId="171" formatCode="\$#,##0.00_);&quot;($&quot;#,##0.00\);&quot;$-&quot;?"/>
    <numFmt numFmtId="172" formatCode="_(\$* #,##0.00_);_(\$* \(#,##0.00\);_(\$* \-??_);_(@_)"/>
    <numFmt numFmtId="173" formatCode="\$#,##0.00_);[Red]&quot;($&quot;#,##0.00\);&quot;--  &quot;;_(@_)"/>
    <numFmt numFmtId="174" formatCode="mm/dd/yy;@"/>
    <numFmt numFmtId="175" formatCode="mmm\-d\-yyyy"/>
    <numFmt numFmtId="176" formatCode="mmm\-dd\-yy"/>
    <numFmt numFmtId="177" formatCode="mmm\-dd\-yyyy"/>
    <numFmt numFmtId="178" formatCode="mmm\-yyyy"/>
    <numFmt numFmtId="179" formatCode="m/d/yyyy"/>
    <numFmt numFmtId="180" formatCode="#,##0.0_);[Red]\(#,##0.0\)"/>
    <numFmt numFmtId="181" formatCode="#,##0.000_);[Red]\(#,##0.000\)"/>
    <numFmt numFmtId="182" formatCode="#,##0.0_);[Red]\(#,##0.0\);&quot;--  &quot;"/>
    <numFmt numFmtId="183" formatCode="#,##0.00\x_);[Red]\(#,##0.00&quot;x)&quot;"/>
    <numFmt numFmtId="184" formatCode="\$#,##0.00"/>
    <numFmt numFmtId="185" formatCode="#,##0.0%_);\(#,##0.0%\)"/>
    <numFmt numFmtId="186" formatCode="#,##0.00%_);\(#,##0.00%\)"/>
    <numFmt numFmtId="187" formatCode="#,##0.0%_);[Red]\(#,##0.0%\)"/>
    <numFmt numFmtId="188" formatCode="#,##0.00%_);[Red]\(#,##0.00%\)"/>
    <numFmt numFmtId="189" formatCode="0.00\x"/>
    <numFmt numFmtId="190" formatCode="0.0"/>
    <numFmt numFmtId="191" formatCode="#,##0.00\x_);\(#,##0.00&quot;x)&quot;;\-?"/>
    <numFmt numFmtId="192" formatCode="0.0&quot; years&quot;"/>
    <numFmt numFmtId="193" formatCode="\$#,##0.00_);&quot;($&quot;#,##0.00\);@_)"/>
    <numFmt numFmtId="194" formatCode="#,##0.0_);\(#,##0.0\);@_)"/>
    <numFmt numFmtId="195" formatCode="yyyy\A"/>
    <numFmt numFmtId="196" formatCode="yyyy\P"/>
    <numFmt numFmtId="197" formatCode="\$#,##0.0_);&quot;($&quot;#,##0.0\);@_)"/>
    <numFmt numFmtId="198" formatCode="0.0%_);\(0.0%\);@_)"/>
    <numFmt numFmtId="199" formatCode="\$#,##0.0_);&quot;($&quot;#,##0.0\)"/>
    <numFmt numFmtId="200" formatCode="#,##0.0_);\(#,##0.0\)"/>
    <numFmt numFmtId="201" formatCode="0.0%"/>
    <numFmt numFmtId="202" formatCode="_(* #,##0.0_);_(* \(#,##0.0\);_(* \-?_);_(@_)"/>
    <numFmt numFmtId="203" formatCode="\$#,##0.00_);[Red]&quot;($&quot;#,##0.00\)"/>
  </numFmts>
  <fonts count="37" x14ac:knownFonts="1">
    <font>
      <sz val="10"/>
      <name val="Arial"/>
      <charset val="1"/>
    </font>
    <font>
      <b/>
      <sz val="8"/>
      <name val="Arial"/>
      <family val="2"/>
      <charset val="1"/>
    </font>
    <font>
      <sz val="9"/>
      <name val="Trebuchet MS"/>
      <family val="2"/>
      <charset val="1"/>
    </font>
    <font>
      <sz val="10"/>
      <name val="Arial"/>
      <family val="2"/>
      <charset val="1"/>
    </font>
    <font>
      <sz val="8"/>
      <name val="Arial"/>
      <family val="2"/>
      <charset val="1"/>
    </font>
    <font>
      <sz val="10"/>
      <name val="Trebuchet MS"/>
      <family val="2"/>
      <charset val="1"/>
    </font>
    <font>
      <sz val="10"/>
      <color rgb="FF0000FF"/>
      <name val="Times New Roman"/>
      <family val="1"/>
      <charset val="1"/>
    </font>
    <font>
      <sz val="9"/>
      <color rgb="FF0000FF"/>
      <name val="Trebuchet MS"/>
      <family val="2"/>
      <charset val="1"/>
    </font>
    <font>
      <sz val="8"/>
      <color rgb="FF0000FF"/>
      <name val="Arial"/>
      <family val="2"/>
      <charset val="1"/>
    </font>
    <font>
      <sz val="10"/>
      <name val="Times New Roman"/>
      <family val="1"/>
      <charset val="1"/>
    </font>
    <font>
      <i/>
      <sz val="10"/>
      <name val="Times New Roman"/>
      <family val="1"/>
      <charset val="1"/>
    </font>
    <font>
      <i/>
      <sz val="8"/>
      <name val="Arial"/>
      <family val="2"/>
      <charset val="1"/>
    </font>
    <font>
      <sz val="8"/>
      <color rgb="FFFF0000"/>
      <name val="Arial"/>
      <family val="2"/>
      <charset val="1"/>
    </font>
    <font>
      <b/>
      <sz val="15"/>
      <color theme="1"/>
      <name val="Calibri"/>
      <family val="2"/>
      <charset val="1"/>
    </font>
    <font>
      <b/>
      <sz val="18"/>
      <color rgb="FF000000"/>
      <name val="Aptos Narrow"/>
    </font>
    <font>
      <sz val="18"/>
      <color theme="1"/>
      <name val="Calibri"/>
      <family val="2"/>
      <charset val="1"/>
    </font>
    <font>
      <sz val="18"/>
      <name val="Calibri"/>
      <family val="2"/>
      <charset val="1"/>
    </font>
    <font>
      <sz val="11"/>
      <name val="Calibri"/>
      <family val="2"/>
      <charset val="1"/>
    </font>
    <font>
      <sz val="11"/>
      <color rgb="FF000000"/>
      <name val="Calibri"/>
      <family val="2"/>
    </font>
    <font>
      <sz val="11"/>
      <color rgb="FF000000"/>
      <name val="Calibri"/>
      <family val="2"/>
      <charset val="1"/>
    </font>
    <font>
      <sz val="11"/>
      <color rgb="FF0000FF"/>
      <name val="Calibri"/>
      <family val="2"/>
    </font>
    <font>
      <sz val="11"/>
      <color rgb="FF008000"/>
      <name val="Calibri"/>
      <family val="2"/>
      <charset val="1"/>
    </font>
    <font>
      <sz val="14"/>
      <color rgb="FF000000"/>
      <name val="Aptos Narrow"/>
    </font>
    <font>
      <b/>
      <sz val="11"/>
      <color theme="1"/>
      <name val="Calibri"/>
      <family val="2"/>
      <charset val="1"/>
    </font>
    <font>
      <b/>
      <sz val="11"/>
      <color rgb="FF000000"/>
      <name val="Calibri"/>
      <family val="2"/>
    </font>
    <font>
      <i/>
      <sz val="11"/>
      <color rgb="FF000000"/>
      <name val="Calibri"/>
      <family val="2"/>
    </font>
    <font>
      <i/>
      <sz val="11"/>
      <color rgb="FF000000"/>
      <name val="Calibri"/>
      <family val="2"/>
      <charset val="1"/>
    </font>
    <font>
      <sz val="11"/>
      <color rgb="FF0000FF"/>
      <name val="Calibri"/>
      <family val="2"/>
      <charset val="1"/>
    </font>
    <font>
      <i/>
      <sz val="11"/>
      <name val="Calibri"/>
      <family val="2"/>
      <charset val="1"/>
    </font>
    <font>
      <i/>
      <sz val="11"/>
      <color rgb="FF008000"/>
      <name val="Calibri"/>
      <family val="2"/>
      <charset val="1"/>
    </font>
    <font>
      <b/>
      <sz val="11"/>
      <name val="Calibri"/>
      <family val="2"/>
      <charset val="1"/>
    </font>
    <font>
      <b/>
      <i/>
      <sz val="11"/>
      <color rgb="FF000000"/>
      <name val="Calibri"/>
      <family val="2"/>
    </font>
    <font>
      <b/>
      <i/>
      <sz val="11"/>
      <name val="Calibri"/>
      <family val="2"/>
      <charset val="1"/>
    </font>
    <font>
      <sz val="11"/>
      <name val="Arial"/>
      <family val="2"/>
      <charset val="1"/>
    </font>
    <font>
      <b/>
      <sz val="11"/>
      <color theme="0"/>
      <name val="Calibri"/>
      <family val="2"/>
      <charset val="1"/>
    </font>
    <font>
      <sz val="11"/>
      <color theme="0"/>
      <name val="Calibri"/>
      <family val="2"/>
      <charset val="1"/>
    </font>
    <font>
      <sz val="14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CCFFCC"/>
        <bgColor rgb="FFCCFFFF"/>
      </patternFill>
    </fill>
    <fill>
      <patternFill patternType="solid">
        <fgColor rgb="FFFFFFCC"/>
        <bgColor rgb="FFFFFFFF"/>
      </patternFill>
    </fill>
    <fill>
      <patternFill patternType="solid">
        <fgColor rgb="FFFFFF99"/>
        <bgColor rgb="FFFFFFCC"/>
      </patternFill>
    </fill>
    <fill>
      <patternFill patternType="solid">
        <fgColor rgb="FFC0C0C0"/>
        <bgColor rgb="FFD0DFE6"/>
      </patternFill>
    </fill>
    <fill>
      <patternFill patternType="solid">
        <fgColor theme="0"/>
        <bgColor rgb="FFFFFFCC"/>
      </patternFill>
    </fill>
    <fill>
      <patternFill patternType="solid">
        <fgColor rgb="FFC0E6F5"/>
        <bgColor rgb="FFCCFFFF"/>
      </patternFill>
    </fill>
  </fills>
  <borders count="14">
    <border>
      <left/>
      <right/>
      <top/>
      <bottom/>
      <diagonal/>
    </border>
    <border>
      <left style="thin">
        <color rgb="FF808080"/>
      </left>
      <right style="thin">
        <color rgb="FF808080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39">
    <xf numFmtId="0" fontId="0" fillId="0" borderId="0"/>
    <xf numFmtId="164" fontId="1" fillId="0" borderId="0">
      <alignment horizontal="right"/>
    </xf>
    <xf numFmtId="165" fontId="2" fillId="0" borderId="0">
      <alignment horizontal="right"/>
    </xf>
    <xf numFmtId="166" fontId="2" fillId="2" borderId="0"/>
    <xf numFmtId="167" fontId="2" fillId="0" borderId="0"/>
    <xf numFmtId="168" fontId="2" fillId="0" borderId="0">
      <alignment horizontal="left" indent="1"/>
    </xf>
    <xf numFmtId="169" fontId="2" fillId="0" borderId="0"/>
    <xf numFmtId="170" fontId="2" fillId="0" borderId="0"/>
    <xf numFmtId="171" fontId="2" fillId="2" borderId="0"/>
    <xf numFmtId="172" fontId="3" fillId="0" borderId="0"/>
    <xf numFmtId="173" fontId="4" fillId="0" borderId="1"/>
    <xf numFmtId="15" fontId="5" fillId="0" borderId="0"/>
    <xf numFmtId="174" fontId="6" fillId="0" borderId="0">
      <alignment horizontal="left"/>
    </xf>
    <xf numFmtId="17" fontId="7" fillId="0" borderId="0">
      <alignment horizontal="right"/>
    </xf>
    <xf numFmtId="175" fontId="8" fillId="3" borderId="2"/>
    <xf numFmtId="176" fontId="1" fillId="0" borderId="0"/>
    <xf numFmtId="177" fontId="4" fillId="0" borderId="0"/>
    <xf numFmtId="178" fontId="1" fillId="0" borderId="3"/>
    <xf numFmtId="179" fontId="1" fillId="0" borderId="3"/>
    <xf numFmtId="0" fontId="3" fillId="0" borderId="0"/>
    <xf numFmtId="0" fontId="9" fillId="0" borderId="0"/>
    <xf numFmtId="0" fontId="3" fillId="0" borderId="0"/>
    <xf numFmtId="37" fontId="8" fillId="4" borderId="0"/>
    <xf numFmtId="180" fontId="3" fillId="0" borderId="0"/>
    <xf numFmtId="181" fontId="4" fillId="0" borderId="0"/>
    <xf numFmtId="169" fontId="4" fillId="0" borderId="0"/>
    <xf numFmtId="182" fontId="4" fillId="0" borderId="0">
      <alignment horizontal="right"/>
    </xf>
    <xf numFmtId="183" fontId="4" fillId="0" borderId="0"/>
    <xf numFmtId="184" fontId="9" fillId="0" borderId="0"/>
    <xf numFmtId="185" fontId="10" fillId="0" borderId="0">
      <alignment horizontal="right"/>
    </xf>
    <xf numFmtId="186" fontId="9" fillId="0" borderId="0">
      <alignment horizontal="right"/>
    </xf>
    <xf numFmtId="9" fontId="3" fillId="0" borderId="0"/>
    <xf numFmtId="187" fontId="11" fillId="3" borderId="4">
      <alignment horizontal="right"/>
      <protection locked="0"/>
    </xf>
    <xf numFmtId="188" fontId="11" fillId="5" borderId="0">
      <protection hidden="1"/>
    </xf>
    <xf numFmtId="180" fontId="12" fillId="0" borderId="0">
      <alignment horizontal="left"/>
    </xf>
    <xf numFmtId="189" fontId="4" fillId="0" borderId="0">
      <alignment horizontal="right"/>
    </xf>
    <xf numFmtId="190" fontId="2" fillId="0" borderId="0"/>
    <xf numFmtId="191" fontId="2" fillId="0" borderId="0">
      <alignment horizontal="right"/>
    </xf>
    <xf numFmtId="192" fontId="4" fillId="0" borderId="0"/>
  </cellStyleXfs>
  <cellXfs count="96">
    <xf numFmtId="0" fontId="0" fillId="0" borderId="0" xfId="0"/>
    <xf numFmtId="0" fontId="13" fillId="0" borderId="3" xfId="0" applyFont="1" applyBorder="1"/>
    <xf numFmtId="0" fontId="14" fillId="0" borderId="3" xfId="0" applyFont="1" applyBorder="1"/>
    <xf numFmtId="0" fontId="15" fillId="0" borderId="3" xfId="0" applyFont="1" applyBorder="1"/>
    <xf numFmtId="0" fontId="0" fillId="0" borderId="3" xfId="0" applyBorder="1"/>
    <xf numFmtId="0" fontId="16" fillId="0" borderId="3" xfId="0" applyFont="1" applyBorder="1"/>
    <xf numFmtId="0" fontId="16" fillId="0" borderId="0" xfId="0" applyFont="1"/>
    <xf numFmtId="0" fontId="0" fillId="0" borderId="5" xfId="0" applyBorder="1"/>
    <xf numFmtId="0" fontId="17" fillId="0" borderId="0" xfId="0" applyFont="1" applyAlignment="1">
      <alignment readingOrder="1"/>
    </xf>
    <xf numFmtId="0" fontId="18" fillId="0" borderId="0" xfId="0" applyFont="1" applyAlignment="1">
      <alignment horizontal="left" vertical="top" readingOrder="1"/>
    </xf>
    <xf numFmtId="0" fontId="19" fillId="0" borderId="0" xfId="0" applyFont="1" applyAlignment="1">
      <alignment horizontal="left" vertical="top" readingOrder="1"/>
    </xf>
    <xf numFmtId="15" fontId="19" fillId="0" borderId="0" xfId="0" applyNumberFormat="1" applyFont="1" applyAlignment="1">
      <alignment horizontal="right" vertical="top" readingOrder="1"/>
    </xf>
    <xf numFmtId="179" fontId="20" fillId="3" borderId="0" xfId="0" applyNumberFormat="1" applyFont="1" applyFill="1" applyAlignment="1">
      <alignment horizontal="right" vertical="top" readingOrder="1"/>
    </xf>
    <xf numFmtId="193" fontId="20" fillId="3" borderId="0" xfId="0" applyNumberFormat="1" applyFont="1" applyFill="1" applyAlignment="1">
      <alignment horizontal="right" vertical="top" readingOrder="1"/>
    </xf>
    <xf numFmtId="194" fontId="20" fillId="3" borderId="0" xfId="0" applyNumberFormat="1" applyFont="1" applyFill="1" applyAlignment="1">
      <alignment horizontal="right" vertical="top" readingOrder="1"/>
    </xf>
    <xf numFmtId="179" fontId="21" fillId="0" borderId="0" xfId="0" applyNumberFormat="1" applyFont="1" applyAlignment="1">
      <alignment horizontal="right" vertical="top" readingOrder="1"/>
    </xf>
    <xf numFmtId="0" fontId="23" fillId="0" borderId="7" xfId="0" applyFont="1" applyBorder="1" applyAlignment="1">
      <alignment horizontal="center"/>
    </xf>
    <xf numFmtId="0" fontId="23" fillId="0" borderId="0" xfId="0" applyFont="1" applyAlignment="1">
      <alignment horizontal="center"/>
    </xf>
    <xf numFmtId="0" fontId="23" fillId="0" borderId="8" xfId="0" applyFont="1" applyBorder="1" applyAlignment="1">
      <alignment horizontal="center"/>
    </xf>
    <xf numFmtId="195" fontId="24" fillId="0" borderId="9" xfId="0" applyNumberFormat="1" applyFont="1" applyBorder="1"/>
    <xf numFmtId="196" fontId="24" fillId="0" borderId="9" xfId="0" applyNumberFormat="1" applyFont="1" applyBorder="1"/>
    <xf numFmtId="197" fontId="20" fillId="3" borderId="0" xfId="0" applyNumberFormat="1" applyFont="1" applyFill="1"/>
    <xf numFmtId="197" fontId="18" fillId="0" borderId="0" xfId="0" applyNumberFormat="1" applyFont="1" applyAlignment="1">
      <alignment readingOrder="1"/>
    </xf>
    <xf numFmtId="0" fontId="25" fillId="0" borderId="0" xfId="0" applyFont="1" applyAlignment="1">
      <alignment horizontal="left" vertical="top" readingOrder="1"/>
    </xf>
    <xf numFmtId="0" fontId="26" fillId="0" borderId="0" xfId="0" applyFont="1" applyAlignment="1">
      <alignment horizontal="left" vertical="top" readingOrder="1"/>
    </xf>
    <xf numFmtId="10" fontId="18" fillId="0" borderId="0" xfId="0" applyNumberFormat="1" applyFont="1" applyAlignment="1">
      <alignment horizontal="right" vertical="top" readingOrder="1"/>
    </xf>
    <xf numFmtId="198" fontId="20" fillId="3" borderId="0" xfId="0" applyNumberFormat="1" applyFont="1" applyFill="1" applyAlignment="1">
      <alignment readingOrder="1"/>
    </xf>
    <xf numFmtId="197" fontId="27" fillId="4" borderId="0" xfId="0" applyNumberFormat="1" applyFont="1" applyFill="1"/>
    <xf numFmtId="199" fontId="18" fillId="0" borderId="0" xfId="0" applyNumberFormat="1" applyFont="1" applyAlignment="1">
      <alignment readingOrder="1"/>
    </xf>
    <xf numFmtId="0" fontId="18" fillId="0" borderId="0" xfId="0" applyFont="1" applyAlignment="1">
      <alignment horizontal="left"/>
    </xf>
    <xf numFmtId="194" fontId="18" fillId="0" borderId="0" xfId="0" applyNumberFormat="1" applyFont="1" applyAlignment="1">
      <alignment readingOrder="1"/>
    </xf>
    <xf numFmtId="0" fontId="17" fillId="0" borderId="0" xfId="0" applyFont="1" applyAlignment="1">
      <alignment horizontal="left"/>
    </xf>
    <xf numFmtId="0" fontId="25" fillId="0" borderId="0" xfId="0" applyFont="1" applyAlignment="1">
      <alignment horizontal="left"/>
    </xf>
    <xf numFmtId="0" fontId="28" fillId="0" borderId="0" xfId="0" applyFont="1" applyAlignment="1">
      <alignment horizontal="left"/>
    </xf>
    <xf numFmtId="15" fontId="26" fillId="0" borderId="0" xfId="0" applyNumberFormat="1" applyFont="1" applyAlignment="1">
      <alignment horizontal="right" vertical="top" readingOrder="1"/>
    </xf>
    <xf numFmtId="179" fontId="29" fillId="0" borderId="0" xfId="0" applyNumberFormat="1" applyFont="1" applyAlignment="1">
      <alignment horizontal="right" vertical="top" readingOrder="1"/>
    </xf>
    <xf numFmtId="0" fontId="28" fillId="0" borderId="0" xfId="0" applyFont="1" applyAlignment="1">
      <alignment readingOrder="1"/>
    </xf>
    <xf numFmtId="0" fontId="17" fillId="0" borderId="0" xfId="0" applyFont="1"/>
    <xf numFmtId="0" fontId="28" fillId="0" borderId="0" xfId="0" applyFont="1"/>
    <xf numFmtId="0" fontId="23" fillId="0" borderId="10" xfId="0" applyFont="1" applyBorder="1" applyAlignment="1">
      <alignment horizontal="center"/>
    </xf>
    <xf numFmtId="0" fontId="23" fillId="0" borderId="11" xfId="0" applyFont="1" applyBorder="1" applyAlignment="1">
      <alignment horizontal="center"/>
    </xf>
    <xf numFmtId="0" fontId="30" fillId="0" borderId="0" xfId="0" applyFont="1"/>
    <xf numFmtId="0" fontId="24" fillId="0" borderId="3" xfId="0" applyFont="1" applyBorder="1"/>
    <xf numFmtId="0" fontId="17" fillId="0" borderId="9" xfId="0" applyFont="1" applyBorder="1"/>
    <xf numFmtId="0" fontId="18" fillId="0" borderId="3" xfId="0" applyFont="1" applyBorder="1"/>
    <xf numFmtId="0" fontId="18" fillId="0" borderId="0" xfId="0" applyFont="1"/>
    <xf numFmtId="197" fontId="19" fillId="0" borderId="0" xfId="0" applyNumberFormat="1" applyFont="1"/>
    <xf numFmtId="197" fontId="18" fillId="0" borderId="0" xfId="0" applyNumberFormat="1" applyFont="1"/>
    <xf numFmtId="194" fontId="17" fillId="0" borderId="0" xfId="0" applyNumberFormat="1" applyFont="1"/>
    <xf numFmtId="194" fontId="18" fillId="0" borderId="0" xfId="0" applyNumberFormat="1" applyFont="1"/>
    <xf numFmtId="198" fontId="20" fillId="3" borderId="0" xfId="0" applyNumberFormat="1" applyFont="1" applyFill="1"/>
    <xf numFmtId="197" fontId="30" fillId="0" borderId="0" xfId="0" applyNumberFormat="1" applyFont="1"/>
    <xf numFmtId="200" fontId="18" fillId="0" borderId="0" xfId="0" applyNumberFormat="1" applyFont="1" applyAlignment="1">
      <alignment horizontal="left"/>
    </xf>
    <xf numFmtId="200" fontId="17" fillId="0" borderId="0" xfId="0" applyNumberFormat="1" applyFont="1" applyAlignment="1">
      <alignment horizontal="left"/>
    </xf>
    <xf numFmtId="200" fontId="19" fillId="0" borderId="0" xfId="0" applyNumberFormat="1" applyFont="1"/>
    <xf numFmtId="200" fontId="18" fillId="0" borderId="0" xfId="0" applyNumberFormat="1" applyFont="1"/>
    <xf numFmtId="194" fontId="19" fillId="0" borderId="0" xfId="0" applyNumberFormat="1" applyFont="1"/>
    <xf numFmtId="0" fontId="24" fillId="0" borderId="0" xfId="0" applyFont="1"/>
    <xf numFmtId="197" fontId="24" fillId="0" borderId="5" xfId="0" applyNumberFormat="1" applyFont="1" applyBorder="1"/>
    <xf numFmtId="0" fontId="18" fillId="0" borderId="0" xfId="0" applyFont="1" applyAlignment="1">
      <alignment horizontal="left" indent="1"/>
    </xf>
    <xf numFmtId="0" fontId="17" fillId="0" borderId="0" xfId="0" applyFont="1" applyAlignment="1">
      <alignment horizontal="left" indent="1"/>
    </xf>
    <xf numFmtId="201" fontId="19" fillId="0" borderId="0" xfId="0" applyNumberFormat="1" applyFont="1"/>
    <xf numFmtId="201" fontId="28" fillId="0" borderId="0" xfId="0" applyNumberFormat="1" applyFont="1"/>
    <xf numFmtId="201" fontId="24" fillId="0" borderId="0" xfId="0" applyNumberFormat="1" applyFont="1"/>
    <xf numFmtId="197" fontId="17" fillId="0" borderId="0" xfId="0" applyNumberFormat="1" applyFont="1"/>
    <xf numFmtId="0" fontId="31" fillId="0" borderId="0" xfId="0" applyFont="1"/>
    <xf numFmtId="0" fontId="32" fillId="0" borderId="0" xfId="0" applyFont="1"/>
    <xf numFmtId="200" fontId="33" fillId="0" borderId="0" xfId="0" applyNumberFormat="1" applyFont="1" applyAlignment="1">
      <alignment horizontal="right" indent="1"/>
    </xf>
    <xf numFmtId="0" fontId="30" fillId="0" borderId="0" xfId="0" applyFont="1" applyAlignment="1">
      <alignment horizontal="left" indent="1"/>
    </xf>
    <xf numFmtId="201" fontId="20" fillId="3" borderId="0" xfId="0" applyNumberFormat="1" applyFont="1" applyFill="1" applyAlignment="1">
      <alignment horizontal="right" indent="1"/>
    </xf>
    <xf numFmtId="201" fontId="27" fillId="0" borderId="0" xfId="0" applyNumberFormat="1" applyFont="1" applyAlignment="1">
      <alignment horizontal="right" indent="1"/>
    </xf>
    <xf numFmtId="201" fontId="18" fillId="0" borderId="0" xfId="0" applyNumberFormat="1" applyFont="1" applyAlignment="1">
      <alignment horizontal="right" indent="1"/>
    </xf>
    <xf numFmtId="200" fontId="18" fillId="0" borderId="0" xfId="0" applyNumberFormat="1" applyFont="1" applyAlignment="1">
      <alignment horizontal="right" indent="1"/>
    </xf>
    <xf numFmtId="200" fontId="17" fillId="0" borderId="0" xfId="0" applyNumberFormat="1" applyFont="1" applyAlignment="1">
      <alignment horizontal="right" indent="1"/>
    </xf>
    <xf numFmtId="197" fontId="24" fillId="0" borderId="5" xfId="0" applyNumberFormat="1" applyFont="1" applyBorder="1" applyAlignment="1">
      <alignment horizontal="right" indent="1"/>
    </xf>
    <xf numFmtId="197" fontId="17" fillId="0" borderId="0" xfId="0" applyNumberFormat="1" applyFont="1" applyAlignment="1">
      <alignment horizontal="right" indent="1"/>
    </xf>
    <xf numFmtId="0" fontId="33" fillId="0" borderId="0" xfId="0" applyFont="1"/>
    <xf numFmtId="193" fontId="18" fillId="0" borderId="0" xfId="0" applyNumberFormat="1" applyFont="1"/>
    <xf numFmtId="197" fontId="18" fillId="0" borderId="5" xfId="0" applyNumberFormat="1" applyFont="1" applyBorder="1"/>
    <xf numFmtId="202" fontId="17" fillId="0" borderId="0" xfId="0" applyNumberFormat="1" applyFont="1"/>
    <xf numFmtId="198" fontId="18" fillId="0" borderId="0" xfId="0" applyNumberFormat="1" applyFont="1"/>
    <xf numFmtId="201" fontId="24" fillId="0" borderId="0" xfId="28" applyNumberFormat="1" applyFont="1"/>
    <xf numFmtId="201" fontId="30" fillId="0" borderId="0" xfId="0" applyNumberFormat="1" applyFont="1"/>
    <xf numFmtId="200" fontId="21" fillId="0" borderId="0" xfId="0" applyNumberFormat="1" applyFont="1" applyAlignment="1">
      <alignment horizontal="right" indent="1"/>
    </xf>
    <xf numFmtId="194" fontId="18" fillId="0" borderId="0" xfId="0" applyNumberFormat="1" applyFont="1" applyAlignment="1">
      <alignment horizontal="right" indent="1"/>
    </xf>
    <xf numFmtId="197" fontId="30" fillId="0" borderId="0" xfId="0" applyNumberFormat="1" applyFont="1" applyAlignment="1">
      <alignment horizontal="right" indent="1"/>
    </xf>
    <xf numFmtId="0" fontId="18" fillId="0" borderId="12" xfId="0" applyFont="1" applyBorder="1"/>
    <xf numFmtId="203" fontId="34" fillId="6" borderId="9" xfId="0" applyNumberFormat="1" applyFont="1" applyFill="1" applyBorder="1" applyAlignment="1">
      <alignment horizontal="right" indent="1"/>
    </xf>
    <xf numFmtId="203" fontId="24" fillId="0" borderId="13" xfId="0" applyNumberFormat="1" applyFont="1" applyBorder="1" applyAlignment="1">
      <alignment horizontal="right"/>
    </xf>
    <xf numFmtId="190" fontId="17" fillId="0" borderId="0" xfId="0" applyNumberFormat="1" applyFont="1" applyAlignment="1">
      <alignment horizontal="right" indent="1"/>
    </xf>
    <xf numFmtId="0" fontId="35" fillId="6" borderId="5" xfId="0" applyFont="1" applyFill="1" applyBorder="1"/>
    <xf numFmtId="0" fontId="17" fillId="6" borderId="5" xfId="0" applyFont="1" applyFill="1" applyBorder="1"/>
    <xf numFmtId="203" fontId="30" fillId="0" borderId="0" xfId="0" applyNumberFormat="1" applyFont="1" applyAlignment="1">
      <alignment horizontal="right" indent="1"/>
    </xf>
    <xf numFmtId="0" fontId="36" fillId="7" borderId="0" xfId="0" applyFont="1" applyFill="1"/>
    <xf numFmtId="0" fontId="22" fillId="7" borderId="6" xfId="0" applyFont="1" applyFill="1" applyBorder="1"/>
    <xf numFmtId="0" fontId="24" fillId="7" borderId="4" xfId="0" applyFont="1" applyFill="1" applyBorder="1" applyAlignment="1">
      <alignment horizontal="center" vertical="center"/>
    </xf>
  </cellXfs>
  <cellStyles count="39">
    <cellStyle name="10Q" xfId="1" xr:uid="{00000000-0005-0000-0000-000006000000}"/>
    <cellStyle name="bp" xfId="2" xr:uid="{00000000-0005-0000-0000-000007000000}"/>
    <cellStyle name="Comma (0)" xfId="3" xr:uid="{00000000-0005-0000-0000-000008000000}"/>
    <cellStyle name="Comma (1)" xfId="4" xr:uid="{00000000-0005-0000-0000-000009000000}"/>
    <cellStyle name="Comma (2)" xfId="5" xr:uid="{00000000-0005-0000-0000-00000A000000}"/>
    <cellStyle name="Currency (0)" xfId="6" xr:uid="{00000000-0005-0000-0000-00000B000000}"/>
    <cellStyle name="Currency (1)" xfId="7" xr:uid="{00000000-0005-0000-0000-00000C000000}"/>
    <cellStyle name="Currency (2)" xfId="8" xr:uid="{00000000-0005-0000-0000-00000D000000}"/>
    <cellStyle name="Currency 2" xfId="9" xr:uid="{00000000-0005-0000-0000-00000E000000}"/>
    <cellStyle name="Currency--" xfId="10" xr:uid="{00000000-0005-0000-0000-00000F000000}"/>
    <cellStyle name="Date (dd-mmm-yy)" xfId="11" xr:uid="{00000000-0005-0000-0000-000010000000}"/>
    <cellStyle name="Date (mm-dd-yy)" xfId="12" xr:uid="{00000000-0005-0000-0000-000011000000}"/>
    <cellStyle name="Date (mmm-yy)" xfId="13" xr:uid="{00000000-0005-0000-0000-000012000000}"/>
    <cellStyle name="Date [mm-d-yyyy]" xfId="14" xr:uid="{00000000-0005-0000-0000-000013000000}"/>
    <cellStyle name="Date [mm-dd-yy]" xfId="15" xr:uid="{00000000-0005-0000-0000-000014000000}"/>
    <cellStyle name="Date [mm-dd-yyyy]" xfId="16" xr:uid="{00000000-0005-0000-0000-000015000000}"/>
    <cellStyle name="Date [mmm-yyyy]" xfId="17" xr:uid="{00000000-0005-0000-0000-000016000000}"/>
    <cellStyle name="m/d/yy" xfId="18" xr:uid="{00000000-0005-0000-0000-000017000000}"/>
    <cellStyle name="Normal" xfId="0" builtinId="0"/>
    <cellStyle name="Normal [0]" xfId="22" xr:uid="{00000000-0005-0000-0000-00001B000000}"/>
    <cellStyle name="Normal [1]" xfId="23" xr:uid="{00000000-0005-0000-0000-00001C000000}"/>
    <cellStyle name="Normal [3]" xfId="24" xr:uid="{00000000-0005-0000-0000-00001D000000}"/>
    <cellStyle name="Normal [3] 2" xfId="25" xr:uid="{00000000-0005-0000-0000-00001E000000}"/>
    <cellStyle name="Normal 2" xfId="19" xr:uid="{00000000-0005-0000-0000-000018000000}"/>
    <cellStyle name="Normal 3" xfId="20" xr:uid="{00000000-0005-0000-0000-000019000000}"/>
    <cellStyle name="Normal 4" xfId="21" xr:uid="{00000000-0005-0000-0000-00001A000000}"/>
    <cellStyle name="Normal--" xfId="26" xr:uid="{00000000-0005-0000-0000-00001F000000}"/>
    <cellStyle name="Normalx" xfId="27" xr:uid="{00000000-0005-0000-0000-000020000000}"/>
    <cellStyle name="Percent (0)" xfId="28" xr:uid="{00000000-0005-0000-0000-000021000000}"/>
    <cellStyle name="Percent (1)" xfId="29" xr:uid="{00000000-0005-0000-0000-000022000000}"/>
    <cellStyle name="Percent (2)" xfId="30" xr:uid="{00000000-0005-0000-0000-000023000000}"/>
    <cellStyle name="Percent [1]" xfId="32" xr:uid="{00000000-0005-0000-0000-000025000000}"/>
    <cellStyle name="Percent [2]" xfId="33" xr:uid="{00000000-0005-0000-0000-000026000000}"/>
    <cellStyle name="Percent 2" xfId="31" xr:uid="{00000000-0005-0000-0000-000024000000}"/>
    <cellStyle name="Red font" xfId="34" xr:uid="{00000000-0005-0000-0000-000027000000}"/>
    <cellStyle name="Times" xfId="35" xr:uid="{00000000-0005-0000-0000-000028000000}"/>
    <cellStyle name="x (1)" xfId="36" xr:uid="{00000000-0005-0000-0000-000029000000}"/>
    <cellStyle name="x (2)" xfId="37" xr:uid="{00000000-0005-0000-0000-00002A000000}"/>
    <cellStyle name="Years" xfId="38" xr:uid="{00000000-0005-0000-0000-00002B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0DFE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M94"/>
  <sheetViews>
    <sheetView tabSelected="1" topLeftCell="A50" zoomScaleNormal="100" workbookViewId="0">
      <selection activeCell="J11" sqref="I11:J11"/>
    </sheetView>
  </sheetViews>
  <sheetFormatPr baseColWidth="10" defaultColWidth="11.5" defaultRowHeight="13" x14ac:dyDescent="0.15"/>
  <cols>
    <col min="1" max="1" width="1.6640625" customWidth="1"/>
    <col min="2" max="2" width="37.5" customWidth="1"/>
    <col min="3" max="3" width="8.6640625" hidden="1" customWidth="1"/>
    <col min="4" max="4" width="12.1640625" customWidth="1"/>
    <col min="5" max="13" width="12.33203125" customWidth="1"/>
    <col min="14" max="257" width="8.83203125" customWidth="1"/>
  </cols>
  <sheetData>
    <row r="2" spans="1:13" s="6" customFormat="1" ht="24" customHeight="1" x14ac:dyDescent="0.3">
      <c r="A2" s="1"/>
      <c r="B2" s="2" t="s">
        <v>0</v>
      </c>
      <c r="C2" s="3"/>
      <c r="D2" s="4"/>
      <c r="E2" s="4"/>
      <c r="F2" s="4"/>
      <c r="G2" s="4"/>
      <c r="H2" s="5"/>
      <c r="I2" s="5"/>
      <c r="J2" s="5"/>
      <c r="K2" s="5"/>
      <c r="L2" s="5"/>
      <c r="M2" s="5"/>
    </row>
    <row r="3" spans="1:13" ht="12.75" customHeight="1" x14ac:dyDescent="0.15">
      <c r="B3" s="7"/>
      <c r="C3" s="7"/>
      <c r="D3" s="7"/>
      <c r="E3" s="7"/>
      <c r="F3" s="7"/>
      <c r="G3" s="7"/>
    </row>
    <row r="4" spans="1:13" s="8" customFormat="1" ht="15" customHeight="1" x14ac:dyDescent="0.2">
      <c r="B4" s="9" t="s">
        <v>1</v>
      </c>
      <c r="C4" s="10"/>
      <c r="D4" s="11"/>
      <c r="E4" s="11"/>
      <c r="F4" s="11"/>
      <c r="G4" s="12">
        <v>45620</v>
      </c>
    </row>
    <row r="5" spans="1:13" s="8" customFormat="1" ht="15" customHeight="1" x14ac:dyDescent="0.2">
      <c r="B5" s="9" t="s">
        <v>2</v>
      </c>
      <c r="C5" s="10"/>
      <c r="D5" s="11"/>
      <c r="E5" s="11"/>
      <c r="F5" s="11"/>
      <c r="G5" s="13">
        <v>89.69</v>
      </c>
    </row>
    <row r="6" spans="1:13" s="8" customFormat="1" ht="15" customHeight="1" x14ac:dyDescent="0.2">
      <c r="B6" s="9" t="s">
        <v>3</v>
      </c>
      <c r="C6" s="10"/>
      <c r="D6" s="11"/>
      <c r="E6" s="11"/>
      <c r="F6" s="11"/>
      <c r="G6" s="14">
        <v>37.317892999999998</v>
      </c>
    </row>
    <row r="7" spans="1:13" s="8" customFormat="1" ht="15" customHeight="1" x14ac:dyDescent="0.2">
      <c r="B7" s="10"/>
      <c r="C7" s="10"/>
      <c r="D7" s="11"/>
      <c r="E7" s="11"/>
      <c r="F7" s="11"/>
      <c r="G7" s="15"/>
    </row>
    <row r="8" spans="1:13" s="8" customFormat="1" ht="19.5" customHeight="1" x14ac:dyDescent="0.25">
      <c r="B8" s="93" t="s">
        <v>4</v>
      </c>
      <c r="C8" s="94"/>
      <c r="D8" s="94"/>
      <c r="E8" s="94"/>
      <c r="F8" s="94"/>
      <c r="G8" s="94"/>
      <c r="H8" s="94"/>
      <c r="I8" s="94"/>
      <c r="J8" s="94"/>
      <c r="K8" s="94"/>
      <c r="L8" s="94"/>
      <c r="M8" s="94"/>
    </row>
    <row r="9" spans="1:13" s="8" customFormat="1" ht="15" customHeight="1" x14ac:dyDescent="0.2">
      <c r="B9" s="10"/>
      <c r="C9" s="10"/>
      <c r="D9" s="16"/>
      <c r="E9" s="17"/>
      <c r="F9" s="17"/>
      <c r="G9" s="17"/>
      <c r="H9" s="18"/>
      <c r="I9" s="95" t="s">
        <v>5</v>
      </c>
      <c r="J9" s="95"/>
      <c r="K9" s="95"/>
      <c r="L9" s="95"/>
      <c r="M9" s="95"/>
    </row>
    <row r="10" spans="1:13" s="8" customFormat="1" ht="15" customHeight="1" x14ac:dyDescent="0.2">
      <c r="B10" s="10"/>
      <c r="C10" s="10"/>
      <c r="D10" s="19">
        <f>E10-365</f>
        <v>44044</v>
      </c>
      <c r="E10" s="19">
        <f>F10-365</f>
        <v>44409</v>
      </c>
      <c r="F10" s="19">
        <f>G10-365</f>
        <v>44774</v>
      </c>
      <c r="G10" s="19">
        <f>H10-365</f>
        <v>45139</v>
      </c>
      <c r="H10" s="19">
        <v>45504</v>
      </c>
      <c r="I10" s="20">
        <f>H10+365</f>
        <v>45869</v>
      </c>
      <c r="J10" s="20">
        <f>I10+365</f>
        <v>46234</v>
      </c>
      <c r="K10" s="20">
        <f>J10+365</f>
        <v>46599</v>
      </c>
      <c r="L10" s="20">
        <f>K10+365</f>
        <v>46964</v>
      </c>
      <c r="M10" s="20">
        <f>L10+365</f>
        <v>47329</v>
      </c>
    </row>
    <row r="11" spans="1:13" s="8" customFormat="1" ht="15" customHeight="1" x14ac:dyDescent="0.2">
      <c r="B11" s="9" t="s">
        <v>6</v>
      </c>
      <c r="C11" s="21">
        <v>1916.5</v>
      </c>
      <c r="D11" s="21">
        <v>1765.4</v>
      </c>
      <c r="E11" s="21">
        <v>2928</v>
      </c>
      <c r="F11" s="21">
        <v>3913.9</v>
      </c>
      <c r="G11" s="21">
        <v>3518.8</v>
      </c>
      <c r="H11" s="21">
        <v>3202.1</v>
      </c>
      <c r="I11" s="22">
        <f>H11*(1+I12)</f>
        <v>3041.9949999999999</v>
      </c>
      <c r="J11" s="22">
        <f>I11*(1+J12)</f>
        <v>2950.73515</v>
      </c>
      <c r="K11" s="22">
        <f>J11*(1+K12)</f>
        <v>2891.7204470000001</v>
      </c>
      <c r="L11" s="22">
        <f>K11*(1+L12)</f>
        <v>2891.7204470000001</v>
      </c>
      <c r="M11" s="22">
        <f>L11*(1+M12)</f>
        <v>2920.63765147</v>
      </c>
    </row>
    <row r="12" spans="1:13" s="8" customFormat="1" ht="15" customHeight="1" x14ac:dyDescent="0.2">
      <c r="B12" s="23" t="s">
        <v>7</v>
      </c>
      <c r="C12" s="24"/>
      <c r="D12" s="25">
        <f>(D11/C11)-1</f>
        <v>-7.8841638403339354E-2</v>
      </c>
      <c r="E12" s="25">
        <f>(E11/D11)-1</f>
        <v>0.65854763792908111</v>
      </c>
      <c r="F12" s="25">
        <f>(F11/E11)-1</f>
        <v>0.33671448087431699</v>
      </c>
      <c r="G12" s="25">
        <f>(G11/F11)-1</f>
        <v>-0.10094790362553974</v>
      </c>
      <c r="H12" s="25">
        <f>(H11/G11)-1</f>
        <v>-9.0002273502330365E-2</v>
      </c>
      <c r="I12" s="26">
        <v>-0.05</v>
      </c>
      <c r="J12" s="26">
        <v>-0.03</v>
      </c>
      <c r="K12" s="26">
        <v>-0.02</v>
      </c>
      <c r="L12" s="26">
        <v>0</v>
      </c>
      <c r="M12" s="26">
        <v>0.01</v>
      </c>
    </row>
    <row r="13" spans="1:13" s="8" customFormat="1" ht="15" customHeight="1" x14ac:dyDescent="0.2">
      <c r="B13" s="10"/>
      <c r="C13" s="10"/>
      <c r="D13" s="11"/>
      <c r="E13" s="11"/>
      <c r="F13" s="11"/>
      <c r="G13" s="15"/>
    </row>
    <row r="14" spans="1:13" s="8" customFormat="1" ht="15" customHeight="1" x14ac:dyDescent="0.2">
      <c r="B14" s="9" t="s">
        <v>8</v>
      </c>
      <c r="C14" s="27"/>
      <c r="D14" s="21">
        <v>243</v>
      </c>
      <c r="E14" s="21">
        <v>778.9</v>
      </c>
      <c r="F14" s="21">
        <v>1238</v>
      </c>
      <c r="G14" s="21">
        <v>905.5</v>
      </c>
      <c r="H14" s="21">
        <v>629.1</v>
      </c>
      <c r="I14" s="28">
        <f>I15*I11</f>
        <v>395.45934999999997</v>
      </c>
      <c r="J14" s="28">
        <f>J15*J11</f>
        <v>383.59556950000001</v>
      </c>
      <c r="K14" s="28">
        <f>K15*K11</f>
        <v>375.92365811000002</v>
      </c>
      <c r="L14" s="28">
        <f>L15*L11</f>
        <v>375.92365811000002</v>
      </c>
      <c r="M14" s="28">
        <f>M15*M11</f>
        <v>379.68289469110005</v>
      </c>
    </row>
    <row r="15" spans="1:13" s="8" customFormat="1" ht="15" customHeight="1" x14ac:dyDescent="0.2">
      <c r="B15" s="23" t="s">
        <v>9</v>
      </c>
      <c r="C15" s="24"/>
      <c r="D15" s="25">
        <f>D14/D11</f>
        <v>0.13764585929534381</v>
      </c>
      <c r="E15" s="25">
        <f>E14/E11</f>
        <v>0.26601775956284152</v>
      </c>
      <c r="F15" s="25">
        <f>F14/F11</f>
        <v>0.31630854135261505</v>
      </c>
      <c r="G15" s="25">
        <f>G14/G11</f>
        <v>0.25733204501534612</v>
      </c>
      <c r="H15" s="25">
        <f>H14/H11</f>
        <v>0.19646481996190002</v>
      </c>
      <c r="I15" s="26">
        <v>0.13</v>
      </c>
      <c r="J15" s="26">
        <f>$I$15</f>
        <v>0.13</v>
      </c>
      <c r="K15" s="26">
        <f>$I$15</f>
        <v>0.13</v>
      </c>
      <c r="L15" s="26">
        <f>$I$15</f>
        <v>0.13</v>
      </c>
      <c r="M15" s="26">
        <f>$I$15</f>
        <v>0.13</v>
      </c>
    </row>
    <row r="16" spans="1:13" s="8" customFormat="1" ht="15" customHeight="1" x14ac:dyDescent="0.2">
      <c r="B16" s="10"/>
      <c r="C16" s="10"/>
      <c r="D16" s="11"/>
      <c r="E16" s="11"/>
      <c r="F16" s="11"/>
      <c r="G16" s="15"/>
    </row>
    <row r="17" spans="2:13" s="8" customFormat="1" ht="15" customHeight="1" x14ac:dyDescent="0.2">
      <c r="B17" s="9" t="s">
        <v>10</v>
      </c>
      <c r="C17" s="27"/>
      <c r="D17" s="21">
        <v>74.5</v>
      </c>
      <c r="E17" s="21">
        <v>78.599999999999994</v>
      </c>
      <c r="F17" s="21">
        <v>84.4</v>
      </c>
      <c r="G17" s="21">
        <v>115.5</v>
      </c>
      <c r="H17" s="21">
        <v>121</v>
      </c>
      <c r="I17" s="28">
        <f>I18*I11</f>
        <v>98.086020291275574</v>
      </c>
      <c r="J17" s="28">
        <f>J18*J11</f>
        <v>95.143439682537306</v>
      </c>
      <c r="K17" s="28">
        <f>K18*K11</f>
        <v>93.240570888886566</v>
      </c>
      <c r="L17" s="28">
        <f>L18*L11</f>
        <v>93.240570888886566</v>
      </c>
      <c r="M17" s="28">
        <f>M18*M11</f>
        <v>94.172976597775431</v>
      </c>
    </row>
    <row r="18" spans="2:13" s="8" customFormat="1" ht="15" customHeight="1" x14ac:dyDescent="0.2">
      <c r="B18" s="23" t="s">
        <v>11</v>
      </c>
      <c r="C18" s="24"/>
      <c r="D18" s="25">
        <f>D17/D11</f>
        <v>4.2200067973263845E-2</v>
      </c>
      <c r="E18" s="25">
        <f>E17/E11</f>
        <v>2.6844262295081966E-2</v>
      </c>
      <c r="F18" s="25">
        <f>F17/F11</f>
        <v>2.1564168731955338E-2</v>
      </c>
      <c r="G18" s="25">
        <f>G17/G11</f>
        <v>3.2823689894282138E-2</v>
      </c>
      <c r="H18" s="25">
        <f>H17/H11</f>
        <v>3.7787701820680177E-2</v>
      </c>
      <c r="I18" s="26">
        <f>AVERAGE($D$18:$H$18)</f>
        <v>3.2243978143052694E-2</v>
      </c>
      <c r="J18" s="26">
        <f>AVERAGE($D$18:$H$18)</f>
        <v>3.2243978143052694E-2</v>
      </c>
      <c r="K18" s="26">
        <f>AVERAGE($D$18:$H$18)</f>
        <v>3.2243978143052694E-2</v>
      </c>
      <c r="L18" s="26">
        <f>AVERAGE($D$18:$H$18)</f>
        <v>3.2243978143052694E-2</v>
      </c>
      <c r="M18" s="26">
        <f>AVERAGE($D$18:$H$18)</f>
        <v>3.2243978143052694E-2</v>
      </c>
    </row>
    <row r="19" spans="2:13" s="8" customFormat="1" ht="15" customHeight="1" x14ac:dyDescent="0.2">
      <c r="B19" s="10"/>
      <c r="C19" s="10"/>
      <c r="D19" s="11"/>
      <c r="E19" s="11"/>
      <c r="F19" s="11"/>
      <c r="G19" s="15"/>
    </row>
    <row r="20" spans="2:13" s="8" customFormat="1" ht="19.5" customHeight="1" x14ac:dyDescent="0.25">
      <c r="B20" s="94" t="s">
        <v>12</v>
      </c>
      <c r="C20" s="94"/>
      <c r="D20" s="94"/>
      <c r="E20" s="94"/>
      <c r="F20" s="94"/>
      <c r="G20" s="94"/>
      <c r="H20" s="94"/>
      <c r="I20" s="94"/>
      <c r="J20" s="94"/>
      <c r="K20" s="94"/>
      <c r="L20" s="94"/>
      <c r="M20" s="94"/>
    </row>
    <row r="21" spans="2:13" s="8" customFormat="1" ht="15" customHeight="1" x14ac:dyDescent="0.2">
      <c r="B21" s="10"/>
      <c r="C21" s="10"/>
      <c r="D21" s="16"/>
      <c r="E21" s="17"/>
      <c r="F21" s="17"/>
      <c r="G21" s="17"/>
      <c r="H21" s="18"/>
      <c r="I21" s="95" t="s">
        <v>5</v>
      </c>
      <c r="J21" s="95"/>
      <c r="K21" s="95"/>
      <c r="L21" s="95"/>
      <c r="M21" s="95"/>
    </row>
    <row r="22" spans="2:13" s="8" customFormat="1" ht="15" customHeight="1" x14ac:dyDescent="0.2">
      <c r="B22" s="10"/>
      <c r="C22" s="10"/>
      <c r="D22" s="19">
        <f>E22-365</f>
        <v>44044</v>
      </c>
      <c r="E22" s="19">
        <f>F22-365</f>
        <v>44409</v>
      </c>
      <c r="F22" s="19">
        <f>G22-365</f>
        <v>44774</v>
      </c>
      <c r="G22" s="19">
        <f>H22-365</f>
        <v>45139</v>
      </c>
      <c r="H22" s="19">
        <v>45504</v>
      </c>
      <c r="I22" s="20">
        <f>H22+365</f>
        <v>45869</v>
      </c>
      <c r="J22" s="20">
        <f>I22+365</f>
        <v>46234</v>
      </c>
      <c r="K22" s="20">
        <f>J22+365</f>
        <v>46599</v>
      </c>
      <c r="L22" s="20">
        <f>K22+365</f>
        <v>46964</v>
      </c>
      <c r="M22" s="20">
        <f>L22+365</f>
        <v>47329</v>
      </c>
    </row>
    <row r="23" spans="2:13" s="8" customFormat="1" ht="15" customHeight="1" x14ac:dyDescent="0.2">
      <c r="B23" s="29" t="s">
        <v>13</v>
      </c>
      <c r="C23" s="21">
        <v>315.39999999999998</v>
      </c>
      <c r="D23" s="21">
        <v>298.2</v>
      </c>
      <c r="E23" s="21">
        <v>524.9</v>
      </c>
      <c r="F23" s="21">
        <v>528.9</v>
      </c>
      <c r="G23" s="21">
        <v>559.9</v>
      </c>
      <c r="H23" s="21">
        <v>489.9</v>
      </c>
      <c r="I23" s="30">
        <f>I11*I36</f>
        <v>453.5045149608323</v>
      </c>
      <c r="J23" s="30">
        <f>J11*J36</f>
        <v>453.61786666778937</v>
      </c>
      <c r="K23" s="30">
        <f>K11*K36</f>
        <v>439.35363141873358</v>
      </c>
      <c r="L23" s="30">
        <f>L11*L36</f>
        <v>438.33351089164483</v>
      </c>
      <c r="M23" s="30">
        <f>M11*M36</f>
        <v>445.15165938708674</v>
      </c>
    </row>
    <row r="24" spans="2:13" s="8" customFormat="1" ht="15" customHeight="1" x14ac:dyDescent="0.2">
      <c r="B24" s="29" t="s">
        <v>14</v>
      </c>
      <c r="C24" s="21">
        <v>226.1</v>
      </c>
      <c r="D24" s="21">
        <v>199.1</v>
      </c>
      <c r="E24" s="21">
        <v>286</v>
      </c>
      <c r="F24" s="21">
        <v>454.51100000000002</v>
      </c>
      <c r="G24" s="21">
        <v>493.52</v>
      </c>
      <c r="H24" s="21">
        <v>524.70000000000005</v>
      </c>
      <c r="I24" s="30">
        <f>I11*I37</f>
        <v>426.12364008659972</v>
      </c>
      <c r="J24" s="30">
        <f>J11*J37</f>
        <v>436.89951524787102</v>
      </c>
      <c r="K24" s="30">
        <f>K11*K37</f>
        <v>435.69182873641188</v>
      </c>
      <c r="L24" s="30">
        <f>L11*L37</f>
        <v>422.97549531521577</v>
      </c>
      <c r="M24" s="30">
        <f>M11*M37</f>
        <v>433.2323791614956</v>
      </c>
    </row>
    <row r="25" spans="2:13" s="8" customFormat="1" ht="15" customHeight="1" x14ac:dyDescent="0.2">
      <c r="B25" s="29" t="s">
        <v>15</v>
      </c>
      <c r="C25" s="31"/>
      <c r="D25" s="21">
        <v>46.7</v>
      </c>
      <c r="E25" s="21">
        <v>34.200000000000003</v>
      </c>
      <c r="F25" s="21">
        <v>80.7</v>
      </c>
      <c r="G25" s="21">
        <v>96.7</v>
      </c>
      <c r="H25" s="21">
        <v>158.4</v>
      </c>
      <c r="I25" s="30">
        <f>I11*I38</f>
        <v>98.933096267684761</v>
      </c>
      <c r="J25" s="30">
        <f>J11*J38</f>
        <v>107.67324543000713</v>
      </c>
      <c r="K25" s="30">
        <f>K11*K38</f>
        <v>114.20395661115604</v>
      </c>
      <c r="L25" s="30">
        <f>L11*L38</f>
        <v>104.58984614820805</v>
      </c>
      <c r="M25" s="30">
        <f>M11*M38</f>
        <v>109.18557303785958</v>
      </c>
    </row>
    <row r="26" spans="2:13" s="8" customFormat="1" ht="15" customHeight="1" x14ac:dyDescent="0.2">
      <c r="B26" s="10"/>
      <c r="C26" s="10"/>
      <c r="D26" s="11"/>
      <c r="E26" s="11"/>
      <c r="F26" s="11"/>
      <c r="G26" s="15"/>
    </row>
    <row r="27" spans="2:13" s="8" customFormat="1" ht="15" customHeight="1" x14ac:dyDescent="0.2">
      <c r="B27" s="29" t="s">
        <v>16</v>
      </c>
      <c r="C27" s="31"/>
      <c r="D27" s="21">
        <v>144</v>
      </c>
      <c r="E27" s="21">
        <v>316.10000000000002</v>
      </c>
      <c r="F27" s="21">
        <v>249.6</v>
      </c>
      <c r="G27" s="21">
        <v>299.10000000000002</v>
      </c>
      <c r="H27" s="21">
        <v>264.2</v>
      </c>
      <c r="I27" s="22">
        <f>I11*I39</f>
        <v>234.51918714570235</v>
      </c>
      <c r="J27" s="22">
        <f>J11*J39</f>
        <v>240.58602546904706</v>
      </c>
      <c r="K27" s="22">
        <f>K11*K39</f>
        <v>232.43311275345698</v>
      </c>
      <c r="L27" s="22">
        <f>L11*L39</f>
        <v>230.38045233794261</v>
      </c>
      <c r="M27" s="22">
        <f>M11*M39</f>
        <v>235.19124958385876</v>
      </c>
    </row>
    <row r="28" spans="2:13" s="8" customFormat="1" ht="15" customHeight="1" x14ac:dyDescent="0.2">
      <c r="B28" s="29" t="s">
        <v>17</v>
      </c>
      <c r="C28" s="31"/>
      <c r="D28" s="21">
        <v>32.799999999999997</v>
      </c>
      <c r="E28" s="21">
        <v>57.4</v>
      </c>
      <c r="F28" s="21">
        <v>61.3</v>
      </c>
      <c r="G28" s="21">
        <v>45.6</v>
      </c>
      <c r="H28" s="21">
        <v>44.7</v>
      </c>
      <c r="I28" s="30">
        <f>I11*I40</f>
        <v>43.176738139055111</v>
      </c>
      <c r="J28" s="30">
        <f>J11*J40</f>
        <v>40.436984820468716</v>
      </c>
      <c r="K28" s="30">
        <f>K11*K40</f>
        <v>40.346427133015048</v>
      </c>
      <c r="L28" s="30">
        <f>L11*L40</f>
        <v>40.33949317735339</v>
      </c>
      <c r="M28" s="30">
        <f>M11*M40</f>
        <v>40.505769029590681</v>
      </c>
    </row>
    <row r="29" spans="2:13" s="8" customFormat="1" ht="15" customHeight="1" x14ac:dyDescent="0.2">
      <c r="B29" s="10"/>
      <c r="C29" s="10"/>
      <c r="D29" s="11"/>
      <c r="E29" s="11"/>
      <c r="F29" s="11"/>
      <c r="G29" s="15"/>
    </row>
    <row r="30" spans="2:13" s="8" customFormat="1" ht="15" customHeight="1" x14ac:dyDescent="0.2">
      <c r="B30" s="10"/>
      <c r="C30" s="10"/>
      <c r="D30" s="11"/>
      <c r="E30" s="11"/>
      <c r="F30" s="11"/>
      <c r="G30" s="15"/>
    </row>
    <row r="31" spans="2:13" s="8" customFormat="1" ht="15" customHeight="1" x14ac:dyDescent="0.2">
      <c r="B31" s="9" t="s">
        <v>18</v>
      </c>
      <c r="C31" s="27"/>
      <c r="D31" s="21">
        <v>284.5</v>
      </c>
      <c r="E31" s="21">
        <v>576.29999999999995</v>
      </c>
      <c r="F31" s="21">
        <v>388.8</v>
      </c>
      <c r="G31" s="21">
        <v>388.1</v>
      </c>
      <c r="H31" s="21">
        <v>351.4</v>
      </c>
    </row>
    <row r="32" spans="2:13" s="8" customFormat="1" ht="15" customHeight="1" x14ac:dyDescent="0.2">
      <c r="B32" s="9" t="s">
        <v>19</v>
      </c>
      <c r="C32" s="27"/>
      <c r="D32" s="21">
        <v>843.6</v>
      </c>
      <c r="E32" s="21">
        <v>800.4</v>
      </c>
      <c r="F32" s="21">
        <v>832.3</v>
      </c>
      <c r="G32" s="21">
        <v>884.4</v>
      </c>
      <c r="H32" s="21">
        <v>921.03</v>
      </c>
    </row>
    <row r="33" spans="2:13" s="8" customFormat="1" ht="15" customHeight="1" x14ac:dyDescent="0.2">
      <c r="B33" s="10"/>
      <c r="C33" s="10"/>
      <c r="D33" s="11"/>
      <c r="E33" s="11"/>
      <c r="F33" s="11"/>
      <c r="G33" s="15"/>
    </row>
    <row r="34" spans="2:13" s="8" customFormat="1" ht="15" customHeight="1" x14ac:dyDescent="0.2">
      <c r="B34" s="9" t="s">
        <v>20</v>
      </c>
      <c r="C34" s="21">
        <v>34.799999999999997</v>
      </c>
      <c r="D34" s="21">
        <v>36.700000000000003</v>
      </c>
      <c r="E34" s="21">
        <v>64.5</v>
      </c>
      <c r="F34" s="21">
        <v>135.80000000000001</v>
      </c>
      <c r="G34" s="21">
        <v>218.9</v>
      </c>
      <c r="H34" s="21">
        <v>144.9</v>
      </c>
      <c r="I34" s="30">
        <f>I11*I41</f>
        <v>144.14707349508006</v>
      </c>
      <c r="J34" s="30">
        <f>J11*J41</f>
        <v>152.30314372921197</v>
      </c>
      <c r="K34" s="30">
        <f>K11*K41</f>
        <v>139.04604397301696</v>
      </c>
      <c r="L34" s="30">
        <f>L11*L41</f>
        <v>141.77644429735594</v>
      </c>
      <c r="M34" s="30">
        <f>M11*M41</f>
        <v>144.79345493875022</v>
      </c>
    </row>
    <row r="35" spans="2:13" s="8" customFormat="1" ht="15" customHeight="1" x14ac:dyDescent="0.2">
      <c r="B35" s="10"/>
      <c r="C35" s="10"/>
      <c r="D35" s="11"/>
      <c r="E35" s="11"/>
      <c r="F35" s="11"/>
      <c r="G35" s="15"/>
    </row>
    <row r="36" spans="2:13" s="8" customFormat="1" ht="15" customHeight="1" x14ac:dyDescent="0.2">
      <c r="B36" s="32" t="s">
        <v>21</v>
      </c>
      <c r="C36" s="33"/>
      <c r="D36" s="25">
        <f t="shared" ref="D36:H38" si="0">D23/D$11</f>
        <v>0.16891356066613797</v>
      </c>
      <c r="E36" s="25">
        <f t="shared" si="0"/>
        <v>0.17926912568306011</v>
      </c>
      <c r="F36" s="25">
        <f t="shared" si="0"/>
        <v>0.1351337540560566</v>
      </c>
      <c r="G36" s="25">
        <f t="shared" si="0"/>
        <v>0.15911674434466294</v>
      </c>
      <c r="H36" s="25">
        <f t="shared" si="0"/>
        <v>0.15299334811529933</v>
      </c>
      <c r="I36" s="26">
        <f t="shared" ref="I36:M41" si="1">AVERAGE(F36:H36)</f>
        <v>0.14908128217200631</v>
      </c>
      <c r="J36" s="26">
        <f t="shared" si="1"/>
        <v>0.1537304582106562</v>
      </c>
      <c r="K36" s="26">
        <f t="shared" si="1"/>
        <v>0.15193502949932061</v>
      </c>
      <c r="L36" s="26">
        <f t="shared" si="1"/>
        <v>0.15158225662732772</v>
      </c>
      <c r="M36" s="26">
        <f t="shared" si="1"/>
        <v>0.15241591477910152</v>
      </c>
    </row>
    <row r="37" spans="2:13" s="8" customFormat="1" ht="15" customHeight="1" x14ac:dyDescent="0.2">
      <c r="B37" s="32" t="s">
        <v>22</v>
      </c>
      <c r="C37" s="33"/>
      <c r="D37" s="25">
        <f t="shared" si="0"/>
        <v>0.11277897360371586</v>
      </c>
      <c r="E37" s="25">
        <f t="shared" si="0"/>
        <v>9.7677595628415298E-2</v>
      </c>
      <c r="F37" s="25">
        <f t="shared" si="0"/>
        <v>0.11612739211528143</v>
      </c>
      <c r="G37" s="25">
        <f t="shared" si="0"/>
        <v>0.14025235875866771</v>
      </c>
      <c r="H37" s="25">
        <f t="shared" si="0"/>
        <v>0.16386121607694953</v>
      </c>
      <c r="I37" s="26">
        <f t="shared" si="1"/>
        <v>0.14008032231696624</v>
      </c>
      <c r="J37" s="26">
        <f t="shared" si="1"/>
        <v>0.14806463238419451</v>
      </c>
      <c r="K37" s="26">
        <f t="shared" si="1"/>
        <v>0.15066872359270345</v>
      </c>
      <c r="L37" s="26">
        <f t="shared" si="1"/>
        <v>0.14627122609795473</v>
      </c>
      <c r="M37" s="26">
        <f t="shared" si="1"/>
        <v>0.14833486069161758</v>
      </c>
    </row>
    <row r="38" spans="2:13" s="8" customFormat="1" ht="15" customHeight="1" x14ac:dyDescent="0.2">
      <c r="B38" s="32" t="s">
        <v>23</v>
      </c>
      <c r="C38" s="33"/>
      <c r="D38" s="25">
        <f t="shared" si="0"/>
        <v>2.6452928514784185E-2</v>
      </c>
      <c r="E38" s="25">
        <f t="shared" si="0"/>
        <v>1.1680327868852459E-2</v>
      </c>
      <c r="F38" s="25">
        <f t="shared" si="0"/>
        <v>2.061882010271085E-2</v>
      </c>
      <c r="G38" s="25">
        <f t="shared" si="0"/>
        <v>2.7480959417983404E-2</v>
      </c>
      <c r="H38" s="25">
        <f t="shared" si="0"/>
        <v>4.9467536928890415E-2</v>
      </c>
      <c r="I38" s="26">
        <f t="shared" si="1"/>
        <v>3.2522438816528221E-2</v>
      </c>
      <c r="J38" s="26">
        <f t="shared" si="1"/>
        <v>3.6490311721134011E-2</v>
      </c>
      <c r="K38" s="26">
        <f t="shared" si="1"/>
        <v>3.9493429155517547E-2</v>
      </c>
      <c r="L38" s="26">
        <f t="shared" si="1"/>
        <v>3.616872656439326E-2</v>
      </c>
      <c r="M38" s="26">
        <f t="shared" si="1"/>
        <v>3.7384155813681604E-2</v>
      </c>
    </row>
    <row r="39" spans="2:13" s="8" customFormat="1" ht="15" customHeight="1" x14ac:dyDescent="0.2">
      <c r="B39" s="32" t="s">
        <v>24</v>
      </c>
      <c r="C39" s="33"/>
      <c r="D39" s="25">
        <f t="shared" ref="D39:H40" si="2">D27/D$11</f>
        <v>8.1567916619463013E-2</v>
      </c>
      <c r="E39" s="25">
        <f t="shared" si="2"/>
        <v>0.10795765027322406</v>
      </c>
      <c r="F39" s="25">
        <f t="shared" si="2"/>
        <v>6.3772707529574077E-2</v>
      </c>
      <c r="G39" s="25">
        <f t="shared" si="2"/>
        <v>8.5000568375582591E-2</v>
      </c>
      <c r="H39" s="25">
        <f t="shared" si="2"/>
        <v>8.2508353892757874E-2</v>
      </c>
      <c r="I39" s="26">
        <f t="shared" si="1"/>
        <v>7.7093876599304847E-2</v>
      </c>
      <c r="J39" s="26">
        <f t="shared" si="1"/>
        <v>8.1534266289215104E-2</v>
      </c>
      <c r="K39" s="26">
        <f t="shared" si="1"/>
        <v>8.0378832260425956E-2</v>
      </c>
      <c r="L39" s="26">
        <f t="shared" si="1"/>
        <v>7.9668991716315307E-2</v>
      </c>
      <c r="M39" s="26">
        <f t="shared" si="1"/>
        <v>8.0527363421985451E-2</v>
      </c>
    </row>
    <row r="40" spans="2:13" s="8" customFormat="1" ht="15" customHeight="1" x14ac:dyDescent="0.2">
      <c r="B40" s="32" t="s">
        <v>25</v>
      </c>
      <c r="C40" s="33"/>
      <c r="D40" s="25">
        <f t="shared" si="2"/>
        <v>1.8579358785544349E-2</v>
      </c>
      <c r="E40" s="25">
        <f t="shared" si="2"/>
        <v>1.9603825136612022E-2</v>
      </c>
      <c r="F40" s="25">
        <f t="shared" si="2"/>
        <v>1.566212728991543E-2</v>
      </c>
      <c r="G40" s="25">
        <f t="shared" si="2"/>
        <v>1.2958963282937365E-2</v>
      </c>
      <c r="H40" s="25">
        <f t="shared" si="2"/>
        <v>1.395958901970582E-2</v>
      </c>
      <c r="I40" s="26">
        <f t="shared" si="1"/>
        <v>1.4193559864186205E-2</v>
      </c>
      <c r="J40" s="26">
        <f t="shared" si="1"/>
        <v>1.370403738894313E-2</v>
      </c>
      <c r="K40" s="26">
        <f t="shared" si="1"/>
        <v>1.3952395424278384E-2</v>
      </c>
      <c r="L40" s="26">
        <f t="shared" si="1"/>
        <v>1.3949997559135905E-2</v>
      </c>
      <c r="M40" s="26">
        <f t="shared" si="1"/>
        <v>1.3868810124119139E-2</v>
      </c>
    </row>
    <row r="41" spans="2:13" s="8" customFormat="1" ht="15" customHeight="1" x14ac:dyDescent="0.2">
      <c r="B41" s="23" t="s">
        <v>26</v>
      </c>
      <c r="C41" s="24"/>
      <c r="D41" s="25">
        <f>D34/D$11</f>
        <v>2.0788489860654808E-2</v>
      </c>
      <c r="E41" s="25">
        <f>E34/E$11</f>
        <v>2.2028688524590164E-2</v>
      </c>
      <c r="F41" s="25">
        <f>F34/F$11</f>
        <v>3.4696849689567953E-2</v>
      </c>
      <c r="G41" s="25">
        <f>G34/G$11</f>
        <v>6.2208707513925203E-2</v>
      </c>
      <c r="H41" s="25">
        <f>H34/H$11</f>
        <v>4.5251553667905439E-2</v>
      </c>
      <c r="I41" s="26">
        <f t="shared" si="1"/>
        <v>4.7385703623799534E-2</v>
      </c>
      <c r="J41" s="26">
        <f t="shared" si="1"/>
        <v>5.1615321601876728E-2</v>
      </c>
      <c r="K41" s="26">
        <f t="shared" si="1"/>
        <v>4.8084192964527234E-2</v>
      </c>
      <c r="L41" s="26">
        <f t="shared" si="1"/>
        <v>4.9028406063401163E-2</v>
      </c>
      <c r="M41" s="26">
        <f t="shared" si="1"/>
        <v>4.9575973543268377E-2</v>
      </c>
    </row>
    <row r="42" spans="2:13" s="8" customFormat="1" ht="15" customHeight="1" x14ac:dyDescent="0.2">
      <c r="B42" s="24"/>
      <c r="C42" s="24"/>
      <c r="D42" s="34"/>
      <c r="E42" s="34"/>
      <c r="F42" s="34"/>
      <c r="G42" s="35"/>
      <c r="H42" s="36"/>
      <c r="I42" s="36"/>
      <c r="J42" s="36"/>
      <c r="K42" s="36"/>
      <c r="L42" s="36"/>
      <c r="M42" s="36"/>
    </row>
    <row r="43" spans="2:13" s="37" customFormat="1" ht="19.5" customHeight="1" x14ac:dyDescent="0.25">
      <c r="B43" s="94" t="s">
        <v>27</v>
      </c>
      <c r="C43" s="94"/>
      <c r="D43" s="94"/>
      <c r="E43" s="94"/>
      <c r="F43" s="94"/>
      <c r="G43" s="94"/>
      <c r="H43" s="94"/>
      <c r="I43" s="94"/>
      <c r="J43" s="94"/>
      <c r="K43" s="94"/>
      <c r="L43" s="94"/>
      <c r="M43" s="94"/>
    </row>
    <row r="44" spans="2:13" s="37" customFormat="1" ht="15" customHeight="1" x14ac:dyDescent="0.2">
      <c r="B44" s="38"/>
      <c r="C44" s="38"/>
      <c r="D44" s="39"/>
      <c r="E44" s="17"/>
      <c r="F44" s="17"/>
      <c r="G44" s="17"/>
      <c r="H44" s="40"/>
      <c r="I44" s="95" t="s">
        <v>5</v>
      </c>
      <c r="J44" s="95"/>
      <c r="K44" s="95"/>
      <c r="L44" s="95"/>
      <c r="M44" s="95"/>
    </row>
    <row r="45" spans="2:13" s="37" customFormat="1" ht="15" customHeight="1" x14ac:dyDescent="0.2">
      <c r="B45" s="41"/>
      <c r="C45" s="41"/>
      <c r="D45" s="19">
        <f>E45-365</f>
        <v>44044</v>
      </c>
      <c r="E45" s="19">
        <f>F45-365</f>
        <v>44409</v>
      </c>
      <c r="F45" s="19">
        <f>G45-365</f>
        <v>44774</v>
      </c>
      <c r="G45" s="19">
        <f>H45-365</f>
        <v>45139</v>
      </c>
      <c r="H45" s="19">
        <v>45504</v>
      </c>
      <c r="I45" s="20">
        <f>H45+365</f>
        <v>45869</v>
      </c>
      <c r="J45" s="20">
        <f>I45+365</f>
        <v>46234</v>
      </c>
      <c r="K45" s="20">
        <f>J45+365</f>
        <v>46599</v>
      </c>
      <c r="L45" s="20">
        <f>K45+365</f>
        <v>46964</v>
      </c>
      <c r="M45" s="20">
        <f>L45+365</f>
        <v>47329</v>
      </c>
    </row>
    <row r="46" spans="2:13" s="37" customFormat="1" ht="15" customHeight="1" x14ac:dyDescent="0.2">
      <c r="B46" s="42" t="s">
        <v>28</v>
      </c>
      <c r="C46" s="41"/>
      <c r="D46" s="43"/>
      <c r="E46" s="43"/>
      <c r="F46" s="43"/>
      <c r="G46" s="43"/>
      <c r="H46" s="43"/>
      <c r="I46" s="44">
        <v>1</v>
      </c>
      <c r="J46" s="44">
        <v>2</v>
      </c>
      <c r="K46" s="44">
        <v>3</v>
      </c>
      <c r="L46" s="44">
        <v>4</v>
      </c>
      <c r="M46" s="44">
        <v>5</v>
      </c>
    </row>
    <row r="47" spans="2:13" s="37" customFormat="1" ht="15" customHeight="1" x14ac:dyDescent="0.2">
      <c r="B47" s="45" t="s">
        <v>29</v>
      </c>
      <c r="D47" s="46"/>
      <c r="E47" s="46"/>
      <c r="F47" s="46"/>
      <c r="G47" s="46"/>
      <c r="H47" s="46"/>
      <c r="I47" s="47">
        <f>I11</f>
        <v>3041.9949999999999</v>
      </c>
      <c r="J47" s="47">
        <f>J11</f>
        <v>2950.73515</v>
      </c>
      <c r="K47" s="47">
        <f>K11</f>
        <v>2891.7204470000001</v>
      </c>
      <c r="L47" s="47">
        <f>L11</f>
        <v>2891.7204470000001</v>
      </c>
      <c r="M47" s="47">
        <f>M11</f>
        <v>2920.63765147</v>
      </c>
    </row>
    <row r="48" spans="2:13" s="37" customFormat="1" ht="15" customHeight="1" x14ac:dyDescent="0.2">
      <c r="B48" s="45" t="s">
        <v>8</v>
      </c>
      <c r="D48" s="48"/>
      <c r="E48" s="48"/>
      <c r="F48" s="48"/>
      <c r="G48" s="48"/>
      <c r="H48" s="48"/>
      <c r="I48" s="49">
        <f>I14</f>
        <v>395.45934999999997</v>
      </c>
      <c r="J48" s="49">
        <f>J14</f>
        <v>383.59556950000001</v>
      </c>
      <c r="K48" s="49">
        <f>K14</f>
        <v>375.92365811000002</v>
      </c>
      <c r="L48" s="49">
        <f>L14</f>
        <v>375.92365811000002</v>
      </c>
      <c r="M48" s="49">
        <f>M14</f>
        <v>379.68289469110005</v>
      </c>
    </row>
    <row r="49" spans="2:13" s="37" customFormat="1" ht="15" customHeight="1" x14ac:dyDescent="0.2">
      <c r="B49" s="45" t="s">
        <v>30</v>
      </c>
      <c r="D49" s="48"/>
      <c r="E49" s="48"/>
      <c r="F49" s="48"/>
      <c r="G49" s="48"/>
      <c r="H49" s="48"/>
      <c r="I49" s="50">
        <v>0.21</v>
      </c>
      <c r="J49" s="50">
        <v>0.21</v>
      </c>
      <c r="K49" s="50">
        <v>0.21</v>
      </c>
      <c r="L49" s="50">
        <v>0.21</v>
      </c>
      <c r="M49" s="50">
        <v>0.21</v>
      </c>
    </row>
    <row r="50" spans="2:13" s="37" customFormat="1" ht="15" customHeight="1" x14ac:dyDescent="0.2">
      <c r="B50" s="45" t="s">
        <v>31</v>
      </c>
      <c r="C50" s="41"/>
      <c r="D50" s="51"/>
      <c r="E50" s="51"/>
      <c r="F50" s="51"/>
      <c r="G50" s="51"/>
      <c r="H50" s="51"/>
      <c r="I50" s="47">
        <f>I48*(1-I49)</f>
        <v>312.41288650000001</v>
      </c>
      <c r="J50" s="47">
        <f>J48*(1-J49)</f>
        <v>303.04049990500005</v>
      </c>
      <c r="K50" s="47">
        <f>K48*(1-K49)</f>
        <v>296.97968990690003</v>
      </c>
      <c r="L50" s="47">
        <f>L48*(1-L49)</f>
        <v>296.97968990690003</v>
      </c>
      <c r="M50" s="47">
        <f>M48*(1-M49)</f>
        <v>299.94948680596906</v>
      </c>
    </row>
    <row r="51" spans="2:13" s="37" customFormat="1" ht="15" customHeight="1" x14ac:dyDescent="0.2">
      <c r="B51" s="52" t="s">
        <v>32</v>
      </c>
      <c r="C51" s="53"/>
      <c r="D51" s="54"/>
      <c r="E51" s="54"/>
      <c r="F51" s="54"/>
      <c r="G51" s="54"/>
      <c r="H51" s="54"/>
      <c r="I51" s="55">
        <f>I17</f>
        <v>98.086020291275574</v>
      </c>
      <c r="J51" s="55">
        <f>J17</f>
        <v>95.143439682537306</v>
      </c>
      <c r="K51" s="55">
        <f>K17</f>
        <v>93.240570888886566</v>
      </c>
      <c r="L51" s="55">
        <f>L17</f>
        <v>93.240570888886566</v>
      </c>
      <c r="M51" s="55">
        <f>M17</f>
        <v>94.172976597775431</v>
      </c>
    </row>
    <row r="52" spans="2:13" s="37" customFormat="1" ht="15" customHeight="1" x14ac:dyDescent="0.2">
      <c r="B52" s="29" t="s">
        <v>33</v>
      </c>
      <c r="C52" s="31"/>
      <c r="D52" s="56"/>
      <c r="E52" s="56"/>
      <c r="F52" s="56"/>
      <c r="G52" s="56"/>
      <c r="H52" s="56"/>
      <c r="I52" s="49">
        <f t="shared" ref="I52:M53" si="3">H23-I23</f>
        <v>36.395485039167681</v>
      </c>
      <c r="J52" s="49">
        <f t="shared" si="3"/>
        <v>-0.11335170695707575</v>
      </c>
      <c r="K52" s="49">
        <f t="shared" si="3"/>
        <v>14.264235249055787</v>
      </c>
      <c r="L52" s="49">
        <f t="shared" si="3"/>
        <v>1.0201205270887499</v>
      </c>
      <c r="M52" s="49">
        <f t="shared" si="3"/>
        <v>-6.8181484954419034</v>
      </c>
    </row>
    <row r="53" spans="2:13" s="37" customFormat="1" ht="15" customHeight="1" x14ac:dyDescent="0.2">
      <c r="B53" s="29" t="s">
        <v>34</v>
      </c>
      <c r="C53" s="31"/>
      <c r="D53" s="56"/>
      <c r="E53" s="56"/>
      <c r="F53" s="56"/>
      <c r="G53" s="56"/>
      <c r="H53" s="56"/>
      <c r="I53" s="49">
        <f t="shared" si="3"/>
        <v>98.576359913400324</v>
      </c>
      <c r="J53" s="49">
        <f t="shared" si="3"/>
        <v>-10.775875161271301</v>
      </c>
      <c r="K53" s="49">
        <f t="shared" si="3"/>
        <v>1.2076865114591442</v>
      </c>
      <c r="L53" s="49">
        <f t="shared" si="3"/>
        <v>12.716333421196111</v>
      </c>
      <c r="M53" s="49">
        <f t="shared" si="3"/>
        <v>-10.256883846279834</v>
      </c>
    </row>
    <row r="54" spans="2:13" s="37" customFormat="1" ht="15" customHeight="1" x14ac:dyDescent="0.2">
      <c r="B54" s="29" t="s">
        <v>35</v>
      </c>
      <c r="C54" s="31"/>
      <c r="D54" s="56"/>
      <c r="E54" s="56"/>
      <c r="F54" s="56"/>
      <c r="G54" s="56"/>
      <c r="H54" s="56"/>
      <c r="I54" s="49">
        <f t="shared" ref="I54:M55" si="4">I27-H27</f>
        <v>-29.680812854297642</v>
      </c>
      <c r="J54" s="49">
        <f t="shared" si="4"/>
        <v>6.0668383233447116</v>
      </c>
      <c r="K54" s="49">
        <f t="shared" si="4"/>
        <v>-8.1529127155900767</v>
      </c>
      <c r="L54" s="49">
        <f t="shared" si="4"/>
        <v>-2.0526604155143673</v>
      </c>
      <c r="M54" s="49">
        <f t="shared" si="4"/>
        <v>4.8107972459161488</v>
      </c>
    </row>
    <row r="55" spans="2:13" s="37" customFormat="1" ht="15" customHeight="1" x14ac:dyDescent="0.2">
      <c r="B55" s="29" t="s">
        <v>36</v>
      </c>
      <c r="C55" s="31"/>
      <c r="D55" s="56"/>
      <c r="E55" s="56"/>
      <c r="F55" s="56"/>
      <c r="G55" s="56"/>
      <c r="H55" s="56"/>
      <c r="I55" s="49">
        <f t="shared" si="4"/>
        <v>-1.523261860944892</v>
      </c>
      <c r="J55" s="49">
        <f t="shared" si="4"/>
        <v>-2.7397533185863949</v>
      </c>
      <c r="K55" s="49">
        <f t="shared" si="4"/>
        <v>-9.0557687453667768E-2</v>
      </c>
      <c r="L55" s="49">
        <f t="shared" si="4"/>
        <v>-6.9339556616583309E-3</v>
      </c>
      <c r="M55" s="49">
        <f t="shared" si="4"/>
        <v>0.16627585223729113</v>
      </c>
    </row>
    <row r="56" spans="2:13" s="37" customFormat="1" ht="15" customHeight="1" x14ac:dyDescent="0.2">
      <c r="B56" s="52" t="s">
        <v>37</v>
      </c>
      <c r="C56" s="53"/>
      <c r="D56" s="56"/>
      <c r="E56" s="56"/>
      <c r="F56" s="56"/>
      <c r="G56" s="56"/>
      <c r="H56" s="56"/>
      <c r="I56" s="49">
        <f>H34-I34</f>
        <v>0.75292650491994095</v>
      </c>
      <c r="J56" s="49">
        <f>I34-J34</f>
        <v>-8.1560702341319029</v>
      </c>
      <c r="K56" s="49">
        <f>J34-K34</f>
        <v>13.257099756195004</v>
      </c>
      <c r="L56" s="49">
        <f>K34-L34</f>
        <v>-2.730400324338973</v>
      </c>
      <c r="M56" s="49">
        <f>L34-M34</f>
        <v>-3.017010641394279</v>
      </c>
    </row>
    <row r="57" spans="2:13" s="37" customFormat="1" ht="15" customHeight="1" x14ac:dyDescent="0.2">
      <c r="B57" s="57" t="s">
        <v>38</v>
      </c>
      <c r="C57" s="41"/>
      <c r="D57" s="51"/>
      <c r="E57" s="51"/>
      <c r="F57" s="51"/>
      <c r="G57" s="51"/>
      <c r="H57" s="51"/>
      <c r="I57" s="58">
        <f>SUM(I50:I56)</f>
        <v>515.01960353352104</v>
      </c>
      <c r="J57" s="58">
        <f>SUM(J50:J56)</f>
        <v>382.46572748993538</v>
      </c>
      <c r="K57" s="58">
        <f>SUM(K50:K56)</f>
        <v>410.70581190945279</v>
      </c>
      <c r="L57" s="58">
        <f>SUM(L50:L56)</f>
        <v>399.16672004855644</v>
      </c>
      <c r="M57" s="58">
        <f>SUM(M50:M56)</f>
        <v>379.00749351878193</v>
      </c>
    </row>
    <row r="58" spans="2:13" s="37" customFormat="1" ht="15" customHeight="1" x14ac:dyDescent="0.2">
      <c r="B58" s="59" t="s">
        <v>39</v>
      </c>
      <c r="C58" s="60"/>
      <c r="D58" s="61"/>
      <c r="E58" s="61"/>
      <c r="F58" s="61"/>
      <c r="G58" s="62"/>
      <c r="H58" s="62"/>
      <c r="I58" s="63">
        <f>$D$85</f>
        <v>0.10262068906853879</v>
      </c>
      <c r="J58" s="63">
        <f>$D$85</f>
        <v>0.10262068906853879</v>
      </c>
      <c r="K58" s="63">
        <f>$D$85</f>
        <v>0.10262068906853879</v>
      </c>
      <c r="L58" s="63">
        <f>$D$85</f>
        <v>0.10262068906853879</v>
      </c>
      <c r="M58" s="63">
        <f>$D$85</f>
        <v>0.10262068906853879</v>
      </c>
    </row>
    <row r="59" spans="2:13" s="37" customFormat="1" ht="15" customHeight="1" x14ac:dyDescent="0.2">
      <c r="B59" s="59" t="s">
        <v>40</v>
      </c>
      <c r="C59" s="60"/>
      <c r="D59" s="64"/>
      <c r="E59" s="64"/>
      <c r="F59" s="64"/>
      <c r="G59" s="64"/>
      <c r="H59" s="64"/>
      <c r="I59" s="47">
        <f>I57/(1+I58)^I46</f>
        <v>467.08683107387935</v>
      </c>
      <c r="J59" s="47">
        <f>J57/(1+J58)^J46</f>
        <v>314.58662208097678</v>
      </c>
      <c r="K59" s="47">
        <f>K57/(1+K58)^K46</f>
        <v>306.374374251407</v>
      </c>
      <c r="L59" s="47">
        <f>L57/(1+L58)^L46</f>
        <v>270.05347927892132</v>
      </c>
      <c r="M59" s="47">
        <f>M57/(1+M58)^M46</f>
        <v>232.55041081892878</v>
      </c>
    </row>
    <row r="60" spans="2:13" s="37" customFormat="1" ht="15" customHeight="1" x14ac:dyDescent="0.2">
      <c r="B60" s="57" t="s">
        <v>41</v>
      </c>
      <c r="C60" s="41"/>
      <c r="D60" s="58">
        <f>SUM(I59:M59)</f>
        <v>1590.6517175041133</v>
      </c>
      <c r="E60" s="51"/>
      <c r="F60" s="51"/>
    </row>
    <row r="61" spans="2:13" s="37" customFormat="1" ht="15" customHeight="1" x14ac:dyDescent="0.2"/>
    <row r="62" spans="2:13" s="37" customFormat="1" ht="19.5" customHeight="1" x14ac:dyDescent="0.25">
      <c r="B62" s="94" t="s">
        <v>42</v>
      </c>
      <c r="C62" s="94"/>
      <c r="D62" s="94"/>
      <c r="E62" s="94"/>
      <c r="F62" s="94"/>
      <c r="G62" s="94"/>
      <c r="H62" s="94"/>
      <c r="I62" s="94"/>
      <c r="J62" s="94"/>
      <c r="K62" s="94"/>
      <c r="L62" s="94"/>
      <c r="M62" s="94"/>
    </row>
    <row r="63" spans="2:13" s="37" customFormat="1" ht="15" customHeight="1" x14ac:dyDescent="0.2">
      <c r="B63" s="65" t="s">
        <v>43</v>
      </c>
      <c r="C63" s="66"/>
      <c r="D63" s="67"/>
      <c r="E63" s="67"/>
      <c r="F63" s="67"/>
      <c r="I63" s="68"/>
      <c r="J63" s="67"/>
    </row>
    <row r="64" spans="2:13" s="37" customFormat="1" ht="15" customHeight="1" x14ac:dyDescent="0.2">
      <c r="B64" s="45" t="s">
        <v>44</v>
      </c>
      <c r="D64" s="69">
        <v>0.01</v>
      </c>
      <c r="I64" s="60"/>
      <c r="J64" s="70"/>
    </row>
    <row r="65" spans="2:13" s="37" customFormat="1" ht="15" customHeight="1" x14ac:dyDescent="0.2">
      <c r="B65" s="45" t="s">
        <v>45</v>
      </c>
      <c r="D65" s="71">
        <f>$D$85</f>
        <v>0.10262068906853879</v>
      </c>
      <c r="I65" s="60"/>
      <c r="J65" s="70"/>
    </row>
    <row r="66" spans="2:13" s="37" customFormat="1" ht="15" customHeight="1" x14ac:dyDescent="0.2">
      <c r="B66" s="45" t="s">
        <v>46</v>
      </c>
      <c r="D66" s="72">
        <f>M57*(1+D64)</f>
        <v>382.79756845396975</v>
      </c>
      <c r="I66" s="60"/>
      <c r="J66" s="73"/>
    </row>
    <row r="67" spans="2:13" s="37" customFormat="1" ht="15" customHeight="1" x14ac:dyDescent="0.2">
      <c r="B67" s="45" t="s">
        <v>42</v>
      </c>
      <c r="D67" s="72">
        <f>D66/(D65-D64)</f>
        <v>4132.9596260151084</v>
      </c>
      <c r="I67" s="60"/>
      <c r="J67" s="73"/>
    </row>
    <row r="68" spans="2:13" s="37" customFormat="1" ht="15" customHeight="1" x14ac:dyDescent="0.2">
      <c r="B68" s="57" t="s">
        <v>47</v>
      </c>
      <c r="C68" s="41"/>
      <c r="D68" s="74">
        <f>D67/((1+D65)^5)</f>
        <v>2535.8903857140513</v>
      </c>
      <c r="I68" s="60"/>
      <c r="J68" s="75"/>
    </row>
    <row r="69" spans="2:13" s="37" customFormat="1" ht="15" customHeight="1" x14ac:dyDescent="0.2">
      <c r="D69" s="76"/>
      <c r="E69" s="76"/>
      <c r="F69" s="76"/>
    </row>
    <row r="70" spans="2:13" s="37" customFormat="1" ht="19.5" customHeight="1" x14ac:dyDescent="0.25">
      <c r="B70" s="94" t="s">
        <v>45</v>
      </c>
      <c r="C70" s="94"/>
      <c r="D70" s="94"/>
      <c r="E70" s="94"/>
      <c r="F70" s="94"/>
      <c r="G70" s="94"/>
      <c r="H70" s="94"/>
      <c r="I70" s="94"/>
      <c r="J70" s="94"/>
      <c r="K70" s="94"/>
      <c r="L70" s="94"/>
      <c r="M70" s="94"/>
    </row>
    <row r="71" spans="2:13" s="37" customFormat="1" ht="15" customHeight="1" x14ac:dyDescent="0.2">
      <c r="B71" s="45" t="s">
        <v>48</v>
      </c>
      <c r="G71" s="77">
        <f>G5</f>
        <v>89.69</v>
      </c>
    </row>
    <row r="72" spans="2:13" s="37" customFormat="1" ht="15" customHeight="1" x14ac:dyDescent="0.2">
      <c r="B72" s="45" t="s">
        <v>3</v>
      </c>
      <c r="G72" s="49">
        <f>G6</f>
        <v>37.317892999999998</v>
      </c>
    </row>
    <row r="73" spans="2:13" s="37" customFormat="1" ht="15" customHeight="1" x14ac:dyDescent="0.2">
      <c r="B73" s="45" t="s">
        <v>49</v>
      </c>
      <c r="G73" s="69">
        <v>6.8000000000000005E-2</v>
      </c>
    </row>
    <row r="74" spans="2:13" s="37" customFormat="1" ht="15" customHeight="1" x14ac:dyDescent="0.2">
      <c r="B74" s="45" t="s">
        <v>50</v>
      </c>
      <c r="G74" s="71">
        <f>I49</f>
        <v>0.21</v>
      </c>
    </row>
    <row r="75" spans="2:13" s="37" customFormat="1" ht="15" customHeight="1" x14ac:dyDescent="0.2">
      <c r="B75" s="45" t="s">
        <v>51</v>
      </c>
      <c r="G75" s="50">
        <v>5.3999999999999999E-2</v>
      </c>
    </row>
    <row r="76" spans="2:13" s="37" customFormat="1" ht="15" customHeight="1" x14ac:dyDescent="0.2">
      <c r="B76" s="45" t="s">
        <v>52</v>
      </c>
      <c r="G76" s="69">
        <v>0.11600000000000001</v>
      </c>
    </row>
    <row r="77" spans="2:13" s="37" customFormat="1" ht="15" customHeight="1" x14ac:dyDescent="0.2">
      <c r="D77" s="76"/>
      <c r="E77" s="76"/>
      <c r="F77" s="76"/>
    </row>
    <row r="78" spans="2:13" s="37" customFormat="1" ht="15" customHeight="1" x14ac:dyDescent="0.2">
      <c r="B78" s="45" t="s">
        <v>53</v>
      </c>
      <c r="G78" s="21">
        <f>H32</f>
        <v>921.03</v>
      </c>
    </row>
    <row r="79" spans="2:13" s="37" customFormat="1" ht="15" customHeight="1" x14ac:dyDescent="0.2">
      <c r="B79" s="45" t="s">
        <v>54</v>
      </c>
      <c r="G79" s="21">
        <f>G5*G6</f>
        <v>3347.0418231699996</v>
      </c>
    </row>
    <row r="80" spans="2:13" s="37" customFormat="1" ht="15" customHeight="1" x14ac:dyDescent="0.2">
      <c r="B80" s="59" t="s">
        <v>55</v>
      </c>
      <c r="C80" s="68"/>
      <c r="G80" s="78">
        <f>SUM(G78:G79)</f>
        <v>4268.0718231699993</v>
      </c>
    </row>
    <row r="81" spans="2:13" s="37" customFormat="1" ht="15" customHeight="1" x14ac:dyDescent="0.2">
      <c r="B81" s="68"/>
      <c r="C81" s="68"/>
      <c r="G81" s="79"/>
    </row>
    <row r="82" spans="2:13" s="37" customFormat="1" ht="15" customHeight="1" x14ac:dyDescent="0.2">
      <c r="B82" s="45" t="s">
        <v>56</v>
      </c>
      <c r="G82" s="80">
        <f>G78/G80</f>
        <v>0.21579533760421324</v>
      </c>
    </row>
    <row r="83" spans="2:13" s="37" customFormat="1" ht="15" customHeight="1" x14ac:dyDescent="0.2">
      <c r="B83" s="45" t="s">
        <v>57</v>
      </c>
      <c r="G83" s="80">
        <f>G79/G80</f>
        <v>0.78420466239578679</v>
      </c>
    </row>
    <row r="84" spans="2:13" s="37" customFormat="1" ht="15" customHeight="1" x14ac:dyDescent="0.2">
      <c r="B84" s="68"/>
      <c r="C84" s="68"/>
      <c r="G84" s="79"/>
    </row>
    <row r="85" spans="2:13" s="37" customFormat="1" ht="15" customHeight="1" x14ac:dyDescent="0.2">
      <c r="B85" s="57" t="s">
        <v>58</v>
      </c>
      <c r="C85" s="41"/>
      <c r="D85" s="81">
        <f>G83*G76+G82*G75</f>
        <v>0.10262068906853879</v>
      </c>
      <c r="E85" s="41"/>
      <c r="F85" s="41"/>
      <c r="G85" s="82"/>
    </row>
    <row r="86" spans="2:13" s="37" customFormat="1" ht="15" customHeight="1" x14ac:dyDescent="0.2">
      <c r="D86" s="76"/>
      <c r="E86" s="76"/>
      <c r="F86" s="76"/>
    </row>
    <row r="87" spans="2:13" s="37" customFormat="1" ht="19.5" customHeight="1" x14ac:dyDescent="0.25">
      <c r="B87" s="94" t="s">
        <v>59</v>
      </c>
      <c r="C87" s="94"/>
      <c r="D87" s="94"/>
      <c r="E87" s="94"/>
      <c r="F87" s="94"/>
      <c r="G87" s="94"/>
      <c r="H87" s="94"/>
      <c r="I87" s="94"/>
      <c r="J87" s="94"/>
      <c r="K87" s="94"/>
      <c r="L87" s="94"/>
      <c r="M87" s="94"/>
    </row>
    <row r="88" spans="2:13" s="37" customFormat="1" ht="15" customHeight="1" x14ac:dyDescent="0.2">
      <c r="B88" s="45" t="s">
        <v>60</v>
      </c>
      <c r="D88" s="75"/>
      <c r="E88" s="75"/>
      <c r="F88" s="75"/>
      <c r="H88" s="47">
        <f>D60+D68</f>
        <v>4126.5421032181648</v>
      </c>
    </row>
    <row r="89" spans="2:13" s="37" customFormat="1" ht="15" customHeight="1" x14ac:dyDescent="0.2">
      <c r="B89" s="45" t="s">
        <v>61</v>
      </c>
      <c r="D89" s="83"/>
      <c r="E89" s="83"/>
      <c r="F89" s="83"/>
      <c r="H89" s="49">
        <f>H32-H31</f>
        <v>569.63</v>
      </c>
      <c r="I89" s="75"/>
    </row>
    <row r="90" spans="2:13" s="37" customFormat="1" ht="15" customHeight="1" x14ac:dyDescent="0.2">
      <c r="B90" s="57" t="s">
        <v>62</v>
      </c>
      <c r="C90" s="41"/>
      <c r="H90" s="58">
        <f>H88-H89</f>
        <v>3556.9121032181647</v>
      </c>
      <c r="I90" s="83"/>
    </row>
    <row r="91" spans="2:13" s="37" customFormat="1" ht="15" customHeight="1" x14ac:dyDescent="0.2">
      <c r="B91" s="45" t="s">
        <v>3</v>
      </c>
      <c r="H91" s="84">
        <f>G72</f>
        <v>37.317892999999998</v>
      </c>
      <c r="I91" s="85"/>
    </row>
    <row r="92" spans="2:13" s="37" customFormat="1" ht="15" customHeight="1" x14ac:dyDescent="0.2">
      <c r="B92" s="86" t="s">
        <v>63</v>
      </c>
      <c r="C92" s="43"/>
      <c r="D92" s="43"/>
      <c r="E92" s="43"/>
      <c r="F92" s="43"/>
      <c r="G92" s="87"/>
      <c r="H92" s="88">
        <f>H90/H91</f>
        <v>95.313851272850926</v>
      </c>
      <c r="I92" s="89"/>
    </row>
    <row r="93" spans="2:13" s="37" customFormat="1" ht="15" customHeight="1" x14ac:dyDescent="0.2">
      <c r="G93" s="90"/>
      <c r="H93" s="91"/>
      <c r="I93" s="92"/>
    </row>
    <row r="94" spans="2:13" s="76" customFormat="1" ht="15" customHeight="1" x14ac:dyDescent="0.2">
      <c r="B94" s="37"/>
      <c r="C94" s="37"/>
    </row>
  </sheetData>
  <mergeCells count="3">
    <mergeCell ref="I9:M9"/>
    <mergeCell ref="I21:M21"/>
    <mergeCell ref="I44:M44"/>
  </mergeCells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DCF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Wall Street Prep, LLC</dc:creator>
  <dc:description/>
  <cp:lastModifiedBy>Sam Heier</cp:lastModifiedBy>
  <cp:revision>0</cp:revision>
  <dcterms:created xsi:type="dcterms:W3CDTF">2006-10-30T23:26:47Z</dcterms:created>
  <dcterms:modified xsi:type="dcterms:W3CDTF">2026-08-13T02:33:04Z</dcterms:modified>
  <dc:language>en-US</dc:language>
</cp:coreProperties>
</file>
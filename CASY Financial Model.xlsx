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Models\"/>
    </mc:Choice>
  </mc:AlternateContent>
  <xr:revisionPtr revIDLastSave="0" documentId="14_{ACFD261E-C31D-4089-9859-8B63FE524A29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Main" sheetId="1" r:id="rId1"/>
    <sheet name="10QIS" sheetId="2" r:id="rId2"/>
    <sheet name="IS" sheetId="3" r:id="rId3"/>
    <sheet name="BS" sheetId="4" r:id="rId4"/>
    <sheet name="CFS" sheetId="5" r:id="rId5"/>
    <sheet name="DCF" sheetId="6" r:id="rId6"/>
    <sheet name="Fuel" sheetId="7" r:id="rId7"/>
    <sheet name="Grocery &amp; General Merchandise" sheetId="8" r:id="rId8"/>
    <sheet name="Prepared Food &amp; Beverage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3" l="1"/>
  <c r="K7" i="3" s="1"/>
  <c r="L7" i="3" s="1"/>
  <c r="M7" i="3" s="1"/>
  <c r="I7" i="3"/>
  <c r="J3" i="3"/>
  <c r="K3" i="3" s="1"/>
  <c r="L3" i="3" s="1"/>
  <c r="M3" i="3" s="1"/>
  <c r="J4" i="3"/>
  <c r="K4" i="3" s="1"/>
  <c r="L4" i="3" s="1"/>
  <c r="M4" i="3" s="1"/>
  <c r="K5" i="3"/>
  <c r="L5" i="3"/>
  <c r="M5" i="3"/>
  <c r="J5" i="3"/>
  <c r="I5" i="3"/>
  <c r="K6" i="3"/>
  <c r="L6" i="3"/>
  <c r="M6" i="3"/>
  <c r="J6" i="3"/>
  <c r="I16" i="3"/>
  <c r="J16" i="3"/>
  <c r="K16" i="3"/>
  <c r="L16" i="3"/>
  <c r="M16" i="3"/>
  <c r="I18" i="3"/>
  <c r="J18" i="3"/>
  <c r="K18" i="3"/>
  <c r="L18" i="3"/>
  <c r="M18" i="3"/>
  <c r="I12" i="3"/>
  <c r="J12" i="3"/>
  <c r="K12" i="3"/>
  <c r="L12" i="3"/>
  <c r="M12" i="3"/>
  <c r="C17" i="3"/>
  <c r="C15" i="3"/>
  <c r="C14" i="3"/>
  <c r="C13" i="3"/>
  <c r="C11" i="3"/>
  <c r="C10" i="3"/>
  <c r="J19" i="2"/>
  <c r="F20" i="2"/>
  <c r="F21" i="2"/>
  <c r="F22" i="2"/>
  <c r="F23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4" i="2"/>
  <c r="D14" i="2"/>
  <c r="E14" i="2"/>
  <c r="F14" i="2"/>
  <c r="F11" i="2"/>
  <c r="F7" i="2"/>
  <c r="F13" i="2"/>
  <c r="C7" i="1"/>
  <c r="C6" i="1"/>
  <c r="H10" i="9"/>
  <c r="G10" i="9"/>
  <c r="F10" i="9"/>
  <c r="E10" i="9"/>
  <c r="D10" i="9"/>
  <c r="C10" i="9"/>
  <c r="H10" i="8"/>
  <c r="G10" i="8"/>
  <c r="F10" i="8"/>
  <c r="E10" i="8"/>
  <c r="D10" i="8"/>
  <c r="C10" i="8"/>
  <c r="H10" i="7"/>
  <c r="G10" i="7"/>
  <c r="F10" i="7"/>
  <c r="E10" i="7"/>
  <c r="D10" i="7"/>
  <c r="C10" i="7"/>
  <c r="K80" i="6"/>
  <c r="E79" i="6"/>
  <c r="E74" i="6"/>
  <c r="M53" i="6"/>
  <c r="L53" i="6"/>
  <c r="K53" i="6"/>
  <c r="J53" i="6"/>
  <c r="I53" i="6"/>
  <c r="J51" i="6"/>
  <c r="K51" i="6" s="1"/>
  <c r="L51" i="6" s="1"/>
  <c r="M51" i="6" s="1"/>
  <c r="M50" i="6"/>
  <c r="M52" i="6" s="1"/>
  <c r="L50" i="6"/>
  <c r="L52" i="6" s="1"/>
  <c r="K50" i="6"/>
  <c r="K52" i="6" s="1"/>
  <c r="J50" i="6"/>
  <c r="J52" i="6" s="1"/>
  <c r="I50" i="6"/>
  <c r="I52" i="6" s="1"/>
  <c r="M49" i="6"/>
  <c r="L49" i="6"/>
  <c r="K49" i="6"/>
  <c r="J49" i="6"/>
  <c r="I49" i="6"/>
  <c r="H30" i="6"/>
  <c r="G30" i="6"/>
  <c r="F30" i="6"/>
  <c r="E30" i="6"/>
  <c r="D30" i="6"/>
  <c r="C30" i="6"/>
  <c r="H28" i="6"/>
  <c r="G28" i="6"/>
  <c r="F28" i="6"/>
  <c r="E28" i="6"/>
  <c r="D28" i="6"/>
  <c r="C28" i="6"/>
  <c r="H26" i="6"/>
  <c r="G26" i="6"/>
  <c r="F26" i="6"/>
  <c r="E26" i="6"/>
  <c r="D26" i="6"/>
  <c r="C26" i="6"/>
  <c r="H25" i="6"/>
  <c r="G25" i="6"/>
  <c r="F25" i="6"/>
  <c r="E25" i="6"/>
  <c r="D25" i="6"/>
  <c r="C25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C15" i="6"/>
  <c r="C11" i="6"/>
  <c r="C49" i="6" s="1"/>
  <c r="F6" i="6"/>
  <c r="F4" i="6"/>
  <c r="F7" i="6" s="1"/>
  <c r="H32" i="5"/>
  <c r="G32" i="5"/>
  <c r="F32" i="5"/>
  <c r="E32" i="5"/>
  <c r="D32" i="5"/>
  <c r="C32" i="5"/>
  <c r="H22" i="5"/>
  <c r="G22" i="5"/>
  <c r="F22" i="5"/>
  <c r="E22" i="5"/>
  <c r="D22" i="5"/>
  <c r="C22" i="5"/>
  <c r="H17" i="5"/>
  <c r="H34" i="5" s="1"/>
  <c r="G17" i="5"/>
  <c r="G34" i="5" s="1"/>
  <c r="F17" i="5"/>
  <c r="F34" i="5" s="1"/>
  <c r="E17" i="5"/>
  <c r="E34" i="5" s="1"/>
  <c r="D17" i="5"/>
  <c r="D34" i="5" s="1"/>
  <c r="C17" i="5"/>
  <c r="C34" i="5" s="1"/>
  <c r="C36" i="5" s="1"/>
  <c r="D35" i="5" s="1"/>
  <c r="H40" i="4"/>
  <c r="G40" i="4"/>
  <c r="F40" i="4"/>
  <c r="E40" i="4"/>
  <c r="D40" i="4"/>
  <c r="C40" i="4"/>
  <c r="H29" i="4"/>
  <c r="H36" i="4" s="1"/>
  <c r="H41" i="4" s="1"/>
  <c r="G29" i="4"/>
  <c r="G36" i="4" s="1"/>
  <c r="G41" i="4" s="1"/>
  <c r="F29" i="4"/>
  <c r="F36" i="4" s="1"/>
  <c r="F41" i="4" s="1"/>
  <c r="E29" i="4"/>
  <c r="E36" i="4" s="1"/>
  <c r="E41" i="4" s="1"/>
  <c r="D29" i="4"/>
  <c r="D36" i="4" s="1"/>
  <c r="D41" i="4" s="1"/>
  <c r="C29" i="4"/>
  <c r="C36" i="4" s="1"/>
  <c r="C41" i="4" s="1"/>
  <c r="H14" i="4"/>
  <c r="H16" i="4" s="1"/>
  <c r="G14" i="4"/>
  <c r="G16" i="4" s="1"/>
  <c r="F14" i="4"/>
  <c r="F16" i="4" s="1"/>
  <c r="E14" i="4"/>
  <c r="E16" i="4" s="1"/>
  <c r="D14" i="4"/>
  <c r="D16" i="4" s="1"/>
  <c r="C14" i="4"/>
  <c r="C16" i="4" s="1"/>
  <c r="H8" i="4"/>
  <c r="H20" i="4" s="1"/>
  <c r="H43" i="4" s="1"/>
  <c r="G8" i="4"/>
  <c r="G20" i="4" s="1"/>
  <c r="G43" i="4" s="1"/>
  <c r="F8" i="4"/>
  <c r="F20" i="4" s="1"/>
  <c r="F43" i="4" s="1"/>
  <c r="E8" i="4"/>
  <c r="E20" i="4" s="1"/>
  <c r="E43" i="4" s="1"/>
  <c r="D8" i="4"/>
  <c r="D20" i="4" s="1"/>
  <c r="D43" i="4" s="1"/>
  <c r="C8" i="4"/>
  <c r="C20" i="4" s="1"/>
  <c r="C43" i="4" s="1"/>
  <c r="C12" i="3"/>
  <c r="C16" i="3" s="1"/>
  <c r="C7" i="3"/>
  <c r="C51" i="6" s="1"/>
  <c r="C6" i="3"/>
  <c r="C5" i="3"/>
  <c r="C4" i="3"/>
  <c r="Y22" i="2"/>
  <c r="X22" i="2"/>
  <c r="W22" i="2"/>
  <c r="U22" i="2"/>
  <c r="T22" i="2"/>
  <c r="S22" i="2"/>
  <c r="Q22" i="2"/>
  <c r="P22" i="2"/>
  <c r="O22" i="2"/>
  <c r="M22" i="2"/>
  <c r="L22" i="2"/>
  <c r="K22" i="2"/>
  <c r="I22" i="2"/>
  <c r="H22" i="2"/>
  <c r="G22" i="2"/>
  <c r="E22" i="2"/>
  <c r="D22" i="2"/>
  <c r="C22" i="2"/>
  <c r="Y21" i="2"/>
  <c r="X21" i="2"/>
  <c r="W21" i="2"/>
  <c r="U21" i="2"/>
  <c r="T21" i="2"/>
  <c r="S21" i="2"/>
  <c r="Q21" i="2"/>
  <c r="P21" i="2"/>
  <c r="O21" i="2"/>
  <c r="M21" i="2"/>
  <c r="L21" i="2"/>
  <c r="K21" i="2"/>
  <c r="I21" i="2"/>
  <c r="H21" i="2"/>
  <c r="G21" i="2"/>
  <c r="E21" i="2"/>
  <c r="D21" i="2"/>
  <c r="C21" i="2"/>
  <c r="Y19" i="2"/>
  <c r="X19" i="2"/>
  <c r="W19" i="2"/>
  <c r="U19" i="2"/>
  <c r="T19" i="2"/>
  <c r="S19" i="2"/>
  <c r="Q19" i="2"/>
  <c r="P19" i="2"/>
  <c r="O19" i="2"/>
  <c r="M19" i="2"/>
  <c r="L19" i="2"/>
  <c r="K19" i="2"/>
  <c r="I19" i="2"/>
  <c r="H19" i="2"/>
  <c r="G19" i="2"/>
  <c r="Z12" i="2"/>
  <c r="V12" i="2"/>
  <c r="R12" i="2"/>
  <c r="N12" i="2"/>
  <c r="J12" i="2"/>
  <c r="Z10" i="2"/>
  <c r="H15" i="3" s="1"/>
  <c r="V10" i="2"/>
  <c r="G15" i="3" s="1"/>
  <c r="R10" i="2"/>
  <c r="F15" i="3" s="1"/>
  <c r="N10" i="2"/>
  <c r="E15" i="3" s="1"/>
  <c r="J10" i="2"/>
  <c r="D15" i="3" s="1"/>
  <c r="Z9" i="2"/>
  <c r="V9" i="2"/>
  <c r="R9" i="2"/>
  <c r="N9" i="2"/>
  <c r="J9" i="2"/>
  <c r="Z8" i="2"/>
  <c r="V8" i="2"/>
  <c r="R8" i="2"/>
  <c r="N8" i="2"/>
  <c r="J8" i="2"/>
  <c r="Y7" i="2"/>
  <c r="X7" i="2"/>
  <c r="W7" i="2"/>
  <c r="U7" i="2"/>
  <c r="T7" i="2"/>
  <c r="S7" i="2"/>
  <c r="Q7" i="2"/>
  <c r="P7" i="2"/>
  <c r="O7" i="2"/>
  <c r="M7" i="2"/>
  <c r="L7" i="2"/>
  <c r="K7" i="2"/>
  <c r="I7" i="2"/>
  <c r="H7" i="2"/>
  <c r="G7" i="2"/>
  <c r="E7" i="2"/>
  <c r="D7" i="2"/>
  <c r="C7" i="2"/>
  <c r="Z6" i="2"/>
  <c r="H11" i="3" s="1"/>
  <c r="V6" i="2"/>
  <c r="G11" i="3" s="1"/>
  <c r="R6" i="2"/>
  <c r="F11" i="3" s="1"/>
  <c r="N6" i="2"/>
  <c r="E11" i="3" s="1"/>
  <c r="J6" i="2"/>
  <c r="D11" i="3" s="1"/>
  <c r="Z5" i="2"/>
  <c r="V5" i="2"/>
  <c r="R5" i="2"/>
  <c r="N5" i="2"/>
  <c r="J5" i="2"/>
  <c r="D18" i="1"/>
  <c r="C18" i="1"/>
  <c r="D17" i="1"/>
  <c r="C17" i="1"/>
  <c r="D16" i="1"/>
  <c r="C16" i="1"/>
  <c r="K94" i="6"/>
  <c r="C5" i="1"/>
  <c r="E82" i="6" l="1"/>
  <c r="C8" i="1"/>
  <c r="K93" i="6"/>
  <c r="F92" i="6" s="1"/>
  <c r="E81" i="6"/>
  <c r="D10" i="3"/>
  <c r="J7" i="2"/>
  <c r="E10" i="3"/>
  <c r="N19" i="2"/>
  <c r="N7" i="2"/>
  <c r="F10" i="3"/>
  <c r="R19" i="2"/>
  <c r="R7" i="2"/>
  <c r="G10" i="3"/>
  <c r="V19" i="2"/>
  <c r="V7" i="2"/>
  <c r="H10" i="3"/>
  <c r="Z19" i="2"/>
  <c r="Z7" i="2"/>
  <c r="C20" i="2"/>
  <c r="C11" i="2"/>
  <c r="D20" i="2"/>
  <c r="D11" i="2"/>
  <c r="E20" i="2"/>
  <c r="E11" i="2"/>
  <c r="G20" i="2"/>
  <c r="G11" i="2"/>
  <c r="H20" i="2"/>
  <c r="H11" i="2"/>
  <c r="I20" i="2"/>
  <c r="I11" i="2"/>
  <c r="K20" i="2"/>
  <c r="K11" i="2"/>
  <c r="L20" i="2"/>
  <c r="L11" i="2"/>
  <c r="M20" i="2"/>
  <c r="M11" i="2"/>
  <c r="O20" i="2"/>
  <c r="O11" i="2"/>
  <c r="P20" i="2"/>
  <c r="P11" i="2"/>
  <c r="Q20" i="2"/>
  <c r="Q11" i="2"/>
  <c r="S20" i="2"/>
  <c r="S11" i="2"/>
  <c r="T20" i="2"/>
  <c r="T11" i="2"/>
  <c r="U20" i="2"/>
  <c r="U11" i="2"/>
  <c r="W20" i="2"/>
  <c r="W11" i="2"/>
  <c r="X20" i="2"/>
  <c r="X11" i="2"/>
  <c r="Y20" i="2"/>
  <c r="Y11" i="2"/>
  <c r="D13" i="3"/>
  <c r="D5" i="3" s="1"/>
  <c r="J21" i="2"/>
  <c r="E13" i="3"/>
  <c r="E5" i="3" s="1"/>
  <c r="N21" i="2"/>
  <c r="F13" i="3"/>
  <c r="F5" i="3" s="1"/>
  <c r="R21" i="2"/>
  <c r="G13" i="3"/>
  <c r="G5" i="3" s="1"/>
  <c r="V21" i="2"/>
  <c r="H13" i="3"/>
  <c r="H5" i="3" s="1"/>
  <c r="Z21" i="2"/>
  <c r="D14" i="3"/>
  <c r="J22" i="2"/>
  <c r="E14" i="3"/>
  <c r="N22" i="2"/>
  <c r="F14" i="3"/>
  <c r="R22" i="2"/>
  <c r="G14" i="3"/>
  <c r="V22" i="2"/>
  <c r="H14" i="3"/>
  <c r="Z22" i="2"/>
  <c r="D17" i="3"/>
  <c r="E17" i="3"/>
  <c r="F17" i="3"/>
  <c r="G17" i="3"/>
  <c r="H17" i="3"/>
  <c r="C13" i="6"/>
  <c r="C50" i="6" s="1"/>
  <c r="C52" i="6" s="1"/>
  <c r="C18" i="3"/>
  <c r="D36" i="5"/>
  <c r="E35" i="5" s="1"/>
  <c r="E36" i="5"/>
  <c r="F35" i="5" s="1"/>
  <c r="F36" i="5"/>
  <c r="G35" i="5" s="1"/>
  <c r="G36" i="5"/>
  <c r="H35" i="5" s="1"/>
  <c r="H36" i="5"/>
  <c r="C72" i="6"/>
  <c r="I48" i="6"/>
  <c r="J48" i="6" s="1"/>
  <c r="K48" i="6" s="1"/>
  <c r="L48" i="6" s="1"/>
  <c r="M48" i="6" s="1"/>
  <c r="F94" i="6"/>
  <c r="E75" i="6"/>
  <c r="C53" i="6"/>
  <c r="C16" i="6"/>
  <c r="C32" i="6"/>
  <c r="D54" i="6"/>
  <c r="D39" i="6"/>
  <c r="E54" i="6"/>
  <c r="E39" i="6"/>
  <c r="F54" i="6"/>
  <c r="F39" i="6"/>
  <c r="G54" i="6"/>
  <c r="G39" i="6"/>
  <c r="H54" i="6"/>
  <c r="H39" i="6"/>
  <c r="C33" i="6"/>
  <c r="D55" i="6"/>
  <c r="D40" i="6"/>
  <c r="E55" i="6"/>
  <c r="E40" i="6"/>
  <c r="F55" i="6"/>
  <c r="F40" i="6"/>
  <c r="G55" i="6"/>
  <c r="G40" i="6"/>
  <c r="H55" i="6"/>
  <c r="H40" i="6"/>
  <c r="C34" i="6"/>
  <c r="D56" i="6"/>
  <c r="D41" i="6"/>
  <c r="E56" i="6"/>
  <c r="E41" i="6"/>
  <c r="F56" i="6"/>
  <c r="F41" i="6"/>
  <c r="G56" i="6"/>
  <c r="G41" i="6"/>
  <c r="H56" i="6"/>
  <c r="H41" i="6"/>
  <c r="C35" i="6"/>
  <c r="D57" i="6"/>
  <c r="D42" i="6"/>
  <c r="E57" i="6"/>
  <c r="E42" i="6"/>
  <c r="F57" i="6"/>
  <c r="F42" i="6"/>
  <c r="G57" i="6"/>
  <c r="G42" i="6"/>
  <c r="H57" i="6"/>
  <c r="H42" i="6"/>
  <c r="C36" i="6"/>
  <c r="D58" i="6"/>
  <c r="D43" i="6"/>
  <c r="E58" i="6"/>
  <c r="E43" i="6"/>
  <c r="F58" i="6"/>
  <c r="F43" i="6"/>
  <c r="G58" i="6"/>
  <c r="G43" i="6"/>
  <c r="H58" i="6"/>
  <c r="H43" i="6"/>
  <c r="C59" i="6"/>
  <c r="C37" i="6"/>
  <c r="D59" i="6"/>
  <c r="D44" i="6"/>
  <c r="E59" i="6"/>
  <c r="E44" i="6"/>
  <c r="F59" i="6"/>
  <c r="F44" i="6"/>
  <c r="G59" i="6"/>
  <c r="G44" i="6"/>
  <c r="H59" i="6"/>
  <c r="H44" i="6"/>
  <c r="C60" i="6" l="1"/>
  <c r="H15" i="6"/>
  <c r="H6" i="3"/>
  <c r="G15" i="6"/>
  <c r="G6" i="3"/>
  <c r="F15" i="6"/>
  <c r="F6" i="3"/>
  <c r="E15" i="6"/>
  <c r="E6" i="3"/>
  <c r="D15" i="6"/>
  <c r="D6" i="3"/>
  <c r="Y23" i="2"/>
  <c r="Y13" i="2"/>
  <c r="X23" i="2"/>
  <c r="X13" i="2"/>
  <c r="W23" i="2"/>
  <c r="W13" i="2"/>
  <c r="U23" i="2"/>
  <c r="U13" i="2"/>
  <c r="T23" i="2"/>
  <c r="T13" i="2"/>
  <c r="S23" i="2"/>
  <c r="S13" i="2"/>
  <c r="Q23" i="2"/>
  <c r="Q13" i="2"/>
  <c r="P23" i="2"/>
  <c r="P13" i="2"/>
  <c r="O23" i="2"/>
  <c r="O13" i="2"/>
  <c r="M23" i="2"/>
  <c r="M13" i="2"/>
  <c r="L23" i="2"/>
  <c r="L13" i="2"/>
  <c r="K23" i="2"/>
  <c r="K13" i="2"/>
  <c r="I23" i="2"/>
  <c r="I13" i="2"/>
  <c r="H23" i="2"/>
  <c r="H13" i="2"/>
  <c r="G23" i="2"/>
  <c r="G13" i="2"/>
  <c r="E23" i="2"/>
  <c r="E13" i="2"/>
  <c r="D23" i="2"/>
  <c r="D13" i="2"/>
  <c r="C23" i="2"/>
  <c r="C13" i="2"/>
  <c r="Z20" i="2"/>
  <c r="Z11" i="2"/>
  <c r="H11" i="6"/>
  <c r="H12" i="3"/>
  <c r="H3" i="3"/>
  <c r="V20" i="2"/>
  <c r="V11" i="2"/>
  <c r="G11" i="6"/>
  <c r="G12" i="3"/>
  <c r="G3" i="3"/>
  <c r="R20" i="2"/>
  <c r="R11" i="2"/>
  <c r="F11" i="6"/>
  <c r="F12" i="3"/>
  <c r="F3" i="3"/>
  <c r="N20" i="2"/>
  <c r="N11" i="2"/>
  <c r="E11" i="6"/>
  <c r="E12" i="3"/>
  <c r="E3" i="3"/>
  <c r="J20" i="2"/>
  <c r="J11" i="2"/>
  <c r="D11" i="6"/>
  <c r="D12" i="3"/>
  <c r="D3" i="3"/>
  <c r="E83" i="6"/>
  <c r="E85" i="6" s="1"/>
  <c r="E86" i="6"/>
  <c r="D16" i="3" l="1"/>
  <c r="D4" i="3"/>
  <c r="D49" i="6"/>
  <c r="D32" i="6"/>
  <c r="D33" i="6"/>
  <c r="D34" i="6"/>
  <c r="D35" i="6"/>
  <c r="D36" i="6"/>
  <c r="D37" i="6"/>
  <c r="J13" i="2"/>
  <c r="J23" i="2"/>
  <c r="E16" i="3"/>
  <c r="E4" i="3"/>
  <c r="E49" i="6"/>
  <c r="E32" i="6"/>
  <c r="E33" i="6"/>
  <c r="E34" i="6"/>
  <c r="E35" i="6"/>
  <c r="E36" i="6"/>
  <c r="E37" i="6"/>
  <c r="N13" i="2"/>
  <c r="N23" i="2"/>
  <c r="F16" i="3"/>
  <c r="F4" i="3"/>
  <c r="F49" i="6"/>
  <c r="F32" i="6"/>
  <c r="F33" i="6"/>
  <c r="F34" i="6"/>
  <c r="F35" i="6"/>
  <c r="F36" i="6"/>
  <c r="F37" i="6"/>
  <c r="R13" i="2"/>
  <c r="R23" i="2"/>
  <c r="G16" i="3"/>
  <c r="G4" i="3"/>
  <c r="G49" i="6"/>
  <c r="G32" i="6"/>
  <c r="G33" i="6"/>
  <c r="G34" i="6"/>
  <c r="G35" i="6"/>
  <c r="G36" i="6"/>
  <c r="G37" i="6"/>
  <c r="V13" i="2"/>
  <c r="V23" i="2"/>
  <c r="H16" i="3"/>
  <c r="H4" i="3"/>
  <c r="H49" i="6"/>
  <c r="H32" i="6"/>
  <c r="H33" i="6"/>
  <c r="H34" i="6"/>
  <c r="H35" i="6"/>
  <c r="H36" i="6"/>
  <c r="H37" i="6"/>
  <c r="Z13" i="2"/>
  <c r="Z23" i="2"/>
  <c r="D53" i="6"/>
  <c r="D16" i="6"/>
  <c r="E53" i="6"/>
  <c r="E16" i="6"/>
  <c r="F53" i="6"/>
  <c r="F16" i="6"/>
  <c r="G53" i="6"/>
  <c r="G16" i="6"/>
  <c r="H53" i="6"/>
  <c r="H16" i="6"/>
  <c r="O16" i="6" l="1"/>
  <c r="N16" i="6"/>
  <c r="H13" i="6"/>
  <c r="H50" i="6" s="1"/>
  <c r="H18" i="3"/>
  <c r="H7" i="3"/>
  <c r="H51" i="6" s="1"/>
  <c r="E77" i="6" s="1"/>
  <c r="E78" i="6" s="1"/>
  <c r="E88" i="6" s="1"/>
  <c r="G13" i="6"/>
  <c r="G50" i="6" s="1"/>
  <c r="G18" i="3"/>
  <c r="G7" i="3"/>
  <c r="G51" i="6" s="1"/>
  <c r="F13" i="6"/>
  <c r="F50" i="6" s="1"/>
  <c r="F18" i="3"/>
  <c r="F7" i="3"/>
  <c r="F51" i="6" s="1"/>
  <c r="E13" i="6"/>
  <c r="E50" i="6" s="1"/>
  <c r="E18" i="3"/>
  <c r="E7" i="3"/>
  <c r="E51" i="6" s="1"/>
  <c r="N37" i="6"/>
  <c r="N36" i="6"/>
  <c r="N35" i="6"/>
  <c r="N34" i="6"/>
  <c r="N33" i="6"/>
  <c r="N32" i="6"/>
  <c r="D13" i="6"/>
  <c r="D50" i="6" s="1"/>
  <c r="D18" i="3"/>
  <c r="D7" i="3"/>
  <c r="D51" i="6" s="1"/>
  <c r="D52" i="6" l="1"/>
  <c r="D60" i="6" s="1"/>
  <c r="M32" i="6"/>
  <c r="M21" i="6" s="1"/>
  <c r="L32" i="6"/>
  <c r="L21" i="6" s="1"/>
  <c r="K32" i="6"/>
  <c r="K21" i="6" s="1"/>
  <c r="J32" i="6"/>
  <c r="J21" i="6" s="1"/>
  <c r="I32" i="6"/>
  <c r="I21" i="6" s="1"/>
  <c r="I54" i="6" s="1"/>
  <c r="M33" i="6"/>
  <c r="M22" i="6" s="1"/>
  <c r="L33" i="6"/>
  <c r="L22" i="6" s="1"/>
  <c r="K33" i="6"/>
  <c r="K22" i="6" s="1"/>
  <c r="J33" i="6"/>
  <c r="J22" i="6" s="1"/>
  <c r="I33" i="6"/>
  <c r="I22" i="6" s="1"/>
  <c r="I55" i="6" s="1"/>
  <c r="M34" i="6"/>
  <c r="M23" i="6" s="1"/>
  <c r="L34" i="6"/>
  <c r="L23" i="6" s="1"/>
  <c r="K34" i="6"/>
  <c r="K23" i="6" s="1"/>
  <c r="J34" i="6"/>
  <c r="J23" i="6" s="1"/>
  <c r="I34" i="6"/>
  <c r="I23" i="6" s="1"/>
  <c r="I56" i="6" s="1"/>
  <c r="M35" i="6"/>
  <c r="M25" i="6" s="1"/>
  <c r="L35" i="6"/>
  <c r="L25" i="6" s="1"/>
  <c r="K35" i="6"/>
  <c r="K25" i="6" s="1"/>
  <c r="J35" i="6"/>
  <c r="J25" i="6" s="1"/>
  <c r="I35" i="6"/>
  <c r="I25" i="6" s="1"/>
  <c r="I57" i="6" s="1"/>
  <c r="M36" i="6"/>
  <c r="M26" i="6" s="1"/>
  <c r="L36" i="6"/>
  <c r="L26" i="6" s="1"/>
  <c r="K36" i="6"/>
  <c r="K26" i="6" s="1"/>
  <c r="J36" i="6"/>
  <c r="J26" i="6" s="1"/>
  <c r="I36" i="6"/>
  <c r="I26" i="6" s="1"/>
  <c r="I58" i="6" s="1"/>
  <c r="M37" i="6"/>
  <c r="M30" i="6" s="1"/>
  <c r="M59" i="6" s="1"/>
  <c r="L37" i="6"/>
  <c r="L30" i="6" s="1"/>
  <c r="L59" i="6" s="1"/>
  <c r="K37" i="6"/>
  <c r="K30" i="6" s="1"/>
  <c r="K59" i="6" s="1"/>
  <c r="J37" i="6"/>
  <c r="J30" i="6" s="1"/>
  <c r="J59" i="6" s="1"/>
  <c r="I37" i="6"/>
  <c r="I30" i="6" s="1"/>
  <c r="I59" i="6" s="1"/>
  <c r="E52" i="6"/>
  <c r="E60" i="6" s="1"/>
  <c r="F52" i="6"/>
  <c r="F60" i="6" s="1"/>
  <c r="G52" i="6"/>
  <c r="G60" i="6" s="1"/>
  <c r="C68" i="6"/>
  <c r="M61" i="6"/>
  <c r="L61" i="6"/>
  <c r="K61" i="6"/>
  <c r="J61" i="6"/>
  <c r="I61" i="6"/>
  <c r="H52" i="6"/>
  <c r="H60" i="6" s="1"/>
  <c r="J58" i="6" l="1"/>
  <c r="K58" i="6"/>
  <c r="L58" i="6"/>
  <c r="M58" i="6"/>
  <c r="J57" i="6"/>
  <c r="K57" i="6"/>
  <c r="L57" i="6"/>
  <c r="M57" i="6"/>
  <c r="J56" i="6"/>
  <c r="K56" i="6"/>
  <c r="L56" i="6"/>
  <c r="M56" i="6"/>
  <c r="J55" i="6"/>
  <c r="K55" i="6"/>
  <c r="L55" i="6"/>
  <c r="M55" i="6"/>
  <c r="I60" i="6"/>
  <c r="I62" i="6" s="1"/>
  <c r="J54" i="6"/>
  <c r="J60" i="6" s="1"/>
  <c r="J62" i="6" s="1"/>
  <c r="K54" i="6"/>
  <c r="K60" i="6" s="1"/>
  <c r="K62" i="6" s="1"/>
  <c r="L54" i="6"/>
  <c r="L60" i="6" s="1"/>
  <c r="L62" i="6" s="1"/>
  <c r="M54" i="6"/>
  <c r="M60" i="6" s="1"/>
  <c r="C69" i="6" l="1"/>
  <c r="C70" i="6" s="1"/>
  <c r="C71" i="6" s="1"/>
  <c r="M62" i="6"/>
  <c r="I63" i="6"/>
  <c r="F91" i="6" l="1"/>
  <c r="F93" i="6" s="1"/>
  <c r="F95" i="6" s="1"/>
  <c r="F96" i="6" s="1"/>
</calcChain>
</file>

<file path=xl/sharedStrings.xml><?xml version="1.0" encoding="utf-8"?>
<sst xmlns="http://schemas.openxmlformats.org/spreadsheetml/2006/main" count="358" uniqueCount="235">
  <si>
    <t>CASY</t>
  </si>
  <si>
    <t>Price</t>
  </si>
  <si>
    <t>Diluted Shares Outstanding (millions)</t>
  </si>
  <si>
    <t>Market Cap</t>
  </si>
  <si>
    <t>Cash</t>
  </si>
  <si>
    <t>Debt</t>
  </si>
  <si>
    <t>EV</t>
  </si>
  <si>
    <t xml:space="preserve">CEO: </t>
  </si>
  <si>
    <t xml:space="preserve">CFO: </t>
  </si>
  <si>
    <t xml:space="preserve">Founder/exec chairman: </t>
  </si>
  <si>
    <t>Revenue Categories</t>
  </si>
  <si>
    <t>Category</t>
  </si>
  <si>
    <t>FY2026 Margin %</t>
  </si>
  <si>
    <t>Fuel</t>
  </si>
  <si>
    <t>Grocery &amp; General Merchandise</t>
  </si>
  <si>
    <t>Prepared Food &amp; Beverage</t>
  </si>
  <si>
    <t>Casey's General Stores, Inc. (CASY)</t>
  </si>
  <si>
    <t>Historic Quarterly Income Statement</t>
  </si>
  <si>
    <t>Q1'21</t>
  </si>
  <si>
    <t>Q2'21</t>
  </si>
  <si>
    <t>Q3'21</t>
  </si>
  <si>
    <t>Q4'21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</si>
  <si>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</si>
  <si>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</si>
  <si>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</si>
  <si>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</si>
  <si>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</si>
  <si>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</si>
  <si>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</si>
  <si>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</si>
  <si>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</si>
  <si>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</si>
  <si>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</si>
  <si>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</si>
  <si>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</si>
  <si>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</si>
  <si>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</si>
  <si>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</si>
  <si>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</si>
  <si>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Q2'26</t>
  </si>
  <si>
    <t>Q3'26</t>
  </si>
  <si>
    <t>Q4'26</t>
  </si>
  <si>
    <t>Total Revenue</t>
  </si>
  <si>
    <t>Cost of goods sold</t>
  </si>
  <si>
    <t>Gross Margin</t>
  </si>
  <si>
    <t>Operating expenses</t>
  </si>
  <si>
    <t>Depreciation and amortization</t>
  </si>
  <si>
    <t>Interest, net</t>
  </si>
  <si>
    <t>Income before income taxes</t>
  </si>
  <si>
    <t>Federal and state income taxes</t>
  </si>
  <si>
    <t>Net income</t>
  </si>
  <si>
    <t>Diluted EPS</t>
  </si>
  <si>
    <t>Diluted weighted average shares outstanding (millions)</t>
  </si>
  <si>
    <t>Historic Drivers</t>
  </si>
  <si>
    <t>Revenue Growth Rate (YoY)</t>
  </si>
  <si>
    <t>Gross Margin %</t>
  </si>
  <si>
    <t>Operating Expenses % of Revenue</t>
  </si>
  <si>
    <t>D&amp;A % of Revenue</t>
  </si>
  <si>
    <t>Effective Tax Rate</t>
  </si>
  <si>
    <t>IS Assumptions (historical, computed)</t>
  </si>
  <si>
    <t>Revenue Growth Rate</t>
  </si>
  <si>
    <t>Operating Expenses %</t>
  </si>
  <si>
    <t>D&amp;A %</t>
  </si>
  <si>
    <t>Annual Income Statement ($000s)</t>
  </si>
  <si>
    <t>FY'21</t>
  </si>
  <si>
    <t>FY'22</t>
  </si>
  <si>
    <t>FY'23</t>
  </si>
  <si>
    <t>FY'24</t>
  </si>
  <si>
    <t>FY'25</t>
  </si>
  <si>
    <t>FY'26</t>
  </si>
  <si>
    <t>Balance Sheet ($000s)</t>
  </si>
  <si>
    <t>Cash and cash equivalents</t>
  </si>
  <si>
    <t>Receivables</t>
  </si>
  <si>
    <t>Inventories</t>
  </si>
  <si>
    <t>Prepaid expenses and other current assets</t>
  </si>
  <si>
    <t>Income taxes receivable</t>
  </si>
  <si>
    <t>Total current assets</t>
  </si>
  <si>
    <t>Land</t>
  </si>
  <si>
    <t>Buildings and leasehold improvements</t>
  </si>
  <si>
    <t>Machinery and equipment</t>
  </si>
  <si>
    <t>Finance lease right-of-use assets</t>
  </si>
  <si>
    <t>Construction in process</t>
  </si>
  <si>
    <t>Property and equipment, at cost</t>
  </si>
  <si>
    <t>Less accumulated depreciation and amortization</t>
  </si>
  <si>
    <t>Net property and equipment</t>
  </si>
  <si>
    <t>Other assets, net</t>
  </si>
  <si>
    <t>Operating lease right-of-use assets, net</t>
  </si>
  <si>
    <t>Goodwill</t>
  </si>
  <si>
    <t>Total assets</t>
  </si>
  <si>
    <t>Current maturities of long-term debt and finance lease obligations</t>
  </si>
  <si>
    <t>Accounts payable</t>
  </si>
  <si>
    <t>Wages and related taxes</t>
  </si>
  <si>
    <t>Property taxes</t>
  </si>
  <si>
    <t>Insurance accruals (current)</t>
  </si>
  <si>
    <t>Operating lease liabilities, current</t>
  </si>
  <si>
    <t>Other accrued expenses</t>
  </si>
  <si>
    <t>Total current liabilities</t>
  </si>
  <si>
    <t>Long-term debt and finance lease obligations, net of current</t>
  </si>
  <si>
    <t>Deferred income taxes</t>
  </si>
  <si>
    <t>Deferred compensation</t>
  </si>
  <si>
    <t>Operating lease liabilities, non-current</t>
  </si>
  <si>
    <t>Insurance accruals, net of current portion</t>
  </si>
  <si>
    <t>Other long-term liabilities</t>
  </si>
  <si>
    <t>Total liabilities</t>
  </si>
  <si>
    <t>Common stock</t>
  </si>
  <si>
    <t>Retained earnings</t>
  </si>
  <si>
    <t>Total shareholders’ equity</t>
  </si>
  <si>
    <t>Total liabilities and shareholders’ equity</t>
  </si>
  <si>
    <t>Check (Assets less Liab. &amp; Equity)</t>
  </si>
  <si>
    <t>Source: FY2021 and FY2022 figures from the FY2022 10-K (current + comparative column); FY2023-FY2026 each from that year’s 10-K. Blank cells indicate the line item was not separately disclosed that year (e.g., operating lease ROU assets/liabilities only broken out starting FY2025; deferred compensation only shown FY2021-FY2022).</t>
  </si>
  <si>
    <t>Cash Flow Statement ($000s)</t>
  </si>
  <si>
    <t>Amortization of debt (issuance) related costs</t>
  </si>
  <si>
    <t>Change in excess replacement cost over LIFO inventory valuation</t>
  </si>
  <si>
    <t>Share-based compensation</t>
  </si>
  <si>
    <t>Loss (gain) on disposal of assets and impairment charges</t>
  </si>
  <si>
    <t>Prepaid expenses</t>
  </si>
  <si>
    <t>Accrued expenses</t>
  </si>
  <si>
    <t>Income taxes</t>
  </si>
  <si>
    <t>Other, net</t>
  </si>
  <si>
    <t>Net cash provided by operating activities</t>
  </si>
  <si>
    <t>Purchase of property and equipment</t>
  </si>
  <si>
    <t>Payments for acquisitions of businesses, net of cash acquired</t>
  </si>
  <si>
    <t>Proceeds from sales of property and equipment</t>
  </si>
  <si>
    <t>Net cash used in investing activities</t>
  </si>
  <si>
    <t>Proceeds from long-term debt</t>
  </si>
  <si>
    <t>Repayments of long-term debt and finance lease obligations</t>
  </si>
  <si>
    <t>Net (payments) borrowings of short-term debt</t>
  </si>
  <si>
    <t>Payment of debt issuance/related costs</t>
  </si>
  <si>
    <t>Proceeds from exercise of stock options</t>
  </si>
  <si>
    <t>Payments of cash dividends</t>
  </si>
  <si>
    <t>Tax withholdings on employee share-based awards</t>
  </si>
  <si>
    <t>Repurchase of common stock</t>
  </si>
  <si>
    <t>Net cash provided by (used in) financing activities</t>
  </si>
  <si>
    <t>Net increase (decrease) in cash and cash equivalents</t>
  </si>
  <si>
    <t>Cash and cash equivalents at beginning of year</t>
  </si>
  <si>
    <t>Cash and cash equivalents at end of year</t>
  </si>
  <si>
    <t>Source: FY2021-FY2022 from FY2022 10-K; FY2023 from FY2023 10-K; FY2024 from FY2024 10-K; FY2025 from FY2025 10-K; FY2026 from FY2026 10-K. Blank cells = line item not disclosed that year (e.g. share repurchases only began FY2024; the LIFO inventory valuation line was first broken out separately in the FY2024 10-K, so FY2021-FY2023 as originally filed do not show it — those years bundle it into other adjustment lines).</t>
  </si>
  <si>
    <t>Valuation Date:</t>
  </si>
  <si>
    <t>Share Price on Valuation Date:</t>
  </si>
  <si>
    <t>Diluted Shares Outstanding</t>
  </si>
  <si>
    <t>Stub Period to FY Year-End (yrs) [Casey's FYE = 4/30]</t>
  </si>
  <si>
    <t>Select Operating Data</t>
  </si>
  <si>
    <t>FY'27</t>
  </si>
  <si>
    <t>FY'28</t>
  </si>
  <si>
    <t>FY'29</t>
  </si>
  <si>
    <t>FY'30</t>
  </si>
  <si>
    <t>FY'31</t>
  </si>
  <si>
    <t>Revenue</t>
  </si>
  <si>
    <t>EBIT</t>
  </si>
  <si>
    <t>Depreciation &amp; Amortization</t>
  </si>
  <si>
    <t>Arithmetic Avg</t>
  </si>
  <si>
    <t>Geometric Avg</t>
  </si>
  <si>
    <t>% of revenue</t>
  </si>
  <si>
    <t>Select Balance Sheet And Other Data</t>
  </si>
  <si>
    <t>Accounts Receivable</t>
  </si>
  <si>
    <t>Prepaid Expenses</t>
  </si>
  <si>
    <t>Accounts Payable</t>
  </si>
  <si>
    <t>Accrued Expenses (wages+property tax+insurance+other)</t>
  </si>
  <si>
    <t>Debt (current + long-term)</t>
  </si>
  <si>
    <t>Capital Expenditures</t>
  </si>
  <si>
    <t>Accounts Receivable as a % of revenue</t>
  </si>
  <si>
    <t>Geometric Avg →</t>
  </si>
  <si>
    <t>Inventories as a % of revenue</t>
  </si>
  <si>
    <t>Prepaid Expenses as a % of revenue</t>
  </si>
  <si>
    <t>Accounts Payable as a % of revenue</t>
  </si>
  <si>
    <t>Accrued Expenses as a % of revenue</t>
  </si>
  <si>
    <t>Capital Expenditures as a % of revenue</t>
  </si>
  <si>
    <t>Accounts Receivable Growth (%)</t>
  </si>
  <si>
    <t>Inventories Growth (%)</t>
  </si>
  <si>
    <t>Prepaid Expenses Growth (%)</t>
  </si>
  <si>
    <t>Accounts Payable Growth (%)</t>
  </si>
  <si>
    <t>Accrued Expenses Growth (%)</t>
  </si>
  <si>
    <t>Capital Expenditures Growth (%)</t>
  </si>
  <si>
    <t>Free Cash Flow Buildup</t>
  </si>
  <si>
    <t>Projected Annual Forecast</t>
  </si>
  <si>
    <t>$000s</t>
  </si>
  <si>
    <t>Period</t>
  </si>
  <si>
    <t>Total Revenues</t>
  </si>
  <si>
    <t>EBIAT = EBIT(1-T) = NOPAT</t>
  </si>
  <si>
    <t>Chg in Accounts Receivable</t>
  </si>
  <si>
    <t>Chg in Inventories</t>
  </si>
  <si>
    <t>Chg in Prepaid Expenses</t>
  </si>
  <si>
    <t>Chg in Accounts Payable</t>
  </si>
  <si>
    <t>Chg in Accrued Expenses</t>
  </si>
  <si>
    <t>Unlevered Free Cash Flows</t>
  </si>
  <si>
    <t>Discount Rate (WACC)</t>
  </si>
  <si>
    <t>Present Value of Free Cash Flows</t>
  </si>
  <si>
    <t>Sum of Present Values of FCFs</t>
  </si>
  <si>
    <t>Terminal Value</t>
  </si>
  <si>
    <t>Growth in perpetuity method:</t>
  </si>
  <si>
    <t>Long term growth rate</t>
  </si>
  <si>
    <t>WACC</t>
  </si>
  <si>
    <t>Free cash flow (t+1)</t>
  </si>
  <si>
    <t>Present Value of Terminal Value</t>
  </si>
  <si>
    <t>Terminal Value Discount Period (yrs, year-end)</t>
  </si>
  <si>
    <t>Share Price</t>
  </si>
  <si>
    <t>Cost of Debt</t>
  </si>
  <si>
    <t>ERP</t>
  </si>
  <si>
    <t>[source: enter ERP source, e.g. Damodaran]</t>
  </si>
  <si>
    <t>Tax Rate</t>
  </si>
  <si>
    <t>RFR</t>
  </si>
  <si>
    <t>[source: e.g. 10yr treasury yield as of valuation date]</t>
  </si>
  <si>
    <t>After-tax Cost of Debt</t>
  </si>
  <si>
    <t>Beta</t>
  </si>
  <si>
    <t>[source: e.g. 5yr weekly adjusted Bloomberg]</t>
  </si>
  <si>
    <t>Cost of Equity</t>
  </si>
  <si>
    <t>CAPM =</t>
  </si>
  <si>
    <t>Total Debt ($)</t>
  </si>
  <si>
    <t>CAPM = risk-free rate + beta × equity risk premium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</si>
  <si>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</si>
  <si>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</si>
  <si>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</si>
  <si>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</si>
  <si>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</si>
  <si>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</si>
  <si>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</si>
  <si>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</si>
  <si>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ST and LT debt minus cash</t>
  </si>
  <si>
    <t>Equity Value</t>
  </si>
  <si>
    <t>Equity Value Per Share</t>
  </si>
  <si>
    <t>Upside</t>
  </si>
  <si>
    <t>Note: Every yellow cell (share price, long-term growth rate, cost of debt, ERP, RFR, Beta, and all projected-year Revenue/EBIT/D&amp;A inputs) is left blank intentionally — these are valuation assumptions for you to set, not figures this build should assume.</t>
  </si>
  <si>
    <t>Description</t>
  </si>
  <si>
    <t>Retail motor fuel sold at Casey’s convenience stores.</t>
  </si>
  <si>
    <t>Reporting basis</t>
  </si>
  <si>
    <t>Revenue category within Casey’s single reportable segment (not a separate GAAP operating segment)</t>
  </si>
  <si>
    <t>Revenue and Margin ($000s)</t>
  </si>
  <si>
    <t>Revenue less COGS (excl. D&amp;A)</t>
  </si>
  <si>
    <t>Margin %</t>
  </si>
  <si>
    <t>Note: figures per Casey’s MD&amp;A "Revenue and Revenue less Cost of Goods Sold by Category" table in each 10-K. Casey’s reports as a single operating segment; these are revenue categories, not GAAP segments.</t>
  </si>
  <si>
    <t>Packaged grocery, tobacco/nicotine, beverages, and general merchandise sold in-store.</t>
  </si>
  <si>
    <t>Prepared Food &amp; Dispensed Beverage</t>
  </si>
  <si>
    <t>Made-to-order and prepared food (pizza, sandwiches, bakery) and dispensed/fountain beverages.</t>
  </si>
  <si>
    <t>Statements as of FY2026 10-K (period ended 4/30/26)</t>
  </si>
  <si>
    <t xml:space="preserve">FY2026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</si>
</sst>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(\$* #,##0.00_);_(\$* \(#,##0.00\);_(\$* \-??_);_(@_)"/>
    <numFmt numFmtId="166" formatCode="_(\$* #,##0_);_(\$* \(#,##0\);_(\$* \-??_);_(@_)"/>
    <numFmt numFmtId="167" formatCode="0.0%"/>
    <numFmt numFmtId="168" formatCode="mm/dd/yy"/>
  </numFmts>
  <fonts count="20" x14ac:knownFonts="1">
    <font>
      <sz val="12"/>
      <color theme="1"/>
      <name val="Aptos Narrow"/>
      <family val="2"/>
      <charset val="1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12"/>
      <color rgb="FF0000FF"/>
      <name val="Aptos Narrow"/>
      <family val="2"/>
    </font>
    <font>
      <sz val="9"/>
      <color rgb="FF808080"/>
      <name val="Aptos Narrow"/>
      <family val="2"/>
    </font>
    <font>
      <b/>
      <sz val="18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FF"/>
      <name val="Aptos Narrow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sz val="10"/>
      <color rgb="FF0000FF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Aptos Narrow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  <charset val="1"/>
    </font>
    <font>
      <sz val="11"/>
      <color theme="0" tint="-0.34998626667073579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164" fontId="3" fillId="0" borderId="0" xfId="0" applyNumberFormat="1" applyFont="1" applyAlignment="1"/>
    <xf numFmtId="165" fontId="2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166" fontId="8" fillId="0" borderId="0" xfId="0" applyNumberFormat="1" applyFont="1" applyAlignment="1"/>
    <xf numFmtId="166" fontId="7" fillId="0" borderId="0" xfId="0" applyNumberFormat="1" applyFont="1" applyAlignment="1"/>
    <xf numFmtId="165" fontId="8" fillId="0" borderId="0" xfId="0" applyNumberFormat="1" applyFont="1" applyAlignment="1"/>
    <xf numFmtId="164" fontId="8" fillId="0" borderId="0" xfId="0" applyNumberFormat="1" applyFont="1" applyAlignment="1"/>
    <xf numFmtId="167" fontId="7" fillId="0" borderId="0" xfId="0" applyNumberFormat="1" applyFont="1" applyAlignment="1"/>
    <xf numFmtId="166" fontId="6" fillId="0" borderId="0" xfId="0" applyNumberFormat="1" applyFont="1" applyAlignment="1"/>
    <xf numFmtId="0" fontId="6" fillId="0" borderId="0" xfId="0" applyFont="1"/>
    <xf numFmtId="0" fontId="7" fillId="0" borderId="0" xfId="0" applyFont="1"/>
    <xf numFmtId="166" fontId="8" fillId="0" borderId="0" xfId="0" applyNumberFormat="1" applyFont="1"/>
    <xf numFmtId="166" fontId="6" fillId="0" borderId="0" xfId="0" applyNumberFormat="1" applyFont="1"/>
    <xf numFmtId="166" fontId="7" fillId="0" borderId="0" xfId="0" applyNumberFormat="1" applyFont="1"/>
    <xf numFmtId="0" fontId="4" fillId="0" borderId="0" xfId="0" applyFont="1"/>
    <xf numFmtId="168" fontId="9" fillId="0" borderId="0" xfId="0" applyNumberFormat="1" applyFont="1" applyAlignment="1"/>
    <xf numFmtId="0" fontId="9" fillId="2" borderId="0" xfId="0" applyFont="1" applyFill="1" applyAlignment="1"/>
    <xf numFmtId="164" fontId="10" fillId="0" borderId="0" xfId="0" applyNumberFormat="1" applyFont="1" applyAlignment="1"/>
    <xf numFmtId="0" fontId="9" fillId="0" borderId="0" xfId="0" applyFont="1" applyAlignment="1"/>
    <xf numFmtId="166" fontId="10" fillId="0" borderId="0" xfId="0" applyNumberFormat="1" applyFont="1" applyAlignment="1"/>
    <xf numFmtId="167" fontId="9" fillId="0" borderId="0" xfId="0" applyNumberFormat="1" applyFont="1" applyAlignment="1"/>
    <xf numFmtId="166" fontId="9" fillId="0" borderId="0" xfId="0" applyNumberFormat="1" applyFont="1" applyAlignment="1"/>
    <xf numFmtId="167" fontId="10" fillId="0" borderId="0" xfId="0" applyNumberFormat="1" applyFont="1" applyAlignment="1"/>
    <xf numFmtId="166" fontId="11" fillId="0" borderId="0" xfId="0" applyNumberFormat="1" applyFont="1" applyAlignment="1"/>
    <xf numFmtId="166" fontId="12" fillId="0" borderId="0" xfId="0" applyNumberFormat="1" applyFont="1" applyAlignment="1"/>
    <xf numFmtId="164" fontId="9" fillId="0" borderId="0" xfId="0" applyNumberFormat="1" applyFont="1" applyAlignment="1"/>
    <xf numFmtId="167" fontId="12" fillId="0" borderId="0" xfId="0" applyNumberFormat="1" applyFont="1" applyAlignment="1"/>
    <xf numFmtId="165" fontId="9" fillId="0" borderId="0" xfId="0" applyNumberFormat="1" applyFont="1" applyAlignment="1"/>
    <xf numFmtId="0" fontId="13" fillId="0" borderId="0" xfId="0" applyFont="1" applyAlignment="1"/>
    <xf numFmtId="0" fontId="8" fillId="0" borderId="0" xfId="0" applyFont="1" applyAlignment="1"/>
    <xf numFmtId="165" fontId="14" fillId="0" borderId="0" xfId="0" applyNumberFormat="1" applyFont="1" applyAlignment="1"/>
    <xf numFmtId="166" fontId="14" fillId="0" borderId="0" xfId="0" applyNumberFormat="1" applyFont="1" applyAlignment="1"/>
    <xf numFmtId="167" fontId="14" fillId="0" borderId="0" xfId="0" applyNumberFormat="1" applyFont="1" applyAlignment="1"/>
    <xf numFmtId="0" fontId="0" fillId="3" borderId="0" xfId="0" applyFill="1"/>
    <xf numFmtId="167" fontId="16" fillId="3" borderId="0" xfId="0" applyNumberFormat="1" applyFont="1" applyFill="1" applyAlignment="1"/>
    <xf numFmtId="166" fontId="18" fillId="0" borderId="0" xfId="0" applyNumberFormat="1" applyFont="1" applyAlignment="1"/>
    <xf numFmtId="165" fontId="17" fillId="0" borderId="0" xfId="0" applyNumberFormat="1" applyFont="1" applyAlignment="1"/>
    <xf numFmtId="10" fontId="8" fillId="0" borderId="0" xfId="1" applyNumberFormat="1" applyFont="1" applyAlignment="1"/>
    <xf numFmtId="10" fontId="3" fillId="0" borderId="0" xfId="0" applyNumberFormat="1" applyFont="1" applyAlignment="1"/>
    <xf numFmtId="167" fontId="3" fillId="0" borderId="0" xfId="0" applyNumberFormat="1" applyFont="1" applyAlignment="1"/>
    <xf numFmtId="167" fontId="8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zoomScale="110" zoomScaleNormal="110" workbookViewId="0">
      <selection activeCell="F20" sqref="F20"/>
    </sheetView>
  </sheetViews>
  <sheetFormatPr defaultColWidth="11" defaultRowHeight="15.75" x14ac:dyDescent="0.25"/>
  <cols>
    <col min="1" max="1" width="1.875" style="1" customWidth="1"/>
    <col min="2" max="2" width="32" style="1" customWidth="1"/>
    <col min="3" max="3" width="20" style="1" customWidth="1"/>
    <col min="4" max="4" width="16" style="1" customWidth="1"/>
    <col min="5" max="7" width="12.625" style="1" customWidth="1"/>
    <col min="8" max="10" width="13.375" style="1" customWidth="1"/>
  </cols>
  <sheetData>
    <row r="1" spans="2:4" ht="9" customHeight="1" x14ac:dyDescent="0.25"/>
    <row r="2" spans="2:4" ht="15.75" customHeight="1" x14ac:dyDescent="0.25">
      <c r="B2" s="2" t="s">
        <v>0</v>
      </c>
      <c r="C2" s="3" t="s">
        <v>233</v>
      </c>
    </row>
    <row r="3" spans="2:4" ht="15.75" customHeight="1" x14ac:dyDescent="0.25">
      <c r="B3" s="3" t="s">
        <v>1</v>
      </c>
      <c r="C3" s="4">
        <v>824</v>
      </c>
    </row>
    <row r="4" spans="2:4" ht="15.75" customHeight="1" x14ac:dyDescent="0.25">
      <c r="B4" s="3" t="s">
        <v>2</v>
      </c>
      <c r="C4" s="5">
        <v>37.241036999999999</v>
      </c>
    </row>
    <row r="5" spans="2:4" ht="15.75" customHeight="1" x14ac:dyDescent="0.25">
      <c r="B5" s="3" t="s">
        <v>3</v>
      </c>
      <c r="C5" s="6">
        <f>C3*C4</f>
        <v>30686.614487999999</v>
      </c>
    </row>
    <row r="6" spans="2:4" ht="15.75" customHeight="1" x14ac:dyDescent="0.25">
      <c r="B6" s="3" t="s">
        <v>4</v>
      </c>
      <c r="C6" s="38">
        <f>BS!H3/1000</f>
        <v>522.99099999999999</v>
      </c>
    </row>
    <row r="7" spans="2:4" ht="15.75" customHeight="1" x14ac:dyDescent="0.25">
      <c r="B7" s="3" t="s">
        <v>5</v>
      </c>
      <c r="C7" s="38">
        <f>(BS!H22+BS!H30)/1000</f>
        <v>2431.5940000000001</v>
      </c>
    </row>
    <row r="8" spans="2:4" ht="15.75" customHeight="1" x14ac:dyDescent="0.25">
      <c r="B8" s="3" t="s">
        <v>6</v>
      </c>
      <c r="C8" s="6">
        <f>C5+C7-C6</f>
        <v>32595.217487999995</v>
      </c>
    </row>
    <row r="9" spans="2:4" ht="15.75" customHeight="1" x14ac:dyDescent="0.25"/>
    <row r="10" spans="2:4" ht="15.75" customHeight="1" x14ac:dyDescent="0.25">
      <c r="B10" s="3" t="s">
        <v>7</v>
      </c>
    </row>
    <row r="11" spans="2:4" ht="15.75" customHeight="1" x14ac:dyDescent="0.25">
      <c r="B11" s="3" t="s">
        <v>8</v>
      </c>
    </row>
    <row r="12" spans="2:4" ht="15.75" customHeight="1" x14ac:dyDescent="0.25">
      <c r="B12" s="3" t="s">
        <v>9</v>
      </c>
    </row>
    <row r="13" spans="2:4" ht="15.75" customHeight="1" x14ac:dyDescent="0.25"/>
    <row r="14" spans="2:4" ht="15.75" customHeight="1" x14ac:dyDescent="0.25">
      <c r="B14" s="2" t="s">
        <v>10</v>
      </c>
    </row>
    <row r="15" spans="2:4" ht="15.75" customHeight="1" x14ac:dyDescent="0.25">
      <c r="B15" s="3" t="s">
        <v>11</v>
      </c>
      <c r="C15" s="2" t="s">
        <v>234</v>
      </c>
      <c r="D15" s="2" t="s">
        <v>12</v>
      </c>
    </row>
    <row r="16" spans="2:4" ht="15.75" customHeight="1" x14ac:dyDescent="0.25">
      <c r="B16" s="3" t="s">
        <v>13</v>
      </c>
      <c r="C16" s="39">
        <f>Fuel!H8</f>
        <v>10615407</v>
      </c>
      <c r="D16" s="40">
        <f>Fuel!H10</f>
        <v>0.14098291285487216</v>
      </c>
    </row>
    <row r="17" spans="2:4" ht="15.75" customHeight="1" x14ac:dyDescent="0.25">
      <c r="B17" s="3" t="s">
        <v>14</v>
      </c>
      <c r="C17" s="39">
        <f>'Grocery &amp; General Merchandise'!H8</f>
        <v>4563614</v>
      </c>
      <c r="D17" s="40">
        <f>'Grocery &amp; General Merchandise'!H10</f>
        <v>0.35835743338503212</v>
      </c>
    </row>
    <row r="18" spans="2:4" ht="15.75" customHeight="1" x14ac:dyDescent="0.25">
      <c r="B18" s="3" t="s">
        <v>15</v>
      </c>
      <c r="C18" s="39">
        <f>'Prepared Food &amp; Beverage'!H8</f>
        <v>1776828</v>
      </c>
      <c r="D18" s="40">
        <f>'Prepared Food &amp; Beverage'!H10</f>
        <v>0.58584342434945869</v>
      </c>
    </row>
    <row r="19" spans="2:4" ht="15.75" customHeight="1" x14ac:dyDescent="0.25"/>
    <row r="20" spans="2:4" ht="15.75" customHeight="1" x14ac:dyDescent="0.25">
      <c r="B20" s="7"/>
    </row>
    <row r="21" spans="2:4" ht="15.75" customHeight="1" x14ac:dyDescent="0.25"/>
    <row r="22" spans="2:4" ht="15.75" customHeight="1" x14ac:dyDescent="0.25"/>
    <row r="23" spans="2:4" ht="15.75" customHeight="1" x14ac:dyDescent="0.25"/>
    <row r="24" spans="2:4" ht="15.75" customHeight="1" x14ac:dyDescent="0.25"/>
    <row r="25" spans="2:4" ht="15.75" customHeight="1" x14ac:dyDescent="0.25"/>
    <row r="27" spans="2:4" ht="15.75" customHeight="1" x14ac:dyDescent="0.25"/>
    <row r="29" spans="2:4" ht="15.75" customHeight="1" x14ac:dyDescent="0.25"/>
    <row r="30" spans="2:4" ht="15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231"/>
  <sheetViews>
    <sheetView zoomScale="90" zoomScaleNormal="90" workbookViewId="0">
      <pane xSplit="2" topLeftCell="C1" activePane="topRight" state="frozen"/>
      <selection pane="topRight" activeCell="Z20" sqref="C20:Z20"/>
    </sheetView>
  </sheetViews>
  <sheetFormatPr defaultColWidth="11" defaultRowHeight="15.75" x14ac:dyDescent="0.25"/>
  <cols>
    <col min="1" max="1" width="2.375" style="1" customWidth="1"/>
    <col min="2" max="2" width="47.25" style="1" bestFit="1" customWidth="1"/>
    <col min="37" max="43" width="13.125" style="1" customWidth="1"/>
    <col min="44" max="96" width="12.5" style="1" customWidth="1"/>
  </cols>
  <sheetData>
    <row r="1" spans="2:26" ht="9.75" customHeight="1" x14ac:dyDescent="0.25"/>
    <row r="2" spans="2:26" ht="34.5" customHeight="1" x14ac:dyDescent="0.4">
      <c r="B2" s="8" t="s">
        <v>16</v>
      </c>
    </row>
    <row r="4" spans="2:26" ht="16.5" customHeight="1" x14ac:dyDescent="0.25">
      <c r="B4" s="9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 t="s">
        <v>25</v>
      </c>
      <c r="K4" s="10" t="s">
        <v>26</v>
      </c>
      <c r="L4" s="10" t="s">
        <v>27</v>
      </c>
      <c r="M4" s="10" t="s">
        <v>28</v>
      </c>
      <c r="N4" s="10" t="s">
        <v>29</v>
      </c>
      <c r="O4" s="10" t="s">
        <v>30</v>
      </c>
      <c r="P4" s="10" t="s">
        <v>31</v>
      </c>
      <c r="Q4" s="10" t="s">
        <v>32</v>
      </c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</row>
    <row r="5" spans="2:26" ht="15.75" customHeight="1" x14ac:dyDescent="0.25">
      <c r="B5" s="9" t="s">
        <v>42</v>
      </c>
      <c r="C5" s="11">
        <v>2105021</v>
      </c>
      <c r="D5" s="11">
        <v>2215905</v>
      </c>
      <c r="E5" s="11">
        <v>2008028</v>
      </c>
      <c r="F5" s="11">
        <v>2378235</v>
      </c>
      <c r="G5" s="11">
        <v>3181994</v>
      </c>
      <c r="H5" s="11">
        <v>3262942</v>
      </c>
      <c r="I5" s="11">
        <v>3048717</v>
      </c>
      <c r="J5" s="11">
        <f>12952594-(3181994+3262942+3048717)</f>
        <v>3458941</v>
      </c>
      <c r="K5" s="11">
        <v>4454644</v>
      </c>
      <c r="L5" s="11">
        <v>3978575</v>
      </c>
      <c r="M5" s="11">
        <v>3332555</v>
      </c>
      <c r="N5" s="11">
        <f>15094475-(4454644+3978575+3332555)</f>
        <v>3328701</v>
      </c>
      <c r="O5" s="11">
        <v>3869251</v>
      </c>
      <c r="P5" s="11">
        <v>4064400</v>
      </c>
      <c r="Q5" s="11">
        <v>3329247</v>
      </c>
      <c r="R5" s="11">
        <f>14862913-(3869251+4064400+3329247)</f>
        <v>3600015</v>
      </c>
      <c r="S5" s="11">
        <v>4097737</v>
      </c>
      <c r="T5" s="11">
        <v>3946771</v>
      </c>
      <c r="U5" s="11">
        <v>3903633</v>
      </c>
      <c r="V5" s="11">
        <f>15940899-(4097737+3946771+3903633)</f>
        <v>3992758</v>
      </c>
      <c r="W5" s="11">
        <v>4567106</v>
      </c>
      <c r="X5" s="11">
        <v>4506084</v>
      </c>
      <c r="Y5" s="11">
        <v>3916132</v>
      </c>
      <c r="Z5" s="11">
        <f>17561101-(4567106+4506084+3916132)</f>
        <v>4571779</v>
      </c>
    </row>
    <row r="6" spans="2:26" ht="15.75" customHeight="1" x14ac:dyDescent="0.25">
      <c r="B6" s="10" t="s">
        <v>43</v>
      </c>
      <c r="C6" s="11">
        <v>1481518</v>
      </c>
      <c r="D6" s="11">
        <v>1584145</v>
      </c>
      <c r="E6" s="11">
        <v>1467847</v>
      </c>
      <c r="F6" s="11">
        <v>1817244</v>
      </c>
      <c r="G6" s="11">
        <v>2458107</v>
      </c>
      <c r="H6" s="11">
        <v>2545352</v>
      </c>
      <c r="I6" s="11">
        <v>2384222</v>
      </c>
      <c r="J6" s="11">
        <f>10189880-(2458107+2545352+2384222)</f>
        <v>2802199</v>
      </c>
      <c r="K6" s="11">
        <v>3618394</v>
      </c>
      <c r="L6" s="11">
        <v>3167633</v>
      </c>
      <c r="M6" s="11">
        <v>2595093</v>
      </c>
      <c r="N6" s="11">
        <f>12022069-(3618394+3167633+2595093)</f>
        <v>2640949</v>
      </c>
      <c r="O6" s="11">
        <v>2991497</v>
      </c>
      <c r="P6" s="11">
        <v>3178839</v>
      </c>
      <c r="Q6" s="11">
        <v>2542724</v>
      </c>
      <c r="R6" s="11">
        <f>11515002-(2991497+3178839+2542724)</f>
        <v>2801942</v>
      </c>
      <c r="S6" s="11">
        <v>3142481</v>
      </c>
      <c r="T6" s="11">
        <v>2988212</v>
      </c>
      <c r="U6" s="11">
        <v>2991065</v>
      </c>
      <c r="V6" s="11">
        <f>12188496-(3142481+2988212+2991065)</f>
        <v>3066738</v>
      </c>
      <c r="W6" s="11">
        <v>3454660</v>
      </c>
      <c r="X6" s="11">
        <v>3384398</v>
      </c>
      <c r="Y6" s="11">
        <v>2909580</v>
      </c>
      <c r="Z6" s="11">
        <f>13240060-(3454660+3384398+2909580)</f>
        <v>3491422</v>
      </c>
    </row>
    <row r="7" spans="2:26" ht="15.75" customHeight="1" x14ac:dyDescent="0.25">
      <c r="B7" s="10" t="s">
        <v>44</v>
      </c>
      <c r="C7" s="12">
        <f>C5-C6</f>
        <v>623503</v>
      </c>
      <c r="D7" s="12">
        <f>D5-D6</f>
        <v>631760</v>
      </c>
      <c r="E7" s="12">
        <f>E5-E6</f>
        <v>540181</v>
      </c>
      <c r="F7" s="12">
        <f>F5-F6</f>
        <v>560991</v>
      </c>
      <c r="G7" s="12">
        <f t="shared" ref="G7:Z7" si="0">G5-G6</f>
        <v>723887</v>
      </c>
      <c r="H7" s="12">
        <f t="shared" si="0"/>
        <v>717590</v>
      </c>
      <c r="I7" s="12">
        <f t="shared" si="0"/>
        <v>664495</v>
      </c>
      <c r="J7" s="12">
        <f t="shared" si="0"/>
        <v>656742</v>
      </c>
      <c r="K7" s="12">
        <f t="shared" si="0"/>
        <v>836250</v>
      </c>
      <c r="L7" s="12">
        <f t="shared" si="0"/>
        <v>810942</v>
      </c>
      <c r="M7" s="12">
        <f t="shared" si="0"/>
        <v>737462</v>
      </c>
      <c r="N7" s="12">
        <f t="shared" si="0"/>
        <v>687752</v>
      </c>
      <c r="O7" s="12">
        <f t="shared" si="0"/>
        <v>877754</v>
      </c>
      <c r="P7" s="12">
        <f t="shared" si="0"/>
        <v>885561</v>
      </c>
      <c r="Q7" s="12">
        <f t="shared" si="0"/>
        <v>786523</v>
      </c>
      <c r="R7" s="12">
        <f t="shared" si="0"/>
        <v>798073</v>
      </c>
      <c r="S7" s="12">
        <f t="shared" si="0"/>
        <v>955256</v>
      </c>
      <c r="T7" s="12">
        <f t="shared" si="0"/>
        <v>958559</v>
      </c>
      <c r="U7" s="12">
        <f t="shared" si="0"/>
        <v>912568</v>
      </c>
      <c r="V7" s="12">
        <f t="shared" si="0"/>
        <v>926020</v>
      </c>
      <c r="W7" s="12">
        <f t="shared" si="0"/>
        <v>1112446</v>
      </c>
      <c r="X7" s="12">
        <f t="shared" si="0"/>
        <v>1121686</v>
      </c>
      <c r="Y7" s="12">
        <f t="shared" si="0"/>
        <v>1006552</v>
      </c>
      <c r="Z7" s="12">
        <f t="shared" si="0"/>
        <v>1080357</v>
      </c>
    </row>
    <row r="8" spans="2:26" ht="15.75" customHeight="1" x14ac:dyDescent="0.25">
      <c r="B8" s="10" t="s">
        <v>45</v>
      </c>
      <c r="C8" s="11">
        <v>386088</v>
      </c>
      <c r="D8" s="11">
        <v>410348</v>
      </c>
      <c r="E8" s="11">
        <v>414448</v>
      </c>
      <c r="F8" s="11">
        <v>426307</v>
      </c>
      <c r="G8" s="11">
        <v>478928</v>
      </c>
      <c r="H8" s="11">
        <v>500644</v>
      </c>
      <c r="I8" s="11">
        <v>490997</v>
      </c>
      <c r="J8" s="11">
        <f>1961473-(478928+500644+490997)</f>
        <v>490904</v>
      </c>
      <c r="K8" s="11">
        <v>543271</v>
      </c>
      <c r="L8" s="11">
        <v>539207</v>
      </c>
      <c r="M8" s="11">
        <v>515735</v>
      </c>
      <c r="N8" s="11">
        <f>2119942-(543271+539207+515735)</f>
        <v>521729</v>
      </c>
      <c r="O8" s="11">
        <v>560855</v>
      </c>
      <c r="P8" s="11">
        <v>579703</v>
      </c>
      <c r="Q8" s="11">
        <v>568908</v>
      </c>
      <c r="R8" s="11">
        <f>2288513-(560855+579703+568908)</f>
        <v>579047</v>
      </c>
      <c r="S8" s="11">
        <v>609474</v>
      </c>
      <c r="T8" s="11">
        <v>609679</v>
      </c>
      <c r="U8" s="11">
        <v>670200</v>
      </c>
      <c r="V8" s="11">
        <f>2552356-(609474+609679+670200)</f>
        <v>663003</v>
      </c>
      <c r="W8" s="11">
        <v>698176</v>
      </c>
      <c r="X8" s="11">
        <v>711587</v>
      </c>
      <c r="Y8" s="11">
        <v>697640</v>
      </c>
      <c r="Z8" s="11">
        <f>2837426-(698176+711587+697640)</f>
        <v>730023</v>
      </c>
    </row>
    <row r="9" spans="2:26" ht="15.75" customHeight="1" x14ac:dyDescent="0.25">
      <c r="B9" s="10" t="s">
        <v>46</v>
      </c>
      <c r="C9" s="11">
        <v>65820</v>
      </c>
      <c r="D9" s="11">
        <v>64294</v>
      </c>
      <c r="E9" s="11">
        <v>65185</v>
      </c>
      <c r="F9" s="11">
        <v>69896</v>
      </c>
      <c r="G9" s="11">
        <v>75888</v>
      </c>
      <c r="H9" s="11">
        <v>74258</v>
      </c>
      <c r="I9" s="11">
        <v>75529</v>
      </c>
      <c r="J9" s="11">
        <f>303541-(75888+74258+75529)</f>
        <v>77866</v>
      </c>
      <c r="K9" s="11">
        <v>76295</v>
      </c>
      <c r="L9" s="11">
        <v>78117</v>
      </c>
      <c r="M9" s="11">
        <v>78088</v>
      </c>
      <c r="N9" s="11">
        <f>313131-(76295+78117+78088)</f>
        <v>80631</v>
      </c>
      <c r="O9" s="11">
        <v>82905</v>
      </c>
      <c r="P9" s="11">
        <v>85598</v>
      </c>
      <c r="Q9" s="11">
        <v>88950</v>
      </c>
      <c r="R9" s="11">
        <f>349797-(82905+85598+88950)</f>
        <v>92344</v>
      </c>
      <c r="S9" s="11">
        <v>94409</v>
      </c>
      <c r="T9" s="11">
        <v>96592</v>
      </c>
      <c r="U9" s="11">
        <v>105203</v>
      </c>
      <c r="V9" s="11">
        <f>403647-(94409+96592+105203)</f>
        <v>107443</v>
      </c>
      <c r="W9" s="11">
        <v>108963</v>
      </c>
      <c r="X9" s="11">
        <v>111416</v>
      </c>
      <c r="Y9" s="11">
        <v>114084</v>
      </c>
      <c r="Z9" s="11">
        <f>449958-(108963+111416+114084)</f>
        <v>115495</v>
      </c>
    </row>
    <row r="10" spans="2:26" ht="15.75" customHeight="1" x14ac:dyDescent="0.25">
      <c r="B10" s="10" t="s">
        <v>47</v>
      </c>
      <c r="C10" s="11">
        <v>13407</v>
      </c>
      <c r="D10" s="11">
        <v>10634</v>
      </c>
      <c r="E10" s="11">
        <v>11469</v>
      </c>
      <c r="F10" s="11">
        <v>11169</v>
      </c>
      <c r="G10" s="11">
        <v>13730</v>
      </c>
      <c r="H10" s="11">
        <v>13520</v>
      </c>
      <c r="I10" s="11">
        <v>14431</v>
      </c>
      <c r="J10" s="11">
        <f>56972-(13730+13520+14431)</f>
        <v>15291</v>
      </c>
      <c r="K10" s="11">
        <v>13816</v>
      </c>
      <c r="L10" s="11">
        <v>13502</v>
      </c>
      <c r="M10" s="11">
        <v>11697</v>
      </c>
      <c r="N10" s="11">
        <f>51815-(13816+13502+11697)</f>
        <v>12800</v>
      </c>
      <c r="O10" s="11">
        <v>12495</v>
      </c>
      <c r="P10" s="11">
        <v>12306</v>
      </c>
      <c r="Q10" s="11">
        <v>14146</v>
      </c>
      <c r="R10" s="11">
        <f>53441-(12495+12306+14146)</f>
        <v>14494</v>
      </c>
      <c r="S10" s="11">
        <v>14067</v>
      </c>
      <c r="T10" s="11">
        <v>12553</v>
      </c>
      <c r="U10" s="11">
        <v>29415</v>
      </c>
      <c r="V10" s="11">
        <f>83951-(14067+12553+29415)</f>
        <v>27916</v>
      </c>
      <c r="W10" s="11">
        <v>26850</v>
      </c>
      <c r="X10" s="11">
        <v>24690</v>
      </c>
      <c r="Y10" s="11">
        <v>23381</v>
      </c>
      <c r="Z10" s="11">
        <f>96634-(26850+24690+23381)</f>
        <v>21713</v>
      </c>
    </row>
    <row r="11" spans="2:26" ht="15.75" customHeight="1" x14ac:dyDescent="0.25">
      <c r="B11" s="10" t="s">
        <v>48</v>
      </c>
      <c r="C11" s="12">
        <f>C7-C8-C9-C10</f>
        <v>158188</v>
      </c>
      <c r="D11" s="12">
        <f>D7-D8-D9-D10</f>
        <v>146484</v>
      </c>
      <c r="E11" s="12">
        <f>E7-E8-E9-E10</f>
        <v>49079</v>
      </c>
      <c r="F11" s="12">
        <f>F7-F8-F9-F10</f>
        <v>53619</v>
      </c>
      <c r="G11" s="12">
        <f t="shared" ref="G11:Z11" si="1">G7-G8-G9-G10</f>
        <v>155341</v>
      </c>
      <c r="H11" s="12">
        <f t="shared" si="1"/>
        <v>129168</v>
      </c>
      <c r="I11" s="12">
        <f t="shared" si="1"/>
        <v>83538</v>
      </c>
      <c r="J11" s="12">
        <f t="shared" si="1"/>
        <v>72681</v>
      </c>
      <c r="K11" s="12">
        <f t="shared" si="1"/>
        <v>202868</v>
      </c>
      <c r="L11" s="12">
        <f t="shared" si="1"/>
        <v>180116</v>
      </c>
      <c r="M11" s="12">
        <f t="shared" si="1"/>
        <v>131942</v>
      </c>
      <c r="N11" s="12">
        <f t="shared" si="1"/>
        <v>72592</v>
      </c>
      <c r="O11" s="12">
        <f t="shared" si="1"/>
        <v>221499</v>
      </c>
      <c r="P11" s="12">
        <f t="shared" si="1"/>
        <v>207954</v>
      </c>
      <c r="Q11" s="12">
        <f t="shared" si="1"/>
        <v>114519</v>
      </c>
      <c r="R11" s="12">
        <f t="shared" si="1"/>
        <v>112188</v>
      </c>
      <c r="S11" s="12">
        <f t="shared" si="1"/>
        <v>237306</v>
      </c>
      <c r="T11" s="12">
        <f t="shared" si="1"/>
        <v>239735</v>
      </c>
      <c r="U11" s="12">
        <f t="shared" si="1"/>
        <v>107750</v>
      </c>
      <c r="V11" s="12">
        <f t="shared" si="1"/>
        <v>127658</v>
      </c>
      <c r="W11" s="12">
        <f t="shared" si="1"/>
        <v>278457</v>
      </c>
      <c r="X11" s="12">
        <f t="shared" si="1"/>
        <v>273993</v>
      </c>
      <c r="Y11" s="12">
        <f t="shared" si="1"/>
        <v>171447</v>
      </c>
      <c r="Z11" s="12">
        <f t="shared" si="1"/>
        <v>213126</v>
      </c>
    </row>
    <row r="12" spans="2:26" ht="15.75" customHeight="1" x14ac:dyDescent="0.25">
      <c r="B12" s="10" t="s">
        <v>49</v>
      </c>
      <c r="C12" s="11">
        <v>37596</v>
      </c>
      <c r="D12" s="11">
        <v>34501</v>
      </c>
      <c r="E12" s="11">
        <v>10452</v>
      </c>
      <c r="F12" s="11">
        <v>11921</v>
      </c>
      <c r="G12" s="11">
        <v>36182</v>
      </c>
      <c r="H12" s="11">
        <v>32337</v>
      </c>
      <c r="I12" s="11">
        <v>19514</v>
      </c>
      <c r="J12" s="11">
        <f>100938-(36182+32337+19514)</f>
        <v>12905</v>
      </c>
      <c r="K12" s="11">
        <v>49936</v>
      </c>
      <c r="L12" s="11">
        <v>42561</v>
      </c>
      <c r="M12" s="11">
        <v>31830</v>
      </c>
      <c r="N12" s="11">
        <f>140827-(49936+42561+31830)</f>
        <v>16500</v>
      </c>
      <c r="O12" s="11">
        <v>52262</v>
      </c>
      <c r="P12" s="11">
        <v>49172</v>
      </c>
      <c r="Q12" s="11">
        <v>27586</v>
      </c>
      <c r="R12" s="11">
        <f>154188-(52262+49172+27586)</f>
        <v>25168</v>
      </c>
      <c r="S12" s="11">
        <v>57108</v>
      </c>
      <c r="T12" s="11">
        <v>58817</v>
      </c>
      <c r="U12" s="11">
        <v>20653</v>
      </c>
      <c r="V12" s="11">
        <f>165929-(57108+58817+20653)</f>
        <v>29351</v>
      </c>
      <c r="W12" s="11">
        <v>63102</v>
      </c>
      <c r="X12" s="11">
        <v>67657</v>
      </c>
      <c r="Y12" s="11">
        <v>41374</v>
      </c>
      <c r="Z12" s="11">
        <f>222575-(63102+67657+41374)</f>
        <v>50442</v>
      </c>
    </row>
    <row r="13" spans="2:26" ht="15.75" customHeight="1" x14ac:dyDescent="0.25">
      <c r="B13" s="9" t="s">
        <v>50</v>
      </c>
      <c r="C13" s="12">
        <f>C11-C12</f>
        <v>120592</v>
      </c>
      <c r="D13" s="12">
        <f>D11-D12</f>
        <v>111983</v>
      </c>
      <c r="E13" s="12">
        <f>E11-E12</f>
        <v>38627</v>
      </c>
      <c r="F13" s="12">
        <f>F11-F12</f>
        <v>41698</v>
      </c>
      <c r="G13" s="12">
        <f t="shared" ref="G13:Z13" si="2">G11-G12</f>
        <v>119159</v>
      </c>
      <c r="H13" s="12">
        <f t="shared" si="2"/>
        <v>96831</v>
      </c>
      <c r="I13" s="12">
        <f t="shared" si="2"/>
        <v>64024</v>
      </c>
      <c r="J13" s="12">
        <f t="shared" si="2"/>
        <v>59776</v>
      </c>
      <c r="K13" s="12">
        <f t="shared" si="2"/>
        <v>152932</v>
      </c>
      <c r="L13" s="12">
        <f t="shared" si="2"/>
        <v>137555</v>
      </c>
      <c r="M13" s="12">
        <f t="shared" si="2"/>
        <v>100112</v>
      </c>
      <c r="N13" s="12">
        <f t="shared" si="2"/>
        <v>56092</v>
      </c>
      <c r="O13" s="12">
        <f t="shared" si="2"/>
        <v>169237</v>
      </c>
      <c r="P13" s="12">
        <f t="shared" si="2"/>
        <v>158782</v>
      </c>
      <c r="Q13" s="12">
        <f t="shared" si="2"/>
        <v>86933</v>
      </c>
      <c r="R13" s="12">
        <f t="shared" si="2"/>
        <v>87020</v>
      </c>
      <c r="S13" s="12">
        <f t="shared" si="2"/>
        <v>180198</v>
      </c>
      <c r="T13" s="12">
        <f t="shared" si="2"/>
        <v>180918</v>
      </c>
      <c r="U13" s="12">
        <f t="shared" si="2"/>
        <v>87097</v>
      </c>
      <c r="V13" s="12">
        <f t="shared" si="2"/>
        <v>98307</v>
      </c>
      <c r="W13" s="12">
        <f t="shared" si="2"/>
        <v>215355</v>
      </c>
      <c r="X13" s="12">
        <f t="shared" si="2"/>
        <v>206336</v>
      </c>
      <c r="Y13" s="12">
        <f t="shared" si="2"/>
        <v>130073</v>
      </c>
      <c r="Z13" s="12">
        <f t="shared" si="2"/>
        <v>162684</v>
      </c>
    </row>
    <row r="14" spans="2:26" ht="15.75" customHeight="1" x14ac:dyDescent="0.25">
      <c r="B14" s="10" t="s">
        <v>51</v>
      </c>
      <c r="C14" s="13">
        <f t="shared" ref="C14:D14" si="3">(C13/1000)/C15</f>
        <v>3.2380495090874528</v>
      </c>
      <c r="D14" s="13">
        <f t="shared" si="3"/>
        <v>3.0040870101719612</v>
      </c>
      <c r="E14" s="13">
        <f>(E13/1000)/E15</f>
        <v>1.0360321783381863</v>
      </c>
      <c r="F14" s="13">
        <f>(F13/1000)/F15</f>
        <v>1.1188822747640312</v>
      </c>
      <c r="G14" s="13">
        <f t="shared" ref="G14:Z14" si="4">(G13/1000)/G15</f>
        <v>3.1915790887890241</v>
      </c>
      <c r="H14" s="13">
        <f t="shared" si="4"/>
        <v>2.5912360287645368</v>
      </c>
      <c r="I14" s="13">
        <f t="shared" si="4"/>
        <v>1.7134025875472747</v>
      </c>
      <c r="J14" s="13">
        <f t="shared" si="4"/>
        <v>1.6001331588327308</v>
      </c>
      <c r="K14" s="13">
        <f t="shared" si="4"/>
        <v>4.088030098072144</v>
      </c>
      <c r="L14" s="13">
        <f t="shared" si="4"/>
        <v>3.6658107733822725</v>
      </c>
      <c r="M14" s="13">
        <f t="shared" si="4"/>
        <v>2.6650657956752895</v>
      </c>
      <c r="N14" s="13">
        <f t="shared" si="4"/>
        <v>1.4958130594570935</v>
      </c>
      <c r="O14" s="13">
        <f t="shared" si="4"/>
        <v>4.5182713573334397</v>
      </c>
      <c r="P14" s="13">
        <f t="shared" si="4"/>
        <v>4.2419834322150782</v>
      </c>
      <c r="Q14" s="13">
        <f t="shared" si="4"/>
        <v>2.3283910098442839</v>
      </c>
      <c r="R14" s="13">
        <f t="shared" si="4"/>
        <v>2.3262549486493875</v>
      </c>
      <c r="S14" s="13">
        <f t="shared" si="4"/>
        <v>4.8339363481013615</v>
      </c>
      <c r="T14" s="13">
        <f t="shared" si="4"/>
        <v>4.8488562996926499</v>
      </c>
      <c r="U14" s="13">
        <f t="shared" si="4"/>
        <v>2.3311618611138529</v>
      </c>
      <c r="V14" s="13">
        <f t="shared" si="4"/>
        <v>2.634370364973841</v>
      </c>
      <c r="W14" s="13">
        <f t="shared" si="4"/>
        <v>5.7655423740793008</v>
      </c>
      <c r="X14" s="13">
        <f t="shared" si="4"/>
        <v>5.5340019841152239</v>
      </c>
      <c r="Y14" s="13">
        <f t="shared" si="4"/>
        <v>3.4927330299636932</v>
      </c>
      <c r="Z14" s="13">
        <f t="shared" si="4"/>
        <v>4.3623492501893795</v>
      </c>
    </row>
    <row r="15" spans="2:26" ht="15.75" customHeight="1" x14ac:dyDescent="0.25">
      <c r="B15" s="10" t="s">
        <v>52</v>
      </c>
      <c r="C15" s="14">
        <v>37.242173000000001</v>
      </c>
      <c r="D15" s="14">
        <v>37.276882999999998</v>
      </c>
      <c r="E15" s="14">
        <v>37.283591000000001</v>
      </c>
      <c r="F15" s="14">
        <v>37.267549000000002</v>
      </c>
      <c r="G15" s="14">
        <v>37.335436999999999</v>
      </c>
      <c r="H15" s="14">
        <v>37.368653000000002</v>
      </c>
      <c r="I15" s="14">
        <v>37.366582999999999</v>
      </c>
      <c r="J15" s="14">
        <v>37.356890999999997</v>
      </c>
      <c r="K15" s="14">
        <v>37.409705000000002</v>
      </c>
      <c r="L15" s="14">
        <v>37.523758999999998</v>
      </c>
      <c r="M15" s="14">
        <v>37.564551000000002</v>
      </c>
      <c r="N15" s="14">
        <v>37.499338333333334</v>
      </c>
      <c r="O15" s="14">
        <v>37.456139</v>
      </c>
      <c r="P15" s="14">
        <v>37.431075</v>
      </c>
      <c r="Q15" s="14">
        <v>37.336083000000002</v>
      </c>
      <c r="R15" s="14">
        <v>37.40776566666667</v>
      </c>
      <c r="S15" s="14">
        <v>37.277693999999997</v>
      </c>
      <c r="T15" s="14">
        <v>37.311478999999999</v>
      </c>
      <c r="U15" s="14">
        <v>37.362056000000003</v>
      </c>
      <c r="V15" s="14">
        <v>37.317076333333326</v>
      </c>
      <c r="W15" s="14">
        <v>37.352080000000001</v>
      </c>
      <c r="X15" s="14">
        <v>37.285133000000002</v>
      </c>
      <c r="Y15" s="14">
        <v>37.241036999999999</v>
      </c>
      <c r="Z15" s="14">
        <v>37.292750000000005</v>
      </c>
    </row>
    <row r="16" spans="2:26" ht="15.75" customHeight="1" x14ac:dyDescent="0.25">
      <c r="B16" s="7"/>
    </row>
    <row r="17" spans="2:26" ht="15.75" customHeight="1" x14ac:dyDescent="0.25"/>
    <row r="18" spans="2:26" ht="15.75" customHeight="1" x14ac:dyDescent="0.25">
      <c r="B18" s="9" t="s">
        <v>53</v>
      </c>
    </row>
    <row r="19" spans="2:26" ht="16.5" customHeight="1" x14ac:dyDescent="0.25">
      <c r="B19" s="10" t="s">
        <v>54</v>
      </c>
      <c r="C19" s="41"/>
      <c r="D19" s="41"/>
      <c r="E19" s="41"/>
      <c r="F19" s="41"/>
      <c r="G19" s="15">
        <f>(G5-C5)/C5</f>
        <v>0.51162102420830957</v>
      </c>
      <c r="H19" s="15">
        <f>(H5-D5)/D5</f>
        <v>0.47250987745413275</v>
      </c>
      <c r="I19" s="15">
        <f>(I5-E5)/E5</f>
        <v>0.51826418755116965</v>
      </c>
      <c r="J19" s="15">
        <f t="shared" ref="J19:Z19" si="5">(J5-F5)/F5</f>
        <v>0.45441514400385158</v>
      </c>
      <c r="K19" s="15">
        <f t="shared" si="5"/>
        <v>0.39995361399172974</v>
      </c>
      <c r="L19" s="15">
        <f t="shared" si="5"/>
        <v>0.21932139768344028</v>
      </c>
      <c r="M19" s="15">
        <f t="shared" si="5"/>
        <v>9.3100802731116067E-2</v>
      </c>
      <c r="N19" s="15">
        <f t="shared" si="5"/>
        <v>-3.7653142970637543E-2</v>
      </c>
      <c r="O19" s="15">
        <f t="shared" si="5"/>
        <v>-0.13141184795013922</v>
      </c>
      <c r="P19" s="15">
        <f t="shared" si="5"/>
        <v>2.1571793921190376E-2</v>
      </c>
      <c r="Q19" s="15">
        <f t="shared" si="5"/>
        <v>-9.9263177952051813E-4</v>
      </c>
      <c r="R19" s="15">
        <f t="shared" si="5"/>
        <v>8.1507470932354692E-2</v>
      </c>
      <c r="S19" s="15">
        <f t="shared" si="5"/>
        <v>5.9051738954128331E-2</v>
      </c>
      <c r="T19" s="15">
        <f t="shared" si="5"/>
        <v>-2.8941295148115342E-2</v>
      </c>
      <c r="U19" s="15">
        <f t="shared" si="5"/>
        <v>0.17252730121856383</v>
      </c>
      <c r="V19" s="15">
        <f t="shared" si="5"/>
        <v>0.10909482321601438</v>
      </c>
      <c r="W19" s="15">
        <f t="shared" si="5"/>
        <v>0.11454346630835507</v>
      </c>
      <c r="X19" s="15">
        <f t="shared" si="5"/>
        <v>0.14171407461948007</v>
      </c>
      <c r="Y19" s="15">
        <f t="shared" si="5"/>
        <v>3.2018891120143725E-3</v>
      </c>
      <c r="Z19" s="15">
        <f t="shared" si="5"/>
        <v>0.14501780473547357</v>
      </c>
    </row>
    <row r="20" spans="2:26" ht="16.5" customHeight="1" x14ac:dyDescent="0.25">
      <c r="B20" s="10" t="s">
        <v>55</v>
      </c>
      <c r="C20" s="15">
        <f>C7/C5</f>
        <v>0.29619799517439493</v>
      </c>
      <c r="D20" s="15">
        <f>D7/D5</f>
        <v>0.28510247506097958</v>
      </c>
      <c r="E20" s="15">
        <f>E7/E5</f>
        <v>0.26901069108598086</v>
      </c>
      <c r="F20" s="15">
        <f t="shared" ref="F20" si="6">F7/F5</f>
        <v>0.23588543604816176</v>
      </c>
      <c r="G20" s="15">
        <f t="shared" ref="G20:Z20" si="7">G7/G5</f>
        <v>0.22749477214601913</v>
      </c>
      <c r="H20" s="15">
        <f t="shared" si="7"/>
        <v>0.21992116317115046</v>
      </c>
      <c r="I20" s="15">
        <f t="shared" si="7"/>
        <v>0.21795889877610811</v>
      </c>
      <c r="J20" s="15">
        <f t="shared" si="7"/>
        <v>0.18986793934906668</v>
      </c>
      <c r="K20" s="15">
        <f t="shared" si="7"/>
        <v>0.18772543889029067</v>
      </c>
      <c r="L20" s="15">
        <f t="shared" si="7"/>
        <v>0.20382724970623906</v>
      </c>
      <c r="M20" s="15">
        <f t="shared" si="7"/>
        <v>0.2212902712783435</v>
      </c>
      <c r="N20" s="15">
        <f t="shared" si="7"/>
        <v>0.20661272971047864</v>
      </c>
      <c r="O20" s="15">
        <f t="shared" si="7"/>
        <v>0.2268537244029917</v>
      </c>
      <c r="P20" s="15">
        <f t="shared" si="7"/>
        <v>0.21788234425745498</v>
      </c>
      <c r="Q20" s="15">
        <f t="shared" si="7"/>
        <v>0.23624651460225091</v>
      </c>
      <c r="R20" s="15">
        <f t="shared" si="7"/>
        <v>0.22168602075269131</v>
      </c>
      <c r="S20" s="15">
        <f t="shared" si="7"/>
        <v>0.23311793802286482</v>
      </c>
      <c r="T20" s="15">
        <f t="shared" si="7"/>
        <v>0.24287170448956882</v>
      </c>
      <c r="U20" s="15">
        <f t="shared" si="7"/>
        <v>0.2337740253758486</v>
      </c>
      <c r="V20" s="15">
        <f t="shared" si="7"/>
        <v>0.23192490003150704</v>
      </c>
      <c r="W20" s="15">
        <f t="shared" si="7"/>
        <v>0.24357788060973404</v>
      </c>
      <c r="X20" s="15">
        <f t="shared" si="7"/>
        <v>0.24892700624311487</v>
      </c>
      <c r="Y20" s="15">
        <f t="shared" si="7"/>
        <v>0.2570270869316969</v>
      </c>
      <c r="Z20" s="15">
        <f t="shared" si="7"/>
        <v>0.23630997911316359</v>
      </c>
    </row>
    <row r="21" spans="2:26" ht="15.75" customHeight="1" x14ac:dyDescent="0.25">
      <c r="B21" s="10" t="s">
        <v>56</v>
      </c>
      <c r="C21" s="15">
        <f>C8/C5</f>
        <v>0.18341289706848529</v>
      </c>
      <c r="D21" s="15">
        <f>D8/D5</f>
        <v>0.18518302905584852</v>
      </c>
      <c r="E21" s="15">
        <f>E8/E5</f>
        <v>0.2063955283492063</v>
      </c>
      <c r="F21" s="15">
        <f t="shared" ref="F21" si="8">F8/F5</f>
        <v>0.17925352204470962</v>
      </c>
      <c r="G21" s="15">
        <f t="shared" ref="G21:Z21" si="9">G8/G5</f>
        <v>0.15051191171322134</v>
      </c>
      <c r="H21" s="15">
        <f t="shared" si="9"/>
        <v>0.15343331263626506</v>
      </c>
      <c r="I21" s="15">
        <f t="shared" si="9"/>
        <v>0.16105036971289891</v>
      </c>
      <c r="J21" s="15">
        <f t="shared" si="9"/>
        <v>0.14192320713189382</v>
      </c>
      <c r="K21" s="15">
        <f t="shared" si="9"/>
        <v>0.12195609795081268</v>
      </c>
      <c r="L21" s="15">
        <f t="shared" si="9"/>
        <v>0.13552767008288144</v>
      </c>
      <c r="M21" s="15">
        <f t="shared" si="9"/>
        <v>0.15475663567442999</v>
      </c>
      <c r="N21" s="15">
        <f t="shared" si="9"/>
        <v>0.15673651673730984</v>
      </c>
      <c r="O21" s="15">
        <f t="shared" si="9"/>
        <v>0.14495182659382913</v>
      </c>
      <c r="P21" s="15">
        <f t="shared" si="9"/>
        <v>0.142629416396024</v>
      </c>
      <c r="Q21" s="15">
        <f t="shared" si="9"/>
        <v>0.17088188410172031</v>
      </c>
      <c r="R21" s="15">
        <f t="shared" si="9"/>
        <v>0.16084571869839431</v>
      </c>
      <c r="S21" s="15">
        <f t="shared" si="9"/>
        <v>0.14873428919425527</v>
      </c>
      <c r="T21" s="15">
        <f t="shared" si="9"/>
        <v>0.15447539266909582</v>
      </c>
      <c r="U21" s="15">
        <f t="shared" si="9"/>
        <v>0.17168622152748478</v>
      </c>
      <c r="V21" s="15">
        <f t="shared" si="9"/>
        <v>0.1660513860344153</v>
      </c>
      <c r="W21" s="15">
        <f t="shared" si="9"/>
        <v>0.1528705486581656</v>
      </c>
      <c r="X21" s="15">
        <f t="shared" si="9"/>
        <v>0.1579169407405632</v>
      </c>
      <c r="Y21" s="15">
        <f t="shared" si="9"/>
        <v>0.17814516977466541</v>
      </c>
      <c r="Z21" s="15">
        <f t="shared" si="9"/>
        <v>0.15968029075771159</v>
      </c>
    </row>
    <row r="22" spans="2:26" ht="15.75" customHeight="1" x14ac:dyDescent="0.25">
      <c r="B22" s="10" t="s">
        <v>57</v>
      </c>
      <c r="C22" s="15">
        <f>C9/C5</f>
        <v>3.1268096612812886E-2</v>
      </c>
      <c r="D22" s="15">
        <f>D9/D5</f>
        <v>2.9014781770879166E-2</v>
      </c>
      <c r="E22" s="15">
        <f>E9/E5</f>
        <v>3.2462196742276503E-2</v>
      </c>
      <c r="F22" s="15">
        <f t="shared" ref="F22" si="10">F9/F5</f>
        <v>2.9389862650242723E-2</v>
      </c>
      <c r="G22" s="15">
        <f t="shared" ref="G22:Z22" si="11">G9/G5</f>
        <v>2.384919644725917E-2</v>
      </c>
      <c r="H22" s="15">
        <f t="shared" si="11"/>
        <v>2.2757989568922769E-2</v>
      </c>
      <c r="I22" s="15">
        <f t="shared" si="11"/>
        <v>2.477402789435687E-2</v>
      </c>
      <c r="J22" s="15">
        <f t="shared" si="11"/>
        <v>2.2511514362343849E-2</v>
      </c>
      <c r="K22" s="15">
        <f t="shared" si="11"/>
        <v>1.7127070086857672E-2</v>
      </c>
      <c r="L22" s="15">
        <f t="shared" si="11"/>
        <v>1.9634416845227248E-2</v>
      </c>
      <c r="M22" s="15">
        <f t="shared" si="11"/>
        <v>2.3431871341958347E-2</v>
      </c>
      <c r="N22" s="15">
        <f t="shared" si="11"/>
        <v>2.4222962651196368E-2</v>
      </c>
      <c r="O22" s="15">
        <f t="shared" si="11"/>
        <v>2.1426627530754659E-2</v>
      </c>
      <c r="P22" s="15">
        <f t="shared" si="11"/>
        <v>2.1060427123314636E-2</v>
      </c>
      <c r="Q22" s="15">
        <f t="shared" si="11"/>
        <v>2.6717753293762823E-2</v>
      </c>
      <c r="R22" s="15">
        <f t="shared" si="11"/>
        <v>2.5651004231926813E-2</v>
      </c>
      <c r="S22" s="15">
        <f t="shared" si="11"/>
        <v>2.3039301936654304E-2</v>
      </c>
      <c r="T22" s="15">
        <f t="shared" si="11"/>
        <v>2.4473677342820244E-2</v>
      </c>
      <c r="U22" s="15">
        <f t="shared" si="11"/>
        <v>2.6950023221957598E-2</v>
      </c>
      <c r="V22" s="15">
        <f t="shared" si="11"/>
        <v>2.6909469594701207E-2</v>
      </c>
      <c r="W22" s="15">
        <f t="shared" si="11"/>
        <v>2.3858215684067766E-2</v>
      </c>
      <c r="X22" s="15">
        <f t="shared" si="11"/>
        <v>2.4725681989061898E-2</v>
      </c>
      <c r="Y22" s="15">
        <f t="shared" si="11"/>
        <v>2.9131806588746242E-2</v>
      </c>
      <c r="Z22" s="15">
        <f t="shared" si="11"/>
        <v>2.5262594714223936E-2</v>
      </c>
    </row>
    <row r="23" spans="2:26" ht="16.5" customHeight="1" x14ac:dyDescent="0.25">
      <c r="B23" s="10" t="s">
        <v>58</v>
      </c>
      <c r="C23" s="15">
        <f>C12/C11</f>
        <v>0.23766657394998356</v>
      </c>
      <c r="D23" s="15">
        <f>D12/D11</f>
        <v>0.2355274296168865</v>
      </c>
      <c r="E23" s="15">
        <f>E12/E11</f>
        <v>0.21296277430265489</v>
      </c>
      <c r="F23" s="15">
        <f t="shared" ref="F23" si="12">F12/F11</f>
        <v>0.22232790615266976</v>
      </c>
      <c r="G23" s="15">
        <f t="shared" ref="G23:Z23" si="13">G12/G11</f>
        <v>0.23291983442877282</v>
      </c>
      <c r="H23" s="15">
        <f t="shared" si="13"/>
        <v>0.25034838350055744</v>
      </c>
      <c r="I23" s="15">
        <f t="shared" si="13"/>
        <v>0.23359429241782184</v>
      </c>
      <c r="J23" s="15">
        <f t="shared" si="13"/>
        <v>0.17755672046339482</v>
      </c>
      <c r="K23" s="15">
        <f t="shared" si="13"/>
        <v>0.24615020604531024</v>
      </c>
      <c r="L23" s="15">
        <f t="shared" si="13"/>
        <v>0.23629771924759599</v>
      </c>
      <c r="M23" s="15">
        <f t="shared" si="13"/>
        <v>0.24124236406906066</v>
      </c>
      <c r="N23" s="15">
        <f t="shared" si="13"/>
        <v>0.22729777385937844</v>
      </c>
      <c r="O23" s="15">
        <f t="shared" si="13"/>
        <v>0.23594688915074108</v>
      </c>
      <c r="P23" s="15">
        <f t="shared" si="13"/>
        <v>0.23645613933850756</v>
      </c>
      <c r="Q23" s="15">
        <f t="shared" si="13"/>
        <v>0.24088579187733039</v>
      </c>
      <c r="R23" s="15">
        <f t="shared" si="13"/>
        <v>0.22433771882910827</v>
      </c>
      <c r="S23" s="15">
        <f t="shared" si="13"/>
        <v>0.24065131096558873</v>
      </c>
      <c r="T23" s="15">
        <f t="shared" si="13"/>
        <v>0.24534173149519262</v>
      </c>
      <c r="U23" s="15">
        <f t="shared" si="13"/>
        <v>0.19167517401392112</v>
      </c>
      <c r="V23" s="15">
        <f t="shared" si="13"/>
        <v>0.22991900233436213</v>
      </c>
      <c r="W23" s="15">
        <f t="shared" si="13"/>
        <v>0.22661308568288821</v>
      </c>
      <c r="X23" s="15">
        <f t="shared" si="13"/>
        <v>0.24692966608635988</v>
      </c>
      <c r="Y23" s="15">
        <f t="shared" si="13"/>
        <v>0.24132239117628188</v>
      </c>
      <c r="Z23" s="15">
        <f t="shared" si="13"/>
        <v>0.23667689535767575</v>
      </c>
    </row>
    <row r="24" spans="2:26" ht="16.5" customHeight="1" x14ac:dyDescent="0.25"/>
    <row r="25" spans="2:26" ht="16.5" customHeight="1" x14ac:dyDescent="0.25"/>
    <row r="26" spans="2:26" ht="16.5" customHeight="1" x14ac:dyDescent="0.25"/>
    <row r="27" spans="2:26" ht="15.75" customHeight="1" x14ac:dyDescent="0.25"/>
    <row r="28" spans="2:26" ht="15.75" customHeight="1" x14ac:dyDescent="0.25"/>
    <row r="29" spans="2:26" ht="15.75" customHeight="1" x14ac:dyDescent="0.25"/>
    <row r="30" spans="2:26" ht="15.75" customHeight="1" x14ac:dyDescent="0.25"/>
    <row r="31" spans="2:26" ht="15.75" customHeight="1" x14ac:dyDescent="0.25"/>
    <row r="32" spans="2:26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6.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6.5" customHeight="1" x14ac:dyDescent="0.25"/>
    <row r="51" ht="15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  <row r="61" ht="15.75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customHeight="1" x14ac:dyDescent="0.25"/>
    <row r="75" ht="15.75" hidden="1" customHeight="1" x14ac:dyDescent="0.25"/>
    <row r="76" ht="15.75" hidden="1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6.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6.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94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8"/>
  <sheetViews>
    <sheetView tabSelected="1" zoomScaleNormal="100" workbookViewId="0">
      <selection activeCell="I10" sqref="I10"/>
    </sheetView>
  </sheetViews>
  <sheetFormatPr defaultColWidth="8.875" defaultRowHeight="15.75" x14ac:dyDescent="0.25"/>
  <cols>
    <col min="1" max="1" width="1.625" style="1" customWidth="1"/>
    <col min="2" max="2" width="42" style="1" customWidth="1"/>
    <col min="3" max="12" width="13" style="1" customWidth="1"/>
    <col min="13" max="18" width="12.125" style="1" customWidth="1"/>
  </cols>
  <sheetData>
    <row r="1" spans="2:13" ht="9" customHeight="1" x14ac:dyDescent="0.25"/>
    <row r="2" spans="2:13" ht="16.5" customHeight="1" x14ac:dyDescent="0.25">
      <c r="B2" s="9" t="s">
        <v>59</v>
      </c>
    </row>
    <row r="3" spans="2:13" ht="16.5" customHeight="1" x14ac:dyDescent="0.25">
      <c r="B3" s="10" t="s">
        <v>60</v>
      </c>
      <c r="C3" s="42"/>
      <c r="D3" s="15">
        <f>(D10-C10)/C10</f>
        <v>0.48757469259022629</v>
      </c>
      <c r="E3" s="15">
        <f>(E10-D10)/D10</f>
        <v>0.16536309252030906</v>
      </c>
      <c r="F3" s="15">
        <f>(F10-E10)/E10</f>
        <v>-1.5340844911797198E-2</v>
      </c>
      <c r="G3" s="15">
        <f>(G10-F10)/F10</f>
        <v>7.2528581712077572E-2</v>
      </c>
      <c r="H3" s="15">
        <f>(H10-G10)/G10</f>
        <v>0.10163805692514581</v>
      </c>
      <c r="I3" s="47">
        <v>0.15</v>
      </c>
      <c r="J3" s="47">
        <f>I3</f>
        <v>0.15</v>
      </c>
      <c r="K3" s="47">
        <f t="shared" ref="K3:M3" si="0">J3</f>
        <v>0.15</v>
      </c>
      <c r="L3" s="47">
        <f t="shared" si="0"/>
        <v>0.15</v>
      </c>
      <c r="M3" s="47">
        <f t="shared" si="0"/>
        <v>0.15</v>
      </c>
    </row>
    <row r="4" spans="2:13" ht="16.5" customHeight="1" x14ac:dyDescent="0.25">
      <c r="B4" s="10" t="s">
        <v>55</v>
      </c>
      <c r="C4" s="15">
        <f t="shared" ref="C4:H4" si="1">C12/C10</f>
        <v>0.27063096942078552</v>
      </c>
      <c r="D4" s="15">
        <f t="shared" si="1"/>
        <v>0.213294263681854</v>
      </c>
      <c r="E4" s="15">
        <f t="shared" si="1"/>
        <v>0.20354507195513591</v>
      </c>
      <c r="F4" s="15">
        <f t="shared" si="1"/>
        <v>0.22525268095157389</v>
      </c>
      <c r="G4" s="15">
        <f t="shared" si="1"/>
        <v>0.23539469135335467</v>
      </c>
      <c r="H4" s="15">
        <f t="shared" si="1"/>
        <v>0.24605752224760852</v>
      </c>
      <c r="I4" s="47">
        <v>0.25</v>
      </c>
      <c r="J4" s="47">
        <f>I4</f>
        <v>0.25</v>
      </c>
      <c r="K4" s="47">
        <f t="shared" ref="K4:M4" si="2">J4</f>
        <v>0.25</v>
      </c>
      <c r="L4" s="47">
        <f t="shared" si="2"/>
        <v>0.25</v>
      </c>
      <c r="M4" s="47">
        <f t="shared" si="2"/>
        <v>0.25</v>
      </c>
    </row>
    <row r="5" spans="2:13" ht="15.75" customHeight="1" x14ac:dyDescent="0.25">
      <c r="B5" s="10" t="s">
        <v>61</v>
      </c>
      <c r="C5" s="15">
        <f t="shared" ref="C5:H5" si="3">C13/C10</f>
        <v>0.18802750233169396</v>
      </c>
      <c r="D5" s="15">
        <f t="shared" si="3"/>
        <v>0.15143476279732077</v>
      </c>
      <c r="E5" s="15">
        <f t="shared" si="3"/>
        <v>0.14044489788482209</v>
      </c>
      <c r="F5" s="15">
        <f t="shared" si="3"/>
        <v>0.1539747289108131</v>
      </c>
      <c r="G5" s="15">
        <f t="shared" si="3"/>
        <v>0.16011367991228098</v>
      </c>
      <c r="H5" s="15">
        <f t="shared" si="3"/>
        <v>0.16157449353545658</v>
      </c>
      <c r="I5" s="48">
        <f>H5</f>
        <v>0.16157449353545658</v>
      </c>
      <c r="J5" s="47">
        <f>I5</f>
        <v>0.16157449353545658</v>
      </c>
      <c r="K5" s="47">
        <f t="shared" ref="K5:M5" si="4">J5</f>
        <v>0.16157449353545658</v>
      </c>
      <c r="L5" s="47">
        <f t="shared" si="4"/>
        <v>0.16157449353545658</v>
      </c>
      <c r="M5" s="47">
        <f t="shared" si="4"/>
        <v>0.16157449353545658</v>
      </c>
    </row>
    <row r="6" spans="2:13" ht="15.75" customHeight="1" x14ac:dyDescent="0.25">
      <c r="B6" s="10" t="s">
        <v>62</v>
      </c>
      <c r="C6" s="15">
        <f t="shared" ref="C6:H6" si="5">C14/C10</f>
        <v>3.045701661006784E-2</v>
      </c>
      <c r="D6" s="15">
        <f t="shared" si="5"/>
        <v>2.3434765267868352E-2</v>
      </c>
      <c r="E6" s="15">
        <f t="shared" si="5"/>
        <v>2.0744742695588948E-2</v>
      </c>
      <c r="F6" s="15">
        <f t="shared" si="5"/>
        <v>2.3534888483838935E-2</v>
      </c>
      <c r="G6" s="15">
        <f t="shared" si="5"/>
        <v>2.5321470263377242E-2</v>
      </c>
      <c r="H6" s="15">
        <f t="shared" si="5"/>
        <v>2.5622425382098763E-2</v>
      </c>
      <c r="I6" s="45">
        <v>2.5000000000000001E-2</v>
      </c>
      <c r="J6" s="46">
        <f>I6</f>
        <v>2.5000000000000001E-2</v>
      </c>
      <c r="K6" s="46">
        <f t="shared" ref="K6:M6" si="6">J6</f>
        <v>2.5000000000000001E-2</v>
      </c>
      <c r="L6" s="46">
        <f t="shared" si="6"/>
        <v>2.5000000000000001E-2</v>
      </c>
      <c r="M6" s="46">
        <f t="shared" si="6"/>
        <v>2.5000000000000001E-2</v>
      </c>
    </row>
    <row r="7" spans="2:13" ht="15.75" customHeight="1" x14ac:dyDescent="0.25">
      <c r="B7" s="10" t="s">
        <v>58</v>
      </c>
      <c r="C7" s="15">
        <f t="shared" ref="C7:H7" si="7">C17/C16</f>
        <v>0.23190220192944988</v>
      </c>
      <c r="D7" s="15">
        <f t="shared" si="7"/>
        <v>0.22902561216895681</v>
      </c>
      <c r="E7" s="15">
        <f t="shared" si="7"/>
        <v>0.23969818797041112</v>
      </c>
      <c r="F7" s="15">
        <f t="shared" si="7"/>
        <v>0.23498536942209217</v>
      </c>
      <c r="G7" s="15">
        <f t="shared" si="7"/>
        <v>0.23289947771700151</v>
      </c>
      <c r="H7" s="15">
        <f t="shared" si="7"/>
        <v>0.23753419072957654</v>
      </c>
      <c r="I7" s="47">
        <f>AVERAGE(C7:H7)</f>
        <v>0.23434083998958133</v>
      </c>
      <c r="J7" s="46">
        <f>I7</f>
        <v>0.23434083998958133</v>
      </c>
      <c r="K7" s="46">
        <f t="shared" ref="K7:M7" si="8">J7</f>
        <v>0.23434083998958133</v>
      </c>
      <c r="L7" s="46">
        <f t="shared" si="8"/>
        <v>0.23434083998958133</v>
      </c>
      <c r="M7" s="46">
        <f t="shared" si="8"/>
        <v>0.23434083998958133</v>
      </c>
    </row>
    <row r="8" spans="2:13" ht="15.75" customHeight="1" x14ac:dyDescent="0.25"/>
    <row r="9" spans="2:13" ht="15.75" customHeight="1" x14ac:dyDescent="0.25">
      <c r="B9" s="9" t="s">
        <v>63</v>
      </c>
      <c r="C9" s="9" t="s">
        <v>64</v>
      </c>
      <c r="D9" s="9" t="s">
        <v>65</v>
      </c>
      <c r="E9" s="9" t="s">
        <v>66</v>
      </c>
      <c r="F9" s="9" t="s">
        <v>67</v>
      </c>
      <c r="G9" s="9" t="s">
        <v>68</v>
      </c>
      <c r="H9" s="9" t="s">
        <v>69</v>
      </c>
      <c r="I9" s="9" t="s">
        <v>142</v>
      </c>
      <c r="J9" s="9" t="s">
        <v>143</v>
      </c>
      <c r="K9" s="9" t="s">
        <v>144</v>
      </c>
      <c r="L9" s="9" t="s">
        <v>145</v>
      </c>
      <c r="M9" s="9" t="s">
        <v>146</v>
      </c>
    </row>
    <row r="10" spans="2:13" ht="15.75" customHeight="1" x14ac:dyDescent="0.25">
      <c r="B10" s="9" t="s">
        <v>42</v>
      </c>
      <c r="C10" s="16">
        <f>SUM('10QIS'!C5:F5)</f>
        <v>8707189</v>
      </c>
      <c r="D10" s="16">
        <f>SUM('10QIS'!G5:J5)</f>
        <v>12952594</v>
      </c>
      <c r="E10" s="16">
        <f>SUM('10QIS'!K5:N5)</f>
        <v>15094475</v>
      </c>
      <c r="F10" s="16">
        <f>SUM('10QIS'!O5:R5)</f>
        <v>14862913</v>
      </c>
      <c r="G10" s="16">
        <f>SUM('10QIS'!S5:V5)</f>
        <v>15940899</v>
      </c>
      <c r="H10" s="16">
        <f>SUM('10QIS'!W5:Z5)</f>
        <v>17561101</v>
      </c>
    </row>
    <row r="11" spans="2:13" ht="15.75" customHeight="1" x14ac:dyDescent="0.25">
      <c r="B11" s="10" t="s">
        <v>43</v>
      </c>
      <c r="C11" s="12">
        <f>SUM('10QIS'!C6:F6)</f>
        <v>6350754</v>
      </c>
      <c r="D11" s="12">
        <f>SUM('10QIS'!G6:J6)</f>
        <v>10189880</v>
      </c>
      <c r="E11" s="12">
        <f>SUM('10QIS'!K6:N6)</f>
        <v>12022069</v>
      </c>
      <c r="F11" s="12">
        <f>SUM('10QIS'!O6:R6)</f>
        <v>11515002</v>
      </c>
      <c r="G11" s="12">
        <f>SUM('10QIS'!S6:V6)</f>
        <v>12188496</v>
      </c>
      <c r="H11" s="12">
        <f>SUM('10QIS'!W6:Z6)</f>
        <v>13240060</v>
      </c>
    </row>
    <row r="12" spans="2:13" ht="15.75" customHeight="1" x14ac:dyDescent="0.25">
      <c r="B12" s="10" t="s">
        <v>44</v>
      </c>
      <c r="C12" s="12">
        <f t="shared" ref="C12:M12" si="9">C10-C11</f>
        <v>2356435</v>
      </c>
      <c r="D12" s="12">
        <f t="shared" si="9"/>
        <v>2762714</v>
      </c>
      <c r="E12" s="12">
        <f t="shared" si="9"/>
        <v>3072406</v>
      </c>
      <c r="F12" s="12">
        <f t="shared" si="9"/>
        <v>3347911</v>
      </c>
      <c r="G12" s="12">
        <f t="shared" si="9"/>
        <v>3752403</v>
      </c>
      <c r="H12" s="12">
        <f t="shared" si="9"/>
        <v>4321041</v>
      </c>
      <c r="I12" s="12">
        <f t="shared" si="9"/>
        <v>0</v>
      </c>
      <c r="J12" s="12">
        <f t="shared" si="9"/>
        <v>0</v>
      </c>
      <c r="K12" s="12">
        <f t="shared" si="9"/>
        <v>0</v>
      </c>
      <c r="L12" s="12">
        <f t="shared" si="9"/>
        <v>0</v>
      </c>
      <c r="M12" s="12">
        <f t="shared" si="9"/>
        <v>0</v>
      </c>
    </row>
    <row r="13" spans="2:13" ht="16.5" customHeight="1" x14ac:dyDescent="0.25">
      <c r="B13" s="10" t="s">
        <v>45</v>
      </c>
      <c r="C13" s="12">
        <f>SUM('10QIS'!C8:F8)</f>
        <v>1637191</v>
      </c>
      <c r="D13" s="12">
        <f>SUM('10QIS'!G8:J8)</f>
        <v>1961473</v>
      </c>
      <c r="E13" s="12">
        <f>SUM('10QIS'!K8:N8)</f>
        <v>2119942</v>
      </c>
      <c r="F13" s="12">
        <f>SUM('10QIS'!O8:R8)</f>
        <v>2288513</v>
      </c>
      <c r="G13" s="12">
        <f>SUM('10QIS'!S8:V8)</f>
        <v>2552356</v>
      </c>
      <c r="H13" s="12">
        <f>SUM('10QIS'!W8:Z8)</f>
        <v>2837426</v>
      </c>
    </row>
    <row r="14" spans="2:13" ht="15.75" customHeight="1" x14ac:dyDescent="0.25">
      <c r="B14" s="10" t="s">
        <v>46</v>
      </c>
      <c r="C14" s="12">
        <f>SUM('10QIS'!C9:F9)</f>
        <v>265195</v>
      </c>
      <c r="D14" s="12">
        <f>SUM('10QIS'!G9:J9)</f>
        <v>303541</v>
      </c>
      <c r="E14" s="12">
        <f>SUM('10QIS'!K9:N9)</f>
        <v>313131</v>
      </c>
      <c r="F14" s="12">
        <f>SUM('10QIS'!O9:R9)</f>
        <v>349797</v>
      </c>
      <c r="G14" s="12">
        <f>SUM('10QIS'!S9:V9)</f>
        <v>403647</v>
      </c>
      <c r="H14" s="12">
        <f>SUM('10QIS'!W9:Z9)</f>
        <v>449958</v>
      </c>
    </row>
    <row r="15" spans="2:13" ht="15.75" customHeight="1" x14ac:dyDescent="0.25">
      <c r="B15" s="10" t="s">
        <v>47</v>
      </c>
      <c r="C15" s="12">
        <f>SUM('10QIS'!C10:F10)</f>
        <v>46679</v>
      </c>
      <c r="D15" s="12">
        <f>SUM('10QIS'!G10:J10)</f>
        <v>56972</v>
      </c>
      <c r="E15" s="12">
        <f>SUM('10QIS'!K10:N10)</f>
        <v>51815</v>
      </c>
      <c r="F15" s="12">
        <f>SUM('10QIS'!O10:R10)</f>
        <v>53441</v>
      </c>
      <c r="G15" s="12">
        <f>SUM('10QIS'!S10:V10)</f>
        <v>83951</v>
      </c>
      <c r="H15" s="12">
        <f>SUM('10QIS'!W10:Z10)</f>
        <v>96634</v>
      </c>
    </row>
    <row r="16" spans="2:13" ht="15.75" customHeight="1" x14ac:dyDescent="0.25">
      <c r="B16" s="10" t="s">
        <v>48</v>
      </c>
      <c r="C16" s="12">
        <f t="shared" ref="C16:M16" si="10">C12-C13-C14-C15</f>
        <v>407370</v>
      </c>
      <c r="D16" s="12">
        <f t="shared" si="10"/>
        <v>440728</v>
      </c>
      <c r="E16" s="12">
        <f t="shared" si="10"/>
        <v>587518</v>
      </c>
      <c r="F16" s="12">
        <f t="shared" si="10"/>
        <v>656160</v>
      </c>
      <c r="G16" s="12">
        <f t="shared" si="10"/>
        <v>712449</v>
      </c>
      <c r="H16" s="12">
        <f t="shared" si="10"/>
        <v>937023</v>
      </c>
      <c r="I16" s="12">
        <f t="shared" si="10"/>
        <v>0</v>
      </c>
      <c r="J16" s="12">
        <f t="shared" si="10"/>
        <v>0</v>
      </c>
      <c r="K16" s="12">
        <f t="shared" si="10"/>
        <v>0</v>
      </c>
      <c r="L16" s="12">
        <f t="shared" si="10"/>
        <v>0</v>
      </c>
      <c r="M16" s="12">
        <f t="shared" si="10"/>
        <v>0</v>
      </c>
    </row>
    <row r="17" spans="2:13" ht="15.75" customHeight="1" x14ac:dyDescent="0.25">
      <c r="B17" s="10" t="s">
        <v>49</v>
      </c>
      <c r="C17" s="12">
        <f>SUM('10QIS'!C12:F12)</f>
        <v>94470</v>
      </c>
      <c r="D17" s="12">
        <f>SUM('10QIS'!G12:J12)</f>
        <v>100938</v>
      </c>
      <c r="E17" s="12">
        <f>SUM('10QIS'!K12:N12)</f>
        <v>140827</v>
      </c>
      <c r="F17" s="12">
        <f>SUM('10QIS'!O12:R12)</f>
        <v>154188</v>
      </c>
      <c r="G17" s="12">
        <f>SUM('10QIS'!S12:V12)</f>
        <v>165929</v>
      </c>
      <c r="H17" s="12">
        <f>SUM('10QIS'!W12:Z12)</f>
        <v>222575</v>
      </c>
    </row>
    <row r="18" spans="2:13" ht="15.75" customHeight="1" x14ac:dyDescent="0.25">
      <c r="B18" s="9" t="s">
        <v>50</v>
      </c>
      <c r="C18" s="43">
        <f t="shared" ref="C18:M18" si="11">C16-C17</f>
        <v>312900</v>
      </c>
      <c r="D18" s="43">
        <f t="shared" si="11"/>
        <v>339790</v>
      </c>
      <c r="E18" s="43">
        <f t="shared" si="11"/>
        <v>446691</v>
      </c>
      <c r="F18" s="43">
        <f t="shared" si="11"/>
        <v>501972</v>
      </c>
      <c r="G18" s="43">
        <f t="shared" si="11"/>
        <v>546520</v>
      </c>
      <c r="H18" s="43">
        <f t="shared" si="11"/>
        <v>714448</v>
      </c>
      <c r="I18" s="43">
        <f t="shared" si="11"/>
        <v>0</v>
      </c>
      <c r="J18" s="43">
        <f t="shared" si="11"/>
        <v>0</v>
      </c>
      <c r="K18" s="43">
        <f t="shared" si="11"/>
        <v>0</v>
      </c>
      <c r="L18" s="43">
        <f t="shared" si="11"/>
        <v>0</v>
      </c>
      <c r="M18" s="43">
        <f t="shared" si="11"/>
        <v>0</v>
      </c>
    </row>
    <row r="19" spans="2:13" ht="15.75" customHeight="1" x14ac:dyDescent="0.25">
      <c r="B19" s="10" t="s">
        <v>51</v>
      </c>
      <c r="C19" s="44">
        <v>8.3800000000000008</v>
      </c>
      <c r="D19" s="44">
        <v>9.1</v>
      </c>
      <c r="E19" s="44">
        <v>11.91</v>
      </c>
      <c r="F19" s="44">
        <v>13.43</v>
      </c>
      <c r="G19" s="44">
        <v>14.64</v>
      </c>
      <c r="H19" s="44">
        <v>19.16</v>
      </c>
    </row>
    <row r="20" spans="2:13" ht="15.75" customHeight="1" x14ac:dyDescent="0.25"/>
    <row r="21" spans="2:13" ht="15.75" customHeight="1" x14ac:dyDescent="0.25">
      <c r="B21" s="7"/>
    </row>
    <row r="22" spans="2:13" ht="15.75" customHeight="1" x14ac:dyDescent="0.25"/>
    <row r="23" spans="2:13" ht="15.75" customHeight="1" x14ac:dyDescent="0.25"/>
    <row r="24" spans="2:13" ht="15.75" customHeight="1" x14ac:dyDescent="0.25"/>
    <row r="25" spans="2:13" ht="15.75" customHeight="1" x14ac:dyDescent="0.25"/>
    <row r="26" spans="2:13" ht="15.75" customHeight="1" x14ac:dyDescent="0.25"/>
    <row r="27" spans="2:13" ht="15.75" customHeight="1" x14ac:dyDescent="0.25"/>
    <row r="28" spans="2:13" ht="15.75" customHeight="1" x14ac:dyDescent="0.25"/>
  </sheetData>
  <phoneticPr fontId="19" type="noConversion"/>
  <pageMargins left="0.7" right="0.7" top="0.75" bottom="0.75" header="0.511811023622047" footer="0.511811023622047"/>
  <pageSetup paperSize="9" orientation="portrait" horizontalDpi="300" verticalDpi="300"/>
  <ignoredErrors>
    <ignoredError sqref="C1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5"/>
  <sheetViews>
    <sheetView zoomScaleNormal="100" workbookViewId="0">
      <selection activeCell="C11" sqref="C11"/>
    </sheetView>
  </sheetViews>
  <sheetFormatPr defaultColWidth="8.875" defaultRowHeight="15.75" x14ac:dyDescent="0.25"/>
  <cols>
    <col min="1" max="1" width="1.375" style="1" customWidth="1"/>
    <col min="2" max="2" width="48" style="1" customWidth="1"/>
    <col min="3" max="8" width="13" style="1" customWidth="1"/>
    <col min="9" max="18" width="12" style="1" customWidth="1"/>
  </cols>
  <sheetData>
    <row r="1" spans="2:8" ht="12" customHeight="1" x14ac:dyDescent="0.25"/>
    <row r="2" spans="2:8" ht="15.75" customHeight="1" x14ac:dyDescent="0.25">
      <c r="B2" s="9" t="s">
        <v>70</v>
      </c>
      <c r="C2" s="9" t="s">
        <v>64</v>
      </c>
      <c r="D2" s="9" t="s">
        <v>65</v>
      </c>
      <c r="E2" s="9" t="s">
        <v>66</v>
      </c>
      <c r="F2" s="9" t="s">
        <v>67</v>
      </c>
      <c r="G2" s="9" t="s">
        <v>68</v>
      </c>
      <c r="H2" s="9" t="s">
        <v>69</v>
      </c>
    </row>
    <row r="3" spans="2:8" ht="15.75" customHeight="1" x14ac:dyDescent="0.25">
      <c r="B3" s="10" t="s">
        <v>71</v>
      </c>
      <c r="C3" s="11">
        <v>336545</v>
      </c>
      <c r="D3" s="11">
        <v>158878</v>
      </c>
      <c r="E3" s="11">
        <v>378869</v>
      </c>
      <c r="F3" s="11">
        <v>206482</v>
      </c>
      <c r="G3" s="11">
        <v>326662</v>
      </c>
      <c r="H3" s="11">
        <v>522991</v>
      </c>
    </row>
    <row r="4" spans="2:8" ht="15.75" customHeight="1" x14ac:dyDescent="0.25">
      <c r="B4" s="10" t="s">
        <v>72</v>
      </c>
      <c r="C4" s="11">
        <v>79698</v>
      </c>
      <c r="D4" s="11">
        <v>108028</v>
      </c>
      <c r="E4" s="11">
        <v>120547</v>
      </c>
      <c r="F4" s="11">
        <v>151793</v>
      </c>
      <c r="G4" s="11">
        <v>180746</v>
      </c>
      <c r="H4" s="11">
        <v>243502</v>
      </c>
    </row>
    <row r="5" spans="2:8" ht="15.75" customHeight="1" x14ac:dyDescent="0.25">
      <c r="B5" s="10" t="s">
        <v>73</v>
      </c>
      <c r="C5" s="11">
        <v>286598</v>
      </c>
      <c r="D5" s="11">
        <v>396199</v>
      </c>
      <c r="E5" s="11">
        <v>376085</v>
      </c>
      <c r="F5" s="11">
        <v>428722</v>
      </c>
      <c r="G5" s="11">
        <v>480034</v>
      </c>
      <c r="H5" s="11">
        <v>557151</v>
      </c>
    </row>
    <row r="6" spans="2:8" ht="15.75" customHeight="1" x14ac:dyDescent="0.25">
      <c r="B6" s="10" t="s">
        <v>74</v>
      </c>
      <c r="C6" s="11">
        <v>11214</v>
      </c>
      <c r="D6" s="11">
        <v>17859</v>
      </c>
      <c r="E6" s="11">
        <v>22107</v>
      </c>
      <c r="F6" s="11">
        <v>25791</v>
      </c>
      <c r="G6" s="11">
        <v>24641</v>
      </c>
      <c r="H6" s="11">
        <v>29783</v>
      </c>
    </row>
    <row r="7" spans="2:8" ht="15.75" customHeight="1" x14ac:dyDescent="0.25">
      <c r="B7" s="10" t="s">
        <v>75</v>
      </c>
      <c r="C7" s="11">
        <v>9578</v>
      </c>
      <c r="D7" s="11">
        <v>44071</v>
      </c>
      <c r="E7" s="11">
        <v>23347</v>
      </c>
      <c r="F7" s="11">
        <v>17066</v>
      </c>
      <c r="G7" s="11">
        <v>770</v>
      </c>
      <c r="H7" s="11">
        <v>10585</v>
      </c>
    </row>
    <row r="8" spans="2:8" ht="15.75" customHeight="1" x14ac:dyDescent="0.25">
      <c r="B8" s="9" t="s">
        <v>76</v>
      </c>
      <c r="C8" s="16">
        <f t="shared" ref="C8:H8" si="0">SUM(C3:C7)</f>
        <v>723633</v>
      </c>
      <c r="D8" s="16">
        <f t="shared" si="0"/>
        <v>725035</v>
      </c>
      <c r="E8" s="16">
        <f t="shared" si="0"/>
        <v>920955</v>
      </c>
      <c r="F8" s="16">
        <f t="shared" si="0"/>
        <v>829854</v>
      </c>
      <c r="G8" s="16">
        <f t="shared" si="0"/>
        <v>1012853</v>
      </c>
      <c r="H8" s="16">
        <f t="shared" si="0"/>
        <v>1364012</v>
      </c>
    </row>
    <row r="9" spans="2:8" ht="15.75" customHeight="1" x14ac:dyDescent="0.25">
      <c r="B9" s="10" t="s">
        <v>77</v>
      </c>
      <c r="C9" s="11">
        <v>938199</v>
      </c>
      <c r="D9" s="11">
        <v>1097985</v>
      </c>
      <c r="E9" s="11">
        <v>1151812</v>
      </c>
      <c r="F9" s="11">
        <v>1281408</v>
      </c>
      <c r="G9" s="11">
        <v>1429673</v>
      </c>
      <c r="H9" s="11">
        <v>1496529</v>
      </c>
    </row>
    <row r="10" spans="2:8" ht="15.75" customHeight="1" x14ac:dyDescent="0.25">
      <c r="B10" s="10" t="s">
        <v>78</v>
      </c>
      <c r="C10" s="11">
        <v>2162261</v>
      </c>
      <c r="D10" s="11">
        <v>2445509</v>
      </c>
      <c r="E10" s="11">
        <v>2629795</v>
      </c>
      <c r="F10" s="11">
        <v>3003191</v>
      </c>
      <c r="G10" s="11">
        <v>3539550</v>
      </c>
      <c r="H10" s="11">
        <v>3829703</v>
      </c>
    </row>
    <row r="11" spans="2:8" ht="15.75" customHeight="1" x14ac:dyDescent="0.25">
      <c r="B11" s="10" t="s">
        <v>79</v>
      </c>
      <c r="C11" s="11">
        <v>2478404</v>
      </c>
      <c r="D11" s="11">
        <v>2695366</v>
      </c>
      <c r="E11" s="11">
        <v>2783802</v>
      </c>
      <c r="F11" s="11">
        <v>3052798</v>
      </c>
      <c r="G11" s="11">
        <v>3314403</v>
      </c>
      <c r="H11" s="11">
        <v>3561976</v>
      </c>
    </row>
    <row r="12" spans="2:8" ht="15.75" customHeight="1" x14ac:dyDescent="0.25">
      <c r="B12" s="10" t="s">
        <v>80</v>
      </c>
      <c r="C12" s="11">
        <v>22413</v>
      </c>
      <c r="D12" s="11">
        <v>75060</v>
      </c>
      <c r="E12" s="11">
        <v>99764</v>
      </c>
      <c r="F12" s="11">
        <v>106837</v>
      </c>
      <c r="G12" s="11">
        <v>120670</v>
      </c>
      <c r="H12" s="11">
        <v>134388</v>
      </c>
    </row>
    <row r="13" spans="2:8" ht="15.75" customHeight="1" x14ac:dyDescent="0.25">
      <c r="B13" s="10" t="s">
        <v>81</v>
      </c>
      <c r="C13" s="11">
        <v>98587</v>
      </c>
      <c r="D13" s="11">
        <v>92331</v>
      </c>
      <c r="E13" s="11">
        <v>169796</v>
      </c>
      <c r="F13" s="11">
        <v>109048</v>
      </c>
      <c r="G13" s="11">
        <v>131151</v>
      </c>
      <c r="H13" s="11">
        <v>171314</v>
      </c>
    </row>
    <row r="14" spans="2:8" ht="15.75" customHeight="1" x14ac:dyDescent="0.25">
      <c r="B14" s="10" t="s">
        <v>82</v>
      </c>
      <c r="C14" s="12">
        <f t="shared" ref="C14:H14" si="1">SUM(C9:C13)</f>
        <v>5699864</v>
      </c>
      <c r="D14" s="12">
        <f t="shared" si="1"/>
        <v>6406251</v>
      </c>
      <c r="E14" s="12">
        <f t="shared" si="1"/>
        <v>6834969</v>
      </c>
      <c r="F14" s="12">
        <f t="shared" si="1"/>
        <v>7553282</v>
      </c>
      <c r="G14" s="12">
        <f t="shared" si="1"/>
        <v>8535447</v>
      </c>
      <c r="H14" s="12">
        <f t="shared" si="1"/>
        <v>9193910</v>
      </c>
    </row>
    <row r="15" spans="2:8" ht="15.75" customHeight="1" x14ac:dyDescent="0.25">
      <c r="B15" s="10" t="s">
        <v>83</v>
      </c>
      <c r="C15" s="11">
        <v>2206405</v>
      </c>
      <c r="D15" s="11">
        <v>2425709</v>
      </c>
      <c r="E15" s="11">
        <v>2620149</v>
      </c>
      <c r="F15" s="11">
        <v>2883925</v>
      </c>
      <c r="G15" s="11">
        <v>3122203</v>
      </c>
      <c r="H15" s="11">
        <v>3444442</v>
      </c>
    </row>
    <row r="16" spans="2:8" ht="15.75" customHeight="1" x14ac:dyDescent="0.25">
      <c r="B16" s="10" t="s">
        <v>84</v>
      </c>
      <c r="C16" s="12">
        <f t="shared" ref="C16:H16" si="2">C14-C15</f>
        <v>3493459</v>
      </c>
      <c r="D16" s="12">
        <f t="shared" si="2"/>
        <v>3980542</v>
      </c>
      <c r="E16" s="12">
        <f t="shared" si="2"/>
        <v>4214820</v>
      </c>
      <c r="F16" s="12">
        <f t="shared" si="2"/>
        <v>4669357</v>
      </c>
      <c r="G16" s="12">
        <f t="shared" si="2"/>
        <v>5413244</v>
      </c>
      <c r="H16" s="12">
        <f t="shared" si="2"/>
        <v>5749468</v>
      </c>
    </row>
    <row r="17" spans="2:8" ht="15.75" customHeight="1" x14ac:dyDescent="0.25">
      <c r="B17" s="10" t="s">
        <v>85</v>
      </c>
      <c r="C17" s="11">
        <v>82147</v>
      </c>
      <c r="D17" s="11">
        <v>187219</v>
      </c>
      <c r="E17" s="11">
        <v>192153</v>
      </c>
      <c r="F17" s="11">
        <v>195559</v>
      </c>
      <c r="G17" s="11">
        <v>120082</v>
      </c>
      <c r="H17" s="11">
        <v>121249</v>
      </c>
    </row>
    <row r="18" spans="2:8" ht="15.75" customHeight="1" x14ac:dyDescent="0.25">
      <c r="B18" s="10" t="s">
        <v>86</v>
      </c>
      <c r="C18" s="10"/>
      <c r="D18" s="10"/>
      <c r="E18" s="10"/>
      <c r="F18" s="10"/>
      <c r="G18" s="11">
        <v>417046</v>
      </c>
      <c r="H18" s="11">
        <v>432640</v>
      </c>
    </row>
    <row r="19" spans="2:8" ht="15.75" customHeight="1" x14ac:dyDescent="0.25">
      <c r="B19" s="10" t="s">
        <v>87</v>
      </c>
      <c r="C19" s="11">
        <v>161075</v>
      </c>
      <c r="D19" s="11">
        <v>612934</v>
      </c>
      <c r="E19" s="11">
        <v>615342</v>
      </c>
      <c r="F19" s="11">
        <v>652663</v>
      </c>
      <c r="G19" s="11">
        <v>1244893</v>
      </c>
      <c r="H19" s="11">
        <v>1268686</v>
      </c>
    </row>
    <row r="20" spans="2:8" ht="15.75" customHeight="1" x14ac:dyDescent="0.25">
      <c r="B20" s="9" t="s">
        <v>88</v>
      </c>
      <c r="C20" s="16">
        <f t="shared" ref="C20:H20" si="3">C8+C16+C17+C18+C19</f>
        <v>4460314</v>
      </c>
      <c r="D20" s="16">
        <f t="shared" si="3"/>
        <v>5505730</v>
      </c>
      <c r="E20" s="16">
        <f t="shared" si="3"/>
        <v>5943270</v>
      </c>
      <c r="F20" s="16">
        <f t="shared" si="3"/>
        <v>6347433</v>
      </c>
      <c r="G20" s="16">
        <f t="shared" si="3"/>
        <v>8208118</v>
      </c>
      <c r="H20" s="16">
        <f t="shared" si="3"/>
        <v>8936055</v>
      </c>
    </row>
    <row r="21" spans="2:8" ht="15.75" customHeight="1" x14ac:dyDescent="0.25"/>
    <row r="22" spans="2:8" ht="15.75" customHeight="1" x14ac:dyDescent="0.25">
      <c r="B22" s="10" t="s">
        <v>89</v>
      </c>
      <c r="C22" s="11">
        <v>2354</v>
      </c>
      <c r="D22" s="11">
        <v>24466</v>
      </c>
      <c r="E22" s="11">
        <v>52861</v>
      </c>
      <c r="F22" s="11">
        <v>53181</v>
      </c>
      <c r="G22" s="11">
        <v>94925</v>
      </c>
      <c r="H22" s="11">
        <v>101357</v>
      </c>
    </row>
    <row r="23" spans="2:8" ht="15.75" customHeight="1" x14ac:dyDescent="0.25">
      <c r="B23" s="10" t="s">
        <v>90</v>
      </c>
      <c r="C23" s="11">
        <v>355471</v>
      </c>
      <c r="D23" s="11">
        <v>588783</v>
      </c>
      <c r="E23" s="11">
        <v>560546</v>
      </c>
      <c r="F23" s="11">
        <v>569527</v>
      </c>
      <c r="G23" s="11">
        <v>620447</v>
      </c>
      <c r="H23" s="11">
        <v>823804</v>
      </c>
    </row>
    <row r="24" spans="2:8" ht="15.75" customHeight="1" x14ac:dyDescent="0.25">
      <c r="B24" s="10" t="s">
        <v>91</v>
      </c>
      <c r="C24" s="11">
        <v>69226</v>
      </c>
      <c r="D24" s="11">
        <v>87022</v>
      </c>
      <c r="E24" s="11">
        <v>78791</v>
      </c>
      <c r="F24" s="11">
        <v>95821</v>
      </c>
      <c r="G24" s="11">
        <v>80633</v>
      </c>
      <c r="H24" s="11">
        <v>105119</v>
      </c>
    </row>
    <row r="25" spans="2:8" ht="15.75" customHeight="1" x14ac:dyDescent="0.25">
      <c r="B25" s="10" t="s">
        <v>92</v>
      </c>
      <c r="C25" s="11">
        <v>39399</v>
      </c>
      <c r="D25" s="11">
        <v>47556</v>
      </c>
      <c r="E25" s="11">
        <v>51109</v>
      </c>
      <c r="F25" s="11">
        <v>54009</v>
      </c>
      <c r="G25" s="11">
        <v>59843</v>
      </c>
      <c r="H25" s="11">
        <v>62263</v>
      </c>
    </row>
    <row r="26" spans="2:8" ht="15.75" customHeight="1" x14ac:dyDescent="0.25">
      <c r="B26" s="10" t="s">
        <v>93</v>
      </c>
      <c r="C26" s="11">
        <v>24287</v>
      </c>
      <c r="D26" s="11">
        <v>25795</v>
      </c>
      <c r="E26" s="11">
        <v>28856</v>
      </c>
      <c r="F26" s="11">
        <v>27323</v>
      </c>
      <c r="G26" s="11">
        <v>41328</v>
      </c>
      <c r="H26" s="11">
        <v>35100</v>
      </c>
    </row>
    <row r="27" spans="2:8" ht="15.75" customHeight="1" x14ac:dyDescent="0.25">
      <c r="B27" s="10" t="s">
        <v>94</v>
      </c>
      <c r="C27" s="10"/>
      <c r="D27" s="10"/>
      <c r="E27" s="10"/>
      <c r="F27" s="10"/>
      <c r="G27" s="11">
        <v>14647</v>
      </c>
      <c r="H27" s="11">
        <v>14197</v>
      </c>
    </row>
    <row r="28" spans="2:8" ht="15.75" customHeight="1" x14ac:dyDescent="0.25">
      <c r="B28" s="10" t="s">
        <v>95</v>
      </c>
      <c r="C28" s="11">
        <v>122012</v>
      </c>
      <c r="D28" s="11">
        <v>131056</v>
      </c>
      <c r="E28" s="11">
        <v>154962</v>
      </c>
      <c r="F28" s="11">
        <v>153605</v>
      </c>
      <c r="G28" s="11">
        <v>189870</v>
      </c>
      <c r="H28" s="11">
        <v>208766</v>
      </c>
    </row>
    <row r="29" spans="2:8" ht="15.75" customHeight="1" x14ac:dyDescent="0.25">
      <c r="B29" s="9" t="s">
        <v>96</v>
      </c>
      <c r="C29" s="16">
        <f t="shared" ref="C29:H29" si="4">SUM(C22:C28)</f>
        <v>612749</v>
      </c>
      <c r="D29" s="16">
        <f t="shared" si="4"/>
        <v>904678</v>
      </c>
      <c r="E29" s="16">
        <f t="shared" si="4"/>
        <v>927125</v>
      </c>
      <c r="F29" s="16">
        <f t="shared" si="4"/>
        <v>953466</v>
      </c>
      <c r="G29" s="16">
        <f t="shared" si="4"/>
        <v>1101693</v>
      </c>
      <c r="H29" s="16">
        <f t="shared" si="4"/>
        <v>1350606</v>
      </c>
    </row>
    <row r="30" spans="2:8" ht="15.75" customHeight="1" x14ac:dyDescent="0.25">
      <c r="B30" s="10" t="s">
        <v>97</v>
      </c>
      <c r="C30" s="11">
        <v>1361395</v>
      </c>
      <c r="D30" s="11">
        <v>1663403</v>
      </c>
      <c r="E30" s="11">
        <v>1620513</v>
      </c>
      <c r="F30" s="11">
        <v>1582758</v>
      </c>
      <c r="G30" s="11">
        <v>2413620</v>
      </c>
      <c r="H30" s="11">
        <v>2330237</v>
      </c>
    </row>
    <row r="31" spans="2:8" ht="15.75" customHeight="1" x14ac:dyDescent="0.25">
      <c r="B31" s="10" t="s">
        <v>98</v>
      </c>
      <c r="C31" s="11">
        <v>439721</v>
      </c>
      <c r="D31" s="11">
        <v>520472</v>
      </c>
      <c r="E31" s="11">
        <v>543598</v>
      </c>
      <c r="F31" s="11">
        <v>596850</v>
      </c>
      <c r="G31" s="11">
        <v>646905</v>
      </c>
      <c r="H31" s="11">
        <v>739843</v>
      </c>
    </row>
    <row r="32" spans="2:8" ht="15.75" customHeight="1" x14ac:dyDescent="0.25">
      <c r="B32" s="10" t="s">
        <v>99</v>
      </c>
      <c r="C32" s="11">
        <v>15094</v>
      </c>
      <c r="D32" s="11">
        <v>12746</v>
      </c>
      <c r="E32" s="10"/>
      <c r="F32" s="10"/>
      <c r="G32" s="10"/>
      <c r="H32" s="10"/>
    </row>
    <row r="33" spans="2:8" ht="15.75" customHeight="1" x14ac:dyDescent="0.25">
      <c r="B33" s="10" t="s">
        <v>100</v>
      </c>
      <c r="C33" s="10"/>
      <c r="D33" s="10"/>
      <c r="E33" s="10"/>
      <c r="F33" s="10"/>
      <c r="G33" s="11">
        <v>434707</v>
      </c>
      <c r="H33" s="11">
        <v>459284</v>
      </c>
    </row>
    <row r="34" spans="2:8" ht="15.75" customHeight="1" x14ac:dyDescent="0.25">
      <c r="B34" s="10" t="s">
        <v>101</v>
      </c>
      <c r="C34" s="11">
        <v>26239</v>
      </c>
      <c r="D34" s="11">
        <v>27957</v>
      </c>
      <c r="E34" s="11">
        <v>32312</v>
      </c>
      <c r="F34" s="11">
        <v>30046</v>
      </c>
      <c r="G34" s="11">
        <v>33143</v>
      </c>
      <c r="H34" s="11">
        <v>32140</v>
      </c>
    </row>
    <row r="35" spans="2:8" ht="15.75" customHeight="1" x14ac:dyDescent="0.25">
      <c r="B35" s="10" t="s">
        <v>102</v>
      </c>
      <c r="C35" s="11">
        <v>72437</v>
      </c>
      <c r="D35" s="11">
        <v>135636</v>
      </c>
      <c r="E35" s="11">
        <v>159056</v>
      </c>
      <c r="F35" s="11">
        <v>168932</v>
      </c>
      <c r="G35" s="11">
        <v>69380</v>
      </c>
      <c r="H35" s="11">
        <v>72226</v>
      </c>
    </row>
    <row r="36" spans="2:8" ht="15.75" customHeight="1" x14ac:dyDescent="0.25">
      <c r="B36" s="9" t="s">
        <v>103</v>
      </c>
      <c r="C36" s="16">
        <f t="shared" ref="C36:H36" si="5">C29+SUM(C30:C35)</f>
        <v>2527635</v>
      </c>
      <c r="D36" s="16">
        <f t="shared" si="5"/>
        <v>3264892</v>
      </c>
      <c r="E36" s="16">
        <f t="shared" si="5"/>
        <v>3282604</v>
      </c>
      <c r="F36" s="16">
        <f t="shared" si="5"/>
        <v>3332052</v>
      </c>
      <c r="G36" s="16">
        <f t="shared" si="5"/>
        <v>4699448</v>
      </c>
      <c r="H36" s="16">
        <f t="shared" si="5"/>
        <v>4984336</v>
      </c>
    </row>
    <row r="37" spans="2:8" ht="15.75" customHeight="1" x14ac:dyDescent="0.25"/>
    <row r="38" spans="2:8" ht="15.75" customHeight="1" x14ac:dyDescent="0.25">
      <c r="B38" s="10" t="s">
        <v>104</v>
      </c>
      <c r="C38" s="11">
        <v>58951</v>
      </c>
      <c r="D38" s="11">
        <v>79412</v>
      </c>
      <c r="E38" s="11">
        <v>110037</v>
      </c>
      <c r="F38" s="11">
        <v>27453</v>
      </c>
      <c r="G38" s="11">
        <v>49605</v>
      </c>
      <c r="H38" s="11">
        <v>0</v>
      </c>
    </row>
    <row r="39" spans="2:8" ht="15.75" customHeight="1" x14ac:dyDescent="0.25">
      <c r="B39" s="10" t="s">
        <v>105</v>
      </c>
      <c r="C39" s="11">
        <v>1873728</v>
      </c>
      <c r="D39" s="11">
        <v>2161426</v>
      </c>
      <c r="E39" s="11">
        <v>2550629</v>
      </c>
      <c r="F39" s="11">
        <v>2987928</v>
      </c>
      <c r="G39" s="11">
        <v>3459065</v>
      </c>
      <c r="H39" s="11">
        <v>3951719</v>
      </c>
    </row>
    <row r="40" spans="2:8" ht="15.75" customHeight="1" x14ac:dyDescent="0.25">
      <c r="B40" s="9" t="s">
        <v>106</v>
      </c>
      <c r="C40" s="16">
        <f t="shared" ref="C40:H40" si="6">SUM(C38:C39)</f>
        <v>1932679</v>
      </c>
      <c r="D40" s="16">
        <f t="shared" si="6"/>
        <v>2240838</v>
      </c>
      <c r="E40" s="16">
        <f t="shared" si="6"/>
        <v>2660666</v>
      </c>
      <c r="F40" s="16">
        <f t="shared" si="6"/>
        <v>3015381</v>
      </c>
      <c r="G40" s="16">
        <f t="shared" si="6"/>
        <v>3508670</v>
      </c>
      <c r="H40" s="16">
        <f t="shared" si="6"/>
        <v>3951719</v>
      </c>
    </row>
    <row r="41" spans="2:8" ht="15.75" customHeight="1" x14ac:dyDescent="0.25">
      <c r="B41" s="9" t="s">
        <v>107</v>
      </c>
      <c r="C41" s="16">
        <f t="shared" ref="C41:H41" si="7">C36+C40</f>
        <v>4460314</v>
      </c>
      <c r="D41" s="16">
        <f t="shared" si="7"/>
        <v>5505730</v>
      </c>
      <c r="E41" s="16">
        <f t="shared" si="7"/>
        <v>5943270</v>
      </c>
      <c r="F41" s="16">
        <f t="shared" si="7"/>
        <v>6347433</v>
      </c>
      <c r="G41" s="16">
        <f t="shared" si="7"/>
        <v>8208118</v>
      </c>
      <c r="H41" s="16">
        <f t="shared" si="7"/>
        <v>8936055</v>
      </c>
    </row>
    <row r="43" spans="2:8" ht="15.75" customHeight="1" x14ac:dyDescent="0.25">
      <c r="B43" s="10" t="s">
        <v>108</v>
      </c>
      <c r="C43" s="12">
        <f t="shared" ref="C43:H43" si="8">C20-C41</f>
        <v>0</v>
      </c>
      <c r="D43" s="12">
        <f t="shared" si="8"/>
        <v>0</v>
      </c>
      <c r="E43" s="12">
        <f t="shared" si="8"/>
        <v>0</v>
      </c>
      <c r="F43" s="12">
        <f t="shared" si="8"/>
        <v>0</v>
      </c>
      <c r="G43" s="12">
        <f t="shared" si="8"/>
        <v>0</v>
      </c>
      <c r="H43" s="12">
        <f t="shared" si="8"/>
        <v>0</v>
      </c>
    </row>
    <row r="45" spans="2:8" ht="15.75" customHeight="1" x14ac:dyDescent="0.25">
      <c r="B45" s="7" t="s">
        <v>109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2"/>
  <sheetViews>
    <sheetView topLeftCell="A16" zoomScaleNormal="100" workbookViewId="0">
      <selection activeCell="I12" sqref="I12"/>
    </sheetView>
  </sheetViews>
  <sheetFormatPr defaultColWidth="8.875" defaultRowHeight="15.75" x14ac:dyDescent="0.25"/>
  <cols>
    <col min="1" max="1" width="1.625" style="1" customWidth="1"/>
    <col min="2" max="2" width="52" style="1" customWidth="1"/>
    <col min="3" max="8" width="13" style="1" customWidth="1"/>
    <col min="9" max="14" width="12.125" style="1" customWidth="1"/>
  </cols>
  <sheetData>
    <row r="1" spans="2:8" ht="7.5" customHeight="1" x14ac:dyDescent="0.25"/>
    <row r="2" spans="2:8" ht="16.5" customHeight="1" x14ac:dyDescent="0.25">
      <c r="B2" s="17" t="s">
        <v>110</v>
      </c>
      <c r="C2" s="17" t="s">
        <v>64</v>
      </c>
      <c r="D2" s="17" t="s">
        <v>65</v>
      </c>
      <c r="E2" s="17" t="s">
        <v>66</v>
      </c>
      <c r="F2" s="17" t="s">
        <v>67</v>
      </c>
      <c r="G2" s="17" t="s">
        <v>68</v>
      </c>
      <c r="H2" s="17" t="s">
        <v>69</v>
      </c>
    </row>
    <row r="3" spans="2:8" ht="15.75" customHeight="1" x14ac:dyDescent="0.25">
      <c r="B3" s="18" t="s">
        <v>50</v>
      </c>
      <c r="C3" s="19">
        <v>312900</v>
      </c>
      <c r="D3" s="19">
        <v>339790</v>
      </c>
      <c r="E3" s="19">
        <v>446691</v>
      </c>
      <c r="F3" s="19">
        <v>501972</v>
      </c>
      <c r="G3" s="19">
        <v>546520</v>
      </c>
      <c r="H3" s="19">
        <v>714448</v>
      </c>
    </row>
    <row r="4" spans="2:8" ht="15.75" customHeight="1" x14ac:dyDescent="0.25">
      <c r="B4" s="18" t="s">
        <v>46</v>
      </c>
      <c r="C4" s="19">
        <v>265195</v>
      </c>
      <c r="D4" s="19">
        <v>303541</v>
      </c>
      <c r="E4" s="19">
        <v>313131</v>
      </c>
      <c r="F4" s="19">
        <v>349797</v>
      </c>
      <c r="G4" s="19">
        <v>403647</v>
      </c>
      <c r="H4" s="19">
        <v>449958</v>
      </c>
    </row>
    <row r="5" spans="2:8" ht="15.75" customHeight="1" x14ac:dyDescent="0.25">
      <c r="B5" s="18" t="s">
        <v>111</v>
      </c>
      <c r="C5" s="19">
        <v>1603</v>
      </c>
      <c r="D5" s="19">
        <v>2527</v>
      </c>
      <c r="E5" s="19">
        <v>1789</v>
      </c>
      <c r="F5" s="19">
        <v>1111</v>
      </c>
      <c r="G5" s="19">
        <v>2312</v>
      </c>
      <c r="H5" s="19">
        <v>2065</v>
      </c>
    </row>
    <row r="6" spans="2:8" ht="15.75" customHeight="1" x14ac:dyDescent="0.25">
      <c r="B6" s="18" t="s">
        <v>112</v>
      </c>
      <c r="C6" s="18"/>
      <c r="D6" s="18"/>
      <c r="E6" s="18"/>
      <c r="F6" s="19">
        <v>12499</v>
      </c>
      <c r="G6" s="19">
        <v>11530</v>
      </c>
      <c r="H6" s="19">
        <v>17455</v>
      </c>
    </row>
    <row r="7" spans="2:8" ht="15.75" customHeight="1" x14ac:dyDescent="0.25">
      <c r="B7" s="18" t="s">
        <v>113</v>
      </c>
      <c r="C7" s="19">
        <v>31986</v>
      </c>
      <c r="D7" s="19">
        <v>37976</v>
      </c>
      <c r="E7" s="19">
        <v>47024</v>
      </c>
      <c r="F7" s="19">
        <v>41379</v>
      </c>
      <c r="G7" s="19">
        <v>47732</v>
      </c>
      <c r="H7" s="19">
        <v>63407</v>
      </c>
    </row>
    <row r="8" spans="2:8" ht="15.75" customHeight="1" x14ac:dyDescent="0.25">
      <c r="B8" s="18" t="s">
        <v>114</v>
      </c>
      <c r="C8" s="19">
        <v>9680</v>
      </c>
      <c r="D8" s="19">
        <v>-1201</v>
      </c>
      <c r="E8" s="19">
        <v>6871</v>
      </c>
      <c r="F8" s="19">
        <v>6414</v>
      </c>
      <c r="G8" s="19">
        <v>12401</v>
      </c>
      <c r="H8" s="19">
        <v>13517</v>
      </c>
    </row>
    <row r="9" spans="2:8" ht="15.75" customHeight="1" x14ac:dyDescent="0.25">
      <c r="B9" s="18" t="s">
        <v>98</v>
      </c>
      <c r="C9" s="19">
        <v>4123</v>
      </c>
      <c r="D9" s="19">
        <v>82721</v>
      </c>
      <c r="E9" s="19">
        <v>23126</v>
      </c>
      <c r="F9" s="19">
        <v>53252</v>
      </c>
      <c r="G9" s="19">
        <v>59958</v>
      </c>
      <c r="H9" s="19">
        <v>94772</v>
      </c>
    </row>
    <row r="10" spans="2:8" ht="15.75" customHeight="1" x14ac:dyDescent="0.25">
      <c r="B10" s="18" t="s">
        <v>72</v>
      </c>
      <c r="C10" s="19">
        <v>-26278</v>
      </c>
      <c r="D10" s="19">
        <v>-33025</v>
      </c>
      <c r="E10" s="19">
        <v>-12519</v>
      </c>
      <c r="F10" s="19">
        <v>-31246</v>
      </c>
      <c r="G10" s="19">
        <v>-1297</v>
      </c>
      <c r="H10" s="19">
        <v>-60075</v>
      </c>
    </row>
    <row r="11" spans="2:8" ht="15.75" customHeight="1" x14ac:dyDescent="0.25">
      <c r="B11" s="18" t="s">
        <v>73</v>
      </c>
      <c r="C11" s="19">
        <v>-50342</v>
      </c>
      <c r="D11" s="19">
        <v>-76730</v>
      </c>
      <c r="E11" s="19">
        <v>24090</v>
      </c>
      <c r="F11" s="19">
        <v>-51785</v>
      </c>
      <c r="G11" s="19">
        <v>-7756</v>
      </c>
      <c r="H11" s="19">
        <v>-90084</v>
      </c>
    </row>
    <row r="12" spans="2:8" ht="15.75" customHeight="1" x14ac:dyDescent="0.25">
      <c r="B12" s="18" t="s">
        <v>115</v>
      </c>
      <c r="C12" s="19">
        <v>-1413</v>
      </c>
      <c r="D12" s="19">
        <v>-6376</v>
      </c>
      <c r="E12" s="19">
        <v>-4248</v>
      </c>
      <c r="F12" s="19">
        <v>-3684</v>
      </c>
      <c r="G12" s="19">
        <v>3658</v>
      </c>
      <c r="H12" s="19">
        <v>-5142</v>
      </c>
    </row>
    <row r="13" spans="2:8" ht="15.75" customHeight="1" x14ac:dyDescent="0.25">
      <c r="B13" s="18" t="s">
        <v>90</v>
      </c>
      <c r="C13" s="19">
        <v>166546</v>
      </c>
      <c r="D13" s="19">
        <v>165893</v>
      </c>
      <c r="E13" s="19">
        <v>-9483</v>
      </c>
      <c r="F13" s="19">
        <v>-8731</v>
      </c>
      <c r="G13" s="19">
        <v>-20782</v>
      </c>
      <c r="H13" s="19">
        <v>159172</v>
      </c>
    </row>
    <row r="14" spans="2:8" ht="15.75" customHeight="1" x14ac:dyDescent="0.25">
      <c r="B14" s="18" t="s">
        <v>116</v>
      </c>
      <c r="C14" s="19">
        <v>65497</v>
      </c>
      <c r="D14" s="19">
        <v>23574</v>
      </c>
      <c r="E14" s="19">
        <v>20292</v>
      </c>
      <c r="F14" s="19">
        <v>14387</v>
      </c>
      <c r="G14" s="19">
        <v>21525</v>
      </c>
      <c r="H14" s="19">
        <v>35609</v>
      </c>
    </row>
    <row r="15" spans="2:8" ht="15.75" customHeight="1" x14ac:dyDescent="0.25">
      <c r="B15" s="18" t="s">
        <v>117</v>
      </c>
      <c r="C15" s="19">
        <v>5714</v>
      </c>
      <c r="D15" s="19">
        <v>-35716</v>
      </c>
      <c r="E15" s="19">
        <v>20652</v>
      </c>
      <c r="F15" s="19">
        <v>5112</v>
      </c>
      <c r="G15" s="19">
        <v>15460</v>
      </c>
      <c r="H15" s="19">
        <v>-11444</v>
      </c>
    </row>
    <row r="16" spans="2:8" ht="15.75" customHeight="1" x14ac:dyDescent="0.25">
      <c r="B16" s="18" t="s">
        <v>118</v>
      </c>
      <c r="C16" s="19">
        <v>18877</v>
      </c>
      <c r="D16" s="19">
        <v>-14233</v>
      </c>
      <c r="E16" s="19">
        <v>4535</v>
      </c>
      <c r="F16" s="19">
        <v>2476</v>
      </c>
      <c r="G16" s="19">
        <v>-4054</v>
      </c>
      <c r="H16" s="19">
        <v>-6118</v>
      </c>
    </row>
    <row r="17" spans="2:8" ht="15.75" customHeight="1" x14ac:dyDescent="0.25">
      <c r="B17" s="17" t="s">
        <v>119</v>
      </c>
      <c r="C17" s="20">
        <f t="shared" ref="C17:H17" si="0">SUM(C3:C16)</f>
        <v>804088</v>
      </c>
      <c r="D17" s="20">
        <f t="shared" si="0"/>
        <v>788741</v>
      </c>
      <c r="E17" s="20">
        <f t="shared" si="0"/>
        <v>881951</v>
      </c>
      <c r="F17" s="20">
        <f t="shared" si="0"/>
        <v>892953</v>
      </c>
      <c r="G17" s="20">
        <f t="shared" si="0"/>
        <v>1090854</v>
      </c>
      <c r="H17" s="20">
        <f t="shared" si="0"/>
        <v>1377540</v>
      </c>
    </row>
    <row r="18" spans="2:8" ht="15.75" customHeight="1" x14ac:dyDescent="0.25"/>
    <row r="19" spans="2:8" ht="15.75" customHeight="1" x14ac:dyDescent="0.25">
      <c r="B19" s="18" t="s">
        <v>120</v>
      </c>
      <c r="C19" s="19">
        <v>-441252</v>
      </c>
      <c r="D19" s="19">
        <v>-326475</v>
      </c>
      <c r="E19" s="19">
        <v>-476568</v>
      </c>
      <c r="F19" s="19">
        <v>-522004</v>
      </c>
      <c r="G19" s="19">
        <v>-506224</v>
      </c>
      <c r="H19" s="19">
        <v>-655920</v>
      </c>
    </row>
    <row r="20" spans="2:8" ht="15.75" customHeight="1" x14ac:dyDescent="0.25">
      <c r="B20" s="18" t="s">
        <v>121</v>
      </c>
      <c r="C20" s="19">
        <v>-9356</v>
      </c>
      <c r="D20" s="19">
        <v>-901638</v>
      </c>
      <c r="E20" s="19">
        <v>-85569</v>
      </c>
      <c r="F20" s="19">
        <v>-330032</v>
      </c>
      <c r="G20" s="19">
        <v>-1239249</v>
      </c>
      <c r="H20" s="19">
        <v>-141583</v>
      </c>
    </row>
    <row r="21" spans="2:8" ht="15.75" customHeight="1" x14ac:dyDescent="0.25">
      <c r="B21" s="18" t="s">
        <v>122</v>
      </c>
      <c r="C21" s="19">
        <v>6268</v>
      </c>
      <c r="D21" s="19">
        <v>70118</v>
      </c>
      <c r="E21" s="19">
        <v>17103</v>
      </c>
      <c r="F21" s="19">
        <v>26680</v>
      </c>
      <c r="G21" s="19">
        <v>18805</v>
      </c>
      <c r="H21" s="19">
        <v>42072</v>
      </c>
    </row>
    <row r="22" spans="2:8" ht="15.75" customHeight="1" x14ac:dyDescent="0.25">
      <c r="B22" s="17" t="s">
        <v>123</v>
      </c>
      <c r="C22" s="20">
        <f t="shared" ref="C22:H22" si="1">SUM(C19:C21)</f>
        <v>-444340</v>
      </c>
      <c r="D22" s="20">
        <f t="shared" si="1"/>
        <v>-1157995</v>
      </c>
      <c r="E22" s="20">
        <f t="shared" si="1"/>
        <v>-545034</v>
      </c>
      <c r="F22" s="20">
        <f t="shared" si="1"/>
        <v>-825356</v>
      </c>
      <c r="G22" s="20">
        <f t="shared" si="1"/>
        <v>-1726668</v>
      </c>
      <c r="H22" s="20">
        <f t="shared" si="1"/>
        <v>-755431</v>
      </c>
    </row>
    <row r="23" spans="2:8" ht="15.75" customHeight="1" x14ac:dyDescent="0.25"/>
    <row r="24" spans="2:8" ht="15.75" customHeight="1" x14ac:dyDescent="0.25">
      <c r="B24" s="18" t="s">
        <v>124</v>
      </c>
      <c r="C24" s="19">
        <v>650000</v>
      </c>
      <c r="D24" s="19">
        <v>450000</v>
      </c>
      <c r="E24" s="19">
        <v>0</v>
      </c>
      <c r="F24" s="19">
        <v>0</v>
      </c>
      <c r="G24" s="19">
        <v>1100000</v>
      </c>
      <c r="H24" s="19">
        <v>0</v>
      </c>
    </row>
    <row r="25" spans="2:8" ht="15.75" customHeight="1" x14ac:dyDescent="0.25">
      <c r="B25" s="18" t="s">
        <v>125</v>
      </c>
      <c r="C25" s="19">
        <v>-571661</v>
      </c>
      <c r="D25" s="19">
        <v>-188537</v>
      </c>
      <c r="E25" s="19">
        <v>-40970</v>
      </c>
      <c r="F25" s="19">
        <v>-53656</v>
      </c>
      <c r="G25" s="19">
        <v>-239492</v>
      </c>
      <c r="H25" s="19">
        <v>-94895</v>
      </c>
    </row>
    <row r="26" spans="2:8" ht="15.75" customHeight="1" x14ac:dyDescent="0.25">
      <c r="B26" s="18" t="s">
        <v>126</v>
      </c>
      <c r="C26" s="19">
        <v>-120000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</row>
    <row r="27" spans="2:8" ht="15.75" customHeight="1" x14ac:dyDescent="0.25">
      <c r="B27" s="18" t="s">
        <v>127</v>
      </c>
      <c r="C27" s="19">
        <v>-5525</v>
      </c>
      <c r="D27" s="19">
        <v>-1149</v>
      </c>
      <c r="E27" s="19">
        <v>-3940</v>
      </c>
      <c r="F27" s="19">
        <v>0</v>
      </c>
      <c r="G27" s="19">
        <v>-5891</v>
      </c>
      <c r="H27" s="19">
        <v>0</v>
      </c>
    </row>
    <row r="28" spans="2:8" ht="15.75" customHeight="1" x14ac:dyDescent="0.25">
      <c r="B28" s="18" t="s">
        <v>128</v>
      </c>
      <c r="C28" s="19">
        <v>1784</v>
      </c>
      <c r="D28" s="19">
        <v>133</v>
      </c>
      <c r="E28" s="19">
        <v>0</v>
      </c>
      <c r="F28" s="19">
        <v>0</v>
      </c>
      <c r="G28" s="19">
        <v>0</v>
      </c>
      <c r="H28" s="19">
        <v>0</v>
      </c>
    </row>
    <row r="29" spans="2:8" ht="15.75" customHeight="1" x14ac:dyDescent="0.25">
      <c r="B29" s="18" t="s">
        <v>129</v>
      </c>
      <c r="C29" s="19">
        <v>-47971</v>
      </c>
      <c r="D29" s="19">
        <v>-51212</v>
      </c>
      <c r="E29" s="19">
        <v>-55617</v>
      </c>
      <c r="F29" s="19">
        <v>-62918</v>
      </c>
      <c r="G29" s="19">
        <v>-72309</v>
      </c>
      <c r="H29" s="19">
        <v>-83136</v>
      </c>
    </row>
    <row r="30" spans="2:8" ht="15.75" customHeight="1" x14ac:dyDescent="0.25">
      <c r="B30" s="18" t="s">
        <v>130</v>
      </c>
      <c r="C30" s="19">
        <v>-8105</v>
      </c>
      <c r="D30" s="19">
        <v>-17648</v>
      </c>
      <c r="E30" s="19">
        <v>-16399</v>
      </c>
      <c r="F30" s="19">
        <v>-18512</v>
      </c>
      <c r="G30" s="19">
        <v>-25580</v>
      </c>
      <c r="H30" s="19">
        <v>-47244</v>
      </c>
    </row>
    <row r="31" spans="2:8" ht="15.75" customHeight="1" x14ac:dyDescent="0.25">
      <c r="B31" s="18" t="s">
        <v>131</v>
      </c>
      <c r="C31" s="18"/>
      <c r="D31" s="18"/>
      <c r="E31" s="18"/>
      <c r="F31" s="19">
        <v>-104898</v>
      </c>
      <c r="G31" s="19">
        <v>-734</v>
      </c>
      <c r="H31" s="19">
        <v>-200505</v>
      </c>
    </row>
    <row r="32" spans="2:8" ht="15.75" customHeight="1" x14ac:dyDescent="0.25">
      <c r="B32" s="17" t="s">
        <v>132</v>
      </c>
      <c r="C32" s="20">
        <f t="shared" ref="C32:H32" si="2">SUM(C24:C31)</f>
        <v>-101478</v>
      </c>
      <c r="D32" s="20">
        <f t="shared" si="2"/>
        <v>191587</v>
      </c>
      <c r="E32" s="20">
        <f t="shared" si="2"/>
        <v>-116926</v>
      </c>
      <c r="F32" s="20">
        <f t="shared" si="2"/>
        <v>-239984</v>
      </c>
      <c r="G32" s="20">
        <f t="shared" si="2"/>
        <v>755994</v>
      </c>
      <c r="H32" s="20">
        <f t="shared" si="2"/>
        <v>-425780</v>
      </c>
    </row>
    <row r="33" spans="2:8" ht="15.75" customHeight="1" x14ac:dyDescent="0.25"/>
    <row r="34" spans="2:8" ht="15.75" customHeight="1" x14ac:dyDescent="0.25">
      <c r="B34" s="17" t="s">
        <v>133</v>
      </c>
      <c r="C34" s="20">
        <f t="shared" ref="C34:H34" si="3">C17+C22+C32</f>
        <v>258270</v>
      </c>
      <c r="D34" s="20">
        <f t="shared" si="3"/>
        <v>-177667</v>
      </c>
      <c r="E34" s="20">
        <f t="shared" si="3"/>
        <v>219991</v>
      </c>
      <c r="F34" s="20">
        <f t="shared" si="3"/>
        <v>-172387</v>
      </c>
      <c r="G34" s="20">
        <f t="shared" si="3"/>
        <v>120180</v>
      </c>
      <c r="H34" s="20">
        <f t="shared" si="3"/>
        <v>196329</v>
      </c>
    </row>
    <row r="35" spans="2:8" ht="15.75" customHeight="1" x14ac:dyDescent="0.25">
      <c r="B35" s="18" t="s">
        <v>134</v>
      </c>
      <c r="C35" s="19">
        <v>78275</v>
      </c>
      <c r="D35" s="21">
        <f>C36</f>
        <v>336545</v>
      </c>
      <c r="E35" s="21">
        <f>D36</f>
        <v>158878</v>
      </c>
      <c r="F35" s="21">
        <f>E36</f>
        <v>378869</v>
      </c>
      <c r="G35" s="21">
        <f>F36</f>
        <v>206482</v>
      </c>
      <c r="H35" s="21">
        <f>G36</f>
        <v>326662</v>
      </c>
    </row>
    <row r="36" spans="2:8" ht="15.75" customHeight="1" x14ac:dyDescent="0.25">
      <c r="B36" s="17" t="s">
        <v>135</v>
      </c>
      <c r="C36" s="20">
        <f t="shared" ref="C36:H36" si="4">C34+C35</f>
        <v>336545</v>
      </c>
      <c r="D36" s="20">
        <f t="shared" si="4"/>
        <v>158878</v>
      </c>
      <c r="E36" s="20">
        <f t="shared" si="4"/>
        <v>378869</v>
      </c>
      <c r="F36" s="20">
        <f t="shared" si="4"/>
        <v>206482</v>
      </c>
      <c r="G36" s="20">
        <f t="shared" si="4"/>
        <v>326662</v>
      </c>
      <c r="H36" s="20">
        <f t="shared" si="4"/>
        <v>522991</v>
      </c>
    </row>
    <row r="37" spans="2:8" ht="15.75" customHeight="1" x14ac:dyDescent="0.25"/>
    <row r="38" spans="2:8" ht="15.75" customHeight="1" x14ac:dyDescent="0.25">
      <c r="B38" s="22" t="s">
        <v>136</v>
      </c>
    </row>
    <row r="39" spans="2:8" ht="15.75" customHeight="1" x14ac:dyDescent="0.25"/>
    <row r="40" spans="2:8" ht="15.75" customHeight="1" x14ac:dyDescent="0.25"/>
    <row r="41" spans="2:8" ht="15.75" customHeight="1" x14ac:dyDescent="0.25"/>
    <row r="42" spans="2:8" ht="15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0"/>
  <sheetViews>
    <sheetView zoomScale="90" zoomScaleNormal="90" workbookViewId="0">
      <selection activeCell="P32" sqref="P32"/>
    </sheetView>
  </sheetViews>
  <sheetFormatPr defaultColWidth="8.875" defaultRowHeight="15.75" x14ac:dyDescent="0.25"/>
  <cols>
    <col min="1" max="1" width="2" style="1" customWidth="1"/>
    <col min="2" max="2" width="42" style="1" customWidth="1"/>
    <col min="3" max="13" width="12" style="1" customWidth="1"/>
    <col min="14" max="14" width="14.625" style="1" customWidth="1"/>
    <col min="15" max="15" width="16" style="1" customWidth="1"/>
  </cols>
  <sheetData>
    <row r="1" spans="2:15" ht="10.5" customHeight="1" x14ac:dyDescent="0.25"/>
    <row r="2" spans="2:15" ht="24" customHeight="1" x14ac:dyDescent="0.4">
      <c r="B2" s="8" t="s">
        <v>16</v>
      </c>
    </row>
    <row r="4" spans="2:15" ht="15.75" customHeight="1" x14ac:dyDescent="0.25">
      <c r="B4" s="3" t="s">
        <v>137</v>
      </c>
      <c r="F4" s="23">
        <f ca="1">TODAY()</f>
        <v>46259</v>
      </c>
    </row>
    <row r="5" spans="2:15" ht="15.75" customHeight="1" x14ac:dyDescent="0.25">
      <c r="B5" s="3" t="s">
        <v>138</v>
      </c>
      <c r="F5" s="24"/>
    </row>
    <row r="6" spans="2:15" ht="15.75" customHeight="1" x14ac:dyDescent="0.25">
      <c r="B6" s="3" t="s">
        <v>139</v>
      </c>
      <c r="F6" s="25">
        <f>Main!C4</f>
        <v>37.241036999999999</v>
      </c>
    </row>
    <row r="7" spans="2:15" ht="15.75" customHeight="1" x14ac:dyDescent="0.25">
      <c r="B7" s="3" t="s">
        <v>140</v>
      </c>
      <c r="F7" s="26">
        <f ca="1">(IF(F4&gt;DATE(YEAR(F4),4,30),DATE(YEAR(F4)+1,4,30),DATE(YEAR(F4),4,30))-F4)/365</f>
        <v>0.67945205479452053</v>
      </c>
    </row>
    <row r="8" spans="2:15" ht="18.75" customHeight="1" x14ac:dyDescent="0.25"/>
    <row r="9" spans="2:15" ht="15.75" customHeight="1" x14ac:dyDescent="0.25">
      <c r="B9" s="2" t="s">
        <v>141</v>
      </c>
    </row>
    <row r="10" spans="2:15" ht="15.75" customHeight="1" x14ac:dyDescent="0.25"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142</v>
      </c>
      <c r="J10" s="2" t="s">
        <v>143</v>
      </c>
      <c r="K10" s="2" t="s">
        <v>144</v>
      </c>
      <c r="L10" s="2" t="s">
        <v>145</v>
      </c>
      <c r="M10" s="2" t="s">
        <v>146</v>
      </c>
    </row>
    <row r="11" spans="2:15" ht="15.75" customHeight="1" x14ac:dyDescent="0.25">
      <c r="B11" s="3" t="s">
        <v>147</v>
      </c>
      <c r="C11" s="27">
        <f>IS!C10</f>
        <v>8707189</v>
      </c>
      <c r="D11" s="27">
        <f>IS!D10</f>
        <v>12952594</v>
      </c>
      <c r="E11" s="27">
        <f>IS!E10</f>
        <v>15094475</v>
      </c>
      <c r="F11" s="27">
        <f>IS!F10</f>
        <v>14862913</v>
      </c>
      <c r="G11" s="27">
        <f>IS!G10</f>
        <v>15940899</v>
      </c>
      <c r="H11" s="27">
        <f>IS!H10</f>
        <v>17561101</v>
      </c>
      <c r="I11" s="24"/>
      <c r="J11" s="24"/>
      <c r="K11" s="24"/>
      <c r="L11" s="24"/>
      <c r="M11" s="24"/>
    </row>
    <row r="12" spans="2:15" ht="15.75" customHeight="1" x14ac:dyDescent="0.25"/>
    <row r="13" spans="2:15" ht="15.75" customHeight="1" x14ac:dyDescent="0.25">
      <c r="B13" s="3" t="s">
        <v>148</v>
      </c>
      <c r="C13" s="27">
        <f>IS!C16+IS!C15</f>
        <v>454049</v>
      </c>
      <c r="D13" s="27">
        <f>IS!D16+IS!D15</f>
        <v>497700</v>
      </c>
      <c r="E13" s="27">
        <f>IS!E16+IS!E15</f>
        <v>639333</v>
      </c>
      <c r="F13" s="27">
        <f>IS!F16+IS!F15</f>
        <v>709601</v>
      </c>
      <c r="G13" s="27">
        <f>IS!G16+IS!G15</f>
        <v>796400</v>
      </c>
      <c r="H13" s="27">
        <f>IS!H16+IS!H15</f>
        <v>1033657</v>
      </c>
      <c r="I13" s="24"/>
      <c r="J13" s="24"/>
      <c r="K13" s="24"/>
      <c r="L13" s="24"/>
      <c r="M13" s="24"/>
    </row>
    <row r="14" spans="2:15" ht="15.75" customHeight="1" x14ac:dyDescent="0.25"/>
    <row r="15" spans="2:15" ht="15.75" customHeight="1" x14ac:dyDescent="0.25">
      <c r="B15" s="3" t="s">
        <v>149</v>
      </c>
      <c r="C15" s="27">
        <f>IS!C14</f>
        <v>265195</v>
      </c>
      <c r="D15" s="27">
        <f>IS!D14</f>
        <v>303541</v>
      </c>
      <c r="E15" s="27">
        <f>IS!E14</f>
        <v>313131</v>
      </c>
      <c r="F15" s="27">
        <f>IS!F14</f>
        <v>349797</v>
      </c>
      <c r="G15" s="27">
        <f>IS!G14</f>
        <v>403647</v>
      </c>
      <c r="H15" s="27">
        <f>IS!H14</f>
        <v>449958</v>
      </c>
      <c r="I15" s="24"/>
      <c r="J15" s="24"/>
      <c r="K15" s="24"/>
      <c r="L15" s="24"/>
      <c r="M15" s="24"/>
      <c r="N15" s="3" t="s">
        <v>150</v>
      </c>
      <c r="O15" s="3" t="s">
        <v>151</v>
      </c>
    </row>
    <row r="16" spans="2:15" ht="15.75" customHeight="1" x14ac:dyDescent="0.25">
      <c r="B16" s="3" t="s">
        <v>152</v>
      </c>
      <c r="C16" s="28">
        <f t="shared" ref="C16:H16" si="0">C15/C11</f>
        <v>3.045701661006784E-2</v>
      </c>
      <c r="D16" s="28">
        <f t="shared" si="0"/>
        <v>2.3434765267868352E-2</v>
      </c>
      <c r="E16" s="28">
        <f t="shared" si="0"/>
        <v>2.0744742695588948E-2</v>
      </c>
      <c r="F16" s="28">
        <f t="shared" si="0"/>
        <v>2.3534888483838935E-2</v>
      </c>
      <c r="G16" s="28">
        <f t="shared" si="0"/>
        <v>2.5321470263377242E-2</v>
      </c>
      <c r="H16" s="28">
        <f t="shared" si="0"/>
        <v>2.5622425382098763E-2</v>
      </c>
      <c r="N16" s="28">
        <f>AVERAGE(C16:H16)</f>
        <v>2.485255145047335E-2</v>
      </c>
      <c r="O16" s="28">
        <f>AVERAGE(C16:H16)</f>
        <v>2.485255145047335E-2</v>
      </c>
    </row>
    <row r="17" spans="2:15" ht="15.75" customHeight="1" x14ac:dyDescent="0.25"/>
    <row r="18" spans="2:15" ht="18.75" customHeight="1" x14ac:dyDescent="0.25"/>
    <row r="19" spans="2:15" ht="15.75" customHeight="1" x14ac:dyDescent="0.25">
      <c r="B19" s="2" t="s">
        <v>153</v>
      </c>
    </row>
    <row r="20" spans="2:15" ht="15.75" customHeight="1" x14ac:dyDescent="0.25">
      <c r="C20" s="2" t="s">
        <v>64</v>
      </c>
      <c r="D20" s="2" t="s">
        <v>65</v>
      </c>
      <c r="E20" s="2" t="s">
        <v>66</v>
      </c>
      <c r="F20" s="2" t="s">
        <v>67</v>
      </c>
      <c r="G20" s="2" t="s">
        <v>68</v>
      </c>
      <c r="H20" s="2" t="s">
        <v>69</v>
      </c>
      <c r="I20" s="2" t="s">
        <v>142</v>
      </c>
      <c r="J20" s="2" t="s">
        <v>143</v>
      </c>
      <c r="K20" s="2" t="s">
        <v>144</v>
      </c>
      <c r="L20" s="2" t="s">
        <v>145</v>
      </c>
      <c r="M20" s="2" t="s">
        <v>146</v>
      </c>
    </row>
    <row r="21" spans="2:15" ht="15.75" customHeight="1" x14ac:dyDescent="0.25">
      <c r="B21" s="3" t="s">
        <v>154</v>
      </c>
      <c r="C21" s="27">
        <f>BS!C4</f>
        <v>79698</v>
      </c>
      <c r="D21" s="27">
        <f>BS!D4</f>
        <v>108028</v>
      </c>
      <c r="E21" s="27">
        <f>BS!E4</f>
        <v>120547</v>
      </c>
      <c r="F21" s="27">
        <f>BS!F4</f>
        <v>151793</v>
      </c>
      <c r="G21" s="27">
        <f>BS!G4</f>
        <v>180746</v>
      </c>
      <c r="H21" s="27">
        <f>BS!H4</f>
        <v>243502</v>
      </c>
      <c r="I21" s="29">
        <f>I32*I11</f>
        <v>0</v>
      </c>
      <c r="J21" s="29">
        <f>J32*J11</f>
        <v>0</v>
      </c>
      <c r="K21" s="29">
        <f>K32*K11</f>
        <v>0</v>
      </c>
      <c r="L21" s="29">
        <f>L32*L11</f>
        <v>0</v>
      </c>
      <c r="M21" s="29">
        <f>M32*M11</f>
        <v>0</v>
      </c>
    </row>
    <row r="22" spans="2:15" ht="15.75" customHeight="1" x14ac:dyDescent="0.25">
      <c r="B22" s="3" t="s">
        <v>73</v>
      </c>
      <c r="C22" s="27">
        <f>BS!C5</f>
        <v>286598</v>
      </c>
      <c r="D22" s="27">
        <f>BS!D5</f>
        <v>396199</v>
      </c>
      <c r="E22" s="27">
        <f>BS!E5</f>
        <v>376085</v>
      </c>
      <c r="F22" s="27">
        <f>BS!F5</f>
        <v>428722</v>
      </c>
      <c r="G22" s="27">
        <f>BS!G5</f>
        <v>480034</v>
      </c>
      <c r="H22" s="27">
        <f>BS!H5</f>
        <v>557151</v>
      </c>
      <c r="I22" s="29">
        <f>I33*I11</f>
        <v>0</v>
      </c>
      <c r="J22" s="29">
        <f>J33*J11</f>
        <v>0</v>
      </c>
      <c r="K22" s="29">
        <f>K33*K11</f>
        <v>0</v>
      </c>
      <c r="L22" s="29">
        <f>L33*L11</f>
        <v>0</v>
      </c>
      <c r="M22" s="29">
        <f>M33*M11</f>
        <v>0</v>
      </c>
    </row>
    <row r="23" spans="2:15" ht="15.75" customHeight="1" x14ac:dyDescent="0.25">
      <c r="B23" s="3" t="s">
        <v>155</v>
      </c>
      <c r="C23" s="27">
        <f>BS!C6</f>
        <v>11214</v>
      </c>
      <c r="D23" s="27">
        <f>BS!D6</f>
        <v>17859</v>
      </c>
      <c r="E23" s="27">
        <f>BS!E6</f>
        <v>22107</v>
      </c>
      <c r="F23" s="27">
        <f>BS!F6</f>
        <v>25791</v>
      </c>
      <c r="G23" s="27">
        <f>BS!G6</f>
        <v>24641</v>
      </c>
      <c r="H23" s="27">
        <f>BS!H6</f>
        <v>29783</v>
      </c>
      <c r="I23" s="29">
        <f>I34*I11</f>
        <v>0</v>
      </c>
      <c r="J23" s="29">
        <f>J34*J11</f>
        <v>0</v>
      </c>
      <c r="K23" s="29">
        <f>K34*K11</f>
        <v>0</v>
      </c>
      <c r="L23" s="29">
        <f>L34*L11</f>
        <v>0</v>
      </c>
      <c r="M23" s="29">
        <f>M34*M11</f>
        <v>0</v>
      </c>
    </row>
    <row r="24" spans="2:15" ht="15.75" customHeight="1" x14ac:dyDescent="0.25"/>
    <row r="25" spans="2:15" ht="15.75" customHeight="1" x14ac:dyDescent="0.25">
      <c r="B25" s="3" t="s">
        <v>156</v>
      </c>
      <c r="C25" s="27">
        <f>BS!C23</f>
        <v>355471</v>
      </c>
      <c r="D25" s="27">
        <f>BS!D23</f>
        <v>588783</v>
      </c>
      <c r="E25" s="27">
        <f>BS!E23</f>
        <v>560546</v>
      </c>
      <c r="F25" s="27">
        <f>BS!F23</f>
        <v>569527</v>
      </c>
      <c r="G25" s="27">
        <f>BS!G23</f>
        <v>620447</v>
      </c>
      <c r="H25" s="27">
        <f>BS!H23</f>
        <v>823804</v>
      </c>
      <c r="I25" s="29">
        <f>I35*I11</f>
        <v>0</v>
      </c>
      <c r="J25" s="29">
        <f>J35*J11</f>
        <v>0</v>
      </c>
      <c r="K25" s="29">
        <f>K35*K11</f>
        <v>0</v>
      </c>
      <c r="L25" s="29">
        <f>L35*L11</f>
        <v>0</v>
      </c>
      <c r="M25" s="29">
        <f>M35*M11</f>
        <v>0</v>
      </c>
    </row>
    <row r="26" spans="2:15" ht="15.75" customHeight="1" x14ac:dyDescent="0.25">
      <c r="B26" s="3" t="s">
        <v>157</v>
      </c>
      <c r="C26" s="27">
        <f>BS!C24+BS!C25+BS!C26+BS!C28</f>
        <v>254924</v>
      </c>
      <c r="D26" s="27">
        <f>BS!D24+BS!D25+BS!D26+BS!D28</f>
        <v>291429</v>
      </c>
      <c r="E26" s="27">
        <f>BS!E24+BS!E25+BS!E26+BS!E28</f>
        <v>313718</v>
      </c>
      <c r="F26" s="27">
        <f>BS!F24+BS!F25+BS!F26+BS!F28</f>
        <v>330758</v>
      </c>
      <c r="G26" s="27">
        <f>BS!G24+BS!G25+BS!G26+BS!G28</f>
        <v>371674</v>
      </c>
      <c r="H26" s="27">
        <f>BS!H24+BS!H25+BS!H26+BS!H28</f>
        <v>411248</v>
      </c>
      <c r="I26" s="29">
        <f>I36*I11</f>
        <v>0</v>
      </c>
      <c r="J26" s="29">
        <f>J36*J11</f>
        <v>0</v>
      </c>
      <c r="K26" s="29">
        <f>K36*K11</f>
        <v>0</v>
      </c>
      <c r="L26" s="29">
        <f>L36*L11</f>
        <v>0</v>
      </c>
      <c r="M26" s="29">
        <f>M36*M11</f>
        <v>0</v>
      </c>
    </row>
    <row r="27" spans="2:15" ht="15.75" customHeight="1" x14ac:dyDescent="0.25"/>
    <row r="28" spans="2:15" ht="15.75" customHeight="1" x14ac:dyDescent="0.25">
      <c r="B28" s="3" t="s">
        <v>158</v>
      </c>
      <c r="C28" s="27">
        <f>BS!C22+BS!C30</f>
        <v>1363749</v>
      </c>
      <c r="D28" s="27">
        <f>BS!D22+BS!D30</f>
        <v>1687869</v>
      </c>
      <c r="E28" s="27">
        <f>BS!E22+BS!E30</f>
        <v>1673374</v>
      </c>
      <c r="F28" s="27">
        <f>BS!F22+BS!F30</f>
        <v>1635939</v>
      </c>
      <c r="G28" s="27">
        <f>BS!G22+BS!G30</f>
        <v>2508545</v>
      </c>
      <c r="H28" s="27">
        <f>BS!H22+BS!H30</f>
        <v>2431594</v>
      </c>
    </row>
    <row r="29" spans="2:15" ht="15.75" customHeight="1" x14ac:dyDescent="0.25"/>
    <row r="30" spans="2:15" ht="15.75" customHeight="1" x14ac:dyDescent="0.25">
      <c r="B30" s="3" t="s">
        <v>159</v>
      </c>
      <c r="C30" s="27">
        <f>CFS!C19</f>
        <v>-441252</v>
      </c>
      <c r="D30" s="27">
        <f>CFS!D19</f>
        <v>-326475</v>
      </c>
      <c r="E30" s="27">
        <f>CFS!E19</f>
        <v>-476568</v>
      </c>
      <c r="F30" s="27">
        <f>CFS!F19</f>
        <v>-522004</v>
      </c>
      <c r="G30" s="27">
        <f>CFS!G19</f>
        <v>-506224</v>
      </c>
      <c r="H30" s="27">
        <f>CFS!H19</f>
        <v>-655920</v>
      </c>
      <c r="I30" s="29">
        <f>I37*I11</f>
        <v>0</v>
      </c>
      <c r="J30" s="29">
        <f>J37*J11</f>
        <v>0</v>
      </c>
      <c r="K30" s="29">
        <f>K37*K11</f>
        <v>0</v>
      </c>
      <c r="L30" s="29">
        <f>L37*L11</f>
        <v>0</v>
      </c>
      <c r="M30" s="29">
        <f>M37*M11</f>
        <v>0</v>
      </c>
    </row>
    <row r="31" spans="2:15" ht="15.75" customHeight="1" x14ac:dyDescent="0.25"/>
    <row r="32" spans="2:15" ht="15.75" customHeight="1" x14ac:dyDescent="0.25">
      <c r="B32" s="3" t="s">
        <v>160</v>
      </c>
      <c r="C32" s="28">
        <f t="shared" ref="C32:H32" si="1">C21/C11</f>
        <v>9.1531262270751219E-3</v>
      </c>
      <c r="D32" s="28">
        <f t="shared" si="1"/>
        <v>8.3402598738136925E-3</v>
      </c>
      <c r="E32" s="28">
        <f t="shared" si="1"/>
        <v>7.9861671240636055E-3</v>
      </c>
      <c r="F32" s="28">
        <f t="shared" si="1"/>
        <v>1.0212870115030614E-2</v>
      </c>
      <c r="G32" s="28">
        <f t="shared" si="1"/>
        <v>1.1338507320070216E-2</v>
      </c>
      <c r="H32" s="28">
        <f t="shared" si="1"/>
        <v>1.3865987104111525E-2</v>
      </c>
      <c r="I32" s="28">
        <f>$N$32</f>
        <v>1.0149486294027463E-2</v>
      </c>
      <c r="J32" s="28">
        <f>$N$32</f>
        <v>1.0149486294027463E-2</v>
      </c>
      <c r="K32" s="28">
        <f>$N$32</f>
        <v>1.0149486294027463E-2</v>
      </c>
      <c r="L32" s="28">
        <f>$N$32</f>
        <v>1.0149486294027463E-2</v>
      </c>
      <c r="M32" s="28">
        <f>$N$32</f>
        <v>1.0149486294027463E-2</v>
      </c>
      <c r="N32" s="28">
        <f t="shared" ref="N32:N37" si="2">AVERAGE(C32:H32)</f>
        <v>1.0149486294027463E-2</v>
      </c>
      <c r="O32" s="3" t="s">
        <v>161</v>
      </c>
    </row>
    <row r="33" spans="2:15" ht="15.75" customHeight="1" x14ac:dyDescent="0.25">
      <c r="B33" s="3" t="s">
        <v>162</v>
      </c>
      <c r="C33" s="28">
        <f t="shared" ref="C33:H33" si="3">C22/C11</f>
        <v>3.291510038429165E-2</v>
      </c>
      <c r="D33" s="28">
        <f t="shared" si="3"/>
        <v>3.0588390248316284E-2</v>
      </c>
      <c r="E33" s="28">
        <f t="shared" si="3"/>
        <v>2.4915407789936384E-2</v>
      </c>
      <c r="F33" s="28">
        <f t="shared" si="3"/>
        <v>2.8845085751359776E-2</v>
      </c>
      <c r="G33" s="28">
        <f t="shared" si="3"/>
        <v>3.0113358098561444E-2</v>
      </c>
      <c r="H33" s="28">
        <f t="shared" si="3"/>
        <v>3.1726427631160486E-2</v>
      </c>
      <c r="I33" s="28">
        <f>$N$33</f>
        <v>2.9850628317271002E-2</v>
      </c>
      <c r="J33" s="28">
        <f>$N$33</f>
        <v>2.9850628317271002E-2</v>
      </c>
      <c r="K33" s="28">
        <f>$N$33</f>
        <v>2.9850628317271002E-2</v>
      </c>
      <c r="L33" s="28">
        <f>$N$33</f>
        <v>2.9850628317271002E-2</v>
      </c>
      <c r="M33" s="28">
        <f>$N$33</f>
        <v>2.9850628317271002E-2</v>
      </c>
      <c r="N33" s="28">
        <f t="shared" si="2"/>
        <v>2.9850628317271002E-2</v>
      </c>
      <c r="O33" s="3" t="s">
        <v>161</v>
      </c>
    </row>
    <row r="34" spans="2:15" ht="15.75" customHeight="1" x14ac:dyDescent="0.25">
      <c r="B34" s="3" t="s">
        <v>163</v>
      </c>
      <c r="C34" s="28">
        <f t="shared" ref="C34:H34" si="4">C23/C11</f>
        <v>1.2879012962736882E-3</v>
      </c>
      <c r="D34" s="28">
        <f t="shared" si="4"/>
        <v>1.3787971737553111E-3</v>
      </c>
      <c r="E34" s="28">
        <f t="shared" si="4"/>
        <v>1.4645756145874567E-3</v>
      </c>
      <c r="F34" s="28">
        <f t="shared" si="4"/>
        <v>1.7352587611863166E-3</v>
      </c>
      <c r="G34" s="28">
        <f t="shared" si="4"/>
        <v>1.5457722930181039E-3</v>
      </c>
      <c r="H34" s="28">
        <f t="shared" si="4"/>
        <v>1.695964279232834E-3</v>
      </c>
      <c r="I34" s="28">
        <f>$N$34</f>
        <v>1.5180449030089518E-3</v>
      </c>
      <c r="J34" s="28">
        <f>$N$34</f>
        <v>1.5180449030089518E-3</v>
      </c>
      <c r="K34" s="28">
        <f>$N$34</f>
        <v>1.5180449030089518E-3</v>
      </c>
      <c r="L34" s="28">
        <f>$N$34</f>
        <v>1.5180449030089518E-3</v>
      </c>
      <c r="M34" s="28">
        <f>$N$34</f>
        <v>1.5180449030089518E-3</v>
      </c>
      <c r="N34" s="28">
        <f t="shared" si="2"/>
        <v>1.5180449030089518E-3</v>
      </c>
      <c r="O34" s="3" t="s">
        <v>161</v>
      </c>
    </row>
    <row r="35" spans="2:15" ht="15.75" customHeight="1" x14ac:dyDescent="0.25">
      <c r="B35" s="3" t="s">
        <v>164</v>
      </c>
      <c r="C35" s="28">
        <f t="shared" ref="C35:H35" si="5">C25/C11</f>
        <v>4.0825001042242223E-2</v>
      </c>
      <c r="D35" s="28">
        <f t="shared" si="5"/>
        <v>4.5456763332503126E-2</v>
      </c>
      <c r="E35" s="28">
        <f t="shared" si="5"/>
        <v>3.7135839437940042E-2</v>
      </c>
      <c r="F35" s="28">
        <f t="shared" si="5"/>
        <v>3.8318666064990084E-2</v>
      </c>
      <c r="G35" s="28">
        <f t="shared" si="5"/>
        <v>3.8921706987792848E-2</v>
      </c>
      <c r="H35" s="28">
        <f t="shared" si="5"/>
        <v>4.6910726155495602E-2</v>
      </c>
      <c r="I35" s="28">
        <f>$N$35</f>
        <v>4.1261450503493988E-2</v>
      </c>
      <c r="J35" s="28">
        <f>$N$35</f>
        <v>4.1261450503493988E-2</v>
      </c>
      <c r="K35" s="28">
        <f>$N$35</f>
        <v>4.1261450503493988E-2</v>
      </c>
      <c r="L35" s="28">
        <f>$N$35</f>
        <v>4.1261450503493988E-2</v>
      </c>
      <c r="M35" s="28">
        <f>$N$35</f>
        <v>4.1261450503493988E-2</v>
      </c>
      <c r="N35" s="28">
        <f t="shared" si="2"/>
        <v>4.1261450503493988E-2</v>
      </c>
      <c r="O35" s="3" t="s">
        <v>161</v>
      </c>
    </row>
    <row r="36" spans="2:15" ht="15.75" customHeight="1" x14ac:dyDescent="0.25">
      <c r="B36" s="3" t="s">
        <v>165</v>
      </c>
      <c r="C36" s="28">
        <f t="shared" ref="C36:H36" si="6">C26/C11</f>
        <v>2.9277416626651839E-2</v>
      </c>
      <c r="D36" s="28">
        <f t="shared" si="6"/>
        <v>2.2499663001866652E-2</v>
      </c>
      <c r="E36" s="28">
        <f t="shared" si="6"/>
        <v>2.07836310968086E-2</v>
      </c>
      <c r="F36" s="28">
        <f t="shared" si="6"/>
        <v>2.2253914828136316E-2</v>
      </c>
      <c r="G36" s="28">
        <f t="shared" si="6"/>
        <v>2.3315749005121983E-2</v>
      </c>
      <c r="H36" s="28">
        <f t="shared" si="6"/>
        <v>2.3418121676995082E-2</v>
      </c>
      <c r="I36" s="28">
        <f>$N$36</f>
        <v>2.3591416039263412E-2</v>
      </c>
      <c r="J36" s="28">
        <f>$N$36</f>
        <v>2.3591416039263412E-2</v>
      </c>
      <c r="K36" s="28">
        <f>$N$36</f>
        <v>2.3591416039263412E-2</v>
      </c>
      <c r="L36" s="28">
        <f>$N$36</f>
        <v>2.3591416039263412E-2</v>
      </c>
      <c r="M36" s="28">
        <f>$N$36</f>
        <v>2.3591416039263412E-2</v>
      </c>
      <c r="N36" s="28">
        <f t="shared" si="2"/>
        <v>2.3591416039263412E-2</v>
      </c>
      <c r="O36" s="3" t="s">
        <v>161</v>
      </c>
    </row>
    <row r="37" spans="2:15" ht="15.75" customHeight="1" x14ac:dyDescent="0.25">
      <c r="B37" s="3" t="s">
        <v>166</v>
      </c>
      <c r="C37" s="28">
        <f t="shared" ref="C37:H37" si="7">C30/C11</f>
        <v>-5.0676745388207378E-2</v>
      </c>
      <c r="D37" s="28">
        <f t="shared" si="7"/>
        <v>-2.5205375849810471E-2</v>
      </c>
      <c r="E37" s="28">
        <f t="shared" si="7"/>
        <v>-3.1572346835514319E-2</v>
      </c>
      <c r="F37" s="28">
        <f t="shared" si="7"/>
        <v>-3.5121244402089954E-2</v>
      </c>
      <c r="G37" s="28">
        <f t="shared" si="7"/>
        <v>-3.1756301824633605E-2</v>
      </c>
      <c r="H37" s="28">
        <f t="shared" si="7"/>
        <v>-3.7350733305388996E-2</v>
      </c>
      <c r="I37" s="28">
        <f>$N$37</f>
        <v>-3.5280457934274118E-2</v>
      </c>
      <c r="J37" s="28">
        <f>$N$37</f>
        <v>-3.5280457934274118E-2</v>
      </c>
      <c r="K37" s="28">
        <f>$N$37</f>
        <v>-3.5280457934274118E-2</v>
      </c>
      <c r="L37" s="28">
        <f>$N$37</f>
        <v>-3.5280457934274118E-2</v>
      </c>
      <c r="M37" s="28">
        <f>$N$37</f>
        <v>-3.5280457934274118E-2</v>
      </c>
      <c r="N37" s="28">
        <f t="shared" si="2"/>
        <v>-3.5280457934274118E-2</v>
      </c>
      <c r="O37" s="3" t="s">
        <v>161</v>
      </c>
    </row>
    <row r="38" spans="2:15" ht="15.75" customHeight="1" x14ac:dyDescent="0.25"/>
    <row r="39" spans="2:15" ht="15.75" customHeight="1" x14ac:dyDescent="0.25">
      <c r="B39" s="3" t="s">
        <v>167</v>
      </c>
      <c r="D39" s="28">
        <f t="shared" ref="D39:H41" si="8">IFERROR((D21/C21)-1,0)</f>
        <v>0.35546688750031374</v>
      </c>
      <c r="E39" s="28">
        <f t="shared" si="8"/>
        <v>0.11588662198689237</v>
      </c>
      <c r="F39" s="28">
        <f t="shared" si="8"/>
        <v>0.25920180510506285</v>
      </c>
      <c r="G39" s="28">
        <f t="shared" si="8"/>
        <v>0.19074002094958264</v>
      </c>
      <c r="H39" s="28">
        <f t="shared" si="8"/>
        <v>0.34720547066048479</v>
      </c>
    </row>
    <row r="40" spans="2:15" ht="15.75" customHeight="1" x14ac:dyDescent="0.25">
      <c r="B40" s="3" t="s">
        <v>168</v>
      </c>
      <c r="D40" s="28">
        <f t="shared" si="8"/>
        <v>0.38242067285884751</v>
      </c>
      <c r="E40" s="28">
        <f t="shared" si="8"/>
        <v>-5.0767417383688507E-2</v>
      </c>
      <c r="F40" s="28">
        <f t="shared" si="8"/>
        <v>0.13996038129678134</v>
      </c>
      <c r="G40" s="28">
        <f t="shared" si="8"/>
        <v>0.11968595033611518</v>
      </c>
      <c r="H40" s="28">
        <f t="shared" si="8"/>
        <v>0.1606490373598537</v>
      </c>
    </row>
    <row r="41" spans="2:15" ht="15.75" customHeight="1" x14ac:dyDescent="0.25">
      <c r="B41" s="3" t="s">
        <v>169</v>
      </c>
      <c r="D41" s="28">
        <f t="shared" si="8"/>
        <v>0.59256286784376666</v>
      </c>
      <c r="E41" s="28">
        <f t="shared" si="8"/>
        <v>0.23786326222072907</v>
      </c>
      <c r="F41" s="28">
        <f t="shared" si="8"/>
        <v>0.16664404939611899</v>
      </c>
      <c r="G41" s="28">
        <f t="shared" si="8"/>
        <v>-4.4589197782172074E-2</v>
      </c>
      <c r="H41" s="28">
        <f t="shared" si="8"/>
        <v>0.20867659591737353</v>
      </c>
    </row>
    <row r="42" spans="2:15" ht="15.75" customHeight="1" x14ac:dyDescent="0.25">
      <c r="B42" s="3" t="s">
        <v>170</v>
      </c>
      <c r="D42" s="28">
        <f t="shared" ref="D42:H43" si="9">IFERROR((D25/C25)-1,0)</f>
        <v>0.65634608730388688</v>
      </c>
      <c r="E42" s="28">
        <f t="shared" si="9"/>
        <v>-4.795824607707766E-2</v>
      </c>
      <c r="F42" s="28">
        <f t="shared" si="9"/>
        <v>1.6021878668298406E-2</v>
      </c>
      <c r="G42" s="28">
        <f t="shared" si="9"/>
        <v>8.9407525894294793E-2</v>
      </c>
      <c r="H42" s="28">
        <f t="shared" si="9"/>
        <v>0.32775885772676805</v>
      </c>
    </row>
    <row r="43" spans="2:15" ht="15.75" customHeight="1" x14ac:dyDescent="0.25">
      <c r="B43" s="3" t="s">
        <v>171</v>
      </c>
      <c r="D43" s="28">
        <f t="shared" si="9"/>
        <v>0.14319954182423</v>
      </c>
      <c r="E43" s="28">
        <f t="shared" si="9"/>
        <v>7.6481750271935933E-2</v>
      </c>
      <c r="F43" s="28">
        <f t="shared" si="9"/>
        <v>5.4316296801586228E-2</v>
      </c>
      <c r="G43" s="28">
        <f t="shared" si="9"/>
        <v>0.12370373505705068</v>
      </c>
      <c r="H43" s="28">
        <f t="shared" si="9"/>
        <v>0.10647502919224916</v>
      </c>
    </row>
    <row r="44" spans="2:15" ht="15.75" customHeight="1" x14ac:dyDescent="0.25">
      <c r="B44" s="3" t="s">
        <v>172</v>
      </c>
      <c r="D44" s="28">
        <f>IFERROR((D30/C30)-1,0)</f>
        <v>-0.26011666802643385</v>
      </c>
      <c r="E44" s="28">
        <f>IFERROR((E30/D30)-1,0)</f>
        <v>0.45973811164713996</v>
      </c>
      <c r="F44" s="28">
        <f>IFERROR((F30/E30)-1,0)</f>
        <v>9.5340014436554599E-2</v>
      </c>
      <c r="G44" s="28">
        <f>IFERROR((G30/F30)-1,0)</f>
        <v>-3.0229653412617519E-2</v>
      </c>
      <c r="H44" s="28">
        <f>IFERROR((H30/G30)-1,0)</f>
        <v>0.29571098960144115</v>
      </c>
    </row>
    <row r="45" spans="2:15" ht="18.75" customHeight="1" x14ac:dyDescent="0.25"/>
    <row r="46" spans="2:15" ht="15.75" customHeight="1" x14ac:dyDescent="0.25">
      <c r="B46" s="2" t="s">
        <v>173</v>
      </c>
      <c r="I46" s="3" t="s">
        <v>174</v>
      </c>
    </row>
    <row r="47" spans="2:15" ht="15.75" customHeight="1" x14ac:dyDescent="0.25">
      <c r="B47" s="3" t="s">
        <v>175</v>
      </c>
      <c r="C47" s="2" t="s">
        <v>64</v>
      </c>
      <c r="D47" s="2" t="s">
        <v>65</v>
      </c>
      <c r="E47" s="2" t="s">
        <v>66</v>
      </c>
      <c r="F47" s="2" t="s">
        <v>67</v>
      </c>
      <c r="G47" s="2" t="s">
        <v>68</v>
      </c>
      <c r="H47" s="2" t="s">
        <v>69</v>
      </c>
      <c r="I47" s="2" t="s">
        <v>142</v>
      </c>
      <c r="J47" s="2" t="s">
        <v>143</v>
      </c>
      <c r="K47" s="2" t="s">
        <v>144</v>
      </c>
      <c r="L47" s="2" t="s">
        <v>145</v>
      </c>
      <c r="M47" s="2" t="s">
        <v>146</v>
      </c>
    </row>
    <row r="48" spans="2:15" ht="15.75" customHeight="1" x14ac:dyDescent="0.25">
      <c r="B48" s="3" t="s">
        <v>176</v>
      </c>
      <c r="I48" s="26">
        <f ca="1">$F$7/2</f>
        <v>0.33972602739726027</v>
      </c>
      <c r="J48" s="26">
        <f ca="1">I48+1</f>
        <v>1.3397260273972602</v>
      </c>
      <c r="K48" s="26">
        <f ca="1">J48+1</f>
        <v>2.3397260273972602</v>
      </c>
      <c r="L48" s="26">
        <f ca="1">K48+1</f>
        <v>3.3397260273972602</v>
      </c>
      <c r="M48" s="26">
        <f ca="1">L48+1</f>
        <v>4.3397260273972602</v>
      </c>
    </row>
    <row r="49" spans="2:13" ht="15.75" customHeight="1" x14ac:dyDescent="0.25">
      <c r="B49" s="3" t="s">
        <v>177</v>
      </c>
      <c r="C49" s="29">
        <f t="shared" ref="C49:M49" si="10">C11</f>
        <v>8707189</v>
      </c>
      <c r="D49" s="29">
        <f t="shared" si="10"/>
        <v>12952594</v>
      </c>
      <c r="E49" s="29">
        <f t="shared" si="10"/>
        <v>15094475</v>
      </c>
      <c r="F49" s="29">
        <f t="shared" si="10"/>
        <v>14862913</v>
      </c>
      <c r="G49" s="29">
        <f t="shared" si="10"/>
        <v>15940899</v>
      </c>
      <c r="H49" s="29">
        <f t="shared" si="10"/>
        <v>17561101</v>
      </c>
      <c r="I49" s="29">
        <f t="shared" si="10"/>
        <v>0</v>
      </c>
      <c r="J49" s="29">
        <f t="shared" si="10"/>
        <v>0</v>
      </c>
      <c r="K49" s="29">
        <f t="shared" si="10"/>
        <v>0</v>
      </c>
      <c r="L49" s="29">
        <f t="shared" si="10"/>
        <v>0</v>
      </c>
      <c r="M49" s="29">
        <f t="shared" si="10"/>
        <v>0</v>
      </c>
    </row>
    <row r="50" spans="2:13" ht="15.75" customHeight="1" x14ac:dyDescent="0.25">
      <c r="B50" s="3" t="s">
        <v>148</v>
      </c>
      <c r="C50" s="29">
        <f t="shared" ref="C50:M50" si="11">C13</f>
        <v>454049</v>
      </c>
      <c r="D50" s="29">
        <f t="shared" si="11"/>
        <v>497700</v>
      </c>
      <c r="E50" s="29">
        <f t="shared" si="11"/>
        <v>639333</v>
      </c>
      <c r="F50" s="29">
        <f t="shared" si="11"/>
        <v>709601</v>
      </c>
      <c r="G50" s="29">
        <f t="shared" si="11"/>
        <v>796400</v>
      </c>
      <c r="H50" s="29">
        <f t="shared" si="11"/>
        <v>1033657</v>
      </c>
      <c r="I50" s="29">
        <f t="shared" si="11"/>
        <v>0</v>
      </c>
      <c r="J50" s="29">
        <f t="shared" si="11"/>
        <v>0</v>
      </c>
      <c r="K50" s="29">
        <f t="shared" si="11"/>
        <v>0</v>
      </c>
      <c r="L50" s="29">
        <f t="shared" si="11"/>
        <v>0</v>
      </c>
      <c r="M50" s="29">
        <f t="shared" si="11"/>
        <v>0</v>
      </c>
    </row>
    <row r="51" spans="2:13" ht="15.75" customHeight="1" x14ac:dyDescent="0.25">
      <c r="B51" s="3" t="s">
        <v>58</v>
      </c>
      <c r="C51" s="30">
        <f>IS!C7</f>
        <v>0.23190220192944988</v>
      </c>
      <c r="D51" s="30">
        <f>IS!D7</f>
        <v>0.22902561216895681</v>
      </c>
      <c r="E51" s="30">
        <f>IS!E7</f>
        <v>0.23969818797041112</v>
      </c>
      <c r="F51" s="30">
        <f>IS!F7</f>
        <v>0.23498536942209217</v>
      </c>
      <c r="G51" s="30">
        <f>IS!G7</f>
        <v>0.23289947771700151</v>
      </c>
      <c r="H51" s="30">
        <f>IS!H7</f>
        <v>0.23753419072957654</v>
      </c>
      <c r="I51" s="24"/>
      <c r="J51" s="26">
        <f>I51</f>
        <v>0</v>
      </c>
      <c r="K51" s="26">
        <f>J51</f>
        <v>0</v>
      </c>
      <c r="L51" s="26">
        <f>K51</f>
        <v>0</v>
      </c>
      <c r="M51" s="26">
        <f>L51</f>
        <v>0</v>
      </c>
    </row>
    <row r="52" spans="2:13" ht="15.75" customHeight="1" x14ac:dyDescent="0.25">
      <c r="B52" s="3" t="s">
        <v>178</v>
      </c>
      <c r="C52" s="29">
        <f t="shared" ref="C52:M52" si="12">C50*(1-C51)</f>
        <v>348754.03711613524</v>
      </c>
      <c r="D52" s="29">
        <f t="shared" si="12"/>
        <v>383713.95282351022</v>
      </c>
      <c r="E52" s="29">
        <f t="shared" si="12"/>
        <v>486086.03839031316</v>
      </c>
      <c r="F52" s="29">
        <f t="shared" si="12"/>
        <v>542855.14687271405</v>
      </c>
      <c r="G52" s="29">
        <f t="shared" si="12"/>
        <v>610918.85594618006</v>
      </c>
      <c r="H52" s="29">
        <f t="shared" si="12"/>
        <v>788128.12101303821</v>
      </c>
      <c r="I52" s="29">
        <f t="shared" si="12"/>
        <v>0</v>
      </c>
      <c r="J52" s="29">
        <f t="shared" si="12"/>
        <v>0</v>
      </c>
      <c r="K52" s="29">
        <f t="shared" si="12"/>
        <v>0</v>
      </c>
      <c r="L52" s="29">
        <f t="shared" si="12"/>
        <v>0</v>
      </c>
      <c r="M52" s="29">
        <f t="shared" si="12"/>
        <v>0</v>
      </c>
    </row>
    <row r="53" spans="2:13" ht="15.75" customHeight="1" x14ac:dyDescent="0.25">
      <c r="B53" s="3" t="s">
        <v>149</v>
      </c>
      <c r="C53" s="29">
        <f t="shared" ref="C53:M53" si="13">C15</f>
        <v>265195</v>
      </c>
      <c r="D53" s="29">
        <f t="shared" si="13"/>
        <v>303541</v>
      </c>
      <c r="E53" s="29">
        <f t="shared" si="13"/>
        <v>313131</v>
      </c>
      <c r="F53" s="29">
        <f t="shared" si="13"/>
        <v>349797</v>
      </c>
      <c r="G53" s="29">
        <f t="shared" si="13"/>
        <v>403647</v>
      </c>
      <c r="H53" s="29">
        <f t="shared" si="13"/>
        <v>449958</v>
      </c>
      <c r="I53" s="29">
        <f t="shared" si="13"/>
        <v>0</v>
      </c>
      <c r="J53" s="29">
        <f t="shared" si="13"/>
        <v>0</v>
      </c>
      <c r="K53" s="29">
        <f t="shared" si="13"/>
        <v>0</v>
      </c>
      <c r="L53" s="29">
        <f t="shared" si="13"/>
        <v>0</v>
      </c>
      <c r="M53" s="29">
        <f t="shared" si="13"/>
        <v>0</v>
      </c>
    </row>
    <row r="54" spans="2:13" ht="15.75" customHeight="1" x14ac:dyDescent="0.25">
      <c r="B54" s="3" t="s">
        <v>179</v>
      </c>
      <c r="C54" s="31">
        <v>0</v>
      </c>
      <c r="D54" s="29">
        <f t="shared" ref="D54:M54" si="14">(D21-C21)*-1</f>
        <v>-28330</v>
      </c>
      <c r="E54" s="29">
        <f t="shared" si="14"/>
        <v>-12519</v>
      </c>
      <c r="F54" s="29">
        <f t="shared" si="14"/>
        <v>-31246</v>
      </c>
      <c r="G54" s="29">
        <f t="shared" si="14"/>
        <v>-28953</v>
      </c>
      <c r="H54" s="29">
        <f t="shared" si="14"/>
        <v>-62756</v>
      </c>
      <c r="I54" s="29">
        <f t="shared" si="14"/>
        <v>243502</v>
      </c>
      <c r="J54" s="29">
        <f t="shared" si="14"/>
        <v>0</v>
      </c>
      <c r="K54" s="29">
        <f t="shared" si="14"/>
        <v>0</v>
      </c>
      <c r="L54" s="29">
        <f t="shared" si="14"/>
        <v>0</v>
      </c>
      <c r="M54" s="29">
        <f t="shared" si="14"/>
        <v>0</v>
      </c>
    </row>
    <row r="55" spans="2:13" ht="15.75" customHeight="1" x14ac:dyDescent="0.25">
      <c r="B55" s="3" t="s">
        <v>180</v>
      </c>
      <c r="C55" s="31">
        <v>0</v>
      </c>
      <c r="D55" s="29">
        <f t="shared" ref="D55:M55" si="15">(D22-C22)*-1</f>
        <v>-109601</v>
      </c>
      <c r="E55" s="29">
        <f t="shared" si="15"/>
        <v>20114</v>
      </c>
      <c r="F55" s="29">
        <f t="shared" si="15"/>
        <v>-52637</v>
      </c>
      <c r="G55" s="29">
        <f t="shared" si="15"/>
        <v>-51312</v>
      </c>
      <c r="H55" s="29">
        <f t="shared" si="15"/>
        <v>-77117</v>
      </c>
      <c r="I55" s="29">
        <f t="shared" si="15"/>
        <v>557151</v>
      </c>
      <c r="J55" s="29">
        <f t="shared" si="15"/>
        <v>0</v>
      </c>
      <c r="K55" s="29">
        <f t="shared" si="15"/>
        <v>0</v>
      </c>
      <c r="L55" s="29">
        <f t="shared" si="15"/>
        <v>0</v>
      </c>
      <c r="M55" s="29">
        <f t="shared" si="15"/>
        <v>0</v>
      </c>
    </row>
    <row r="56" spans="2:13" ht="15.75" customHeight="1" x14ac:dyDescent="0.25">
      <c r="B56" s="3" t="s">
        <v>181</v>
      </c>
      <c r="C56" s="31">
        <v>0</v>
      </c>
      <c r="D56" s="29">
        <f t="shared" ref="D56:M56" si="16">(D23-C23)*-1</f>
        <v>-6645</v>
      </c>
      <c r="E56" s="29">
        <f t="shared" si="16"/>
        <v>-4248</v>
      </c>
      <c r="F56" s="29">
        <f t="shared" si="16"/>
        <v>-3684</v>
      </c>
      <c r="G56" s="29">
        <f t="shared" si="16"/>
        <v>1150</v>
      </c>
      <c r="H56" s="29">
        <f t="shared" si="16"/>
        <v>-5142</v>
      </c>
      <c r="I56" s="29">
        <f t="shared" si="16"/>
        <v>29783</v>
      </c>
      <c r="J56" s="29">
        <f t="shared" si="16"/>
        <v>0</v>
      </c>
      <c r="K56" s="29">
        <f t="shared" si="16"/>
        <v>0</v>
      </c>
      <c r="L56" s="29">
        <f t="shared" si="16"/>
        <v>0</v>
      </c>
      <c r="M56" s="29">
        <f t="shared" si="16"/>
        <v>0</v>
      </c>
    </row>
    <row r="57" spans="2:13" ht="15.75" customHeight="1" x14ac:dyDescent="0.25">
      <c r="B57" s="3" t="s">
        <v>182</v>
      </c>
      <c r="C57" s="31">
        <v>0</v>
      </c>
      <c r="D57" s="29">
        <f t="shared" ref="D57:M57" si="17">(D25-C25)</f>
        <v>233312</v>
      </c>
      <c r="E57" s="29">
        <f t="shared" si="17"/>
        <v>-28237</v>
      </c>
      <c r="F57" s="29">
        <f t="shared" si="17"/>
        <v>8981</v>
      </c>
      <c r="G57" s="29">
        <f t="shared" si="17"/>
        <v>50920</v>
      </c>
      <c r="H57" s="29">
        <f t="shared" si="17"/>
        <v>203357</v>
      </c>
      <c r="I57" s="29">
        <f t="shared" si="17"/>
        <v>-823804</v>
      </c>
      <c r="J57" s="29">
        <f t="shared" si="17"/>
        <v>0</v>
      </c>
      <c r="K57" s="29">
        <f t="shared" si="17"/>
        <v>0</v>
      </c>
      <c r="L57" s="29">
        <f t="shared" si="17"/>
        <v>0</v>
      </c>
      <c r="M57" s="29">
        <f t="shared" si="17"/>
        <v>0</v>
      </c>
    </row>
    <row r="58" spans="2:13" ht="15.75" customHeight="1" x14ac:dyDescent="0.25">
      <c r="B58" s="3" t="s">
        <v>183</v>
      </c>
      <c r="C58" s="31">
        <v>0</v>
      </c>
      <c r="D58" s="29">
        <f t="shared" ref="D58:M58" si="18">(D26-C26)</f>
        <v>36505</v>
      </c>
      <c r="E58" s="29">
        <f t="shared" si="18"/>
        <v>22289</v>
      </c>
      <c r="F58" s="29">
        <f t="shared" si="18"/>
        <v>17040</v>
      </c>
      <c r="G58" s="29">
        <f t="shared" si="18"/>
        <v>40916</v>
      </c>
      <c r="H58" s="29">
        <f t="shared" si="18"/>
        <v>39574</v>
      </c>
      <c r="I58" s="29">
        <f t="shared" si="18"/>
        <v>-411248</v>
      </c>
      <c r="J58" s="29">
        <f t="shared" si="18"/>
        <v>0</v>
      </c>
      <c r="K58" s="29">
        <f t="shared" si="18"/>
        <v>0</v>
      </c>
      <c r="L58" s="29">
        <f t="shared" si="18"/>
        <v>0</v>
      </c>
      <c r="M58" s="29">
        <f t="shared" si="18"/>
        <v>0</v>
      </c>
    </row>
    <row r="59" spans="2:13" ht="15.75" customHeight="1" x14ac:dyDescent="0.25">
      <c r="B59" s="3" t="s">
        <v>159</v>
      </c>
      <c r="C59" s="29">
        <f t="shared" ref="C59:M59" si="19">C30</f>
        <v>-441252</v>
      </c>
      <c r="D59" s="29">
        <f t="shared" si="19"/>
        <v>-326475</v>
      </c>
      <c r="E59" s="29">
        <f t="shared" si="19"/>
        <v>-476568</v>
      </c>
      <c r="F59" s="29">
        <f t="shared" si="19"/>
        <v>-522004</v>
      </c>
      <c r="G59" s="29">
        <f t="shared" si="19"/>
        <v>-506224</v>
      </c>
      <c r="H59" s="29">
        <f t="shared" si="19"/>
        <v>-655920</v>
      </c>
      <c r="I59" s="29">
        <f t="shared" si="19"/>
        <v>0</v>
      </c>
      <c r="J59" s="29">
        <f t="shared" si="19"/>
        <v>0</v>
      </c>
      <c r="K59" s="29">
        <f t="shared" si="19"/>
        <v>0</v>
      </c>
      <c r="L59" s="29">
        <f t="shared" si="19"/>
        <v>0</v>
      </c>
      <c r="M59" s="29">
        <f t="shared" si="19"/>
        <v>0</v>
      </c>
    </row>
    <row r="60" spans="2:13" ht="15.75" customHeight="1" x14ac:dyDescent="0.25">
      <c r="B60" s="3" t="s">
        <v>184</v>
      </c>
      <c r="C60" s="32">
        <f t="shared" ref="C60:M60" si="20">SUM(C52:C59)</f>
        <v>172697.03711613524</v>
      </c>
      <c r="D60" s="32">
        <f t="shared" si="20"/>
        <v>486020.95282351016</v>
      </c>
      <c r="E60" s="32">
        <f t="shared" si="20"/>
        <v>320048.03839031316</v>
      </c>
      <c r="F60" s="32">
        <f t="shared" si="20"/>
        <v>309102.14687271405</v>
      </c>
      <c r="G60" s="32">
        <f t="shared" si="20"/>
        <v>521062.85594618006</v>
      </c>
      <c r="H60" s="32">
        <f t="shared" si="20"/>
        <v>680082.12101303833</v>
      </c>
      <c r="I60" s="32">
        <f t="shared" si="20"/>
        <v>-404616</v>
      </c>
      <c r="J60" s="32">
        <f t="shared" si="20"/>
        <v>0</v>
      </c>
      <c r="K60" s="32">
        <f t="shared" si="20"/>
        <v>0</v>
      </c>
      <c r="L60" s="32">
        <f t="shared" si="20"/>
        <v>0</v>
      </c>
      <c r="M60" s="32">
        <f t="shared" si="20"/>
        <v>0</v>
      </c>
    </row>
    <row r="61" spans="2:13" ht="15.75" customHeight="1" x14ac:dyDescent="0.25">
      <c r="B61" s="3" t="s">
        <v>185</v>
      </c>
      <c r="I61" s="28">
        <f>$E$88</f>
        <v>0</v>
      </c>
      <c r="J61" s="28">
        <f>$E$88</f>
        <v>0</v>
      </c>
      <c r="K61" s="28">
        <f>$E$88</f>
        <v>0</v>
      </c>
      <c r="L61" s="28">
        <f>$E$88</f>
        <v>0</v>
      </c>
      <c r="M61" s="28">
        <f>$E$88</f>
        <v>0</v>
      </c>
    </row>
    <row r="62" spans="2:13" ht="15.75" customHeight="1" x14ac:dyDescent="0.25">
      <c r="B62" s="3" t="s">
        <v>186</v>
      </c>
      <c r="I62" s="29">
        <f ca="1">I60/(1+I61)^I48</f>
        <v>-404616</v>
      </c>
      <c r="J62" s="29">
        <f ca="1">J60/(1+J61)^J48</f>
        <v>0</v>
      </c>
      <c r="K62" s="29">
        <f ca="1">K60/(1+K61)^K48</f>
        <v>0</v>
      </c>
      <c r="L62" s="29">
        <f ca="1">L60/(1+L61)^L48</f>
        <v>0</v>
      </c>
      <c r="M62" s="29">
        <f ca="1">M60/(1+M61)^M48</f>
        <v>0</v>
      </c>
    </row>
    <row r="63" spans="2:13" ht="15.75" customHeight="1" x14ac:dyDescent="0.25">
      <c r="B63" s="3" t="s">
        <v>187</v>
      </c>
      <c r="I63" s="32">
        <f ca="1">SUM(I62:M62)</f>
        <v>-404616</v>
      </c>
    </row>
    <row r="64" spans="2:13" ht="15.75" customHeight="1" x14ac:dyDescent="0.25"/>
    <row r="65" spans="2:12" ht="18.75" customHeight="1" x14ac:dyDescent="0.25">
      <c r="B65" s="2" t="s">
        <v>188</v>
      </c>
    </row>
    <row r="66" spans="2:12" ht="15.75" customHeight="1" x14ac:dyDescent="0.25">
      <c r="B66" s="3" t="s">
        <v>189</v>
      </c>
    </row>
    <row r="67" spans="2:12" ht="15.75" customHeight="1" x14ac:dyDescent="0.25">
      <c r="B67" s="3" t="s">
        <v>190</v>
      </c>
      <c r="C67" s="24"/>
    </row>
    <row r="68" spans="2:12" ht="15.75" customHeight="1" x14ac:dyDescent="0.25">
      <c r="B68" s="3" t="s">
        <v>191</v>
      </c>
      <c r="C68" s="28">
        <f>E88</f>
        <v>0</v>
      </c>
    </row>
    <row r="69" spans="2:12" ht="15.75" customHeight="1" x14ac:dyDescent="0.25">
      <c r="B69" s="3" t="s">
        <v>192</v>
      </c>
      <c r="C69" s="29">
        <f>M60*(1+C67)</f>
        <v>0</v>
      </c>
    </row>
    <row r="70" spans="2:12" ht="15.75" customHeight="1" x14ac:dyDescent="0.25">
      <c r="B70" s="3" t="s">
        <v>188</v>
      </c>
      <c r="C70" s="29" t="str">
        <f>IFERROR(C69/(C68-C67),"")</f>
        <v/>
      </c>
    </row>
    <row r="71" spans="2:12" ht="15.75" customHeight="1" x14ac:dyDescent="0.25">
      <c r="B71" s="3" t="s">
        <v>193</v>
      </c>
      <c r="C71" s="29" t="str">
        <f ca="1">IFERROR(C70/(1+C68)^C72,"")</f>
        <v/>
      </c>
    </row>
    <row r="72" spans="2:12" ht="15.75" customHeight="1" x14ac:dyDescent="0.25">
      <c r="B72" s="3" t="s">
        <v>194</v>
      </c>
      <c r="C72" s="26">
        <f ca="1">$F$7+4</f>
        <v>4.6794520547945204</v>
      </c>
    </row>
    <row r="73" spans="2:12" ht="18.75" customHeight="1" x14ac:dyDescent="0.25">
      <c r="B73" s="2" t="s">
        <v>191</v>
      </c>
    </row>
    <row r="74" spans="2:12" ht="15.75" customHeight="1" x14ac:dyDescent="0.25">
      <c r="B74" s="3" t="s">
        <v>195</v>
      </c>
      <c r="E74" s="26">
        <f>F5</f>
        <v>0</v>
      </c>
    </row>
    <row r="75" spans="2:12" ht="15.75" customHeight="1" x14ac:dyDescent="0.25">
      <c r="B75" s="3" t="s">
        <v>139</v>
      </c>
      <c r="E75" s="33">
        <f>F6</f>
        <v>37.241036999999999</v>
      </c>
    </row>
    <row r="76" spans="2:12" ht="15.75" customHeight="1" x14ac:dyDescent="0.25">
      <c r="B76" s="3" t="s">
        <v>196</v>
      </c>
      <c r="E76" s="24"/>
      <c r="J76" s="3" t="s">
        <v>197</v>
      </c>
      <c r="K76" s="24"/>
      <c r="L76" s="3" t="s">
        <v>198</v>
      </c>
    </row>
    <row r="77" spans="2:12" ht="15.75" customHeight="1" x14ac:dyDescent="0.25">
      <c r="B77" s="3" t="s">
        <v>199</v>
      </c>
      <c r="E77" s="28">
        <f>H51</f>
        <v>0.23753419072957654</v>
      </c>
      <c r="J77" s="3" t="s">
        <v>200</v>
      </c>
      <c r="K77" s="24"/>
      <c r="L77" s="3" t="s">
        <v>201</v>
      </c>
    </row>
    <row r="78" spans="2:12" ht="15.75" customHeight="1" x14ac:dyDescent="0.25">
      <c r="B78" s="3" t="s">
        <v>202</v>
      </c>
      <c r="E78" s="28">
        <f>E76*(1-E77)</f>
        <v>0</v>
      </c>
      <c r="J78" s="3" t="s">
        <v>203</v>
      </c>
      <c r="K78" s="24"/>
      <c r="L78" s="3" t="s">
        <v>204</v>
      </c>
    </row>
    <row r="79" spans="2:12" ht="15.75" customHeight="1" x14ac:dyDescent="0.25">
      <c r="B79" s="3" t="s">
        <v>205</v>
      </c>
      <c r="E79" s="28">
        <f>K80</f>
        <v>0</v>
      </c>
    </row>
    <row r="80" spans="2:12" ht="15.75" customHeight="1" x14ac:dyDescent="0.25">
      <c r="J80" s="26" t="s">
        <v>206</v>
      </c>
      <c r="K80" s="28">
        <f>K77+K78*(K76)</f>
        <v>0</v>
      </c>
    </row>
    <row r="81" spans="2:11" ht="15.75" customHeight="1" x14ac:dyDescent="0.25">
      <c r="B81" s="3" t="s">
        <v>207</v>
      </c>
      <c r="E81" s="27">
        <f>Main!C7</f>
        <v>2431.5940000000001</v>
      </c>
      <c r="J81" s="3" t="s">
        <v>208</v>
      </c>
    </row>
    <row r="82" spans="2:11" ht="15.75" customHeight="1" x14ac:dyDescent="0.25">
      <c r="B82" s="3" t="s">
        <v>209</v>
      </c>
      <c r="E82" s="27">
        <f>Main!C5</f>
        <v>30686.614487999999</v>
      </c>
    </row>
    <row r="83" spans="2:11" ht="15.75" customHeight="1" x14ac:dyDescent="0.25">
      <c r="B83" s="3" t="s">
        <v>210</v>
      </c>
      <c r="E83" s="29">
        <f>SUM(E81:E82)</f>
        <v>33118.208487999997</v>
      </c>
    </row>
    <row r="84" spans="2:11" ht="15.75" customHeight="1" x14ac:dyDescent="0.25"/>
    <row r="85" spans="2:11" ht="15.75" customHeight="1" x14ac:dyDescent="0.25">
      <c r="B85" s="3" t="s">
        <v>211</v>
      </c>
      <c r="E85" s="28">
        <f>E81/E83</f>
        <v>7.3421664728062219E-2</v>
      </c>
    </row>
    <row r="86" spans="2:11" ht="15.75" customHeight="1" x14ac:dyDescent="0.25">
      <c r="B86" s="3" t="s">
        <v>212</v>
      </c>
      <c r="E86" s="28">
        <f>E82/E83</f>
        <v>0.92657833527193789</v>
      </c>
    </row>
    <row r="87" spans="2:11" ht="15.75" customHeight="1" x14ac:dyDescent="0.25"/>
    <row r="88" spans="2:11" ht="15.75" customHeight="1" x14ac:dyDescent="0.25">
      <c r="B88" s="2" t="s">
        <v>213</v>
      </c>
      <c r="E88" s="34">
        <f>E85*E78+E86*E79</f>
        <v>0</v>
      </c>
    </row>
    <row r="89" spans="2:11" ht="15.75" customHeight="1" x14ac:dyDescent="0.25"/>
    <row r="90" spans="2:11" ht="18.75" customHeight="1" x14ac:dyDescent="0.25">
      <c r="B90" s="2" t="s">
        <v>214</v>
      </c>
    </row>
    <row r="91" spans="2:11" ht="15.75" customHeight="1" x14ac:dyDescent="0.25">
      <c r="B91" s="3" t="s">
        <v>215</v>
      </c>
      <c r="F91" s="29" t="str">
        <f ca="1">IFERROR(C71+I63,"")</f>
        <v/>
      </c>
    </row>
    <row r="92" spans="2:11" ht="15.75" customHeight="1" x14ac:dyDescent="0.25">
      <c r="B92" s="3" t="s">
        <v>216</v>
      </c>
      <c r="F92" s="26">
        <f>K93-K94</f>
        <v>1908.6030000000001</v>
      </c>
      <c r="G92" s="3" t="s">
        <v>217</v>
      </c>
    </row>
    <row r="93" spans="2:11" ht="15.75" customHeight="1" x14ac:dyDescent="0.25">
      <c r="B93" s="3" t="s">
        <v>218</v>
      </c>
      <c r="F93" s="29" t="str">
        <f ca="1">IFERROR(F91-F92,"")</f>
        <v/>
      </c>
      <c r="J93" s="3" t="s">
        <v>5</v>
      </c>
      <c r="K93" s="27">
        <f>Main!C7</f>
        <v>2431.5940000000001</v>
      </c>
    </row>
    <row r="94" spans="2:11" ht="15.75" customHeight="1" x14ac:dyDescent="0.25">
      <c r="B94" s="3" t="s">
        <v>139</v>
      </c>
      <c r="F94" s="33">
        <f>F6</f>
        <v>37.241036999999999</v>
      </c>
      <c r="J94" s="3" t="s">
        <v>4</v>
      </c>
      <c r="K94" s="27">
        <f>Main!C6</f>
        <v>522.99099999999999</v>
      </c>
    </row>
    <row r="95" spans="2:11" ht="15.75" customHeight="1" x14ac:dyDescent="0.25">
      <c r="B95" s="3" t="s">
        <v>219</v>
      </c>
      <c r="F95" s="35" t="str">
        <f ca="1">IFERROR(F93/F94,"")</f>
        <v/>
      </c>
    </row>
    <row r="96" spans="2:11" ht="15.75" customHeight="1" x14ac:dyDescent="0.25">
      <c r="D96" s="3" t="s">
        <v>220</v>
      </c>
      <c r="F96" s="28" t="str">
        <f ca="1">IFERROR(F95/F5-1,"")</f>
        <v/>
      </c>
    </row>
    <row r="97" spans="2:2" ht="15.75" customHeight="1" x14ac:dyDescent="0.25"/>
    <row r="98" spans="2:2" ht="15.75" customHeight="1" x14ac:dyDescent="0.25">
      <c r="B98" s="7" t="s">
        <v>221</v>
      </c>
    </row>
    <row r="99" spans="2:2" ht="15.75" customHeight="1" x14ac:dyDescent="0.25"/>
    <row r="100" spans="2:2" ht="15.75" customHeight="1" x14ac:dyDescent="0.25"/>
    <row r="101" spans="2:2" ht="15.75" customHeight="1" x14ac:dyDescent="0.25"/>
    <row r="102" spans="2:2" ht="15.75" customHeight="1" x14ac:dyDescent="0.25"/>
    <row r="103" spans="2:2" ht="15.75" customHeight="1" x14ac:dyDescent="0.25"/>
    <row r="104" spans="2:2" ht="15.75" customHeight="1" x14ac:dyDescent="0.25"/>
    <row r="105" spans="2:2" ht="15.75" customHeight="1" x14ac:dyDescent="0.25"/>
    <row r="106" spans="2:2" ht="15.75" customHeight="1" x14ac:dyDescent="0.25"/>
    <row r="107" spans="2:2" ht="15.75" customHeight="1" x14ac:dyDescent="0.25"/>
    <row r="116" ht="15.75" customHeight="1" x14ac:dyDescent="0.25"/>
    <row r="117" ht="15.75" customHeight="1" x14ac:dyDescent="0.25"/>
    <row r="118" ht="15.75" customHeight="1" x14ac:dyDescent="0.25"/>
    <row r="120" ht="15.75" customHeight="1" x14ac:dyDescent="0.25"/>
    <row r="121" ht="15.75" customHeight="1" x14ac:dyDescent="0.25"/>
    <row r="129" ht="15.75" customHeight="1" x14ac:dyDescent="0.25"/>
    <row r="130" ht="15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2"/>
  <sheetViews>
    <sheetView zoomScaleNormal="100" workbookViewId="0"/>
  </sheetViews>
  <sheetFormatPr defaultColWidth="8.5" defaultRowHeight="15.75" x14ac:dyDescent="0.25"/>
  <cols>
    <col min="2" max="2" width="40" style="1" customWidth="1"/>
    <col min="3" max="8" width="13" style="1" customWidth="1"/>
  </cols>
  <sheetData>
    <row r="2" spans="2:8" ht="17.25" customHeight="1" x14ac:dyDescent="0.3">
      <c r="B2" s="36" t="s">
        <v>13</v>
      </c>
    </row>
    <row r="3" spans="2:8" ht="15" customHeight="1" x14ac:dyDescent="0.25">
      <c r="B3" s="10" t="s">
        <v>11</v>
      </c>
      <c r="C3" s="37" t="s">
        <v>13</v>
      </c>
    </row>
    <row r="4" spans="2:8" ht="15" customHeight="1" x14ac:dyDescent="0.25">
      <c r="B4" s="10" t="s">
        <v>222</v>
      </c>
      <c r="C4" s="37" t="s">
        <v>223</v>
      </c>
    </row>
    <row r="5" spans="2:8" ht="15" customHeight="1" x14ac:dyDescent="0.25">
      <c r="B5" s="10" t="s">
        <v>224</v>
      </c>
      <c r="C5" s="37" t="s">
        <v>225</v>
      </c>
    </row>
    <row r="7" spans="2:8" ht="15" customHeight="1" x14ac:dyDescent="0.25">
      <c r="B7" s="9" t="s">
        <v>226</v>
      </c>
      <c r="C7" s="9" t="s">
        <v>64</v>
      </c>
      <c r="D7" s="9" t="s">
        <v>65</v>
      </c>
      <c r="E7" s="9" t="s">
        <v>66</v>
      </c>
      <c r="F7" s="9" t="s">
        <v>67</v>
      </c>
      <c r="G7" s="9" t="s">
        <v>68</v>
      </c>
      <c r="H7" s="9" t="s">
        <v>69</v>
      </c>
    </row>
    <row r="8" spans="2:8" ht="15" customHeight="1" x14ac:dyDescent="0.25">
      <c r="B8" s="10" t="s">
        <v>147</v>
      </c>
      <c r="C8" s="11">
        <v>4825466</v>
      </c>
      <c r="D8" s="11">
        <v>8312038</v>
      </c>
      <c r="E8" s="11">
        <v>10027310</v>
      </c>
      <c r="F8" s="11">
        <v>9402071</v>
      </c>
      <c r="G8" s="11">
        <v>9776033</v>
      </c>
      <c r="H8" s="11">
        <v>10615407</v>
      </c>
    </row>
    <row r="9" spans="2:8" ht="15" customHeight="1" x14ac:dyDescent="0.25">
      <c r="B9" s="10" t="s">
        <v>227</v>
      </c>
      <c r="C9" s="11">
        <v>761247</v>
      </c>
      <c r="D9" s="11">
        <v>928868</v>
      </c>
      <c r="E9" s="11">
        <v>1074913</v>
      </c>
      <c r="F9" s="11">
        <v>1116671</v>
      </c>
      <c r="G9" s="11">
        <v>1236694</v>
      </c>
      <c r="H9" s="11">
        <v>1496591</v>
      </c>
    </row>
    <row r="10" spans="2:8" ht="15" customHeight="1" x14ac:dyDescent="0.25">
      <c r="B10" s="10" t="s">
        <v>228</v>
      </c>
      <c r="C10" s="15">
        <f t="shared" ref="C10:H10" si="0">C9/C8</f>
        <v>0.15775616282448163</v>
      </c>
      <c r="D10" s="15">
        <f t="shared" si="0"/>
        <v>0.11174972972933954</v>
      </c>
      <c r="E10" s="15">
        <f t="shared" si="0"/>
        <v>0.10719854078511584</v>
      </c>
      <c r="F10" s="15">
        <f t="shared" si="0"/>
        <v>0.11876862023271256</v>
      </c>
      <c r="G10" s="15">
        <f t="shared" si="0"/>
        <v>0.12650264171571435</v>
      </c>
      <c r="H10" s="15">
        <f t="shared" si="0"/>
        <v>0.14098291285487216</v>
      </c>
    </row>
    <row r="12" spans="2:8" ht="15" customHeight="1" x14ac:dyDescent="0.25">
      <c r="B12" s="7" t="s">
        <v>229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12"/>
  <sheetViews>
    <sheetView zoomScaleNormal="100" workbookViewId="0"/>
  </sheetViews>
  <sheetFormatPr defaultColWidth="8.5" defaultRowHeight="15.75" x14ac:dyDescent="0.25"/>
  <cols>
    <col min="2" max="2" width="40" style="1" customWidth="1"/>
    <col min="3" max="8" width="13" style="1" customWidth="1"/>
  </cols>
  <sheetData>
    <row r="2" spans="2:8" ht="17.25" customHeight="1" x14ac:dyDescent="0.3">
      <c r="B2" s="36" t="s">
        <v>14</v>
      </c>
    </row>
    <row r="3" spans="2:8" ht="15" customHeight="1" x14ac:dyDescent="0.25">
      <c r="B3" s="10" t="s">
        <v>11</v>
      </c>
      <c r="C3" s="37" t="s">
        <v>14</v>
      </c>
    </row>
    <row r="4" spans="2:8" ht="15" customHeight="1" x14ac:dyDescent="0.25">
      <c r="B4" s="10" t="s">
        <v>222</v>
      </c>
      <c r="C4" s="37" t="s">
        <v>230</v>
      </c>
    </row>
    <row r="5" spans="2:8" ht="15" customHeight="1" x14ac:dyDescent="0.25">
      <c r="B5" s="10" t="s">
        <v>224</v>
      </c>
      <c r="C5" s="37" t="s">
        <v>225</v>
      </c>
    </row>
    <row r="7" spans="2:8" ht="15" customHeight="1" x14ac:dyDescent="0.25">
      <c r="B7" s="9" t="s">
        <v>226</v>
      </c>
      <c r="C7" s="9" t="s">
        <v>64</v>
      </c>
      <c r="D7" s="9" t="s">
        <v>65</v>
      </c>
      <c r="E7" s="9" t="s">
        <v>66</v>
      </c>
      <c r="F7" s="9" t="s">
        <v>67</v>
      </c>
      <c r="G7" s="9" t="s">
        <v>68</v>
      </c>
      <c r="H7" s="9" t="s">
        <v>69</v>
      </c>
    </row>
    <row r="8" spans="2:8" ht="15" customHeight="1" x14ac:dyDescent="0.25">
      <c r="B8" s="10" t="s">
        <v>147</v>
      </c>
      <c r="C8" s="11">
        <v>2724374</v>
      </c>
      <c r="D8" s="11">
        <v>3141527</v>
      </c>
      <c r="E8" s="11">
        <v>3445777</v>
      </c>
      <c r="F8" s="11">
        <v>3727394</v>
      </c>
      <c r="G8" s="11">
        <v>4143887</v>
      </c>
      <c r="H8" s="11">
        <v>4563614</v>
      </c>
    </row>
    <row r="9" spans="2:8" ht="15" customHeight="1" x14ac:dyDescent="0.25">
      <c r="B9" s="10" t="s">
        <v>227</v>
      </c>
      <c r="C9" s="11">
        <v>872573</v>
      </c>
      <c r="D9" s="11">
        <v>1027477</v>
      </c>
      <c r="E9" s="11">
        <v>1156451</v>
      </c>
      <c r="F9" s="11">
        <v>1270527</v>
      </c>
      <c r="G9" s="11">
        <v>1452008</v>
      </c>
      <c r="H9" s="11">
        <v>1635405</v>
      </c>
    </row>
    <row r="10" spans="2:8" ht="15" customHeight="1" x14ac:dyDescent="0.25">
      <c r="B10" s="10" t="s">
        <v>228</v>
      </c>
      <c r="C10" s="15">
        <f t="shared" ref="C10:H10" si="0">C9/C8</f>
        <v>0.32028385236388252</v>
      </c>
      <c r="D10" s="15">
        <f t="shared" si="0"/>
        <v>0.32706292194846648</v>
      </c>
      <c r="E10" s="15">
        <f t="shared" si="0"/>
        <v>0.33561399939694297</v>
      </c>
      <c r="F10" s="15">
        <f t="shared" si="0"/>
        <v>0.34086200707518444</v>
      </c>
      <c r="G10" s="15">
        <f t="shared" si="0"/>
        <v>0.35039758564845036</v>
      </c>
      <c r="H10" s="15">
        <f t="shared" si="0"/>
        <v>0.35835743338503212</v>
      </c>
    </row>
    <row r="12" spans="2:8" ht="15" customHeight="1" x14ac:dyDescent="0.25">
      <c r="B12" s="7" t="s">
        <v>229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2"/>
  <sheetViews>
    <sheetView zoomScaleNormal="100" workbookViewId="0"/>
  </sheetViews>
  <sheetFormatPr defaultColWidth="8.5" defaultRowHeight="15.75" x14ac:dyDescent="0.25"/>
  <cols>
    <col min="2" max="2" width="40" style="1" customWidth="1"/>
    <col min="3" max="8" width="13" style="1" customWidth="1"/>
  </cols>
  <sheetData>
    <row r="2" spans="2:8" ht="17.25" customHeight="1" x14ac:dyDescent="0.3">
      <c r="B2" s="36" t="s">
        <v>231</v>
      </c>
    </row>
    <row r="3" spans="2:8" ht="15" customHeight="1" x14ac:dyDescent="0.25">
      <c r="B3" s="10" t="s">
        <v>11</v>
      </c>
      <c r="C3" s="37" t="s">
        <v>231</v>
      </c>
    </row>
    <row r="4" spans="2:8" ht="15" customHeight="1" x14ac:dyDescent="0.25">
      <c r="B4" s="10" t="s">
        <v>222</v>
      </c>
      <c r="C4" s="37" t="s">
        <v>232</v>
      </c>
    </row>
    <row r="5" spans="2:8" ht="15" customHeight="1" x14ac:dyDescent="0.25">
      <c r="B5" s="10" t="s">
        <v>224</v>
      </c>
      <c r="C5" s="37" t="s">
        <v>225</v>
      </c>
    </row>
    <row r="7" spans="2:8" ht="15" customHeight="1" x14ac:dyDescent="0.25">
      <c r="B7" s="9" t="s">
        <v>226</v>
      </c>
      <c r="C7" s="9" t="s">
        <v>64</v>
      </c>
      <c r="D7" s="9" t="s">
        <v>65</v>
      </c>
      <c r="E7" s="9" t="s">
        <v>66</v>
      </c>
      <c r="F7" s="9" t="s">
        <v>67</v>
      </c>
      <c r="G7" s="9" t="s">
        <v>68</v>
      </c>
      <c r="H7" s="9" t="s">
        <v>69</v>
      </c>
    </row>
    <row r="8" spans="2:8" ht="15" customHeight="1" x14ac:dyDescent="0.25">
      <c r="B8" s="10" t="s">
        <v>147</v>
      </c>
      <c r="C8" s="11">
        <v>1087147</v>
      </c>
      <c r="D8" s="11">
        <v>1204100</v>
      </c>
      <c r="E8" s="11">
        <v>1322560</v>
      </c>
      <c r="F8" s="11">
        <v>1461600</v>
      </c>
      <c r="G8" s="11">
        <v>1611762</v>
      </c>
      <c r="H8" s="11">
        <v>1776828</v>
      </c>
    </row>
    <row r="9" spans="2:8" ht="15" customHeight="1" x14ac:dyDescent="0.25">
      <c r="B9" s="10" t="s">
        <v>227</v>
      </c>
      <c r="C9" s="11">
        <v>653689</v>
      </c>
      <c r="D9" s="11">
        <v>712352</v>
      </c>
      <c r="E9" s="11">
        <v>748405</v>
      </c>
      <c r="F9" s="11">
        <v>858295</v>
      </c>
      <c r="G9" s="11">
        <v>937440</v>
      </c>
      <c r="H9" s="11">
        <v>1040943</v>
      </c>
    </row>
    <row r="10" spans="2:8" ht="15" customHeight="1" x14ac:dyDescent="0.25">
      <c r="B10" s="10" t="s">
        <v>228</v>
      </c>
      <c r="C10" s="15">
        <f t="shared" ref="C10:H10" si="0">C9/C8</f>
        <v>0.60128851020147234</v>
      </c>
      <c r="D10" s="15">
        <f t="shared" si="0"/>
        <v>0.59160534839299062</v>
      </c>
      <c r="E10" s="15">
        <f t="shared" si="0"/>
        <v>0.56587602830873462</v>
      </c>
      <c r="F10" s="15">
        <f t="shared" si="0"/>
        <v>0.5872297482211275</v>
      </c>
      <c r="G10" s="15">
        <f t="shared" si="0"/>
        <v>0.58162433411384562</v>
      </c>
      <c r="H10" s="15">
        <f t="shared" si="0"/>
        <v>0.58584342434945869</v>
      </c>
    </row>
    <row r="12" spans="2:8" ht="15" customHeight="1" x14ac:dyDescent="0.25">
      <c r="B12" s="7" t="s">
        <v>229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10QIS</vt:lpstr>
      <vt:lpstr>IS</vt:lpstr>
      <vt:lpstr>BS</vt:lpstr>
      <vt:lpstr>CFS</vt:lpstr>
      <vt:lpstr>DCF</vt:lpstr>
      <vt:lpstr>Fuel</vt:lpstr>
      <vt:lpstr>Grocery &amp; General Merchandise</vt:lpstr>
      <vt:lpstr>Prepared Food &amp; Beverage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 Heier</cp:lastModifiedBy>
  <cp:revision>0</cp:revision>
  <dcterms:created xsi:type="dcterms:W3CDTF">2026-05-18T21:29:55Z</dcterms:created>
  <dcterms:modified xsi:type="dcterms:W3CDTF">2026-08-25T19:47:27Z</dcterms:modified>
  <dc:language>en-US</dc:language>
</cp:coreProperties>
</file>
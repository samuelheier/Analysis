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Models\"/>
    </mc:Choice>
  </mc:AlternateContent>
  <xr:revisionPtr revIDLastSave="0" documentId="13_ncr:1_{7E7E246E-98F0-4863-9CB0-00DF5CF7DE5B}" xr6:coauthVersionLast="47" xr6:coauthVersionMax="47" xr10:uidLastSave="{00000000-0000-0000-0000-000000000000}"/>
  <bookViews>
    <workbookView xWindow="-120" yWindow="-120" windowWidth="29040" windowHeight="15720" tabRatio="500" activeTab="5" xr2:uid="{00000000-000D-0000-FFFF-FFFF00000000}"/>
  </bookViews>
  <sheets>
    <sheet name="Main" sheetId="1" r:id="rId1"/>
    <sheet name="10QIS" sheetId="2" r:id="rId2"/>
    <sheet name="IS" sheetId="3" r:id="rId3"/>
    <sheet name="BS" sheetId="4" r:id="rId4"/>
    <sheet name="CFS" sheetId="5" r:id="rId5"/>
    <sheet name="DCF" sheetId="6" r:id="rId6"/>
    <sheet name="Connected Ops Cloud" sheetId="7" r:id="rId7"/>
    <sheet name="Sources &amp; Assumption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02" i="6" l="1"/>
  <c r="E90" i="6"/>
  <c r="K89" i="6"/>
  <c r="E88" i="6"/>
  <c r="E86" i="6"/>
  <c r="E87" i="6" s="1"/>
  <c r="J55" i="6"/>
  <c r="K55" i="6" s="1"/>
  <c r="L55" i="6" s="1"/>
  <c r="M55" i="6" s="1"/>
  <c r="N55" i="6" s="1"/>
  <c r="O55" i="6" s="1"/>
  <c r="P55" i="6" s="1"/>
  <c r="Q55" i="6" s="1"/>
  <c r="R55" i="6" s="1"/>
  <c r="N42" i="6"/>
  <c r="O42" i="6" s="1"/>
  <c r="P42" i="6" s="1"/>
  <c r="Q42" i="6" s="1"/>
  <c r="R42" i="6" s="1"/>
  <c r="N41" i="6"/>
  <c r="O41" i="6" s="1"/>
  <c r="P41" i="6" s="1"/>
  <c r="Q41" i="6" s="1"/>
  <c r="R41" i="6" s="1"/>
  <c r="N39" i="6"/>
  <c r="O39" i="6" s="1"/>
  <c r="P39" i="6" s="1"/>
  <c r="Q39" i="6" s="1"/>
  <c r="R39" i="6" s="1"/>
  <c r="N37" i="6"/>
  <c r="O37" i="6" s="1"/>
  <c r="P37" i="6" s="1"/>
  <c r="Q37" i="6" s="1"/>
  <c r="R37" i="6" s="1"/>
  <c r="H32" i="6"/>
  <c r="G32" i="6"/>
  <c r="F32" i="6"/>
  <c r="E32" i="6"/>
  <c r="D32" i="6"/>
  <c r="C32" i="6"/>
  <c r="H29" i="6"/>
  <c r="G29" i="6"/>
  <c r="F29" i="6"/>
  <c r="E29" i="6"/>
  <c r="D29" i="6"/>
  <c r="C29" i="6"/>
  <c r="H28" i="6"/>
  <c r="G28" i="6"/>
  <c r="F28" i="6"/>
  <c r="E28" i="6"/>
  <c r="D28" i="6"/>
  <c r="C28" i="6"/>
  <c r="H27" i="6"/>
  <c r="G27" i="6"/>
  <c r="F27" i="6"/>
  <c r="E27" i="6"/>
  <c r="D27" i="6"/>
  <c r="C27" i="6"/>
  <c r="H25" i="6"/>
  <c r="G25" i="6"/>
  <c r="F25" i="6"/>
  <c r="E25" i="6"/>
  <c r="D25" i="6"/>
  <c r="C25" i="6"/>
  <c r="H24" i="6"/>
  <c r="G24" i="6"/>
  <c r="F24" i="6"/>
  <c r="E24" i="6"/>
  <c r="D24" i="6"/>
  <c r="C24" i="6"/>
  <c r="H23" i="6"/>
  <c r="G23" i="6"/>
  <c r="F23" i="6"/>
  <c r="E23" i="6"/>
  <c r="D23" i="6"/>
  <c r="C23" i="6"/>
  <c r="H22" i="6"/>
  <c r="G22" i="6"/>
  <c r="F22" i="6"/>
  <c r="E22" i="6"/>
  <c r="D22" i="6"/>
  <c r="C22" i="6"/>
  <c r="H21" i="6"/>
  <c r="G21" i="6"/>
  <c r="F21" i="6"/>
  <c r="E21" i="6"/>
  <c r="D21" i="6"/>
  <c r="C21" i="6"/>
  <c r="H15" i="6"/>
  <c r="G15" i="6"/>
  <c r="F15" i="6"/>
  <c r="E15" i="6"/>
  <c r="D15" i="6"/>
  <c r="C15" i="6"/>
  <c r="D11" i="6"/>
  <c r="C11" i="6"/>
  <c r="F7" i="6"/>
  <c r="I52" i="6" s="1"/>
  <c r="J52" i="6" s="1"/>
  <c r="K52" i="6" s="1"/>
  <c r="L52" i="6" s="1"/>
  <c r="M52" i="6" s="1"/>
  <c r="N52" i="6" s="1"/>
  <c r="O52" i="6" s="1"/>
  <c r="P52" i="6" s="1"/>
  <c r="Q52" i="6" s="1"/>
  <c r="R52" i="6" s="1"/>
  <c r="C80" i="6" s="1"/>
  <c r="F6" i="6"/>
  <c r="F5" i="6"/>
  <c r="E83" i="6" s="1"/>
  <c r="H28" i="5"/>
  <c r="G28" i="5"/>
  <c r="F28" i="5"/>
  <c r="E28" i="5"/>
  <c r="D28" i="5"/>
  <c r="C28" i="5"/>
  <c r="H23" i="5"/>
  <c r="G23" i="5"/>
  <c r="F23" i="5"/>
  <c r="E23" i="5"/>
  <c r="D23" i="5"/>
  <c r="C23" i="5"/>
  <c r="H17" i="5"/>
  <c r="H31" i="5" s="1"/>
  <c r="G17" i="5"/>
  <c r="G31" i="5" s="1"/>
  <c r="F17" i="5"/>
  <c r="F31" i="5" s="1"/>
  <c r="E17" i="5"/>
  <c r="E31" i="5" s="1"/>
  <c r="D17" i="5"/>
  <c r="D31" i="5" s="1"/>
  <c r="C17" i="5"/>
  <c r="C31" i="5" s="1"/>
  <c r="C33" i="5" s="1"/>
  <c r="D32" i="5" s="1"/>
  <c r="D33" i="5" s="1"/>
  <c r="E32" i="5" s="1"/>
  <c r="E33" i="5" s="1"/>
  <c r="F32" i="5" s="1"/>
  <c r="F33" i="5" s="1"/>
  <c r="G32" i="5" s="1"/>
  <c r="G33" i="5" s="1"/>
  <c r="H32" i="5" s="1"/>
  <c r="H33" i="5" s="1"/>
  <c r="H25" i="4"/>
  <c r="H29" i="4" s="1"/>
  <c r="H33" i="4" s="1"/>
  <c r="G25" i="4"/>
  <c r="G29" i="4" s="1"/>
  <c r="G33" i="4" s="1"/>
  <c r="F25" i="4"/>
  <c r="F29" i="4" s="1"/>
  <c r="F33" i="4" s="1"/>
  <c r="E25" i="4"/>
  <c r="E29" i="4" s="1"/>
  <c r="E33" i="4" s="1"/>
  <c r="D25" i="4"/>
  <c r="D29" i="4" s="1"/>
  <c r="D33" i="4" s="1"/>
  <c r="C25" i="4"/>
  <c r="C29" i="4" s="1"/>
  <c r="C33" i="4" s="1"/>
  <c r="H11" i="4"/>
  <c r="H18" i="4" s="1"/>
  <c r="H35" i="4" s="1"/>
  <c r="G11" i="4"/>
  <c r="G18" i="4" s="1"/>
  <c r="G35" i="4" s="1"/>
  <c r="F11" i="4"/>
  <c r="F18" i="4" s="1"/>
  <c r="F35" i="4" s="1"/>
  <c r="E11" i="4"/>
  <c r="E18" i="4" s="1"/>
  <c r="E35" i="4" s="1"/>
  <c r="D11" i="4"/>
  <c r="D18" i="4" s="1"/>
  <c r="D35" i="4" s="1"/>
  <c r="C11" i="4"/>
  <c r="C18" i="4" s="1"/>
  <c r="C35" i="4" s="1"/>
  <c r="I27" i="3"/>
  <c r="J27" i="3" s="1"/>
  <c r="K27" i="3" s="1"/>
  <c r="L27" i="3" s="1"/>
  <c r="M27" i="3" s="1"/>
  <c r="N27" i="3" s="1"/>
  <c r="O27" i="3" s="1"/>
  <c r="P27" i="3" s="1"/>
  <c r="Q27" i="3" s="1"/>
  <c r="R27" i="3" s="1"/>
  <c r="D20" i="3"/>
  <c r="C20" i="3"/>
  <c r="D14" i="3"/>
  <c r="D21" i="3" s="1"/>
  <c r="C14" i="3"/>
  <c r="C21" i="3" s="1"/>
  <c r="J8" i="3"/>
  <c r="K8" i="3" s="1"/>
  <c r="L8" i="3" s="1"/>
  <c r="M8" i="3" s="1"/>
  <c r="N8" i="3" s="1"/>
  <c r="O8" i="3" s="1"/>
  <c r="P8" i="3" s="1"/>
  <c r="Q8" i="3" s="1"/>
  <c r="R8" i="3" s="1"/>
  <c r="M7" i="3"/>
  <c r="K7" i="3"/>
  <c r="D7" i="3"/>
  <c r="C7" i="3"/>
  <c r="L6" i="3"/>
  <c r="M6" i="3" s="1"/>
  <c r="D6" i="3"/>
  <c r="C6" i="3"/>
  <c r="J5" i="3"/>
  <c r="K5" i="3" s="1"/>
  <c r="L5" i="3" s="1"/>
  <c r="M5" i="3" s="1"/>
  <c r="D5" i="3"/>
  <c r="C5" i="3"/>
  <c r="J4" i="3"/>
  <c r="K4" i="3" s="1"/>
  <c r="L4" i="3" s="1"/>
  <c r="M4" i="3" s="1"/>
  <c r="N4" i="3" s="1"/>
  <c r="O4" i="3" s="1"/>
  <c r="P4" i="3" s="1"/>
  <c r="Q4" i="3" s="1"/>
  <c r="R4" i="3" s="1"/>
  <c r="D4" i="3"/>
  <c r="C4" i="3"/>
  <c r="D3" i="3"/>
  <c r="S28" i="2"/>
  <c r="Q28" i="2"/>
  <c r="P28" i="2"/>
  <c r="O28" i="2"/>
  <c r="M28" i="2"/>
  <c r="L28" i="2"/>
  <c r="K28" i="2"/>
  <c r="I28" i="2"/>
  <c r="H28" i="2"/>
  <c r="G28" i="2"/>
  <c r="E28" i="2"/>
  <c r="D28" i="2"/>
  <c r="C28" i="2"/>
  <c r="S27" i="2"/>
  <c r="Q27" i="2"/>
  <c r="P27" i="2"/>
  <c r="O27" i="2"/>
  <c r="M27" i="2"/>
  <c r="L27" i="2"/>
  <c r="K27" i="2"/>
  <c r="I27" i="2"/>
  <c r="H27" i="2"/>
  <c r="G27" i="2"/>
  <c r="E27" i="2"/>
  <c r="D27" i="2"/>
  <c r="C27" i="2"/>
  <c r="S26" i="2"/>
  <c r="Q26" i="2"/>
  <c r="P26" i="2"/>
  <c r="O26" i="2"/>
  <c r="M26" i="2"/>
  <c r="L26" i="2"/>
  <c r="K26" i="2"/>
  <c r="I26" i="2"/>
  <c r="H26" i="2"/>
  <c r="G26" i="2"/>
  <c r="E26" i="2"/>
  <c r="D26" i="2"/>
  <c r="C26" i="2"/>
  <c r="Q24" i="2"/>
  <c r="P24" i="2"/>
  <c r="M24" i="2"/>
  <c r="L24" i="2"/>
  <c r="I24" i="2"/>
  <c r="H24" i="2"/>
  <c r="R17" i="2"/>
  <c r="N17" i="2"/>
  <c r="J17" i="2"/>
  <c r="F17" i="2"/>
  <c r="R15" i="2"/>
  <c r="H22" i="3" s="1"/>
  <c r="N15" i="2"/>
  <c r="G22" i="3" s="1"/>
  <c r="J15" i="2"/>
  <c r="F22" i="3" s="1"/>
  <c r="F15" i="2"/>
  <c r="E22" i="3" s="1"/>
  <c r="S13" i="2"/>
  <c r="Q13" i="2"/>
  <c r="P13" i="2"/>
  <c r="O13" i="2"/>
  <c r="M13" i="2"/>
  <c r="L13" i="2"/>
  <c r="K13" i="2"/>
  <c r="I13" i="2"/>
  <c r="H13" i="2"/>
  <c r="G13" i="2"/>
  <c r="E13" i="2"/>
  <c r="D13" i="2"/>
  <c r="C13" i="2"/>
  <c r="R12" i="2"/>
  <c r="H19" i="3" s="1"/>
  <c r="N12" i="2"/>
  <c r="G19" i="3" s="1"/>
  <c r="J12" i="2"/>
  <c r="F19" i="3" s="1"/>
  <c r="F12" i="2"/>
  <c r="E19" i="3" s="1"/>
  <c r="R11" i="2"/>
  <c r="H18" i="3" s="1"/>
  <c r="N11" i="2"/>
  <c r="G18" i="3" s="1"/>
  <c r="J11" i="2"/>
  <c r="F18" i="3" s="1"/>
  <c r="F11" i="2"/>
  <c r="E18" i="3" s="1"/>
  <c r="R10" i="2"/>
  <c r="N10" i="2"/>
  <c r="J10" i="2"/>
  <c r="F10" i="2"/>
  <c r="R9" i="2"/>
  <c r="N9" i="2"/>
  <c r="J9" i="2"/>
  <c r="F9" i="2"/>
  <c r="R8" i="2"/>
  <c r="N8" i="2"/>
  <c r="J8" i="2"/>
  <c r="F8" i="2"/>
  <c r="S7" i="2"/>
  <c r="Q7" i="2"/>
  <c r="P7" i="2"/>
  <c r="O7" i="2"/>
  <c r="M7" i="2"/>
  <c r="L7" i="2"/>
  <c r="K7" i="2"/>
  <c r="I7" i="2"/>
  <c r="H7" i="2"/>
  <c r="G7" i="2"/>
  <c r="E7" i="2"/>
  <c r="D7" i="2"/>
  <c r="C7" i="2"/>
  <c r="R6" i="2"/>
  <c r="H13" i="3" s="1"/>
  <c r="N6" i="2"/>
  <c r="G13" i="3" s="1"/>
  <c r="J6" i="2"/>
  <c r="F13" i="3" s="1"/>
  <c r="F6" i="2"/>
  <c r="E13" i="3" s="1"/>
  <c r="R5" i="2"/>
  <c r="N5" i="2"/>
  <c r="J5" i="2"/>
  <c r="F5" i="2"/>
  <c r="C6" i="1"/>
  <c r="K103" i="6" s="1"/>
  <c r="F101" i="6" s="1"/>
  <c r="C5" i="1"/>
  <c r="E91" i="6" l="1"/>
  <c r="C8" i="1"/>
  <c r="E12" i="3"/>
  <c r="G24" i="2"/>
  <c r="F7" i="2"/>
  <c r="F12" i="3"/>
  <c r="K24" i="2"/>
  <c r="J24" i="2"/>
  <c r="J7" i="2"/>
  <c r="G12" i="3"/>
  <c r="O24" i="2"/>
  <c r="N24" i="2"/>
  <c r="N7" i="2"/>
  <c r="H12" i="3"/>
  <c r="S24" i="2"/>
  <c r="R24" i="2"/>
  <c r="R7" i="2"/>
  <c r="C25" i="2"/>
  <c r="C14" i="2"/>
  <c r="C16" i="2" s="1"/>
  <c r="D25" i="2"/>
  <c r="D14" i="2"/>
  <c r="D16" i="2" s="1"/>
  <c r="E25" i="2"/>
  <c r="E14" i="2"/>
  <c r="E16" i="2" s="1"/>
  <c r="G25" i="2"/>
  <c r="G14" i="2"/>
  <c r="G16" i="2" s="1"/>
  <c r="H25" i="2"/>
  <c r="H14" i="2"/>
  <c r="H16" i="2" s="1"/>
  <c r="I25" i="2"/>
  <c r="I14" i="2"/>
  <c r="I16" i="2" s="1"/>
  <c r="K25" i="2"/>
  <c r="K14" i="2"/>
  <c r="K16" i="2" s="1"/>
  <c r="L25" i="2"/>
  <c r="L14" i="2"/>
  <c r="L16" i="2" s="1"/>
  <c r="M25" i="2"/>
  <c r="M14" i="2"/>
  <c r="M16" i="2" s="1"/>
  <c r="O25" i="2"/>
  <c r="O14" i="2"/>
  <c r="O16" i="2" s="1"/>
  <c r="P25" i="2"/>
  <c r="P14" i="2"/>
  <c r="P16" i="2" s="1"/>
  <c r="Q25" i="2"/>
  <c r="Q14" i="2"/>
  <c r="Q16" i="2" s="1"/>
  <c r="S25" i="2"/>
  <c r="S14" i="2"/>
  <c r="S16" i="2" s="1"/>
  <c r="E15" i="3"/>
  <c r="F26" i="2"/>
  <c r="F13" i="2"/>
  <c r="F15" i="3"/>
  <c r="J26" i="2"/>
  <c r="J13" i="2"/>
  <c r="G15" i="3"/>
  <c r="N26" i="2"/>
  <c r="N13" i="2"/>
  <c r="H15" i="3"/>
  <c r="R26" i="2"/>
  <c r="R13" i="2"/>
  <c r="E16" i="3"/>
  <c r="E6" i="3" s="1"/>
  <c r="F27" i="2"/>
  <c r="F16" i="3"/>
  <c r="F6" i="3" s="1"/>
  <c r="J27" i="2"/>
  <c r="G16" i="3"/>
  <c r="G6" i="3" s="1"/>
  <c r="N27" i="2"/>
  <c r="H16" i="3"/>
  <c r="H6" i="3" s="1"/>
  <c r="R27" i="2"/>
  <c r="E17" i="3"/>
  <c r="E7" i="3" s="1"/>
  <c r="F28" i="2"/>
  <c r="F17" i="3"/>
  <c r="F7" i="3" s="1"/>
  <c r="J28" i="2"/>
  <c r="G17" i="3"/>
  <c r="G7" i="3" s="1"/>
  <c r="N28" i="2"/>
  <c r="H17" i="3"/>
  <c r="H7" i="3" s="1"/>
  <c r="R28" i="2"/>
  <c r="E24" i="3"/>
  <c r="F24" i="3"/>
  <c r="G24" i="3"/>
  <c r="H24" i="3"/>
  <c r="C13" i="6"/>
  <c r="C54" i="6" s="1"/>
  <c r="C23" i="3"/>
  <c r="D13" i="6"/>
  <c r="D54" i="6" s="1"/>
  <c r="D23" i="3"/>
  <c r="F103" i="6"/>
  <c r="E84" i="6"/>
  <c r="C53" i="6"/>
  <c r="C45" i="6"/>
  <c r="C34" i="6" s="1"/>
  <c r="C66" i="6" s="1"/>
  <c r="D53" i="6"/>
  <c r="D45" i="6"/>
  <c r="C57" i="6"/>
  <c r="C16" i="6"/>
  <c r="D57" i="6"/>
  <c r="D16" i="6"/>
  <c r="E57" i="6"/>
  <c r="F57" i="6"/>
  <c r="G57" i="6"/>
  <c r="H57" i="6"/>
  <c r="C36" i="6"/>
  <c r="D58" i="6"/>
  <c r="D36" i="6"/>
  <c r="E58" i="6"/>
  <c r="F58" i="6"/>
  <c r="G58" i="6"/>
  <c r="H58" i="6"/>
  <c r="C37" i="6"/>
  <c r="D59" i="6"/>
  <c r="D37" i="6"/>
  <c r="E59" i="6"/>
  <c r="F59" i="6"/>
  <c r="G59" i="6"/>
  <c r="H59" i="6"/>
  <c r="C38" i="6"/>
  <c r="D60" i="6"/>
  <c r="D38" i="6"/>
  <c r="E60" i="6"/>
  <c r="F60" i="6"/>
  <c r="G60" i="6"/>
  <c r="H60" i="6"/>
  <c r="C43" i="6"/>
  <c r="D64" i="6"/>
  <c r="D43" i="6"/>
  <c r="E64" i="6"/>
  <c r="F64" i="6"/>
  <c r="G64" i="6"/>
  <c r="H64" i="6"/>
  <c r="C44" i="6"/>
  <c r="D65" i="6"/>
  <c r="D44" i="6"/>
  <c r="E65" i="6"/>
  <c r="F65" i="6"/>
  <c r="G65" i="6"/>
  <c r="H65" i="6"/>
  <c r="C39" i="6"/>
  <c r="D61" i="6"/>
  <c r="D39" i="6"/>
  <c r="E61" i="6"/>
  <c r="F61" i="6"/>
  <c r="G61" i="6"/>
  <c r="H61" i="6"/>
  <c r="C40" i="6"/>
  <c r="D62" i="6"/>
  <c r="D40" i="6"/>
  <c r="E62" i="6"/>
  <c r="F62" i="6"/>
  <c r="G62" i="6"/>
  <c r="H62" i="6"/>
  <c r="C41" i="6"/>
  <c r="D63" i="6"/>
  <c r="D41" i="6"/>
  <c r="E63" i="6"/>
  <c r="F63" i="6"/>
  <c r="G63" i="6"/>
  <c r="H63" i="6"/>
  <c r="C67" i="6"/>
  <c r="C42" i="6"/>
  <c r="D67" i="6"/>
  <c r="D42" i="6"/>
  <c r="E67" i="6"/>
  <c r="F67" i="6"/>
  <c r="G67" i="6"/>
  <c r="H67" i="6"/>
  <c r="E92" i="6"/>
  <c r="E94" i="6" s="1"/>
  <c r="D34" i="6" l="1"/>
  <c r="D66" i="6" s="1"/>
  <c r="D25" i="3"/>
  <c r="D26" i="3" s="1"/>
  <c r="D8" i="3"/>
  <c r="D55" i="6" s="1"/>
  <c r="D56" i="6"/>
  <c r="D68" i="6" s="1"/>
  <c r="C25" i="3"/>
  <c r="C26" i="3" s="1"/>
  <c r="C8" i="3"/>
  <c r="C55" i="6" s="1"/>
  <c r="C56" i="6"/>
  <c r="C68" i="6" s="1"/>
  <c r="H20" i="3"/>
  <c r="H5" i="3"/>
  <c r="G20" i="3"/>
  <c r="G5" i="3"/>
  <c r="F20" i="3"/>
  <c r="F5" i="3"/>
  <c r="E20" i="3"/>
  <c r="E5" i="3"/>
  <c r="S29" i="2"/>
  <c r="S18" i="2"/>
  <c r="Q29" i="2"/>
  <c r="Q18" i="2"/>
  <c r="P29" i="2"/>
  <c r="P18" i="2"/>
  <c r="O29" i="2"/>
  <c r="O18" i="2"/>
  <c r="M29" i="2"/>
  <c r="M18" i="2"/>
  <c r="L29" i="2"/>
  <c r="L18" i="2"/>
  <c r="K29" i="2"/>
  <c r="K18" i="2"/>
  <c r="I29" i="2"/>
  <c r="I18" i="2"/>
  <c r="H29" i="2"/>
  <c r="H18" i="2"/>
  <c r="G29" i="2"/>
  <c r="G18" i="2"/>
  <c r="E29" i="2"/>
  <c r="E18" i="2"/>
  <c r="D29" i="2"/>
  <c r="D18" i="2"/>
  <c r="C29" i="2"/>
  <c r="C18" i="2"/>
  <c r="R25" i="2"/>
  <c r="R14" i="2"/>
  <c r="R16" i="2" s="1"/>
  <c r="H11" i="6"/>
  <c r="H14" i="3"/>
  <c r="I12" i="3"/>
  <c r="H3" i="3"/>
  <c r="N25" i="2"/>
  <c r="N14" i="2"/>
  <c r="N16" i="2" s="1"/>
  <c r="G11" i="6"/>
  <c r="G14" i="3"/>
  <c r="G3" i="3"/>
  <c r="J25" i="2"/>
  <c r="J14" i="2"/>
  <c r="J16" i="2" s="1"/>
  <c r="F11" i="6"/>
  <c r="F14" i="3"/>
  <c r="F3" i="3"/>
  <c r="F25" i="2"/>
  <c r="F14" i="2"/>
  <c r="F16" i="2" s="1"/>
  <c r="E11" i="6"/>
  <c r="E14" i="3"/>
  <c r="E3" i="3"/>
  <c r="E95" i="6"/>
  <c r="E97" i="6" s="1"/>
  <c r="C114" i="6" l="1"/>
  <c r="C113" i="6"/>
  <c r="C112" i="6"/>
  <c r="C111" i="6"/>
  <c r="C110" i="6"/>
  <c r="C76" i="6"/>
  <c r="R69" i="6"/>
  <c r="Q69" i="6"/>
  <c r="P69" i="6"/>
  <c r="O69" i="6"/>
  <c r="N69" i="6"/>
  <c r="M69" i="6"/>
  <c r="L69" i="6"/>
  <c r="K69" i="6"/>
  <c r="J69" i="6"/>
  <c r="I69" i="6"/>
  <c r="E21" i="3"/>
  <c r="E4" i="3"/>
  <c r="E53" i="6"/>
  <c r="E45" i="6"/>
  <c r="E16" i="6"/>
  <c r="E36" i="6"/>
  <c r="E37" i="6"/>
  <c r="E38" i="6"/>
  <c r="E43" i="6"/>
  <c r="E44" i="6"/>
  <c r="E39" i="6"/>
  <c r="E40" i="6"/>
  <c r="E41" i="6"/>
  <c r="E42" i="6"/>
  <c r="F18" i="2"/>
  <c r="F29" i="2"/>
  <c r="F21" i="3"/>
  <c r="F4" i="3"/>
  <c r="F53" i="6"/>
  <c r="F45" i="6"/>
  <c r="F34" i="6" s="1"/>
  <c r="F66" i="6" s="1"/>
  <c r="F16" i="6"/>
  <c r="F36" i="6"/>
  <c r="F37" i="6"/>
  <c r="F38" i="6"/>
  <c r="F43" i="6"/>
  <c r="F44" i="6"/>
  <c r="F39" i="6"/>
  <c r="F40" i="6"/>
  <c r="F41" i="6"/>
  <c r="F42" i="6"/>
  <c r="J18" i="2"/>
  <c r="J29" i="2"/>
  <c r="G21" i="3"/>
  <c r="G4" i="3"/>
  <c r="G53" i="6"/>
  <c r="G45" i="6"/>
  <c r="G34" i="6" s="1"/>
  <c r="G66" i="6" s="1"/>
  <c r="G16" i="6"/>
  <c r="G36" i="6"/>
  <c r="G37" i="6"/>
  <c r="G38" i="6"/>
  <c r="G43" i="6"/>
  <c r="G44" i="6"/>
  <c r="G39" i="6"/>
  <c r="G40" i="6"/>
  <c r="G41" i="6"/>
  <c r="G42" i="6"/>
  <c r="N18" i="2"/>
  <c r="N29" i="2"/>
  <c r="I11" i="6"/>
  <c r="I17" i="3"/>
  <c r="I16" i="3"/>
  <c r="I15" i="3"/>
  <c r="I20" i="3" s="1"/>
  <c r="I13" i="3"/>
  <c r="I14" i="3" s="1"/>
  <c r="I21" i="3" s="1"/>
  <c r="J12" i="3"/>
  <c r="H21" i="3"/>
  <c r="H4" i="3"/>
  <c r="H53" i="6"/>
  <c r="H45" i="6"/>
  <c r="H34" i="6" s="1"/>
  <c r="H66" i="6" s="1"/>
  <c r="H16" i="6"/>
  <c r="H36" i="6"/>
  <c r="H37" i="6"/>
  <c r="H38" i="6"/>
  <c r="H43" i="6"/>
  <c r="H44" i="6"/>
  <c r="H39" i="6"/>
  <c r="H40" i="6"/>
  <c r="H41" i="6"/>
  <c r="H42" i="6"/>
  <c r="R18" i="2"/>
  <c r="R29" i="2"/>
  <c r="H13" i="6" l="1"/>
  <c r="H54" i="6" s="1"/>
  <c r="H23" i="3"/>
  <c r="J11" i="6"/>
  <c r="J17" i="3"/>
  <c r="J16" i="3"/>
  <c r="J15" i="3"/>
  <c r="J20" i="3" s="1"/>
  <c r="J13" i="3"/>
  <c r="J14" i="3" s="1"/>
  <c r="J21" i="3" s="1"/>
  <c r="K12" i="3"/>
  <c r="I13" i="6"/>
  <c r="I54" i="6" s="1"/>
  <c r="I56" i="6" s="1"/>
  <c r="I23" i="3"/>
  <c r="I53" i="6"/>
  <c r="I34" i="6"/>
  <c r="I66" i="6" s="1"/>
  <c r="I32" i="6"/>
  <c r="I67" i="6" s="1"/>
  <c r="I29" i="6"/>
  <c r="I63" i="6" s="1"/>
  <c r="I27" i="6"/>
  <c r="I61" i="6" s="1"/>
  <c r="I25" i="6"/>
  <c r="I65" i="6" s="1"/>
  <c r="I24" i="6"/>
  <c r="I64" i="6" s="1"/>
  <c r="I22" i="6"/>
  <c r="I59" i="6" s="1"/>
  <c r="G13" i="6"/>
  <c r="G54" i="6" s="1"/>
  <c r="G23" i="3"/>
  <c r="F13" i="6"/>
  <c r="F54" i="6" s="1"/>
  <c r="F23" i="3"/>
  <c r="U42" i="6"/>
  <c r="T42" i="6"/>
  <c r="U41" i="6"/>
  <c r="T41" i="6"/>
  <c r="U40" i="6"/>
  <c r="T40" i="6"/>
  <c r="U39" i="6"/>
  <c r="T39" i="6"/>
  <c r="U44" i="6"/>
  <c r="T44" i="6"/>
  <c r="U43" i="6"/>
  <c r="T43" i="6"/>
  <c r="U38" i="6"/>
  <c r="T38" i="6"/>
  <c r="U37" i="6"/>
  <c r="T37" i="6"/>
  <c r="U36" i="6"/>
  <c r="T36" i="6"/>
  <c r="U16" i="6"/>
  <c r="T16" i="6"/>
  <c r="E34" i="6"/>
  <c r="E66" i="6" s="1"/>
  <c r="U45" i="6"/>
  <c r="T45" i="6"/>
  <c r="E13" i="6"/>
  <c r="E54" i="6" s="1"/>
  <c r="E23" i="3"/>
  <c r="E25" i="3" l="1"/>
  <c r="E26" i="3" s="1"/>
  <c r="E8" i="3"/>
  <c r="E55" i="6" s="1"/>
  <c r="E56" i="6"/>
  <c r="E68" i="6" s="1"/>
  <c r="R16" i="6"/>
  <c r="Q16" i="6"/>
  <c r="P16" i="6"/>
  <c r="O16" i="6"/>
  <c r="N16" i="6"/>
  <c r="M16" i="6"/>
  <c r="L16" i="6"/>
  <c r="K16" i="6"/>
  <c r="J16" i="6"/>
  <c r="I16" i="6"/>
  <c r="I15" i="6" s="1"/>
  <c r="I57" i="6" s="1"/>
  <c r="M36" i="6"/>
  <c r="L36" i="6"/>
  <c r="K36" i="6"/>
  <c r="J36" i="6"/>
  <c r="J21" i="6" s="1"/>
  <c r="I36" i="6"/>
  <c r="I21" i="6" s="1"/>
  <c r="I58" i="6" s="1"/>
  <c r="M38" i="6"/>
  <c r="L38" i="6"/>
  <c r="K38" i="6"/>
  <c r="J38" i="6"/>
  <c r="J23" i="6" s="1"/>
  <c r="I38" i="6"/>
  <c r="I23" i="6" s="1"/>
  <c r="I60" i="6" s="1"/>
  <c r="M40" i="6"/>
  <c r="L40" i="6"/>
  <c r="K40" i="6"/>
  <c r="J40" i="6"/>
  <c r="J28" i="6" s="1"/>
  <c r="I40" i="6"/>
  <c r="I28" i="6" s="1"/>
  <c r="I62" i="6" s="1"/>
  <c r="F25" i="3"/>
  <c r="F26" i="3" s="1"/>
  <c r="F8" i="3"/>
  <c r="F55" i="6" s="1"/>
  <c r="F56" i="6"/>
  <c r="F68" i="6" s="1"/>
  <c r="G25" i="3"/>
  <c r="G26" i="3" s="1"/>
  <c r="G8" i="3"/>
  <c r="G55" i="6" s="1"/>
  <c r="G56" i="6"/>
  <c r="G68" i="6" s="1"/>
  <c r="I24" i="3"/>
  <c r="I25" i="3" s="1"/>
  <c r="I26" i="3" s="1"/>
  <c r="I68" i="6"/>
  <c r="I70" i="6" s="1"/>
  <c r="K11" i="6"/>
  <c r="K17" i="3"/>
  <c r="K16" i="3"/>
  <c r="K15" i="3"/>
  <c r="K20" i="3" s="1"/>
  <c r="K13" i="3"/>
  <c r="K14" i="3" s="1"/>
  <c r="K21" i="3" s="1"/>
  <c r="L12" i="3"/>
  <c r="J13" i="6"/>
  <c r="J54" i="6" s="1"/>
  <c r="J56" i="6" s="1"/>
  <c r="J23" i="3"/>
  <c r="J53" i="6"/>
  <c r="J34" i="6"/>
  <c r="J66" i="6" s="1"/>
  <c r="J32" i="6"/>
  <c r="J67" i="6" s="1"/>
  <c r="J29" i="6"/>
  <c r="J63" i="6" s="1"/>
  <c r="J27" i="6"/>
  <c r="J61" i="6" s="1"/>
  <c r="J25" i="6"/>
  <c r="J65" i="6" s="1"/>
  <c r="J24" i="6"/>
  <c r="J64" i="6" s="1"/>
  <c r="J22" i="6"/>
  <c r="J59" i="6" s="1"/>
  <c r="J15" i="6"/>
  <c r="J57" i="6" s="1"/>
  <c r="H25" i="3"/>
  <c r="H26" i="3" s="1"/>
  <c r="H8" i="3"/>
  <c r="H55" i="6" s="1"/>
  <c r="H56" i="6"/>
  <c r="H68" i="6" s="1"/>
  <c r="J24" i="3" l="1"/>
  <c r="J25" i="3" s="1"/>
  <c r="J26" i="3" s="1"/>
  <c r="L11" i="6"/>
  <c r="L17" i="3"/>
  <c r="L16" i="3"/>
  <c r="L15" i="3"/>
  <c r="L20" i="3" s="1"/>
  <c r="L13" i="3"/>
  <c r="L14" i="3" s="1"/>
  <c r="L21" i="3" s="1"/>
  <c r="M12" i="3"/>
  <c r="K13" i="6"/>
  <c r="K54" i="6" s="1"/>
  <c r="K56" i="6" s="1"/>
  <c r="K23" i="3"/>
  <c r="K53" i="6"/>
  <c r="K34" i="6"/>
  <c r="K66" i="6" s="1"/>
  <c r="K32" i="6"/>
  <c r="K67" i="6" s="1"/>
  <c r="K29" i="6"/>
  <c r="K63" i="6" s="1"/>
  <c r="K27" i="6"/>
  <c r="K61" i="6" s="1"/>
  <c r="K25" i="6"/>
  <c r="K65" i="6" s="1"/>
  <c r="K24" i="6"/>
  <c r="K64" i="6" s="1"/>
  <c r="K22" i="6"/>
  <c r="K59" i="6" s="1"/>
  <c r="K15" i="6"/>
  <c r="K57" i="6" s="1"/>
  <c r="J62" i="6"/>
  <c r="K28" i="6"/>
  <c r="K62" i="6" s="1"/>
  <c r="L28" i="6"/>
  <c r="L62" i="6" s="1"/>
  <c r="N40" i="6"/>
  <c r="J60" i="6"/>
  <c r="K23" i="6"/>
  <c r="K60" i="6" s="1"/>
  <c r="L23" i="6"/>
  <c r="L60" i="6" s="1"/>
  <c r="N38" i="6"/>
  <c r="J58" i="6"/>
  <c r="J68" i="6" s="1"/>
  <c r="J70" i="6" s="1"/>
  <c r="K21" i="6"/>
  <c r="K58" i="6" s="1"/>
  <c r="L21" i="6"/>
  <c r="L58" i="6" s="1"/>
  <c r="N36" i="6"/>
  <c r="O36" i="6" l="1"/>
  <c r="O38" i="6"/>
  <c r="O40" i="6"/>
  <c r="K24" i="3"/>
  <c r="K25" i="3" s="1"/>
  <c r="K26" i="3" s="1"/>
  <c r="K68" i="6"/>
  <c r="K70" i="6" s="1"/>
  <c r="M11" i="6"/>
  <c r="M17" i="3"/>
  <c r="M16" i="3"/>
  <c r="M15" i="3"/>
  <c r="M20" i="3" s="1"/>
  <c r="M13" i="3"/>
  <c r="M14" i="3" s="1"/>
  <c r="M21" i="3" s="1"/>
  <c r="N12" i="3"/>
  <c r="L13" i="6"/>
  <c r="L54" i="6" s="1"/>
  <c r="L56" i="6" s="1"/>
  <c r="L23" i="3"/>
  <c r="L53" i="6"/>
  <c r="L34" i="6"/>
  <c r="L66" i="6" s="1"/>
  <c r="L32" i="6"/>
  <c r="L67" i="6" s="1"/>
  <c r="L29" i="6"/>
  <c r="L63" i="6" s="1"/>
  <c r="L27" i="6"/>
  <c r="L61" i="6" s="1"/>
  <c r="L25" i="6"/>
  <c r="L65" i="6" s="1"/>
  <c r="L24" i="6"/>
  <c r="L64" i="6" s="1"/>
  <c r="L22" i="6"/>
  <c r="L59" i="6" s="1"/>
  <c r="L15" i="6"/>
  <c r="L57" i="6" s="1"/>
  <c r="L24" i="3" l="1"/>
  <c r="L25" i="3" s="1"/>
  <c r="L26" i="3" s="1"/>
  <c r="L68" i="6"/>
  <c r="L70" i="6" s="1"/>
  <c r="N11" i="6"/>
  <c r="N17" i="3"/>
  <c r="N16" i="3"/>
  <c r="N15" i="3"/>
  <c r="N20" i="3" s="1"/>
  <c r="N13" i="3"/>
  <c r="N14" i="3" s="1"/>
  <c r="N21" i="3" s="1"/>
  <c r="O12" i="3"/>
  <c r="M13" i="6"/>
  <c r="M54" i="6" s="1"/>
  <c r="M56" i="6" s="1"/>
  <c r="M23" i="3"/>
  <c r="M53" i="6"/>
  <c r="M34" i="6"/>
  <c r="M66" i="6" s="1"/>
  <c r="M32" i="6"/>
  <c r="M67" i="6" s="1"/>
  <c r="M29" i="6"/>
  <c r="M63" i="6" s="1"/>
  <c r="M27" i="6"/>
  <c r="M61" i="6" s="1"/>
  <c r="M25" i="6"/>
  <c r="M65" i="6" s="1"/>
  <c r="M24" i="6"/>
  <c r="M64" i="6" s="1"/>
  <c r="M22" i="6"/>
  <c r="M59" i="6" s="1"/>
  <c r="M15" i="6"/>
  <c r="M57" i="6" s="1"/>
  <c r="M28" i="6"/>
  <c r="M62" i="6" s="1"/>
  <c r="M23" i="6"/>
  <c r="M60" i="6" s="1"/>
  <c r="M21" i="6"/>
  <c r="M58" i="6" s="1"/>
  <c r="P40" i="6"/>
  <c r="P38" i="6"/>
  <c r="P36" i="6"/>
  <c r="Q36" i="6" l="1"/>
  <c r="Q38" i="6"/>
  <c r="Q40" i="6"/>
  <c r="M24" i="3"/>
  <c r="M25" i="3" s="1"/>
  <c r="M26" i="3" s="1"/>
  <c r="M68" i="6"/>
  <c r="M70" i="6" s="1"/>
  <c r="O11" i="6"/>
  <c r="O17" i="3"/>
  <c r="O16" i="3"/>
  <c r="O15" i="3"/>
  <c r="O20" i="3" s="1"/>
  <c r="O13" i="3"/>
  <c r="O14" i="3" s="1"/>
  <c r="O21" i="3" s="1"/>
  <c r="P12" i="3"/>
  <c r="N13" i="6"/>
  <c r="N54" i="6" s="1"/>
  <c r="N56" i="6" s="1"/>
  <c r="N23" i="3"/>
  <c r="N53" i="6"/>
  <c r="N34" i="6"/>
  <c r="N66" i="6" s="1"/>
  <c r="N32" i="6"/>
  <c r="N67" i="6" s="1"/>
  <c r="N29" i="6"/>
  <c r="N63" i="6" s="1"/>
  <c r="N27" i="6"/>
  <c r="N61" i="6" s="1"/>
  <c r="N25" i="6"/>
  <c r="N65" i="6" s="1"/>
  <c r="N24" i="6"/>
  <c r="N64" i="6" s="1"/>
  <c r="N22" i="6"/>
  <c r="N59" i="6" s="1"/>
  <c r="N15" i="6"/>
  <c r="N57" i="6" s="1"/>
  <c r="N21" i="6"/>
  <c r="N58" i="6" s="1"/>
  <c r="N23" i="6"/>
  <c r="N60" i="6" s="1"/>
  <c r="N28" i="6"/>
  <c r="N62" i="6" s="1"/>
  <c r="N24" i="3" l="1"/>
  <c r="N25" i="3" s="1"/>
  <c r="N26" i="3" s="1"/>
  <c r="N68" i="6"/>
  <c r="N70" i="6" s="1"/>
  <c r="P11" i="6"/>
  <c r="P17" i="3"/>
  <c r="P16" i="3"/>
  <c r="P15" i="3"/>
  <c r="P20" i="3" s="1"/>
  <c r="P13" i="3"/>
  <c r="P14" i="3" s="1"/>
  <c r="P21" i="3" s="1"/>
  <c r="Q12" i="3"/>
  <c r="O13" i="6"/>
  <c r="O54" i="6" s="1"/>
  <c r="O56" i="6" s="1"/>
  <c r="O23" i="3"/>
  <c r="O53" i="6"/>
  <c r="O34" i="6"/>
  <c r="O66" i="6" s="1"/>
  <c r="O32" i="6"/>
  <c r="O67" i="6" s="1"/>
  <c r="O29" i="6"/>
  <c r="O63" i="6" s="1"/>
  <c r="O27" i="6"/>
  <c r="O61" i="6" s="1"/>
  <c r="O25" i="6"/>
  <c r="O65" i="6" s="1"/>
  <c r="O24" i="6"/>
  <c r="O64" i="6" s="1"/>
  <c r="O22" i="6"/>
  <c r="O59" i="6" s="1"/>
  <c r="O15" i="6"/>
  <c r="O57" i="6" s="1"/>
  <c r="O28" i="6"/>
  <c r="O62" i="6" s="1"/>
  <c r="O23" i="6"/>
  <c r="O60" i="6" s="1"/>
  <c r="O21" i="6"/>
  <c r="O58" i="6" s="1"/>
  <c r="R40" i="6"/>
  <c r="R38" i="6"/>
  <c r="R36" i="6"/>
  <c r="O24" i="3" l="1"/>
  <c r="O25" i="3" s="1"/>
  <c r="O26" i="3" s="1"/>
  <c r="O68" i="6"/>
  <c r="O70" i="6" s="1"/>
  <c r="Q11" i="6"/>
  <c r="Q17" i="3"/>
  <c r="Q16" i="3"/>
  <c r="Q15" i="3"/>
  <c r="Q20" i="3" s="1"/>
  <c r="Q13" i="3"/>
  <c r="Q14" i="3" s="1"/>
  <c r="Q21" i="3" s="1"/>
  <c r="R12" i="3"/>
  <c r="P13" i="6"/>
  <c r="P54" i="6" s="1"/>
  <c r="P56" i="6" s="1"/>
  <c r="P23" i="3"/>
  <c r="P53" i="6"/>
  <c r="P34" i="6"/>
  <c r="P66" i="6" s="1"/>
  <c r="P32" i="6"/>
  <c r="P67" i="6" s="1"/>
  <c r="P29" i="6"/>
  <c r="P63" i="6" s="1"/>
  <c r="P27" i="6"/>
  <c r="P61" i="6" s="1"/>
  <c r="P25" i="6"/>
  <c r="P65" i="6" s="1"/>
  <c r="P24" i="6"/>
  <c r="P64" i="6" s="1"/>
  <c r="P22" i="6"/>
  <c r="P59" i="6" s="1"/>
  <c r="P15" i="6"/>
  <c r="P57" i="6" s="1"/>
  <c r="P21" i="6"/>
  <c r="P58" i="6" s="1"/>
  <c r="P23" i="6"/>
  <c r="P60" i="6" s="1"/>
  <c r="P28" i="6"/>
  <c r="P62" i="6" s="1"/>
  <c r="P24" i="3" l="1"/>
  <c r="P25" i="3" s="1"/>
  <c r="P26" i="3" s="1"/>
  <c r="P68" i="6"/>
  <c r="P70" i="6" s="1"/>
  <c r="R11" i="6"/>
  <c r="R17" i="3"/>
  <c r="R16" i="3"/>
  <c r="R15" i="3"/>
  <c r="R20" i="3" s="1"/>
  <c r="R13" i="3"/>
  <c r="R14" i="3" s="1"/>
  <c r="R21" i="3" s="1"/>
  <c r="Q13" i="6"/>
  <c r="Q54" i="6" s="1"/>
  <c r="Q56" i="6" s="1"/>
  <c r="Q23" i="3"/>
  <c r="Q53" i="6"/>
  <c r="Q34" i="6"/>
  <c r="Q66" i="6" s="1"/>
  <c r="Q32" i="6"/>
  <c r="Q67" i="6" s="1"/>
  <c r="Q29" i="6"/>
  <c r="Q63" i="6" s="1"/>
  <c r="Q27" i="6"/>
  <c r="Q61" i="6" s="1"/>
  <c r="Q25" i="6"/>
  <c r="Q65" i="6" s="1"/>
  <c r="Q24" i="6"/>
  <c r="Q64" i="6" s="1"/>
  <c r="Q22" i="6"/>
  <c r="Q59" i="6" s="1"/>
  <c r="Q15" i="6"/>
  <c r="Q57" i="6" s="1"/>
  <c r="Q28" i="6"/>
  <c r="Q62" i="6" s="1"/>
  <c r="Q23" i="6"/>
  <c r="Q60" i="6" s="1"/>
  <c r="Q21" i="6"/>
  <c r="Q58" i="6" s="1"/>
  <c r="Q24" i="3" l="1"/>
  <c r="Q25" i="3" s="1"/>
  <c r="Q26" i="3" s="1"/>
  <c r="Q68" i="6"/>
  <c r="Q70" i="6" s="1"/>
  <c r="R13" i="6"/>
  <c r="R54" i="6" s="1"/>
  <c r="R56" i="6" s="1"/>
  <c r="R23" i="3"/>
  <c r="R53" i="6"/>
  <c r="R34" i="6"/>
  <c r="R66" i="6" s="1"/>
  <c r="R32" i="6"/>
  <c r="R67" i="6" s="1"/>
  <c r="R29" i="6"/>
  <c r="R63" i="6" s="1"/>
  <c r="R27" i="6"/>
  <c r="R61" i="6" s="1"/>
  <c r="R25" i="6"/>
  <c r="R65" i="6" s="1"/>
  <c r="R24" i="6"/>
  <c r="R64" i="6" s="1"/>
  <c r="R22" i="6"/>
  <c r="R59" i="6" s="1"/>
  <c r="R15" i="6"/>
  <c r="R57" i="6" s="1"/>
  <c r="R21" i="6"/>
  <c r="R58" i="6" s="1"/>
  <c r="R23" i="6"/>
  <c r="R60" i="6" s="1"/>
  <c r="R28" i="6"/>
  <c r="R62" i="6" s="1"/>
  <c r="R24" i="3" l="1"/>
  <c r="R25" i="3" s="1"/>
  <c r="R26" i="3" s="1"/>
  <c r="R68" i="6"/>
  <c r="C77" i="6" l="1"/>
  <c r="C78" i="6" s="1"/>
  <c r="C79" i="6" s="1"/>
  <c r="R70" i="6"/>
  <c r="R71" i="6" s="1"/>
  <c r="F100" i="6" l="1"/>
  <c r="F102" i="6" s="1"/>
  <c r="F104" i="6" s="1"/>
  <c r="F105" i="6" s="1"/>
  <c r="H114" i="6"/>
  <c r="G114" i="6"/>
  <c r="F114" i="6"/>
  <c r="E114" i="6"/>
  <c r="D114" i="6"/>
  <c r="H113" i="6"/>
  <c r="G113" i="6"/>
  <c r="F113" i="6"/>
  <c r="E113" i="6"/>
  <c r="D113" i="6"/>
  <c r="H112" i="6"/>
  <c r="G112" i="6"/>
  <c r="F112" i="6"/>
  <c r="E112" i="6"/>
  <c r="D112" i="6"/>
  <c r="H111" i="6"/>
  <c r="G111" i="6"/>
  <c r="F111" i="6"/>
  <c r="E111" i="6"/>
  <c r="D111" i="6"/>
  <c r="H110" i="6"/>
  <c r="G110" i="6"/>
  <c r="F110" i="6"/>
  <c r="E110" i="6"/>
  <c r="D110" i="6"/>
</calcChain>
</file>

<file path=xl/sharedStrings.xml><?xml version="1.0" encoding="utf-8"?>
<sst xmlns="http://schemas.openxmlformats.org/spreadsheetml/2006/main" count="434" uniqueCount="339">
  <si>
    <t>SAMSARA INC. (IOT)</t>
  </si>
  <si>
    <t>Balance sheet data as of FY26 year-end (2/1/26); diluted share count as of Q1 FY27 (quarter ended 5/2/26)</t>
  </si>
  <si>
    <t>Price ($/share)</t>
  </si>
  <si>
    <t>Shares (diluted, thousands)</t>
  </si>
  <si>
    <t>Market Cap ($000s)</t>
  </si>
  <si>
    <t>Cash &amp; investments ($000s, FY26 year-end)</t>
  </si>
  <si>
    <t>Debt ($000s)</t>
  </si>
  <si>
    <t>EV ($000s)</t>
  </si>
  <si>
    <t>CEO:</t>
  </si>
  <si>
    <t xml:space="preserve"> Sanjit Biswas</t>
  </si>
  <si>
    <t>CFO:</t>
  </si>
  <si>
    <t>Dominic Phillips</t>
  </si>
  <si>
    <t>Historic Quarterly Income Statement</t>
  </si>
  <si>
    <t>Q1'23</t>
  </si>
  <si>
    <t>Q2'23</t>
  </si>
  <si>
    <t>Q3'23</t>
  </si>
  <si>
    <t>Q4'23</t>
  </si>
  <si>
    <t>Q1'24</t>
  </si>
  <si>
    <t>Q2'24</t>
  </si>
  <si>
    <t>Q3'24</t>
  </si>
  <si>
    <t>Q4'24</t>
  </si>
  <si>
    <t>Q1'25</t>
  </si>
  <si>
    <t>Q2'25</t>
  </si>
  <si>
    <t>Q3'25</t>
  </si>
  <si>
    <t>Q4'25</t>
  </si>
  <si>
    <t>Q1'26</t>
  </si>
  <si>
    <t>Q2'26</t>
  </si>
  <si>
    <t>Q3'26</t>
  </si>
  <si>
    <t>Q4'26</t>
  </si>
  <si>
    <t>Q1'27</t>
  </si>
  <si>
    <t>Revenue</t>
  </si>
  <si>
    <t>Cost of revenue</t>
  </si>
  <si>
    <t>Gross profit</t>
  </si>
  <si>
    <t>Research and development</t>
  </si>
  <si>
    <t>Sales and marketing</t>
  </si>
  <si>
    <t>General and administrative</t>
  </si>
  <si>
    <t>Lease modification, impairment, and related charges</t>
  </si>
  <si>
    <t>Legal settlement</t>
  </si>
  <si>
    <t>Total operating expenses</t>
  </si>
  <si>
    <t>Loss from operations</t>
  </si>
  <si>
    <t>Interest income and other income (expense), net</t>
  </si>
  <si>
    <t>Income (loss) before income taxes</t>
  </si>
  <si>
    <t>Provision for income taxes</t>
  </si>
  <si>
    <t>Net income (loss)</t>
  </si>
  <si>
    <t>EPS</t>
  </si>
  <si>
    <t>Shares (weighted-avg diluted, thousands)</t>
  </si>
  <si>
    <t>Historic Drivers</t>
  </si>
  <si>
    <t>Revenue Growth Rate (QoQ)</t>
  </si>
  <si>
    <t>Gross Margin %</t>
  </si>
  <si>
    <t>R&amp;D %</t>
  </si>
  <si>
    <t>S&amp;M %</t>
  </si>
  <si>
    <t>G&amp;A %</t>
  </si>
  <si>
    <t>Effective Tax Rate</t>
  </si>
  <si>
    <t>IS Assumptions</t>
  </si>
  <si>
    <t>FY'21A</t>
  </si>
  <si>
    <t>FY'22A</t>
  </si>
  <si>
    <t>FY'23A</t>
  </si>
  <si>
    <t>FY'24A</t>
  </si>
  <si>
    <t>FY'25A</t>
  </si>
  <si>
    <t>FY'26A</t>
  </si>
  <si>
    <t>FY'27P</t>
  </si>
  <si>
    <t>FY'28P</t>
  </si>
  <si>
    <t>FY'29P</t>
  </si>
  <si>
    <t>FY'30P</t>
  </si>
  <si>
    <t>FY'31P</t>
  </si>
  <si>
    <t>FY'32P</t>
  </si>
  <si>
    <t>FY'33P</t>
  </si>
  <si>
    <t>FY'34P</t>
  </si>
  <si>
    <t>FY'35P</t>
  </si>
  <si>
    <t>FY'36P</t>
  </si>
  <si>
    <t>Revenue Growth Rate</t>
  </si>
  <si>
    <t>Income Statement</t>
  </si>
  <si>
    <t>Lease modification, impairment, and related charges (&amp; restructuring, FY21)</t>
  </si>
  <si>
    <t>Operating income (Loss from operations)</t>
  </si>
  <si>
    <t>Interest income and other income, net</t>
  </si>
  <si>
    <t>Shares (diluted weighted-average, thousands)</t>
  </si>
  <si>
    <t>Balance Sheet</t>
  </si>
  <si>
    <t>FY'21</t>
  </si>
  <si>
    <t>FY'22</t>
  </si>
  <si>
    <t>FY'23</t>
  </si>
  <si>
    <t>FY'24</t>
  </si>
  <si>
    <t>FY'25</t>
  </si>
  <si>
    <t>FY'26</t>
  </si>
  <si>
    <t>Cash and cash equivalents</t>
  </si>
  <si>
    <t>Short-term investments</t>
  </si>
  <si>
    <t>Restricted cash</t>
  </si>
  <si>
    <t>Accounts receivable, net</t>
  </si>
  <si>
    <t>Inventories</t>
  </si>
  <si>
    <t>Connected device costs, current</t>
  </si>
  <si>
    <t>Prepaid expenses and other current assets</t>
  </si>
  <si>
    <t>Deferred commissions, current</t>
  </si>
  <si>
    <t>Total current assets</t>
  </si>
  <si>
    <t>Long-term investments</t>
  </si>
  <si>
    <t>Property and equipment, net</t>
  </si>
  <si>
    <t>Operating lease right-of-use assets</t>
  </si>
  <si>
    <t>Connected device costs, non-current</t>
  </si>
  <si>
    <t>Deferred commissions, non-current</t>
  </si>
  <si>
    <t>Other assets, non-current</t>
  </si>
  <si>
    <t>Total assets</t>
  </si>
  <si>
    <t>Accounts payable</t>
  </si>
  <si>
    <t>Accrued expenses and other current liabilities</t>
  </si>
  <si>
    <t>Accrued compensation and benefits</t>
  </si>
  <si>
    <t>Deferred revenue, current</t>
  </si>
  <si>
    <t>Operating lease liabilities, current</t>
  </si>
  <si>
    <t>Total current liabilities</t>
  </si>
  <si>
    <t>Deferred revenue, non-current</t>
  </si>
  <si>
    <t>Operating lease liabilities, non-current</t>
  </si>
  <si>
    <t>Other liabilities, non-current</t>
  </si>
  <si>
    <t>Total liabilities</t>
  </si>
  <si>
    <t>Convertible preferred stock (mezzanine, pre-IPO)</t>
  </si>
  <si>
    <t>Total stockholders' equity (deficit)</t>
  </si>
  <si>
    <t>Total liabilities, conv. preferred &amp; stockholders' equity</t>
  </si>
  <si>
    <t>Check (Assets less Liab., Pref. &amp; Equity)</t>
  </si>
  <si>
    <t>Cash Flow Statement</t>
  </si>
  <si>
    <t>Depreciation and amortization</t>
  </si>
  <si>
    <t>Stock-based compensation expense</t>
  </si>
  <si>
    <t>Lease modification, impairment, and related charges (non-cash)</t>
  </si>
  <si>
    <t>Other non-cash adjustments</t>
  </si>
  <si>
    <t>Connected device costs</t>
  </si>
  <si>
    <t>Deferred commissions</t>
  </si>
  <si>
    <t>Other assets</t>
  </si>
  <si>
    <t>Accounts payable and other liabilities</t>
  </si>
  <si>
    <t>Deferred revenue</t>
  </si>
  <si>
    <t>Operating lease liabilities</t>
  </si>
  <si>
    <t>Net cash provided by (used in) operating activities</t>
  </si>
  <si>
    <t>Capital expenditures (purchases of property and equipment)</t>
  </si>
  <si>
    <t>Purchases of investments</t>
  </si>
  <si>
    <t>Proceeds from sales and maturities of investments</t>
  </si>
  <si>
    <t>Other investing activities</t>
  </si>
  <si>
    <t>Net cash used in investing activities</t>
  </si>
  <si>
    <t>Proceeds from equity issuances (IPO / preferred stock / comp plans)</t>
  </si>
  <si>
    <t>Payment of taxes on net share settlement / stock repurchases</t>
  </si>
  <si>
    <t>Other financing activities (offering costs, finance leases, etc.)</t>
  </si>
  <si>
    <t>Net cash provided by financing activities</t>
  </si>
  <si>
    <t>Effect of exchange rate changes on cash</t>
  </si>
  <si>
    <t>Net increase (decrease) in cash, cash equivalents, and restricted cash</t>
  </si>
  <si>
    <t>Beginning of period</t>
  </si>
  <si>
    <t>End of period</t>
  </si>
  <si>
    <t>Samsara Inc. (IOT)</t>
  </si>
  <si>
    <t>Valuation Date (hardcoded):</t>
  </si>
  <si>
    <t>Share Price on Valuation Date:</t>
  </si>
  <si>
    <t>Diluted Shares Outstanding</t>
  </si>
  <si>
    <t>Stub Period to Fiscal Year-End (yrs)</t>
  </si>
  <si>
    <t>Select Operating Data</t>
  </si>
  <si>
    <t>Projected Annual Forecast</t>
  </si>
  <si>
    <t>FY'27</t>
  </si>
  <si>
    <t>FY'28</t>
  </si>
  <si>
    <t>FY'29</t>
  </si>
  <si>
    <t>FY'30</t>
  </si>
  <si>
    <t>FY'31</t>
  </si>
  <si>
    <t>FY'32</t>
  </si>
  <si>
    <t>FY'33</t>
  </si>
  <si>
    <t>FY'34</t>
  </si>
  <si>
    <t>FY'35</t>
  </si>
  <si>
    <t>FY'36</t>
  </si>
  <si>
    <t>EBIT</t>
  </si>
  <si>
    <t>Depreciation &amp; Amortization</t>
  </si>
  <si>
    <t>Arithmetic Avg</t>
  </si>
  <si>
    <t>Geometric Avg</t>
  </si>
  <si>
    <t>Select Balance Sheet And Other Data</t>
  </si>
  <si>
    <t>Accounts Receivable</t>
  </si>
  <si>
    <t>Deferred Commissions (asset)</t>
  </si>
  <si>
    <t>Prepaid Expenses</t>
  </si>
  <si>
    <t>Connected Device Costs (current + non-current)</t>
  </si>
  <si>
    <t>Accounts Payable</t>
  </si>
  <si>
    <t>Accrued Expenses &amp; Compensation</t>
  </si>
  <si>
    <t>Deferred Revenue (current + non-current)</t>
  </si>
  <si>
    <t>Debt</t>
  </si>
  <si>
    <t>Capital Expenditures</t>
  </si>
  <si>
    <t>Stock-Based Compensation ($)</t>
  </si>
  <si>
    <t>Arithmetic Mean</t>
  </si>
  <si>
    <t>Geometric Mean</t>
  </si>
  <si>
    <t>Accounts Receivable as a % of revenue</t>
  </si>
  <si>
    <t>Deferred Commissions as a % of revenue</t>
  </si>
  <si>
    <t>Prepaid Expenses as a % of revenue</t>
  </si>
  <si>
    <t>Accounts Payable as a % of revenue</t>
  </si>
  <si>
    <t>Accrued Expenses &amp; Comp as a % of revenue</t>
  </si>
  <si>
    <t>Deferred Revenue as a % of revenue</t>
  </si>
  <si>
    <t>Capital Expenditures as a % of revenue</t>
  </si>
  <si>
    <t>Inventories as a % of revenue</t>
  </si>
  <si>
    <t>Input. ~3.0% of revenue, in line with FY24-FY26 actuals (BS!7 / revenue).</t>
  </si>
  <si>
    <t>Connected Device Costs as a % of revenue</t>
  </si>
  <si>
    <t>Input. Held flat at the FY26 actual of 27.2%. Ratio has fallen every year since FY22 (45.2%), so flat is the conservative choice; fade it if you think efficiency continues.</t>
  </si>
  <si>
    <t>SBC as % of Revenue</t>
  </si>
  <si>
    <t>SBC Add-Back Toggle (1 = add back to FCF, 0 = treat as a real cost)</t>
  </si>
  <si>
    <t>&lt;- when 1, SBC is added back AND the share count below is grown to reflect the dilution that pays for it</t>
  </si>
  <si>
    <t>Diluted Share Growth Rate (if toggle=1)</t>
  </si>
  <si>
    <t>Free Cash Flow Buildup</t>
  </si>
  <si>
    <t>$ in millions</t>
  </si>
  <si>
    <t>Period</t>
  </si>
  <si>
    <t>Total Revenue</t>
  </si>
  <si>
    <t>EBIAT = EBIT(1-T) = NOPAT</t>
  </si>
  <si>
    <t>Chg in Accounts Receivable</t>
  </si>
  <si>
    <t>Chg in Deferred Commissions</t>
  </si>
  <si>
    <t>Chg in Prepaid Expenses</t>
  </si>
  <si>
    <t>Chg in Accounts Payable</t>
  </si>
  <si>
    <t>Chg in Accrued Expenses &amp; Comp</t>
  </si>
  <si>
    <t>Chg in Deferred Revenue</t>
  </si>
  <si>
    <t>Chg in Inventories</t>
  </si>
  <si>
    <t>Chg in Connected Device Costs</t>
  </si>
  <si>
    <t>Stock Based Compensation</t>
  </si>
  <si>
    <t>Unlevered Free Cash Flows</t>
  </si>
  <si>
    <t>Discount Rate (WACC)</t>
  </si>
  <si>
    <t>Present Value of Free Cash Flows</t>
  </si>
  <si>
    <t>Sum of Present Values of FCFs</t>
  </si>
  <si>
    <t>Terminal Value</t>
  </si>
  <si>
    <t>Growth in perpetuity method:</t>
  </si>
  <si>
    <t>Long term growth rate</t>
  </si>
  <si>
    <t>WACC</t>
  </si>
  <si>
    <t>Free cash flow (t+1)</t>
  </si>
  <si>
    <t>Present Value of Terminal Value</t>
  </si>
  <si>
    <t>Terminal Value Discount Period (yrs, year-end)</t>
  </si>
  <si>
    <t>Share Price</t>
  </si>
  <si>
    <t>Cost of Debt</t>
  </si>
  <si>
    <t>ERP</t>
  </si>
  <si>
    <t>Damodaran implied ERP as of 9/1/2026</t>
  </si>
  <si>
    <t>Tax Rate</t>
  </si>
  <si>
    <t>RFR</t>
  </si>
  <si>
    <t>10-year US Treasury yield as of 9/1/2026</t>
  </si>
  <si>
    <t>After-tax Cost of Debt</t>
  </si>
  <si>
    <t>Beta</t>
  </si>
  <si>
    <t>Cost of Equity</t>
  </si>
  <si>
    <t>CAPM</t>
  </si>
  <si>
    <t>Total Debt ($)</t>
  </si>
  <si>
    <t>CAPM = risk-free rate + beta * equity risk premium</t>
  </si>
  <si>
    <t>Total Equity ($)</t>
  </si>
  <si>
    <t>Total Capital</t>
  </si>
  <si>
    <t>Debt Weighting</t>
  </si>
  <si>
    <t>Equity Weighting</t>
  </si>
  <si>
    <t>WACC =</t>
  </si>
  <si>
    <t>Enterprise Value to Equity Value</t>
  </si>
  <si>
    <t>Enterprise Value</t>
  </si>
  <si>
    <t>Less: Net debt</t>
  </si>
  <si>
    <t>Total debt minus cash &amp; investments</t>
  </si>
  <si>
    <t>Equity Value</t>
  </si>
  <si>
    <t>Diluted Shares Outstanding (dilution-adjusted if SBC toggle = 1)</t>
  </si>
  <si>
    <t>Cash</t>
  </si>
  <si>
    <t>Equity Value Per Share</t>
  </si>
  <si>
    <t>Upside</t>
  </si>
  <si>
    <t>Terminal Growth Rate</t>
  </si>
  <si>
    <t>Segment / Platform</t>
  </si>
  <si>
    <t>Connected Operations Cloud</t>
  </si>
  <si>
    <t>Description</t>
  </si>
  <si>
    <t>IoT platform combining hardware (vehicle gateways, dashcams, sensors) with cloud software for fleet, equipment, and site operations</t>
  </si>
  <si>
    <t>Sources &amp; Assumptions</t>
  </si>
  <si>
    <t>Item</t>
  </si>
  <si>
    <t>Value / Location</t>
  </si>
  <si>
    <t>Source &amp; Rationale</t>
  </si>
  <si>
    <t>Historical financials (IS, BS, CFS, 10QIS tabs)</t>
  </si>
  <si>
    <t>FY21-FY26 actuals</t>
  </si>
  <si>
    <t>Samsara Inc. 10-K filings and quarterly press releases, sec.gov/Archives/edgar/data/1642896. FY26 revenue $1,618.6mm and FY25 revenue $1,249.2mm confirmed against the FY2026 annual report; Q1 FY27 revenue $478.8mm confirmed against the 4-Jun-2026 press release.</t>
  </si>
  <si>
    <t>CEO / CFO (Main!C11:C12)</t>
  </si>
  <si>
    <t>Sanjit Biswas (CEO &amp; co-founder), Dominic Phillips (CFO)</t>
  </si>
  <si>
    <t>Samsara investor relations leadership page and Q4 FY26 earnings call, 5-Mar-2026.</t>
  </si>
  <si>
    <t>Valuation date (DCF!F4)</t>
  </si>
  <si>
    <t>9/2/2026 (hardcoded)</t>
  </si>
  <si>
    <t>Changed from =TODAY(). A volatile function made the model's output move every time the file was opened.</t>
  </si>
  <si>
    <t>Stub period (DCF!F7)</t>
  </si>
  <si>
    <t>0.414 yrs to 1/31/2027</t>
  </si>
  <si>
    <t>Corrected. Formula previously ran to 12/31; Samsara's fiscal year ends in late January, so every discount period was ~0.08 yrs too short.</t>
  </si>
  <si>
    <t>Risk-free rate (DCF!K86)</t>
  </si>
  <si>
    <t>4.79%</t>
  </si>
  <si>
    <t>10-year US Treasury yield as of 9/1/2026 per model label. NOT independently verified - re-source before relying on it.</t>
  </si>
  <si>
    <t>Equity risk premium (DCF!K85)</t>
  </si>
  <si>
    <t>4.28%</t>
  </si>
  <si>
    <t>Damodaran implied ERP as of 9/1/2026 per model label. NOT independently verified - re-source before relying on it.</t>
  </si>
  <si>
    <t>Beta (DCF!K87)</t>
  </si>
  <si>
    <t>1.34</t>
  </si>
  <si>
    <t>Model input, 5-yr weekly adjusted beta. NOT independently verified - re-source before relying on it.</t>
  </si>
  <si>
    <t>WACC (DCF!E97)</t>
  </si>
  <si>
    <t>10.53%</t>
  </si>
  <si>
    <t>Equals cost of equity, since the company carries no debt. Debt weighting is therefore 0 and the capital-structure weighting has no effect.</t>
  </si>
  <si>
    <t>FY27 revenue growth (IS!I3)</t>
  </si>
  <si>
    <t>25.0%</t>
  </si>
  <si>
    <t>Company raised FY27 guidance to $2.005-2.013bn after the Q1 FY27 print (4-Jun-2026). The model's 25% produces $2,023mm, ~0.5% above the top of guidance. Reasonable but not conservative.</t>
  </si>
  <si>
    <t>Revenue growth fade, FY28-FY36 (IS!J3:R3)</t>
  </si>
  <si>
    <t>25/25/20/20/16/13/10/7/5%</t>
  </si>
  <si>
    <t>Author's assumption: a glide path toward the 2.5% terminal rate. No external source for the specific shape. This is the single largest judgment call in the model.</t>
  </si>
  <si>
    <t>Gross margin (IS row 4)</t>
  </si>
  <si>
    <t>76.75%, held flat</t>
  </si>
  <si>
    <t>Consistent with the FY26 actual of ~76.7%.</t>
  </si>
  <si>
    <t>Opex fade, FY32-FY36 (IS rows 5-7)</t>
  </si>
  <si>
    <t>R&amp;D 20%-&gt;17%, S&amp;M 30%-&gt;24%, G&amp;A 13.5%-&gt;11%</t>
  </si>
  <si>
    <t>Author's assumption. NOTE: these ratios imply a FY36 GAAP operating margin of 24.8%. The stated anchor, ServiceNow at $15bn+ revenue, runs a GAAP operating margin near 12%. This assumption is roughly twice its own benchmark and should be stress-tested.</t>
  </si>
  <si>
    <t>Effective tax rate, historical (IS row 8)</t>
  </si>
  <si>
    <t>"n/a" for FY21-FY26</t>
  </si>
  <si>
    <t>Corrected. The raw calculation returned 1,112% for FY26 because pre-tax income was $0.9mm against a $10.0mm provision. It now returns n/a where pre-tax income is negative or the implied rate falls outside 0-100%.</t>
  </si>
  <si>
    <t>Effective tax rate, DCF historical (DCF row 55)</t>
  </si>
  <si>
    <t>0% for FY21-FY26</t>
  </si>
  <si>
    <t>Corrected. Previously inherited the 1,112% figure above, which produced FY26 NOPAT of +$532mm on a $52.6mm operating loss and FY26 free cash flow of $857mm against an actual of ~$207mm.</t>
  </si>
  <si>
    <t>Effective tax rate, projected (DCF!I55)</t>
  </si>
  <si>
    <t>21.3%</t>
  </si>
  <si>
    <t>Author's assumption. Note this ignores Samsara's accumulated deficit of over $2bn; near-term cash taxes are likely lower, so this is conservative.</t>
  </si>
  <si>
    <t>Diluted shares, IS row 27</t>
  </si>
  <si>
    <t>grown 3.10%/yr</t>
  </si>
  <si>
    <t>Corrected. Previously frozen at the FY26 count for ten years while SBC ran 15-18.5% of revenue, which overstated every projected EPS figure.</t>
  </si>
  <si>
    <t>SBC as % of revenue, projected (DCF row 45)</t>
  </si>
  <si>
    <t>18.5% fading to 15.0% by FY36</t>
  </si>
  <si>
    <t>Author's assumption, anchored to mature enterprise SaaS peers that continue to run high SBC at scale.</t>
  </si>
  <si>
    <t>SBC add-back toggle (DCF!C47)</t>
  </si>
  <si>
    <t>1 = add back (current setting)</t>
  </si>
  <si>
    <t>FIXED. The toggle cell and the share-growth cell were both blank, so the IF() in the share-count formula never fired: SBC was added back with no dilution offset at all. That single break accounted for roughly $10bn of the original $22.5bn enterprise value. Set to 0 to treat SBC as a real cost instead.</t>
  </si>
  <si>
    <t>Diluted share growth (DCF!C48)</t>
  </si>
  <si>
    <t>3.10% per year, applied when toggle = 1</t>
  </si>
  <si>
    <t>stockanalysis.com reported diluted share count growth of 3.10% over the trailing year (accessed Aug 2026). A simplification: it holds share growth flat while SBC declines as a % of revenue.</t>
  </si>
  <si>
    <t>Inventories as % of revenue (DCF row 43)</t>
  </si>
  <si>
    <t>3.0%, held flat</t>
  </si>
  <si>
    <t>NEW. Inventories were absent from the FCF build entirely. 3.0% is in line with FY24-FY26 actuals.</t>
  </si>
  <si>
    <t>Connected device costs as % of revenue (DCF row 44)</t>
  </si>
  <si>
    <t>27.2%, held flat</t>
  </si>
  <si>
    <t>NEW. Capitalized connected device costs were absent from the FCF build entirely, despite being a $74.5mm cash outflow in FY26. Held at the FY26 actual. The ratio has fallen every year since FY22 (45.2%), so flat is the conservative choice.</t>
  </si>
  <si>
    <t>Terminal growth rate (DCF!C75)</t>
  </si>
  <si>
    <t>2.5%</t>
  </si>
  <si>
    <t>Author's assumption. The earlier version of this tab described a 3% terminal rate, which never matched the model.</t>
  </si>
  <si>
    <t>Terminal value discount period (DCF!C80)</t>
  </si>
  <si>
    <t>R52 (matches the final explicit FCF period)</t>
  </si>
  <si>
    <t>Consistent with the mid-period convention used for the explicit forecast.</t>
  </si>
  <si>
    <t>WACC sensitivity table (DCF!C110:C114)</t>
  </si>
  <si>
    <t>WACC +/- 1pp and 2pp, driven off E97</t>
  </si>
  <si>
    <t>Corrected. The centre row was hardcoded at 10.5252%, so the table would not re-centre if beta, the risk-free rate or the ERP changed.</t>
  </si>
  <si>
    <t>Net debt units (DCF!K102)</t>
  </si>
  <si>
    <t>Main!C7 divided by 1000</t>
  </si>
  <si>
    <t>Corrected. The Main tab is in $000s and the DCF in $mm. The debt cell was pulled without conversion. Invisible today because debt is zero, but it would have understated net debt by 1,000x if debt were ever added.</t>
  </si>
  <si>
    <t>Balance sheet vintage (Main!C2)</t>
  </si>
  <si>
    <t>FY26 year-end (2/1/26)</t>
  </si>
  <si>
    <t>Label corrected. The tab previously claimed Q1 FY27 data while pulling cash from the FY26 balance sheet. The share count IS from Q1 FY27, so the two inputs are seven months apart.</t>
  </si>
  <si>
    <t>Subscription vs. hardware revenue split</t>
  </si>
  <si>
    <t>Not modeled separately</t>
  </si>
  <si>
    <t>Approximately 98% of revenue in each of the last two fiscal years came from Connected Operations Platform subscriptions (FY26 10-K), so a split would not materially change the build.</t>
  </si>
  <si>
    <t>KNOWN REMAINING LIMITATION - terminal working capital</t>
  </si>
  <si>
    <t>not normalized</t>
  </si>
  <si>
    <t>Terminal FCF still carries the working-capital inflow generated by 5% revenue growth, while the perpetuity assumes 2.5%. This overstates terminal value by roughly 1-2%.</t>
  </si>
  <si>
    <t>KNOWN REMAINING LIMITATION - terminal D&amp;A vs capex</t>
  </si>
  <si>
    <t>D&amp;A 2.06% &gt; capex 1.75% of revenue</t>
  </si>
  <si>
    <t>In a steady state these should converge. As built, the model assumes a business that depreciates more than it reinvests in perpetuity.</t>
  </si>
  <si>
    <t>KNOWN REMAINING LIMITATION - method</t>
  </si>
  <si>
    <t>DCF on a 25%-growth company</t>
  </si>
  <si>
    <t>62% of enterprise value sits in the terminal value. Treat this as one input among several, not as a precise answer.</t>
  </si>
  <si>
    <t>5-year weekly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</si>
</sst>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_);_(@_)"/>
    <numFmt numFmtId="165" formatCode="_(* #,##0.00_);_(* \(#,##0.00\);_(* \-??_);_(@_)"/>
    <numFmt numFmtId="166" formatCode="_(\$* #,##0_);_(\$* \(#,##0\);_(\$* \-??_);_(@_)"/>
    <numFmt numFmtId="167" formatCode="#,##0.00_);\(#,##0.00\);@_)"/>
    <numFmt numFmtId="168" formatCode="yyyy\A"/>
    <numFmt numFmtId="169" formatCode="yyyy\P"/>
    <numFmt numFmtId="170" formatCode="\$#,##0.0_);&quot;($&quot;#,##0.0\);@_)"/>
    <numFmt numFmtId="171" formatCode="\$#,##0.0_);&quot;($&quot;#,##0.0\)"/>
    <numFmt numFmtId="172" formatCode="0.0%"/>
    <numFmt numFmtId="173" formatCode="#,##0.0_);\(#,##0.0\)"/>
    <numFmt numFmtId="174" formatCode="#,##0.0_);\(#,##0.0\);@_)"/>
    <numFmt numFmtId="175" formatCode="\$#,##0.00_);[Red]&quot;($&quot;#,##0.00\)"/>
    <numFmt numFmtId="176" formatCode="\$#,##0.00"/>
    <numFmt numFmtId="177" formatCode="\$#,##0.0"/>
  </numFmts>
  <fonts count="22" x14ac:knownFonts="1">
    <font>
      <sz val="12"/>
      <color theme="1"/>
      <name val="Aptos Narrow"/>
      <family val="2"/>
      <charset val="1"/>
    </font>
    <font>
      <sz val="12"/>
      <name val="Aptos Narrow"/>
      <family val="2"/>
      <charset val="1"/>
    </font>
    <font>
      <b/>
      <sz val="12"/>
      <name val="Aptos Narrow"/>
      <family val="2"/>
      <charset val="1"/>
    </font>
    <font>
      <sz val="10"/>
      <name val="Aptos Narrow"/>
      <family val="2"/>
      <charset val="1"/>
    </font>
    <font>
      <b/>
      <sz val="18"/>
      <name val="Aptos Narrow"/>
      <family val="2"/>
      <charset val="1"/>
    </font>
    <font>
      <b/>
      <sz val="11"/>
      <name val="Aptos Narrow"/>
      <family val="2"/>
      <charset val="1"/>
    </font>
    <font>
      <sz val="11"/>
      <name val="Aptos Narrow"/>
      <family val="2"/>
      <charset val="1"/>
    </font>
    <font>
      <sz val="11"/>
      <color rgb="FF0000FF"/>
      <name val="Aptos Narrow"/>
      <family val="2"/>
      <charset val="1"/>
    </font>
    <font>
      <sz val="11"/>
      <color theme="1"/>
      <name val="Aptos Narrow"/>
      <family val="2"/>
      <charset val="1"/>
    </font>
    <font>
      <b/>
      <sz val="11"/>
      <color theme="1"/>
      <name val="Aptos Narrow"/>
      <family val="2"/>
      <charset val="1"/>
    </font>
    <font>
      <sz val="10"/>
      <color rgb="FF0000FF"/>
      <name val="Arial"/>
      <family val="2"/>
    </font>
    <font>
      <sz val="10"/>
      <color rgb="FF0000FF"/>
      <name val="Calibri"/>
      <family val="2"/>
      <charset val="1"/>
    </font>
    <font>
      <sz val="14"/>
      <name val="Aptos Narrow"/>
      <family val="2"/>
      <charset val="1"/>
    </font>
    <font>
      <sz val="14"/>
      <color rgb="FF000000"/>
      <name val="Aptos Narrow"/>
      <family val="2"/>
      <charset val="1"/>
    </font>
    <font>
      <sz val="11"/>
      <color rgb="FF000000"/>
      <name val="Calibri"/>
      <family val="2"/>
      <charset val="1"/>
    </font>
    <font>
      <b/>
      <sz val="11"/>
      <color theme="1"/>
      <name val="Calibri"/>
      <family val="2"/>
      <charset val="1"/>
    </font>
    <font>
      <sz val="11"/>
      <color rgb="FF0000FF"/>
      <name val="Calibri"/>
      <family val="2"/>
      <charset val="1"/>
    </font>
    <font>
      <sz val="11"/>
      <name val="Calibri"/>
      <family val="2"/>
      <charset val="1"/>
    </font>
    <font>
      <b/>
      <sz val="11"/>
      <name val="Calibri"/>
      <family val="2"/>
      <charset val="1"/>
    </font>
    <font>
      <b/>
      <sz val="11"/>
      <color rgb="FF0000FF"/>
      <name val="Calibri"/>
      <family val="2"/>
      <charset val="1"/>
    </font>
    <font>
      <sz val="10"/>
      <name val="Calibri"/>
      <family val="2"/>
      <charset val="1"/>
    </font>
    <font>
      <sz val="12"/>
      <color rgb="FF000000"/>
      <name val="Aptos Narrow"/>
      <family val="2"/>
      <charset val="1"/>
    </font>
  </fonts>
  <fills count="6">
    <fill>
      <patternFill patternType="none"/>
    </fill>
    <fill>
      <patternFill patternType="gray125"/>
    </fill>
    <fill>
      <patternFill patternType="solid">
        <fgColor rgb="FFFFFFCC"/>
        <bgColor rgb="FFFFFFFF"/>
      </patternFill>
    </fill>
    <fill>
      <patternFill patternType="solid">
        <fgColor theme="0" tint="-0.34998626667073579"/>
        <bgColor rgb="FFC0C0C0"/>
      </patternFill>
    </fill>
    <fill>
      <patternFill patternType="solid">
        <fgColor theme="4" tint="0.79979857783745845"/>
        <bgColor rgb="FFD9D9D9"/>
      </patternFill>
    </fill>
    <fill>
      <patternFill patternType="solid">
        <fgColor theme="0" tint="-0.14999847407452621"/>
        <bgColor rgb="FFC1E5F5"/>
      </patternFill>
    </fill>
  </fills>
  <borders count="17">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bottom style="medium">
        <color auto="1"/>
      </bottom>
      <diagonal/>
    </border>
    <border>
      <left/>
      <right/>
      <top style="medium">
        <color auto="1"/>
      </top>
      <bottom style="thin">
        <color auto="1"/>
      </bottom>
      <diagonal/>
    </border>
    <border>
      <left/>
      <right/>
      <top style="thin">
        <color auto="1"/>
      </top>
      <bottom style="double">
        <color auto="1"/>
      </bottom>
      <diagonal/>
    </border>
    <border>
      <left/>
      <right style="thin">
        <color auto="1"/>
      </right>
      <top/>
      <bottom style="medium">
        <color auto="1"/>
      </bottom>
      <diagonal/>
    </border>
    <border>
      <left/>
      <right style="thin">
        <color auto="1"/>
      </right>
      <top/>
      <bottom/>
      <diagonal/>
    </border>
    <border>
      <left/>
      <right style="thin">
        <color auto="1"/>
      </right>
      <top style="medium">
        <color auto="1"/>
      </top>
      <bottom style="thin">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thin">
        <color auto="1"/>
      </left>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151">
    <xf numFmtId="0" fontId="0" fillId="0" borderId="0" xfId="0"/>
    <xf numFmtId="0" fontId="21" fillId="5" borderId="0" xfId="0" applyFont="1" applyFill="1" applyBorder="1" applyAlignment="1">
      <alignment horizontal="center"/>
    </xf>
    <xf numFmtId="0" fontId="15" fillId="4" borderId="14" xfId="0" applyFont="1" applyFill="1" applyBorder="1" applyAlignment="1">
      <alignment horizontal="center"/>
    </xf>
    <xf numFmtId="0" fontId="0" fillId="0" borderId="0" xfId="0" applyAlignment="1"/>
    <xf numFmtId="0" fontId="1" fillId="0" borderId="0" xfId="0" applyFont="1" applyAlignment="1"/>
    <xf numFmtId="0" fontId="2" fillId="0" borderId="1" xfId="0" applyFont="1" applyBorder="1" applyAlignment="1"/>
    <xf numFmtId="0" fontId="1" fillId="0" borderId="2" xfId="0" applyFont="1" applyBorder="1" applyAlignment="1">
      <alignment horizontal="right" wrapText="1"/>
    </xf>
    <xf numFmtId="164" fontId="1" fillId="2" borderId="0" xfId="0" applyNumberFormat="1" applyFont="1" applyFill="1" applyAlignment="1"/>
    <xf numFmtId="165" fontId="1" fillId="2" borderId="0" xfId="0" applyNumberFormat="1" applyFont="1" applyFill="1" applyAlignment="1"/>
    <xf numFmtId="165" fontId="1" fillId="0" borderId="0" xfId="0" applyNumberFormat="1" applyFont="1" applyAlignment="1"/>
    <xf numFmtId="166" fontId="1" fillId="0" borderId="0" xfId="0" applyNumberFormat="1" applyFont="1" applyAlignment="1"/>
    <xf numFmtId="166" fontId="1" fillId="2" borderId="0" xfId="0" applyNumberFormat="1" applyFont="1" applyFill="1" applyAlignment="1"/>
    <xf numFmtId="0" fontId="1" fillId="0" borderId="0" xfId="0" applyFont="1" applyAlignment="1">
      <alignment horizontal="right"/>
    </xf>
    <xf numFmtId="0" fontId="3" fillId="0" borderId="0" xfId="0" applyFont="1" applyAlignment="1"/>
    <xf numFmtId="0" fontId="1" fillId="0" borderId="0" xfId="0" applyFont="1" applyAlignment="1">
      <alignment horizontal="center"/>
    </xf>
    <xf numFmtId="0" fontId="4" fillId="0" borderId="3" xfId="0" applyFont="1" applyBorder="1" applyAlignment="1"/>
    <xf numFmtId="0" fontId="2" fillId="0" borderId="4" xfId="0" applyFont="1" applyBorder="1" applyAlignment="1"/>
    <xf numFmtId="0" fontId="1" fillId="0" borderId="4" xfId="0" applyFont="1" applyBorder="1" applyAlignment="1">
      <alignment horizontal="center"/>
    </xf>
    <xf numFmtId="0" fontId="2" fillId="0" borderId="5" xfId="0" applyFont="1" applyBorder="1" applyAlignment="1"/>
    <xf numFmtId="166" fontId="5" fillId="0" borderId="5" xfId="0" applyNumberFormat="1" applyFont="1" applyBorder="1" applyAlignment="1"/>
    <xf numFmtId="166" fontId="6" fillId="0" borderId="0" xfId="0" applyNumberFormat="1" applyFont="1" applyAlignment="1"/>
    <xf numFmtId="0" fontId="2" fillId="0" borderId="0" xfId="0" applyFont="1" applyAlignment="1"/>
    <xf numFmtId="166" fontId="5" fillId="0" borderId="0" xfId="0" applyNumberFormat="1" applyFont="1" applyAlignment="1"/>
    <xf numFmtId="166" fontId="6" fillId="0" borderId="0" xfId="0" applyNumberFormat="1" applyFont="1" applyAlignment="1">
      <alignment horizontal="center"/>
    </xf>
    <xf numFmtId="0" fontId="2" fillId="0" borderId="6" xfId="0" applyFont="1" applyBorder="1" applyAlignment="1"/>
    <xf numFmtId="164" fontId="5" fillId="0" borderId="6" xfId="0" applyNumberFormat="1" applyFont="1" applyBorder="1" applyAlignment="1"/>
    <xf numFmtId="164" fontId="6" fillId="0" borderId="0" xfId="0" applyNumberFormat="1" applyFont="1" applyAlignment="1"/>
    <xf numFmtId="165" fontId="6" fillId="0" borderId="0" xfId="0" applyNumberFormat="1" applyFont="1" applyAlignment="1"/>
    <xf numFmtId="0" fontId="6" fillId="0" borderId="0" xfId="0" applyFont="1" applyAlignment="1"/>
    <xf numFmtId="0" fontId="1" fillId="3" borderId="0" xfId="0" applyFont="1" applyFill="1" applyAlignment="1"/>
    <xf numFmtId="10" fontId="6" fillId="3" borderId="0" xfId="0" applyNumberFormat="1" applyFont="1" applyFill="1" applyAlignment="1"/>
    <xf numFmtId="10" fontId="6" fillId="0" borderId="0" xfId="0" applyNumberFormat="1" applyFont="1" applyAlignment="1"/>
    <xf numFmtId="0" fontId="2" fillId="0" borderId="7" xfId="0" applyFont="1" applyBorder="1" applyAlignment="1"/>
    <xf numFmtId="10" fontId="6" fillId="0" borderId="0" xfId="0" applyNumberFormat="1" applyFont="1" applyAlignment="1">
      <alignment horizontal="right"/>
    </xf>
    <xf numFmtId="10" fontId="6" fillId="0" borderId="8" xfId="0" applyNumberFormat="1" applyFont="1" applyBorder="1" applyAlignment="1">
      <alignment horizontal="right"/>
    </xf>
    <xf numFmtId="10" fontId="7" fillId="0" borderId="0" xfId="0" applyNumberFormat="1" applyFont="1" applyAlignment="1">
      <alignment horizontal="right"/>
    </xf>
    <xf numFmtId="10" fontId="7" fillId="0" borderId="0" xfId="0" applyNumberFormat="1" applyFont="1" applyAlignment="1"/>
    <xf numFmtId="10" fontId="6" fillId="0" borderId="8" xfId="0" applyNumberFormat="1" applyFont="1" applyBorder="1" applyAlignment="1"/>
    <xf numFmtId="0" fontId="1" fillId="0" borderId="8" xfId="0" applyFont="1" applyBorder="1" applyAlignment="1"/>
    <xf numFmtId="0" fontId="5" fillId="0" borderId="5" xfId="0" applyFont="1" applyBorder="1" applyAlignment="1"/>
    <xf numFmtId="166" fontId="5" fillId="0" borderId="9" xfId="0" applyNumberFormat="1" applyFont="1" applyBorder="1" applyAlignment="1"/>
    <xf numFmtId="166" fontId="6" fillId="0" borderId="8" xfId="0" applyNumberFormat="1" applyFont="1" applyBorder="1" applyAlignment="1">
      <alignment horizontal="center"/>
    </xf>
    <xf numFmtId="0" fontId="5" fillId="0" borderId="0" xfId="0" applyFont="1" applyAlignment="1"/>
    <xf numFmtId="166" fontId="5" fillId="0" borderId="8" xfId="0" applyNumberFormat="1" applyFont="1" applyBorder="1" applyAlignment="1"/>
    <xf numFmtId="166" fontId="6" fillId="0" borderId="8" xfId="0" applyNumberFormat="1" applyFont="1" applyBorder="1" applyAlignment="1"/>
    <xf numFmtId="0" fontId="5" fillId="0" borderId="6" xfId="0" applyFont="1" applyBorder="1" applyAlignment="1"/>
    <xf numFmtId="166" fontId="5" fillId="0" borderId="6" xfId="0" applyNumberFormat="1" applyFont="1" applyBorder="1" applyAlignment="1"/>
    <xf numFmtId="166" fontId="5" fillId="0" borderId="10" xfId="0" applyNumberFormat="1" applyFont="1" applyBorder="1" applyAlignment="1"/>
    <xf numFmtId="164" fontId="6" fillId="0" borderId="11" xfId="0" applyNumberFormat="1" applyFont="1" applyBorder="1" applyAlignment="1"/>
    <xf numFmtId="165" fontId="6" fillId="0" borderId="8" xfId="0" applyNumberFormat="1" applyFont="1" applyBorder="1" applyAlignment="1"/>
    <xf numFmtId="0" fontId="5" fillId="0" borderId="4" xfId="0" applyFont="1" applyBorder="1" applyAlignment="1">
      <alignment horizontal="center"/>
    </xf>
    <xf numFmtId="166" fontId="8" fillId="0" borderId="0" xfId="0" applyNumberFormat="1" applyFont="1" applyAlignment="1"/>
    <xf numFmtId="166" fontId="9" fillId="0" borderId="0" xfId="0" applyNumberFormat="1" applyFont="1" applyAlignment="1"/>
    <xf numFmtId="0" fontId="1" fillId="0" borderId="3" xfId="0" applyFont="1" applyBorder="1" applyAlignment="1"/>
    <xf numFmtId="0" fontId="1" fillId="0" borderId="0" xfId="0" applyFont="1" applyAlignment="1">
      <alignment horizontal="right" vertical="top" readingOrder="1"/>
    </xf>
    <xf numFmtId="14" fontId="10" fillId="2" borderId="0" xfId="0" applyNumberFormat="1" applyFont="1" applyFill="1" applyAlignment="1">
      <alignment horizontal="right" vertical="top" readingOrder="1"/>
    </xf>
    <xf numFmtId="0" fontId="1" fillId="0" borderId="0" xfId="0" applyFont="1" applyAlignment="1">
      <alignment horizontal="left" readingOrder="1"/>
    </xf>
    <xf numFmtId="164" fontId="11" fillId="2" borderId="0" xfId="0" applyNumberFormat="1" applyFont="1" applyFill="1" applyAlignment="1">
      <alignment horizontal="right" vertical="top" readingOrder="1"/>
    </xf>
    <xf numFmtId="167" fontId="11" fillId="2" borderId="0" xfId="0" applyNumberFormat="1" applyFont="1" applyFill="1" applyAlignment="1">
      <alignment horizontal="right" vertical="top" readingOrder="1"/>
    </xf>
    <xf numFmtId="0" fontId="12" fillId="4" borderId="0" xfId="0" applyFont="1" applyFill="1" applyAlignment="1"/>
    <xf numFmtId="0" fontId="0" fillId="4" borderId="0" xfId="0" applyFill="1" applyAlignment="1"/>
    <xf numFmtId="0" fontId="13" fillId="4" borderId="0" xfId="0" applyFont="1" applyFill="1" applyAlignment="1"/>
    <xf numFmtId="0" fontId="14" fillId="0" borderId="0" xfId="0" applyFont="1" applyAlignment="1">
      <alignment horizontal="left" vertical="top" readingOrder="1"/>
    </xf>
    <xf numFmtId="0" fontId="15" fillId="0" borderId="12" xfId="0" applyFont="1" applyBorder="1" applyAlignment="1">
      <alignment horizontal="center"/>
    </xf>
    <xf numFmtId="0" fontId="15" fillId="0" borderId="0" xfId="0" applyFont="1" applyAlignment="1">
      <alignment horizontal="center"/>
    </xf>
    <xf numFmtId="0" fontId="0" fillId="0" borderId="13" xfId="0" applyBorder="1" applyAlignment="1"/>
    <xf numFmtId="0" fontId="1" fillId="0" borderId="0" xfId="0" applyFont="1" applyAlignment="1">
      <alignment horizontal="left" vertical="top" readingOrder="1"/>
    </xf>
    <xf numFmtId="168" fontId="15" fillId="0" borderId="15" xfId="0" applyNumberFormat="1" applyFont="1" applyBorder="1" applyAlignment="1"/>
    <xf numFmtId="169" fontId="15" fillId="0" borderId="15" xfId="0" applyNumberFormat="1" applyFont="1" applyBorder="1" applyAlignment="1"/>
    <xf numFmtId="169" fontId="15" fillId="0" borderId="2" xfId="0" applyNumberFormat="1" applyFont="1" applyBorder="1" applyAlignment="1"/>
    <xf numFmtId="170" fontId="16" fillId="2" borderId="0" xfId="0" applyNumberFormat="1" applyFont="1" applyFill="1" applyAlignment="1"/>
    <xf numFmtId="170" fontId="16" fillId="2" borderId="0" xfId="0" applyNumberFormat="1" applyFont="1" applyFill="1" applyAlignment="1">
      <alignment horizontal="right" readingOrder="1"/>
    </xf>
    <xf numFmtId="170" fontId="17" fillId="0" borderId="0" xfId="0" applyNumberFormat="1" applyFont="1" applyAlignment="1">
      <alignment readingOrder="1"/>
    </xf>
    <xf numFmtId="0" fontId="1" fillId="0" borderId="0" xfId="0" applyFont="1" applyAlignment="1">
      <alignment horizontal="right" readingOrder="1"/>
    </xf>
    <xf numFmtId="0" fontId="1" fillId="0" borderId="0" xfId="0" applyFont="1" applyAlignment="1">
      <alignment readingOrder="1"/>
    </xf>
    <xf numFmtId="164" fontId="17" fillId="0" borderId="0" xfId="0" applyNumberFormat="1" applyFont="1" applyAlignment="1">
      <alignment readingOrder="1"/>
    </xf>
    <xf numFmtId="0" fontId="17" fillId="0" borderId="0" xfId="0" applyFont="1" applyAlignment="1">
      <alignment horizontal="center" readingOrder="1"/>
    </xf>
    <xf numFmtId="10" fontId="17" fillId="0" borderId="0" xfId="0" applyNumberFormat="1" applyFont="1" applyAlignment="1">
      <alignment horizontal="right" vertical="top" readingOrder="1"/>
    </xf>
    <xf numFmtId="10" fontId="17" fillId="0" borderId="0" xfId="0" applyNumberFormat="1" applyFont="1" applyAlignment="1"/>
    <xf numFmtId="10" fontId="16" fillId="2" borderId="0" xfId="0" applyNumberFormat="1" applyFont="1" applyFill="1" applyAlignment="1"/>
    <xf numFmtId="10" fontId="16" fillId="2" borderId="0" xfId="0" applyNumberFormat="1" applyFont="1" applyFill="1" applyAlignment="1">
      <alignment readingOrder="1"/>
    </xf>
    <xf numFmtId="10" fontId="17" fillId="0" borderId="0" xfId="0" applyNumberFormat="1" applyFont="1" applyAlignment="1">
      <alignment horizontal="center" readingOrder="1"/>
    </xf>
    <xf numFmtId="169" fontId="15" fillId="0" borderId="3" xfId="0" applyNumberFormat="1" applyFont="1" applyBorder="1" applyAlignment="1"/>
    <xf numFmtId="0" fontId="17" fillId="0" borderId="0" xfId="0" applyFont="1" applyAlignment="1">
      <alignment horizontal="left"/>
    </xf>
    <xf numFmtId="171" fontId="16" fillId="2" borderId="0" xfId="0" applyNumberFormat="1" applyFont="1" applyFill="1" applyAlignment="1"/>
    <xf numFmtId="171" fontId="16" fillId="2" borderId="0" xfId="0" applyNumberFormat="1" applyFont="1" applyFill="1" applyAlignment="1">
      <alignment horizontal="right" readingOrder="1"/>
    </xf>
    <xf numFmtId="171" fontId="17" fillId="0" borderId="0" xfId="0" applyNumberFormat="1" applyFont="1" applyAlignment="1">
      <alignment readingOrder="1"/>
    </xf>
    <xf numFmtId="0" fontId="1" fillId="0" borderId="0" xfId="0" applyFont="1" applyAlignment="1">
      <alignment horizontal="right" vertical="center"/>
    </xf>
    <xf numFmtId="171" fontId="16" fillId="2" borderId="0" xfId="0" applyNumberFormat="1" applyFont="1" applyFill="1" applyAlignment="1">
      <alignment horizontal="right" vertical="center"/>
    </xf>
    <xf numFmtId="0" fontId="17" fillId="0" borderId="0" xfId="0" applyFont="1" applyAlignment="1">
      <alignment horizontal="left" vertical="top" readingOrder="1"/>
    </xf>
    <xf numFmtId="164" fontId="16" fillId="2" borderId="0" xfId="0" applyNumberFormat="1" applyFont="1" applyFill="1" applyAlignment="1">
      <alignment horizontal="right" readingOrder="1"/>
    </xf>
    <xf numFmtId="0" fontId="1" fillId="0" borderId="0" xfId="0" applyFont="1" applyAlignment="1">
      <alignment horizontal="center" readingOrder="1"/>
    </xf>
    <xf numFmtId="0" fontId="17" fillId="0" borderId="0" xfId="0" applyFont="1" applyAlignment="1">
      <alignment horizontal="center"/>
    </xf>
    <xf numFmtId="10" fontId="17" fillId="0" borderId="0" xfId="0" applyNumberFormat="1" applyFont="1" applyAlignment="1">
      <alignment horizontal="right"/>
    </xf>
    <xf numFmtId="10" fontId="17" fillId="0" borderId="0" xfId="0" applyNumberFormat="1" applyFont="1" applyAlignment="1">
      <alignment horizontal="right" readingOrder="1"/>
    </xf>
    <xf numFmtId="10" fontId="16" fillId="2" borderId="0" xfId="0" applyNumberFormat="1" applyFont="1" applyFill="1" applyAlignment="1">
      <alignment horizontal="right" readingOrder="1"/>
    </xf>
    <xf numFmtId="0" fontId="17" fillId="0" borderId="0" xfId="0" applyFont="1" applyAlignment="1">
      <alignment vertical="top"/>
    </xf>
    <xf numFmtId="172" fontId="17" fillId="0" borderId="0" xfId="0" applyNumberFormat="1" applyFont="1" applyAlignment="1">
      <alignment horizontal="right" vertical="top" readingOrder="1"/>
    </xf>
    <xf numFmtId="172" fontId="17" fillId="0" borderId="0" xfId="0" applyNumberFormat="1" applyFont="1" applyAlignment="1">
      <alignment horizontal="right" readingOrder="1"/>
    </xf>
    <xf numFmtId="172" fontId="16" fillId="2" borderId="0" xfId="0" applyNumberFormat="1" applyFont="1" applyFill="1" applyAlignment="1">
      <alignment horizontal="right" readingOrder="1"/>
    </xf>
    <xf numFmtId="10" fontId="0" fillId="0" borderId="0" xfId="0" applyNumberFormat="1" applyAlignment="1"/>
    <xf numFmtId="1" fontId="10" fillId="0" borderId="0" xfId="0" applyNumberFormat="1" applyFont="1" applyAlignment="1"/>
    <xf numFmtId="10" fontId="10" fillId="0" borderId="0" xfId="0" applyNumberFormat="1" applyFont="1" applyAlignment="1">
      <alignment horizontal="right" vertical="top" readingOrder="1"/>
    </xf>
    <xf numFmtId="0" fontId="17" fillId="0" borderId="0" xfId="0" applyFont="1" applyAlignment="1"/>
    <xf numFmtId="0" fontId="15" fillId="0" borderId="3" xfId="0" applyFont="1" applyBorder="1" applyAlignment="1">
      <alignment horizontal="center"/>
    </xf>
    <xf numFmtId="0" fontId="18" fillId="0" borderId="3" xfId="0" applyFont="1" applyBorder="1" applyAlignment="1"/>
    <xf numFmtId="0" fontId="1" fillId="0" borderId="15" xfId="0" applyFont="1" applyBorder="1" applyAlignment="1"/>
    <xf numFmtId="0" fontId="17" fillId="0" borderId="3" xfId="0" applyFont="1" applyBorder="1" applyAlignment="1"/>
    <xf numFmtId="0" fontId="17" fillId="0" borderId="15" xfId="0" applyFont="1" applyBorder="1" applyAlignment="1"/>
    <xf numFmtId="170" fontId="17" fillId="0" borderId="0" xfId="0" applyNumberFormat="1" applyFont="1" applyAlignment="1"/>
    <xf numFmtId="172" fontId="19" fillId="2" borderId="0" xfId="0" applyNumberFormat="1" applyFont="1" applyFill="1" applyAlignment="1"/>
    <xf numFmtId="172" fontId="19" fillId="2" borderId="3" xfId="0" applyNumberFormat="1" applyFont="1" applyFill="1" applyBorder="1" applyAlignment="1"/>
    <xf numFmtId="0" fontId="18" fillId="0" borderId="0" xfId="0" applyFont="1" applyAlignment="1"/>
    <xf numFmtId="170" fontId="18" fillId="0" borderId="0" xfId="0" applyNumberFormat="1" applyFont="1" applyAlignment="1"/>
    <xf numFmtId="170" fontId="18" fillId="0" borderId="16" xfId="0" applyNumberFormat="1" applyFont="1" applyBorder="1" applyAlignment="1"/>
    <xf numFmtId="173" fontId="17" fillId="0" borderId="0" xfId="0" applyNumberFormat="1" applyFont="1" applyAlignment="1">
      <alignment horizontal="right"/>
    </xf>
    <xf numFmtId="173" fontId="17" fillId="0" borderId="0" xfId="0" applyNumberFormat="1" applyFont="1" applyAlignment="1"/>
    <xf numFmtId="174" fontId="14" fillId="0" borderId="0" xfId="0" applyNumberFormat="1" applyFont="1" applyAlignment="1"/>
    <xf numFmtId="174" fontId="14" fillId="0" borderId="3" xfId="0" applyNumberFormat="1" applyFont="1" applyBorder="1" applyAlignment="1"/>
    <xf numFmtId="0" fontId="18" fillId="0" borderId="0" xfId="0" applyFont="1" applyAlignment="1">
      <alignment horizontal="left"/>
    </xf>
    <xf numFmtId="164" fontId="17" fillId="0" borderId="0" xfId="0" applyNumberFormat="1" applyFont="1" applyAlignment="1"/>
    <xf numFmtId="164" fontId="17" fillId="0" borderId="3" xfId="0" applyNumberFormat="1" applyFont="1" applyBorder="1" applyAlignment="1"/>
    <xf numFmtId="10" fontId="16" fillId="2" borderId="0" xfId="0" applyNumberFormat="1" applyFont="1" applyFill="1" applyAlignment="1">
      <alignment horizontal="right"/>
    </xf>
    <xf numFmtId="173" fontId="17" fillId="0" borderId="16" xfId="0" applyNumberFormat="1" applyFont="1" applyBorder="1" applyAlignment="1">
      <alignment horizontal="right"/>
    </xf>
    <xf numFmtId="170" fontId="18" fillId="0" borderId="0" xfId="0" applyNumberFormat="1" applyFont="1" applyAlignment="1">
      <alignment horizontal="right"/>
    </xf>
    <xf numFmtId="167" fontId="17" fillId="0" borderId="0" xfId="0" applyNumberFormat="1" applyFont="1" applyAlignment="1"/>
    <xf numFmtId="164" fontId="17" fillId="0" borderId="0" xfId="0" applyNumberFormat="1" applyFont="1" applyAlignment="1">
      <alignment horizontal="right"/>
    </xf>
    <xf numFmtId="167" fontId="17" fillId="0" borderId="0" xfId="0" applyNumberFormat="1" applyFont="1" applyAlignment="1">
      <alignment horizontal="right"/>
    </xf>
    <xf numFmtId="10" fontId="10" fillId="2" borderId="0" xfId="0" applyNumberFormat="1" applyFont="1" applyFill="1" applyAlignment="1"/>
    <xf numFmtId="0" fontId="20" fillId="0" borderId="0" xfId="0" applyFont="1" applyAlignment="1"/>
    <xf numFmtId="172" fontId="16" fillId="2" borderId="0" xfId="0" applyNumberFormat="1" applyFont="1" applyFill="1" applyAlignment="1">
      <alignment horizontal="right"/>
    </xf>
    <xf numFmtId="172" fontId="17" fillId="0" borderId="0" xfId="0" applyNumberFormat="1" applyFont="1" applyAlignment="1"/>
    <xf numFmtId="0" fontId="16" fillId="2" borderId="0" xfId="0" applyFont="1" applyFill="1" applyAlignment="1"/>
    <xf numFmtId="0" fontId="1" fillId="0" borderId="0" xfId="0" applyFont="1" applyAlignment="1">
      <alignment horizontal="left"/>
    </xf>
    <xf numFmtId="164" fontId="17" fillId="2" borderId="16" xfId="0" applyNumberFormat="1" applyFont="1" applyFill="1" applyBorder="1" applyAlignment="1"/>
    <xf numFmtId="164" fontId="17" fillId="2" borderId="0" xfId="0" applyNumberFormat="1" applyFont="1" applyFill="1" applyAlignment="1"/>
    <xf numFmtId="10" fontId="18" fillId="0" borderId="0" xfId="0" applyNumberFormat="1" applyFont="1" applyAlignment="1"/>
    <xf numFmtId="170" fontId="17" fillId="0" borderId="16" xfId="0" applyNumberFormat="1" applyFont="1" applyBorder="1" applyAlignment="1"/>
    <xf numFmtId="0" fontId="18" fillId="0" borderId="1" xfId="0" applyFont="1" applyBorder="1" applyAlignment="1"/>
    <xf numFmtId="170" fontId="18" fillId="0" borderId="2" xfId="0" applyNumberFormat="1" applyFont="1" applyBorder="1" applyAlignment="1">
      <alignment horizontal="right"/>
    </xf>
    <xf numFmtId="0" fontId="1" fillId="0" borderId="12" xfId="0" applyFont="1" applyBorder="1" applyAlignment="1">
      <alignment horizontal="left"/>
    </xf>
    <xf numFmtId="173" fontId="17" fillId="0" borderId="16" xfId="0" applyNumberFormat="1" applyFont="1" applyBorder="1" applyAlignment="1"/>
    <xf numFmtId="175" fontId="18" fillId="0" borderId="0" xfId="0" applyNumberFormat="1" applyFont="1" applyAlignment="1"/>
    <xf numFmtId="0" fontId="13" fillId="0" borderId="0" xfId="0" applyFont="1" applyAlignment="1"/>
    <xf numFmtId="0" fontId="1" fillId="5" borderId="0" xfId="0" applyFont="1" applyFill="1" applyAlignment="1">
      <alignment horizontal="center"/>
    </xf>
    <xf numFmtId="172" fontId="16" fillId="0" borderId="0" xfId="0" applyNumberFormat="1" applyFont="1" applyAlignment="1"/>
    <xf numFmtId="176" fontId="1" fillId="0" borderId="0" xfId="0" applyNumberFormat="1" applyFont="1" applyAlignment="1"/>
    <xf numFmtId="176" fontId="0" fillId="0" borderId="0" xfId="0" applyNumberFormat="1" applyAlignment="1"/>
    <xf numFmtId="177" fontId="1" fillId="0" borderId="0" xfId="0" applyNumberFormat="1" applyFont="1" applyAlignment="1"/>
    <xf numFmtId="0" fontId="6"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1E5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D97AA5-DBA6-42C1-9312-4130F634C0D3}">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zoomScale="130" zoomScaleNormal="130" workbookViewId="0">
      <selection activeCell="E2" sqref="E2"/>
    </sheetView>
  </sheetViews>
  <sheetFormatPr defaultColWidth="11" defaultRowHeight="15.75" x14ac:dyDescent="0.25"/>
  <cols>
    <col min="1" max="1" width="1.875" style="3" customWidth="1"/>
    <col min="2" max="2" width="38" style="3" customWidth="1"/>
    <col min="3" max="3" width="30" style="3" customWidth="1"/>
    <col min="4" max="4" width="2.875" style="3" customWidth="1"/>
    <col min="5" max="5" width="15.125" style="3" customWidth="1"/>
    <col min="6" max="7" width="12.625" style="3" customWidth="1"/>
    <col min="8" max="10" width="13.375" style="3" customWidth="1"/>
  </cols>
  <sheetData>
    <row r="1" spans="1:7" ht="9" customHeight="1" x14ac:dyDescent="0.25">
      <c r="A1" s="4"/>
      <c r="B1" s="4"/>
      <c r="C1" s="4"/>
      <c r="D1" s="4"/>
      <c r="E1" s="4"/>
      <c r="F1" s="4"/>
      <c r="G1" s="4"/>
    </row>
    <row r="2" spans="1:7" ht="55.5" customHeight="1" x14ac:dyDescent="0.25">
      <c r="A2" s="4"/>
      <c r="B2" s="5" t="s">
        <v>0</v>
      </c>
      <c r="C2" s="6" t="s">
        <v>1</v>
      </c>
      <c r="D2" s="4"/>
      <c r="E2" s="4"/>
      <c r="F2" s="4"/>
      <c r="G2" s="4"/>
    </row>
    <row r="3" spans="1:7" ht="15.75" customHeight="1" x14ac:dyDescent="0.25">
      <c r="A3" s="4"/>
      <c r="B3" s="4" t="s">
        <v>2</v>
      </c>
      <c r="C3" s="7">
        <v>40.85</v>
      </c>
      <c r="D3" s="4"/>
      <c r="E3" s="4"/>
      <c r="F3" s="4"/>
      <c r="G3" s="4"/>
    </row>
    <row r="4" spans="1:7" ht="15.75" customHeight="1" x14ac:dyDescent="0.25">
      <c r="A4" s="4"/>
      <c r="B4" s="4" t="s">
        <v>3</v>
      </c>
      <c r="C4" s="8">
        <v>581835.91700000002</v>
      </c>
      <c r="D4" s="4"/>
      <c r="E4" s="9"/>
      <c r="F4" s="4"/>
      <c r="G4" s="4"/>
    </row>
    <row r="5" spans="1:7" ht="15.75" customHeight="1" x14ac:dyDescent="0.25">
      <c r="A5" s="4"/>
      <c r="B5" s="4" t="s">
        <v>4</v>
      </c>
      <c r="C5" s="10">
        <f>C3*C4</f>
        <v>23767997.209450003</v>
      </c>
      <c r="D5" s="4"/>
      <c r="E5" s="4"/>
      <c r="F5" s="4"/>
      <c r="G5" s="4"/>
    </row>
    <row r="6" spans="1:7" ht="15.75" customHeight="1" x14ac:dyDescent="0.25">
      <c r="A6" s="4"/>
      <c r="B6" s="4" t="s">
        <v>5</v>
      </c>
      <c r="C6" s="11">
        <f>318789+515003+403123</f>
        <v>1236915</v>
      </c>
      <c r="D6" s="4"/>
      <c r="E6" s="4"/>
      <c r="F6" s="4"/>
      <c r="G6" s="4"/>
    </row>
    <row r="7" spans="1:7" ht="15.75" customHeight="1" x14ac:dyDescent="0.25">
      <c r="A7" s="4"/>
      <c r="B7" s="4" t="s">
        <v>6</v>
      </c>
      <c r="C7" s="11">
        <v>0</v>
      </c>
      <c r="D7" s="4"/>
      <c r="E7" s="4"/>
      <c r="F7" s="4"/>
      <c r="G7" s="4"/>
    </row>
    <row r="8" spans="1:7" ht="15.75" customHeight="1" x14ac:dyDescent="0.25">
      <c r="A8" s="4"/>
      <c r="B8" s="4" t="s">
        <v>7</v>
      </c>
      <c r="C8" s="10">
        <f>C5+C7-C6</f>
        <v>22531082.209450003</v>
      </c>
      <c r="D8" s="4"/>
      <c r="E8" s="4"/>
      <c r="F8" s="4"/>
      <c r="G8" s="4"/>
    </row>
    <row r="9" spans="1:7" ht="15.75" customHeight="1" x14ac:dyDescent="0.25">
      <c r="A9" s="4"/>
      <c r="B9" s="4"/>
      <c r="C9" s="4"/>
      <c r="D9" s="4"/>
      <c r="E9" s="4"/>
      <c r="F9" s="4"/>
      <c r="G9" s="4"/>
    </row>
    <row r="10" spans="1:7" ht="15.75" customHeight="1" x14ac:dyDescent="0.25">
      <c r="A10" s="4"/>
      <c r="B10" s="4"/>
      <c r="D10" s="4"/>
      <c r="E10" s="4"/>
      <c r="F10" s="4"/>
      <c r="G10" s="4"/>
    </row>
    <row r="11" spans="1:7" ht="15.75" customHeight="1" x14ac:dyDescent="0.25">
      <c r="A11" s="4"/>
      <c r="B11" s="4" t="s">
        <v>8</v>
      </c>
      <c r="C11" s="12" t="s">
        <v>9</v>
      </c>
      <c r="D11" s="4"/>
      <c r="E11" s="4"/>
      <c r="F11" s="4"/>
      <c r="G11" s="4"/>
    </row>
    <row r="12" spans="1:7" ht="15.75" customHeight="1" x14ac:dyDescent="0.25">
      <c r="A12" s="4"/>
      <c r="B12" s="4" t="s">
        <v>10</v>
      </c>
      <c r="C12" s="12" t="s">
        <v>11</v>
      </c>
      <c r="D12" s="4"/>
      <c r="E12" s="4"/>
      <c r="F12" s="4"/>
      <c r="G12" s="4"/>
    </row>
    <row r="13" spans="1:7" ht="15.75" customHeight="1" x14ac:dyDescent="0.25">
      <c r="A13" s="4"/>
      <c r="B13" s="4"/>
      <c r="C13" s="12"/>
      <c r="D13" s="4"/>
      <c r="E13" s="4"/>
      <c r="F13" s="4"/>
      <c r="G13" s="4"/>
    </row>
    <row r="14" spans="1:7" ht="15.75" customHeight="1" x14ac:dyDescent="0.25">
      <c r="A14" s="4"/>
      <c r="B14" s="13"/>
      <c r="C14" s="4"/>
      <c r="D14" s="4"/>
      <c r="E14" s="4"/>
      <c r="F14" s="4"/>
      <c r="G14" s="4"/>
    </row>
    <row r="15" spans="1:7" ht="15.75" customHeight="1" x14ac:dyDescent="0.25">
      <c r="A15" s="4"/>
      <c r="B15" s="4"/>
      <c r="C15" s="4"/>
      <c r="D15" s="4"/>
      <c r="E15" s="4"/>
      <c r="F15" s="4"/>
      <c r="G15" s="4"/>
    </row>
    <row r="16" spans="1:7" ht="15.75" customHeight="1" x14ac:dyDescent="0.25">
      <c r="A16" s="4"/>
      <c r="B16" s="4"/>
      <c r="C16" s="4"/>
      <c r="D16" s="4"/>
      <c r="E16" s="4"/>
      <c r="F16" s="4"/>
      <c r="G16" s="4"/>
    </row>
    <row r="17" spans="1:7" ht="15.75" customHeight="1" x14ac:dyDescent="0.25">
      <c r="A17" s="4"/>
      <c r="B17" s="4"/>
      <c r="C17" s="4"/>
      <c r="D17" s="4"/>
      <c r="E17" s="4"/>
      <c r="F17" s="4"/>
      <c r="G17" s="4"/>
    </row>
    <row r="18" spans="1:7" ht="15.75" customHeight="1" x14ac:dyDescent="0.25">
      <c r="A18" s="4"/>
      <c r="B18" s="4"/>
      <c r="C18" s="4"/>
      <c r="D18" s="4"/>
      <c r="E18" s="4"/>
      <c r="F18" s="4"/>
      <c r="G18" s="4"/>
    </row>
    <row r="19" spans="1:7" ht="15.75" customHeight="1" x14ac:dyDescent="0.25">
      <c r="A19" s="4"/>
      <c r="B19" s="4"/>
      <c r="C19" s="4"/>
      <c r="D19" s="4"/>
      <c r="E19" s="4"/>
      <c r="F19" s="4"/>
      <c r="G19" s="4"/>
    </row>
    <row r="20" spans="1:7" ht="15.75" customHeight="1" x14ac:dyDescent="0.25">
      <c r="A20" s="4"/>
      <c r="B20" s="4"/>
      <c r="C20" s="4"/>
      <c r="D20" s="4"/>
      <c r="E20" s="4"/>
      <c r="F20" s="4"/>
      <c r="G20" s="4"/>
    </row>
    <row r="21" spans="1:7" ht="15.75" customHeight="1" x14ac:dyDescent="0.25">
      <c r="A21" s="4"/>
      <c r="B21" s="4"/>
      <c r="C21" s="4"/>
      <c r="D21" s="4"/>
      <c r="E21" s="4"/>
      <c r="F21" s="4"/>
      <c r="G21" s="4"/>
    </row>
    <row r="22" spans="1:7" ht="15.75" customHeight="1" x14ac:dyDescent="0.25">
      <c r="A22" s="4"/>
      <c r="B22" s="4"/>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14"/>
      <c r="F27" s="14"/>
      <c r="G27" s="14"/>
    </row>
    <row r="28" spans="1:7" ht="15.75" customHeight="1" x14ac:dyDescent="0.25">
      <c r="A28" s="4"/>
      <c r="B28" s="4"/>
      <c r="C28" s="4"/>
      <c r="D28" s="4"/>
      <c r="E28" s="4"/>
      <c r="F28" s="4"/>
      <c r="G28" s="4"/>
    </row>
    <row r="29" spans="1:7" ht="15.75" customHeight="1" x14ac:dyDescent="0.25">
      <c r="A29" s="4"/>
      <c r="B29" s="4"/>
      <c r="C29" s="4"/>
      <c r="D29" s="14"/>
      <c r="E29" s="4"/>
      <c r="F29" s="4"/>
      <c r="G29" s="4"/>
    </row>
    <row r="30" spans="1:7" ht="15.75" customHeight="1" x14ac:dyDescent="0.25">
      <c r="A30" s="4"/>
      <c r="B30" s="4"/>
      <c r="C30" s="4"/>
      <c r="D30" s="14"/>
      <c r="E30" s="4"/>
      <c r="F30" s="4"/>
      <c r="G30" s="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M231"/>
  <sheetViews>
    <sheetView zoomScaleNormal="100" workbookViewId="0">
      <pane xSplit="2" topLeftCell="C1" activePane="topRight" state="frozen"/>
      <selection pane="topRight" activeCell="C5" sqref="C5"/>
    </sheetView>
  </sheetViews>
  <sheetFormatPr defaultColWidth="11" defaultRowHeight="15.75" x14ac:dyDescent="0.25"/>
  <cols>
    <col min="1" max="1" width="2.375" style="3" customWidth="1"/>
    <col min="2" max="2" width="42" style="3" customWidth="1"/>
    <col min="3" max="19" width="12.625" style="3" customWidth="1"/>
    <col min="20" max="20" width="13.5" style="3" customWidth="1"/>
    <col min="21" max="31" width="13.375" style="3" customWidth="1"/>
    <col min="32" max="38" width="13.125" style="3" customWidth="1"/>
    <col min="39" max="91" width="12.5" style="3" customWidth="1"/>
  </cols>
  <sheetData>
    <row r="1" spans="1:89" ht="9.75" customHeight="1"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row>
    <row r="2" spans="1:89" ht="34.5" customHeight="1" x14ac:dyDescent="0.4">
      <c r="A2" s="4"/>
      <c r="B2" s="15" t="s">
        <v>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row>
    <row r="3" spans="1:89" ht="15.75" customHeight="1"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row>
    <row r="4" spans="1:89" ht="16.5" customHeight="1" x14ac:dyDescent="0.25">
      <c r="A4" s="4"/>
      <c r="B4" s="16" t="s">
        <v>12</v>
      </c>
      <c r="C4" s="17" t="s">
        <v>13</v>
      </c>
      <c r="D4" s="17" t="s">
        <v>14</v>
      </c>
      <c r="E4" s="17" t="s">
        <v>15</v>
      </c>
      <c r="F4" s="17" t="s">
        <v>16</v>
      </c>
      <c r="G4" s="17" t="s">
        <v>17</v>
      </c>
      <c r="H4" s="17" t="s">
        <v>18</v>
      </c>
      <c r="I4" s="17" t="s">
        <v>19</v>
      </c>
      <c r="J4" s="17" t="s">
        <v>20</v>
      </c>
      <c r="K4" s="17" t="s">
        <v>21</v>
      </c>
      <c r="L4" s="17" t="s">
        <v>22</v>
      </c>
      <c r="M4" s="17" t="s">
        <v>23</v>
      </c>
      <c r="N4" s="17" t="s">
        <v>24</v>
      </c>
      <c r="O4" s="17" t="s">
        <v>25</v>
      </c>
      <c r="P4" s="17" t="s">
        <v>26</v>
      </c>
      <c r="Q4" s="17" t="s">
        <v>27</v>
      </c>
      <c r="R4" s="17" t="s">
        <v>28</v>
      </c>
      <c r="S4" s="17" t="s">
        <v>29</v>
      </c>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row>
    <row r="5" spans="1:89" ht="15.75" customHeight="1" x14ac:dyDescent="0.25">
      <c r="A5" s="4"/>
      <c r="B5" s="18" t="s">
        <v>30</v>
      </c>
      <c r="C5" s="19">
        <v>142.64500000000001</v>
      </c>
      <c r="D5" s="19">
        <v>153.523</v>
      </c>
      <c r="E5" s="19">
        <v>169.8</v>
      </c>
      <c r="F5" s="19">
        <f>652.545-142.645-153.523-169.8</f>
        <v>186.57699999999994</v>
      </c>
      <c r="G5" s="19">
        <v>204.32</v>
      </c>
      <c r="H5" s="19">
        <v>219.25700000000001</v>
      </c>
      <c r="I5" s="19">
        <v>237.53399999999999</v>
      </c>
      <c r="J5" s="19">
        <f>937.385-204.32-219.257-237.534</f>
        <v>276.274</v>
      </c>
      <c r="K5" s="19">
        <v>280.726</v>
      </c>
      <c r="L5" s="19">
        <v>300.202</v>
      </c>
      <c r="M5" s="19">
        <v>321.98099999999999</v>
      </c>
      <c r="N5" s="19">
        <f>1249.2-280.726-300.202-321.981</f>
        <v>346.29100000000005</v>
      </c>
      <c r="O5" s="19">
        <v>366.88400000000001</v>
      </c>
      <c r="P5" s="19">
        <v>391.48</v>
      </c>
      <c r="Q5" s="19">
        <v>415.97500000000002</v>
      </c>
      <c r="R5" s="19">
        <f>1618.63-366.884-391.48-415.975</f>
        <v>444.29100000000005</v>
      </c>
      <c r="S5" s="19">
        <v>478.84399999999999</v>
      </c>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row>
    <row r="6" spans="1:89" ht="15.75" customHeight="1" x14ac:dyDescent="0.25">
      <c r="A6" s="4"/>
      <c r="B6" s="4" t="s">
        <v>31</v>
      </c>
      <c r="C6" s="20">
        <v>39.618000000000002</v>
      </c>
      <c r="D6" s="20">
        <v>44.256999999999998</v>
      </c>
      <c r="E6" s="20">
        <v>47.253</v>
      </c>
      <c r="F6" s="20">
        <f>182.656-39.618-44.257-47.253</f>
        <v>51.528000000000006</v>
      </c>
      <c r="G6" s="20">
        <v>57.557000000000002</v>
      </c>
      <c r="H6" s="20">
        <v>58.866</v>
      </c>
      <c r="I6" s="20">
        <v>61.585000000000001</v>
      </c>
      <c r="J6" s="20">
        <f>247.032-57.557-58.866-61.585</f>
        <v>69.024000000000029</v>
      </c>
      <c r="K6" s="20">
        <v>68.625</v>
      </c>
      <c r="L6" s="20">
        <v>73.364999999999995</v>
      </c>
      <c r="M6" s="20">
        <v>76.027000000000001</v>
      </c>
      <c r="N6" s="20">
        <f>298.321-68.625-73.365-76.027</f>
        <v>80.304000000000016</v>
      </c>
      <c r="O6" s="20">
        <v>83.168999999999997</v>
      </c>
      <c r="P6" s="20">
        <v>90.501000000000005</v>
      </c>
      <c r="Q6" s="20">
        <v>96.963999999999999</v>
      </c>
      <c r="R6" s="20">
        <f>376.549-83.169-90.501-96.964</f>
        <v>105.91499999999999</v>
      </c>
      <c r="S6" s="20">
        <v>117.70099999999999</v>
      </c>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row>
    <row r="7" spans="1:89" ht="15.75" customHeight="1" x14ac:dyDescent="0.25">
      <c r="A7" s="4"/>
      <c r="B7" s="21" t="s">
        <v>32</v>
      </c>
      <c r="C7" s="22">
        <f t="shared" ref="C7:S7" si="0">C5-C6</f>
        <v>103.02700000000002</v>
      </c>
      <c r="D7" s="22">
        <f t="shared" si="0"/>
        <v>109.26599999999999</v>
      </c>
      <c r="E7" s="22">
        <f t="shared" si="0"/>
        <v>122.54700000000001</v>
      </c>
      <c r="F7" s="22">
        <f t="shared" si="0"/>
        <v>135.04899999999992</v>
      </c>
      <c r="G7" s="22">
        <f t="shared" si="0"/>
        <v>146.76299999999998</v>
      </c>
      <c r="H7" s="22">
        <f t="shared" si="0"/>
        <v>160.39100000000002</v>
      </c>
      <c r="I7" s="22">
        <f t="shared" si="0"/>
        <v>175.94899999999998</v>
      </c>
      <c r="J7" s="22">
        <f t="shared" si="0"/>
        <v>207.24999999999997</v>
      </c>
      <c r="K7" s="22">
        <f t="shared" si="0"/>
        <v>212.101</v>
      </c>
      <c r="L7" s="22">
        <f t="shared" si="0"/>
        <v>226.83699999999999</v>
      </c>
      <c r="M7" s="22">
        <f t="shared" si="0"/>
        <v>245.95400000000001</v>
      </c>
      <c r="N7" s="22">
        <f t="shared" si="0"/>
        <v>265.98700000000002</v>
      </c>
      <c r="O7" s="22">
        <f t="shared" si="0"/>
        <v>283.71500000000003</v>
      </c>
      <c r="P7" s="22">
        <f t="shared" si="0"/>
        <v>300.97900000000004</v>
      </c>
      <c r="Q7" s="22">
        <f t="shared" si="0"/>
        <v>319.01100000000002</v>
      </c>
      <c r="R7" s="22">
        <f t="shared" si="0"/>
        <v>338.37600000000009</v>
      </c>
      <c r="S7" s="22">
        <f t="shared" si="0"/>
        <v>361.14300000000003</v>
      </c>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row>
    <row r="8" spans="1:89" ht="15.75" customHeight="1" x14ac:dyDescent="0.25">
      <c r="A8" s="4"/>
      <c r="B8" s="4" t="s">
        <v>33</v>
      </c>
      <c r="C8" s="23">
        <v>40.984999999999999</v>
      </c>
      <c r="D8" s="23">
        <v>41.847000000000001</v>
      </c>
      <c r="E8" s="23">
        <v>49.97</v>
      </c>
      <c r="F8" s="23">
        <f>187.405-40.985-41.847-49.97</f>
        <v>54.603000000000009</v>
      </c>
      <c r="G8" s="23">
        <v>60.366</v>
      </c>
      <c r="H8" s="23">
        <v>63.969000000000001</v>
      </c>
      <c r="I8" s="23">
        <v>60.82</v>
      </c>
      <c r="J8" s="23">
        <f>258.581-60.366-63.969-60.82</f>
        <v>73.426000000000045</v>
      </c>
      <c r="K8" s="23">
        <v>72.972999999999999</v>
      </c>
      <c r="L8" s="23">
        <v>76.475999999999999</v>
      </c>
      <c r="M8" s="23">
        <v>76.989999999999995</v>
      </c>
      <c r="N8" s="23">
        <f>299.716-72.973-76.476-76.99</f>
        <v>73.277000000000001</v>
      </c>
      <c r="O8" s="23">
        <v>83.242000000000004</v>
      </c>
      <c r="P8" s="23">
        <v>85.611999999999995</v>
      </c>
      <c r="Q8" s="23">
        <v>86.218999999999994</v>
      </c>
      <c r="R8" s="23">
        <f>344.589-83.242-85.612-86.219</f>
        <v>89.515999999999991</v>
      </c>
      <c r="S8" s="23">
        <v>97.566999999999993</v>
      </c>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row>
    <row r="9" spans="1:89" ht="15.75" customHeight="1" x14ac:dyDescent="0.25">
      <c r="A9" s="4"/>
      <c r="B9" s="4" t="s">
        <v>34</v>
      </c>
      <c r="C9" s="20">
        <v>87.448999999999998</v>
      </c>
      <c r="D9" s="20">
        <v>91.841999999999999</v>
      </c>
      <c r="E9" s="20">
        <v>94.055999999999997</v>
      </c>
      <c r="F9" s="20">
        <f>370.098-87.449-91.842-94.056</f>
        <v>96.751000000000019</v>
      </c>
      <c r="G9" s="20">
        <v>118.955</v>
      </c>
      <c r="H9" s="20">
        <v>117.908</v>
      </c>
      <c r="I9" s="20">
        <v>116.78</v>
      </c>
      <c r="J9" s="20">
        <f>486.649-118.955-117.908-116.78</f>
        <v>133.006</v>
      </c>
      <c r="K9" s="20">
        <v>147.43700000000001</v>
      </c>
      <c r="L9" s="20">
        <v>151.49299999999999</v>
      </c>
      <c r="M9" s="20">
        <v>150.065</v>
      </c>
      <c r="N9" s="20">
        <f>601.648-147.437-151.493-150.065</f>
        <v>152.65300000000002</v>
      </c>
      <c r="O9" s="20">
        <v>165.4</v>
      </c>
      <c r="P9" s="20">
        <v>174.083</v>
      </c>
      <c r="Q9" s="20">
        <v>168.392</v>
      </c>
      <c r="R9" s="20">
        <f>683.78-165.4-174.083-168.392</f>
        <v>175.90500000000003</v>
      </c>
      <c r="S9" s="20">
        <v>203.60300000000001</v>
      </c>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row>
    <row r="10" spans="1:89" ht="15.75" customHeight="1" x14ac:dyDescent="0.25">
      <c r="A10" s="4"/>
      <c r="B10" s="4" t="s">
        <v>35</v>
      </c>
      <c r="C10" s="20">
        <v>43.741999999999997</v>
      </c>
      <c r="D10" s="20">
        <v>41.359000000000002</v>
      </c>
      <c r="E10" s="20">
        <v>41.997</v>
      </c>
      <c r="F10" s="20">
        <f>170.785-43.742-41.359-41.997</f>
        <v>43.686999999999998</v>
      </c>
      <c r="G10" s="20">
        <v>43.265999999999998</v>
      </c>
      <c r="H10" s="20">
        <v>48.268000000000001</v>
      </c>
      <c r="I10" s="20">
        <v>48.353999999999999</v>
      </c>
      <c r="J10" s="20">
        <f>195.043-43.266-48.268-48.354</f>
        <v>55.155000000000015</v>
      </c>
      <c r="K10" s="20">
        <v>57.688000000000002</v>
      </c>
      <c r="L10" s="20">
        <v>57.061999999999998</v>
      </c>
      <c r="M10" s="20">
        <v>62.66</v>
      </c>
      <c r="N10" s="20">
        <f>234.609-57.688-57.062-62.66</f>
        <v>57.198999999999998</v>
      </c>
      <c r="O10" s="20">
        <v>68.328000000000003</v>
      </c>
      <c r="P10" s="20">
        <v>67.903000000000006</v>
      </c>
      <c r="Q10" s="20">
        <v>66.120999999999995</v>
      </c>
      <c r="R10" s="20">
        <f>266.293-68.328-67.903-66.121</f>
        <v>63.941000000000017</v>
      </c>
      <c r="S10" s="20">
        <v>52.777999999999999</v>
      </c>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row>
    <row r="11" spans="1:89" ht="15.75" customHeight="1" x14ac:dyDescent="0.25">
      <c r="A11" s="4"/>
      <c r="B11" s="4" t="s">
        <v>36</v>
      </c>
      <c r="C11" s="20">
        <v>1.056</v>
      </c>
      <c r="D11" s="20">
        <v>0</v>
      </c>
      <c r="E11" s="20">
        <v>0</v>
      </c>
      <c r="F11" s="20">
        <f>1.056-1.056-0-0</f>
        <v>0</v>
      </c>
      <c r="G11" s="20">
        <v>0</v>
      </c>
      <c r="H11" s="20">
        <v>0</v>
      </c>
      <c r="I11" s="20">
        <v>4.7619999999999996</v>
      </c>
      <c r="J11" s="20">
        <f>4.762-0-0-4.762</f>
        <v>0</v>
      </c>
      <c r="K11" s="20">
        <v>0</v>
      </c>
      <c r="L11" s="20">
        <v>0</v>
      </c>
      <c r="M11" s="20">
        <v>3.609</v>
      </c>
      <c r="N11" s="20">
        <f>4.028-0-0-3.609</f>
        <v>0.41899999999999959</v>
      </c>
      <c r="O11" s="20">
        <v>0</v>
      </c>
      <c r="P11" s="20">
        <v>0</v>
      </c>
      <c r="Q11" s="20">
        <v>0</v>
      </c>
      <c r="R11" s="20">
        <f>0-0-0-0</f>
        <v>0</v>
      </c>
      <c r="S11" s="20">
        <v>0</v>
      </c>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row>
    <row r="12" spans="1:89" ht="15.75" customHeight="1" x14ac:dyDescent="0.25">
      <c r="A12" s="4"/>
      <c r="B12" s="4" t="s">
        <v>37</v>
      </c>
      <c r="C12" s="20">
        <v>0</v>
      </c>
      <c r="D12" s="20">
        <v>0</v>
      </c>
      <c r="E12" s="20">
        <v>0</v>
      </c>
      <c r="F12" s="20">
        <f>0-0-0-0</f>
        <v>0</v>
      </c>
      <c r="G12" s="20">
        <v>0</v>
      </c>
      <c r="H12" s="20">
        <v>0</v>
      </c>
      <c r="I12" s="20">
        <v>0</v>
      </c>
      <c r="J12" s="20">
        <f>68.665-0-0-0</f>
        <v>68.665000000000006</v>
      </c>
      <c r="K12" s="20">
        <v>0</v>
      </c>
      <c r="L12" s="20">
        <v>0</v>
      </c>
      <c r="M12" s="20">
        <v>0</v>
      </c>
      <c r="N12" s="20">
        <f>0.85-0-0-0</f>
        <v>0.85</v>
      </c>
      <c r="O12" s="20">
        <v>0</v>
      </c>
      <c r="P12" s="20">
        <v>0</v>
      </c>
      <c r="Q12" s="20">
        <v>0</v>
      </c>
      <c r="R12" s="20">
        <f>0-0-0-0</f>
        <v>0</v>
      </c>
      <c r="S12" s="20">
        <v>0</v>
      </c>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row>
    <row r="13" spans="1:89" ht="15.75" customHeight="1" x14ac:dyDescent="0.25">
      <c r="A13" s="4"/>
      <c r="B13" s="4" t="s">
        <v>38</v>
      </c>
      <c r="C13" s="20">
        <f t="shared" ref="C13:S13" si="1">SUM(C8:C12)</f>
        <v>173.232</v>
      </c>
      <c r="D13" s="20">
        <f t="shared" si="1"/>
        <v>175.048</v>
      </c>
      <c r="E13" s="20">
        <f t="shared" si="1"/>
        <v>186.02300000000002</v>
      </c>
      <c r="F13" s="20">
        <f t="shared" si="1"/>
        <v>195.04100000000005</v>
      </c>
      <c r="G13" s="20">
        <f t="shared" si="1"/>
        <v>222.58699999999999</v>
      </c>
      <c r="H13" s="20">
        <f t="shared" si="1"/>
        <v>230.14500000000001</v>
      </c>
      <c r="I13" s="20">
        <f t="shared" si="1"/>
        <v>230.71600000000001</v>
      </c>
      <c r="J13" s="20">
        <f t="shared" si="1"/>
        <v>330.25200000000007</v>
      </c>
      <c r="K13" s="20">
        <f t="shared" si="1"/>
        <v>278.09800000000001</v>
      </c>
      <c r="L13" s="20">
        <f t="shared" si="1"/>
        <v>285.03100000000001</v>
      </c>
      <c r="M13" s="20">
        <f t="shared" si="1"/>
        <v>293.32400000000001</v>
      </c>
      <c r="N13" s="20">
        <f t="shared" si="1"/>
        <v>284.39800000000002</v>
      </c>
      <c r="O13" s="20">
        <f t="shared" si="1"/>
        <v>316.97000000000003</v>
      </c>
      <c r="P13" s="20">
        <f t="shared" si="1"/>
        <v>327.59800000000001</v>
      </c>
      <c r="Q13" s="20">
        <f t="shared" si="1"/>
        <v>320.73199999999997</v>
      </c>
      <c r="R13" s="20">
        <f t="shared" si="1"/>
        <v>329.36200000000008</v>
      </c>
      <c r="S13" s="20">
        <f t="shared" si="1"/>
        <v>353.94800000000004</v>
      </c>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row>
    <row r="14" spans="1:89" ht="15.75" customHeight="1" x14ac:dyDescent="0.25">
      <c r="A14" s="4"/>
      <c r="B14" s="4" t="s">
        <v>39</v>
      </c>
      <c r="C14" s="20">
        <f t="shared" ref="C14:S14" si="2">C7-C13</f>
        <v>-70.204999999999984</v>
      </c>
      <c r="D14" s="20">
        <f t="shared" si="2"/>
        <v>-65.782000000000011</v>
      </c>
      <c r="E14" s="20">
        <f t="shared" si="2"/>
        <v>-63.476000000000013</v>
      </c>
      <c r="F14" s="20">
        <f t="shared" si="2"/>
        <v>-59.992000000000132</v>
      </c>
      <c r="G14" s="20">
        <f t="shared" si="2"/>
        <v>-75.824000000000012</v>
      </c>
      <c r="H14" s="20">
        <f t="shared" si="2"/>
        <v>-69.753999999999991</v>
      </c>
      <c r="I14" s="20">
        <f t="shared" si="2"/>
        <v>-54.767000000000024</v>
      </c>
      <c r="J14" s="20">
        <f t="shared" si="2"/>
        <v>-123.00200000000009</v>
      </c>
      <c r="K14" s="20">
        <f t="shared" si="2"/>
        <v>-65.997000000000014</v>
      </c>
      <c r="L14" s="20">
        <f t="shared" si="2"/>
        <v>-58.194000000000017</v>
      </c>
      <c r="M14" s="20">
        <f t="shared" si="2"/>
        <v>-47.370000000000005</v>
      </c>
      <c r="N14" s="20">
        <f t="shared" si="2"/>
        <v>-18.411000000000001</v>
      </c>
      <c r="O14" s="20">
        <f t="shared" si="2"/>
        <v>-33.254999999999995</v>
      </c>
      <c r="P14" s="20">
        <f t="shared" si="2"/>
        <v>-26.618999999999971</v>
      </c>
      <c r="Q14" s="20">
        <f t="shared" si="2"/>
        <v>-1.7209999999999468</v>
      </c>
      <c r="R14" s="20">
        <f t="shared" si="2"/>
        <v>9.01400000000001</v>
      </c>
      <c r="S14" s="20">
        <f t="shared" si="2"/>
        <v>7.1949999999999932</v>
      </c>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row>
    <row r="15" spans="1:89" ht="15.75" customHeight="1" x14ac:dyDescent="0.25">
      <c r="A15" s="4"/>
      <c r="B15" s="4" t="s">
        <v>40</v>
      </c>
      <c r="C15" s="20">
        <v>-0.06</v>
      </c>
      <c r="D15" s="20">
        <v>1.5409999999999999</v>
      </c>
      <c r="E15" s="20">
        <v>5.6130000000000004</v>
      </c>
      <c r="F15" s="20">
        <f>15.62--0.06-1.541-5.613</f>
        <v>8.5259999999999998</v>
      </c>
      <c r="G15" s="20">
        <v>8.8949999999999996</v>
      </c>
      <c r="H15" s="20">
        <v>10.220000000000001</v>
      </c>
      <c r="I15" s="20">
        <v>9.3780000000000001</v>
      </c>
      <c r="J15" s="20">
        <f>39.964-8.895-10.22-9.378</f>
        <v>11.470999999999997</v>
      </c>
      <c r="K15" s="20">
        <v>10.084</v>
      </c>
      <c r="L15" s="20">
        <v>9.6259999999999994</v>
      </c>
      <c r="M15" s="20">
        <v>10.057</v>
      </c>
      <c r="N15" s="20">
        <f>39.559-10.084-9.626-10.057</f>
        <v>9.7919999999999963</v>
      </c>
      <c r="O15" s="20">
        <v>12.723000000000001</v>
      </c>
      <c r="P15" s="20">
        <v>11.426</v>
      </c>
      <c r="Q15" s="20">
        <v>10.816000000000001</v>
      </c>
      <c r="R15" s="20">
        <f>53.482-12.723-11.426-10.816</f>
        <v>18.516999999999996</v>
      </c>
      <c r="S15" s="20">
        <v>41.731999999999999</v>
      </c>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row>
    <row r="16" spans="1:89" ht="15.75" customHeight="1" x14ac:dyDescent="0.25">
      <c r="A16" s="4"/>
      <c r="B16" s="4" t="s">
        <v>41</v>
      </c>
      <c r="C16" s="20">
        <f t="shared" ref="C16:S16" si="3">C14+C15</f>
        <v>-70.264999999999986</v>
      </c>
      <c r="D16" s="20">
        <f t="shared" si="3"/>
        <v>-64.241000000000014</v>
      </c>
      <c r="E16" s="20">
        <f t="shared" si="3"/>
        <v>-57.863000000000014</v>
      </c>
      <c r="F16" s="20">
        <f t="shared" si="3"/>
        <v>-51.466000000000136</v>
      </c>
      <c r="G16" s="20">
        <f t="shared" si="3"/>
        <v>-66.929000000000016</v>
      </c>
      <c r="H16" s="20">
        <f t="shared" si="3"/>
        <v>-59.533999999999992</v>
      </c>
      <c r="I16" s="20">
        <f t="shared" si="3"/>
        <v>-45.389000000000024</v>
      </c>
      <c r="J16" s="20">
        <f t="shared" si="3"/>
        <v>-111.53100000000009</v>
      </c>
      <c r="K16" s="20">
        <f t="shared" si="3"/>
        <v>-55.913000000000011</v>
      </c>
      <c r="L16" s="20">
        <f t="shared" si="3"/>
        <v>-48.568000000000019</v>
      </c>
      <c r="M16" s="20">
        <f t="shared" si="3"/>
        <v>-37.313000000000002</v>
      </c>
      <c r="N16" s="20">
        <f t="shared" si="3"/>
        <v>-8.6190000000000051</v>
      </c>
      <c r="O16" s="20">
        <f t="shared" si="3"/>
        <v>-20.531999999999996</v>
      </c>
      <c r="P16" s="20">
        <f t="shared" si="3"/>
        <v>-15.192999999999971</v>
      </c>
      <c r="Q16" s="20">
        <f t="shared" si="3"/>
        <v>9.0950000000000539</v>
      </c>
      <c r="R16" s="20">
        <f t="shared" si="3"/>
        <v>27.531000000000006</v>
      </c>
      <c r="S16" s="20">
        <f t="shared" si="3"/>
        <v>48.926999999999992</v>
      </c>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row>
    <row r="17" spans="1:89" ht="15.75" customHeight="1" x14ac:dyDescent="0.25">
      <c r="A17" s="4"/>
      <c r="B17" s="4" t="s">
        <v>42</v>
      </c>
      <c r="C17" s="20">
        <v>0.72299999999999998</v>
      </c>
      <c r="D17" s="20">
        <v>0.04</v>
      </c>
      <c r="E17" s="20">
        <v>0.69199999999999995</v>
      </c>
      <c r="F17" s="20">
        <f>3.587-0.723-0.04-0.692</f>
        <v>2.1320000000000006</v>
      </c>
      <c r="G17" s="20">
        <v>0.92700000000000005</v>
      </c>
      <c r="H17" s="20">
        <v>0.434</v>
      </c>
      <c r="I17" s="20">
        <v>0.14199999999999999</v>
      </c>
      <c r="J17" s="20">
        <f>3.343-0.927-0.434-0.142</f>
        <v>1.84</v>
      </c>
      <c r="K17" s="20">
        <v>0.376</v>
      </c>
      <c r="L17" s="20">
        <v>1.042</v>
      </c>
      <c r="M17" s="20">
        <v>0.49299999999999999</v>
      </c>
      <c r="N17" s="20">
        <f>4.493-0.376-1.042-0.493</f>
        <v>2.5820000000000003</v>
      </c>
      <c r="O17" s="20">
        <v>1.589</v>
      </c>
      <c r="P17" s="20">
        <v>1.607</v>
      </c>
      <c r="Q17" s="20">
        <v>1.329</v>
      </c>
      <c r="R17" s="20">
        <f>10.023-1.589-1.607-1.329</f>
        <v>5.4979999999999993</v>
      </c>
      <c r="S17" s="20">
        <v>4.4189999999999996</v>
      </c>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row>
    <row r="18" spans="1:89" ht="15.75" customHeight="1" x14ac:dyDescent="0.25">
      <c r="A18" s="4"/>
      <c r="B18" s="24" t="s">
        <v>43</v>
      </c>
      <c r="C18" s="25">
        <f t="shared" ref="C18:S18" si="4">C16-C17</f>
        <v>-70.987999999999985</v>
      </c>
      <c r="D18" s="25">
        <f t="shared" si="4"/>
        <v>-64.28100000000002</v>
      </c>
      <c r="E18" s="25">
        <f t="shared" si="4"/>
        <v>-58.555000000000014</v>
      </c>
      <c r="F18" s="25">
        <f t="shared" si="4"/>
        <v>-53.598000000000134</v>
      </c>
      <c r="G18" s="25">
        <f t="shared" si="4"/>
        <v>-67.856000000000023</v>
      </c>
      <c r="H18" s="25">
        <f t="shared" si="4"/>
        <v>-59.967999999999989</v>
      </c>
      <c r="I18" s="25">
        <f t="shared" si="4"/>
        <v>-45.531000000000027</v>
      </c>
      <c r="J18" s="25">
        <f t="shared" si="4"/>
        <v>-113.37100000000009</v>
      </c>
      <c r="K18" s="25">
        <f t="shared" si="4"/>
        <v>-56.289000000000009</v>
      </c>
      <c r="L18" s="25">
        <f t="shared" si="4"/>
        <v>-49.610000000000021</v>
      </c>
      <c r="M18" s="25">
        <f t="shared" si="4"/>
        <v>-37.806000000000004</v>
      </c>
      <c r="N18" s="25">
        <f t="shared" si="4"/>
        <v>-11.201000000000006</v>
      </c>
      <c r="O18" s="25">
        <f t="shared" si="4"/>
        <v>-22.120999999999995</v>
      </c>
      <c r="P18" s="25">
        <f t="shared" si="4"/>
        <v>-16.799999999999972</v>
      </c>
      <c r="Q18" s="25">
        <f t="shared" si="4"/>
        <v>7.7660000000000542</v>
      </c>
      <c r="R18" s="25">
        <f t="shared" si="4"/>
        <v>22.033000000000008</v>
      </c>
      <c r="S18" s="25">
        <f t="shared" si="4"/>
        <v>44.507999999999996</v>
      </c>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row>
    <row r="19" spans="1:89" ht="16.5" customHeight="1" x14ac:dyDescent="0.25">
      <c r="A19" s="4"/>
      <c r="B19" s="4" t="s">
        <v>44</v>
      </c>
      <c r="C19" s="26">
        <v>-0.14000000000000001</v>
      </c>
      <c r="D19" s="26">
        <v>-0.13</v>
      </c>
      <c r="E19" s="26">
        <v>-0.11</v>
      </c>
      <c r="F19" s="26"/>
      <c r="G19" s="26">
        <v>-0.13</v>
      </c>
      <c r="H19" s="26">
        <v>-0.11</v>
      </c>
      <c r="I19" s="26">
        <v>-0.08</v>
      </c>
      <c r="J19" s="26"/>
      <c r="K19" s="26">
        <v>-0.1</v>
      </c>
      <c r="L19" s="26">
        <v>-0.09</v>
      </c>
      <c r="M19" s="26">
        <v>-7.0000000000000007E-2</v>
      </c>
      <c r="N19" s="26"/>
      <c r="O19" s="26">
        <v>-0.04</v>
      </c>
      <c r="P19" s="26">
        <v>-0.03</v>
      </c>
      <c r="Q19" s="26">
        <v>0.01</v>
      </c>
      <c r="R19" s="26"/>
      <c r="S19" s="26">
        <v>0.08</v>
      </c>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row>
    <row r="20" spans="1:89" ht="16.5" customHeight="1" x14ac:dyDescent="0.25">
      <c r="A20" s="4"/>
      <c r="B20" s="4" t="s">
        <v>45</v>
      </c>
      <c r="C20" s="27">
        <v>507295.98200000002</v>
      </c>
      <c r="D20" s="27">
        <v>511758.43900000001</v>
      </c>
      <c r="E20" s="27">
        <v>516551.25799999997</v>
      </c>
      <c r="F20" s="27"/>
      <c r="G20" s="27">
        <v>526403.39800000004</v>
      </c>
      <c r="H20" s="27">
        <v>531751.68299999996</v>
      </c>
      <c r="I20" s="27">
        <v>537464.89199999999</v>
      </c>
      <c r="J20" s="27"/>
      <c r="K20" s="27">
        <v>548652.30599999998</v>
      </c>
      <c r="L20" s="27">
        <v>553917.92599999998</v>
      </c>
      <c r="M20" s="27">
        <v>559006.53899999999</v>
      </c>
      <c r="N20" s="27"/>
      <c r="O20" s="27">
        <v>567740.728</v>
      </c>
      <c r="P20" s="27">
        <v>571738.08400000003</v>
      </c>
      <c r="Q20" s="27">
        <v>575474.83400000003</v>
      </c>
      <c r="R20" s="27"/>
      <c r="S20" s="27">
        <v>581835.91700000002</v>
      </c>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row>
    <row r="21" spans="1:89" ht="15.7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row>
    <row r="22" spans="1:89" ht="15.7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row>
    <row r="23" spans="1:89" ht="16.5" customHeight="1" x14ac:dyDescent="0.25">
      <c r="A23" s="4"/>
      <c r="B23" s="16" t="s">
        <v>46</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row>
    <row r="24" spans="1:89" ht="16.5" customHeight="1" x14ac:dyDescent="0.25">
      <c r="A24" s="4"/>
      <c r="B24" s="28" t="s">
        <v>47</v>
      </c>
      <c r="C24" s="29"/>
      <c r="D24" s="30"/>
      <c r="E24" s="30"/>
      <c r="F24" s="30"/>
      <c r="G24" s="31">
        <f t="shared" ref="G24:S24" si="5">IFERROR((G5-C5)/F5,"n/a")</f>
        <v>0.33056057284659957</v>
      </c>
      <c r="H24" s="31">
        <f t="shared" si="5"/>
        <v>0.32172083007047775</v>
      </c>
      <c r="I24" s="31">
        <f t="shared" si="5"/>
        <v>0.30892514264082777</v>
      </c>
      <c r="J24" s="31">
        <f t="shared" si="5"/>
        <v>0.37761752001818716</v>
      </c>
      <c r="K24" s="31">
        <f t="shared" si="5"/>
        <v>0.27655877860384981</v>
      </c>
      <c r="L24" s="31">
        <f t="shared" si="5"/>
        <v>0.28834165698937753</v>
      </c>
      <c r="M24" s="31">
        <f t="shared" si="5"/>
        <v>0.2813005909354368</v>
      </c>
      <c r="N24" s="31">
        <f t="shared" si="5"/>
        <v>0.21745693068845695</v>
      </c>
      <c r="O24" s="31">
        <f t="shared" si="5"/>
        <v>0.24880230788556446</v>
      </c>
      <c r="P24" s="31">
        <f t="shared" si="5"/>
        <v>0.24879253387991848</v>
      </c>
      <c r="Q24" s="31">
        <f t="shared" si="5"/>
        <v>0.24009911106569945</v>
      </c>
      <c r="R24" s="31">
        <f t="shared" si="5"/>
        <v>0.23559108119478334</v>
      </c>
      <c r="S24" s="31">
        <f t="shared" si="5"/>
        <v>0.2519970019649283</v>
      </c>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row>
    <row r="25" spans="1:89" ht="16.5" customHeight="1" x14ac:dyDescent="0.25">
      <c r="A25" s="4"/>
      <c r="B25" s="28" t="s">
        <v>48</v>
      </c>
      <c r="C25" s="31">
        <f t="shared" ref="C25:S25" si="6">C7/C5</f>
        <v>0.72226155841424522</v>
      </c>
      <c r="D25" s="31">
        <f t="shared" si="6"/>
        <v>0.71172397621203332</v>
      </c>
      <c r="E25" s="31">
        <f t="shared" si="6"/>
        <v>0.72171378091872795</v>
      </c>
      <c r="F25" s="31">
        <f t="shared" si="6"/>
        <v>0.72382447997341559</v>
      </c>
      <c r="G25" s="31">
        <f t="shared" si="6"/>
        <v>0.71829972592012525</v>
      </c>
      <c r="H25" s="31">
        <f t="shared" si="6"/>
        <v>0.73152054438398784</v>
      </c>
      <c r="I25" s="31">
        <f t="shared" si="6"/>
        <v>0.74073185312418433</v>
      </c>
      <c r="J25" s="31">
        <f t="shared" si="6"/>
        <v>0.75016107197926685</v>
      </c>
      <c r="K25" s="31">
        <f t="shared" si="6"/>
        <v>0.75554455233929174</v>
      </c>
      <c r="L25" s="31">
        <f t="shared" si="6"/>
        <v>0.75561455286773571</v>
      </c>
      <c r="M25" s="31">
        <f t="shared" si="6"/>
        <v>0.7638773716461531</v>
      </c>
      <c r="N25" s="31">
        <f t="shared" si="6"/>
        <v>0.76810254958979585</v>
      </c>
      <c r="O25" s="31">
        <f t="shared" si="6"/>
        <v>0.77330981999760151</v>
      </c>
      <c r="P25" s="31">
        <f t="shared" si="6"/>
        <v>0.76882343925615615</v>
      </c>
      <c r="Q25" s="31">
        <f t="shared" si="6"/>
        <v>0.76689945309213292</v>
      </c>
      <c r="R25" s="31">
        <f t="shared" si="6"/>
        <v>0.76160894548842994</v>
      </c>
      <c r="S25" s="31">
        <f t="shared" si="6"/>
        <v>0.75419760924225854</v>
      </c>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row>
    <row r="26" spans="1:89" ht="16.5" customHeight="1" x14ac:dyDescent="0.25">
      <c r="A26" s="4"/>
      <c r="B26" s="28" t="s">
        <v>49</v>
      </c>
      <c r="C26" s="31">
        <f t="shared" ref="C26:S26" si="7">C8/C5</f>
        <v>0.2873216726839356</v>
      </c>
      <c r="D26" s="31">
        <f t="shared" si="7"/>
        <v>0.27257805019443343</v>
      </c>
      <c r="E26" s="31">
        <f t="shared" si="7"/>
        <v>0.29428739693757361</v>
      </c>
      <c r="F26" s="31">
        <f t="shared" si="7"/>
        <v>0.29265665114135198</v>
      </c>
      <c r="G26" s="31">
        <f t="shared" si="7"/>
        <v>0.29544831636648394</v>
      </c>
      <c r="H26" s="31">
        <f t="shared" si="7"/>
        <v>0.29175351300072516</v>
      </c>
      <c r="I26" s="31">
        <f t="shared" si="7"/>
        <v>0.25604755529734691</v>
      </c>
      <c r="J26" s="31">
        <f t="shared" si="7"/>
        <v>0.26577238538552322</v>
      </c>
      <c r="K26" s="31">
        <f t="shared" si="7"/>
        <v>0.25994385984910551</v>
      </c>
      <c r="L26" s="31">
        <f t="shared" si="7"/>
        <v>0.25474846936396162</v>
      </c>
      <c r="M26" s="31">
        <f t="shared" si="7"/>
        <v>0.23911348806296023</v>
      </c>
      <c r="N26" s="31">
        <f t="shared" si="7"/>
        <v>0.21160526840143112</v>
      </c>
      <c r="O26" s="31">
        <f t="shared" si="7"/>
        <v>0.22688915297478221</v>
      </c>
      <c r="P26" s="31">
        <f t="shared" si="7"/>
        <v>0.21868805558393786</v>
      </c>
      <c r="Q26" s="31">
        <f t="shared" si="7"/>
        <v>0.20726966764829616</v>
      </c>
      <c r="R26" s="31">
        <f t="shared" si="7"/>
        <v>0.20148056116374174</v>
      </c>
      <c r="S26" s="31">
        <f t="shared" si="7"/>
        <v>0.20375529399971598</v>
      </c>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row>
    <row r="27" spans="1:89" ht="15.75" customHeight="1" x14ac:dyDescent="0.25">
      <c r="A27" s="4"/>
      <c r="B27" s="28" t="s">
        <v>50</v>
      </c>
      <c r="C27" s="31">
        <f t="shared" ref="C27:S27" si="8">C9/C5</f>
        <v>0.61305338427564926</v>
      </c>
      <c r="D27" s="31">
        <f t="shared" si="8"/>
        <v>0.59822958123538494</v>
      </c>
      <c r="E27" s="31">
        <f t="shared" si="8"/>
        <v>0.55392226148409884</v>
      </c>
      <c r="F27" s="31">
        <f t="shared" si="8"/>
        <v>0.51855802162110043</v>
      </c>
      <c r="G27" s="31">
        <f t="shared" si="8"/>
        <v>0.5821994909945184</v>
      </c>
      <c r="H27" s="31">
        <f t="shared" si="8"/>
        <v>0.53776162220590451</v>
      </c>
      <c r="I27" s="31">
        <f t="shared" si="8"/>
        <v>0.49163488174324521</v>
      </c>
      <c r="J27" s="31">
        <f t="shared" si="8"/>
        <v>0.48142785785126357</v>
      </c>
      <c r="K27" s="31">
        <f t="shared" si="8"/>
        <v>0.52519894844082848</v>
      </c>
      <c r="L27" s="31">
        <f t="shared" si="8"/>
        <v>0.50463687783559064</v>
      </c>
      <c r="M27" s="31">
        <f t="shared" si="8"/>
        <v>0.46606787357017959</v>
      </c>
      <c r="N27" s="31">
        <f t="shared" si="8"/>
        <v>0.44082289172978795</v>
      </c>
      <c r="O27" s="31">
        <f t="shared" si="8"/>
        <v>0.45082369359252517</v>
      </c>
      <c r="P27" s="31">
        <f t="shared" si="8"/>
        <v>0.44467916624093184</v>
      </c>
      <c r="Q27" s="31">
        <f t="shared" si="8"/>
        <v>0.40481278923012198</v>
      </c>
      <c r="R27" s="31">
        <f t="shared" si="8"/>
        <v>0.39592294239586218</v>
      </c>
      <c r="S27" s="31">
        <f t="shared" si="8"/>
        <v>0.42519693261270897</v>
      </c>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row>
    <row r="28" spans="1:89" ht="15.75" customHeight="1" x14ac:dyDescent="0.25">
      <c r="A28" s="4"/>
      <c r="B28" s="28" t="s">
        <v>51</v>
      </c>
      <c r="C28" s="31">
        <f t="shared" ref="C28:S28" si="9">C10/C5</f>
        <v>0.30664937432086642</v>
      </c>
      <c r="D28" s="31">
        <f t="shared" si="9"/>
        <v>0.26939937338379266</v>
      </c>
      <c r="E28" s="31">
        <f t="shared" si="9"/>
        <v>0.24733215547703177</v>
      </c>
      <c r="F28" s="31">
        <f t="shared" si="9"/>
        <v>0.23414997561328574</v>
      </c>
      <c r="G28" s="31">
        <f t="shared" si="9"/>
        <v>0.21175606891151136</v>
      </c>
      <c r="H28" s="31">
        <f t="shared" si="9"/>
        <v>0.22014348458658103</v>
      </c>
      <c r="I28" s="31">
        <f t="shared" si="9"/>
        <v>0.20356664730101795</v>
      </c>
      <c r="J28" s="31">
        <f t="shared" si="9"/>
        <v>0.19963876441503731</v>
      </c>
      <c r="K28" s="31">
        <f t="shared" si="9"/>
        <v>0.20549575030456746</v>
      </c>
      <c r="L28" s="31">
        <f t="shared" si="9"/>
        <v>0.19007868035522749</v>
      </c>
      <c r="M28" s="31">
        <f t="shared" si="9"/>
        <v>0.19460775635829441</v>
      </c>
      <c r="N28" s="31">
        <f t="shared" si="9"/>
        <v>0.16517610911054573</v>
      </c>
      <c r="O28" s="31">
        <f t="shared" si="9"/>
        <v>0.18623870215108862</v>
      </c>
      <c r="P28" s="31">
        <f t="shared" si="9"/>
        <v>0.17345202820067437</v>
      </c>
      <c r="Q28" s="31">
        <f t="shared" si="9"/>
        <v>0.15895426407837007</v>
      </c>
      <c r="R28" s="31">
        <f t="shared" si="9"/>
        <v>0.14391693732261066</v>
      </c>
      <c r="S28" s="31">
        <f t="shared" si="9"/>
        <v>0.11021961223279397</v>
      </c>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row>
    <row r="29" spans="1:89" ht="15.75" customHeight="1" x14ac:dyDescent="0.25">
      <c r="A29" s="4"/>
      <c r="B29" s="28" t="s">
        <v>52</v>
      </c>
      <c r="C29" s="31">
        <f t="shared" ref="C29:S29" si="10">IFERROR(C17/C16,"n/a")</f>
        <v>-1.0289617875186794E-2</v>
      </c>
      <c r="D29" s="31">
        <f t="shared" si="10"/>
        <v>-6.2265531358478223E-4</v>
      </c>
      <c r="E29" s="31">
        <f t="shared" si="10"/>
        <v>-1.195928313429998E-2</v>
      </c>
      <c r="F29" s="31">
        <f t="shared" si="10"/>
        <v>-4.1425407064858255E-2</v>
      </c>
      <c r="G29" s="31">
        <f t="shared" si="10"/>
        <v>-1.385049828923187E-2</v>
      </c>
      <c r="H29" s="31">
        <f t="shared" si="10"/>
        <v>-7.2899519602244106E-3</v>
      </c>
      <c r="I29" s="31">
        <f t="shared" si="10"/>
        <v>-3.1285113133137964E-3</v>
      </c>
      <c r="J29" s="31">
        <f t="shared" si="10"/>
        <v>-1.6497655360393063E-2</v>
      </c>
      <c r="K29" s="31">
        <f t="shared" si="10"/>
        <v>-6.7247330674440635E-3</v>
      </c>
      <c r="L29" s="31">
        <f t="shared" si="10"/>
        <v>-2.1454455608631191E-2</v>
      </c>
      <c r="M29" s="31">
        <f t="shared" si="10"/>
        <v>-1.321255326561788E-2</v>
      </c>
      <c r="N29" s="31">
        <f t="shared" si="10"/>
        <v>-0.29957071586030848</v>
      </c>
      <c r="O29" s="31">
        <f t="shared" si="10"/>
        <v>-7.7391389051237103E-2</v>
      </c>
      <c r="P29" s="31">
        <f t="shared" si="10"/>
        <v>-0.10577239518199191</v>
      </c>
      <c r="Q29" s="31">
        <f t="shared" si="10"/>
        <v>0.14612424409015856</v>
      </c>
      <c r="R29" s="31">
        <f t="shared" si="10"/>
        <v>0.19970215393556348</v>
      </c>
      <c r="S29" s="31">
        <f t="shared" si="10"/>
        <v>9.031822919860201E-2</v>
      </c>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row>
    <row r="30" spans="1:89" ht="15.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row>
    <row r="31" spans="1:89" ht="15.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row>
    <row r="32" spans="1:89" ht="15.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row>
    <row r="33" spans="1:89" ht="15.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row>
    <row r="34" spans="1:89" ht="15.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row>
    <row r="35" spans="1:89" ht="15.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row>
    <row r="36" spans="1:89" ht="15.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row>
    <row r="37" spans="1:89"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row>
    <row r="38" spans="1:89" ht="16.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row>
    <row r="39" spans="1:89" ht="15.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row>
    <row r="40" spans="1:89"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row>
    <row r="41" spans="1:89"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row>
    <row r="42" spans="1:89" ht="15.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row>
    <row r="43" spans="1:89" ht="15.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row>
    <row r="44" spans="1:89" ht="15.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row>
    <row r="45" spans="1:89" ht="15.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row>
    <row r="46" spans="1:89" ht="15.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row>
    <row r="47" spans="1:89" ht="15.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row>
    <row r="48" spans="1:89" ht="15.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row>
    <row r="49" spans="1:89"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row>
    <row r="50" spans="1:89" ht="16.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row>
    <row r="51" spans="1:89" ht="1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row>
    <row r="52" spans="1:89" ht="15" hidden="1"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row>
    <row r="53" spans="1:89" ht="15" hidden="1"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row>
    <row r="54" spans="1:89" ht="15" hidden="1"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row>
    <row r="55" spans="1:89" ht="15" hidden="1"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row>
    <row r="56" spans="1:89" ht="15" hidden="1"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row>
    <row r="57" spans="1:89" ht="15" hidden="1"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row>
    <row r="58" spans="1:89" ht="15" hidden="1"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row>
    <row r="59" spans="1:89" ht="15" hidden="1"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row>
    <row r="60" spans="1:89" ht="15" hidden="1"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row>
    <row r="61" spans="1:89"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row>
    <row r="62" spans="1:89" ht="15.75" hidden="1"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row>
    <row r="63" spans="1:89" ht="15.75" hidden="1"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row>
    <row r="64" spans="1:89" ht="15.75" hidden="1"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row>
    <row r="65" spans="1:89" ht="15.75" hidden="1"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row>
    <row r="66" spans="1:89" ht="15.75" hidden="1"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row>
    <row r="67" spans="1:89" ht="15.75" hidden="1"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row>
    <row r="68" spans="1:89" ht="15.75" hidden="1"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row>
    <row r="69" spans="1:89"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row>
    <row r="70" spans="1:89" ht="15.75" hidden="1"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row>
    <row r="71" spans="1:89" ht="15.75" hidden="1"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row>
    <row r="72" spans="1:89" ht="15.75" hidden="1"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row>
    <row r="73" spans="1:89" ht="15.75" hidden="1"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row>
    <row r="74" spans="1:89"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row>
    <row r="75" spans="1:89" ht="15.75" hidden="1"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row>
    <row r="76" spans="1:89" ht="15.75" hidden="1"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row>
    <row r="77" spans="1:89"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row>
    <row r="78" spans="1:89"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row>
    <row r="79" spans="1:89"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row>
    <row r="80" spans="1:89"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row>
    <row r="81" spans="1:89"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row>
    <row r="82" spans="1:89"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row>
    <row r="83" spans="1:89"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row>
    <row r="84" spans="1:89"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row>
    <row r="85" spans="1:89"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row>
    <row r="86" spans="1:89"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row>
    <row r="87" spans="1:89"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row>
    <row r="88" spans="1:89"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row>
    <row r="89" spans="1:89"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row>
    <row r="90" spans="1:89"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row>
    <row r="91" spans="1:89"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row>
    <row r="92" spans="1:89" ht="16.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row>
    <row r="93" spans="1:89"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row>
    <row r="94" spans="1:89"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row>
    <row r="95" spans="1:89"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row>
    <row r="96" spans="1:89"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row>
    <row r="97" spans="1:89"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row>
    <row r="98" spans="1:89"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row>
    <row r="99" spans="1:89"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row>
    <row r="100" spans="1:89"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row>
    <row r="101" spans="1:89"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row>
    <row r="102" spans="1:89"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row>
    <row r="103" spans="1:89"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row>
    <row r="104" spans="1:89"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row>
    <row r="105" spans="1:89"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row>
    <row r="106" spans="1:89"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row>
    <row r="107" spans="1:89"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row>
    <row r="108" spans="1:89"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row>
    <row r="109" spans="1:89"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row>
    <row r="110" spans="1:89"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row>
    <row r="111" spans="1:89"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row>
    <row r="112" spans="1:89"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row>
    <row r="113" spans="1:89"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row>
    <row r="114" spans="1:89"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row>
    <row r="115" spans="1:89"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row>
    <row r="116" spans="1:89"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row>
    <row r="117" spans="1:89"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row>
    <row r="118" spans="1:89"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row>
    <row r="119" spans="1:89"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row>
    <row r="120" spans="1:89"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row>
    <row r="121" spans="1:89"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row>
    <row r="122" spans="1:89" ht="16.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row>
    <row r="123" spans="1:89"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row>
    <row r="124" spans="1:89"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row>
    <row r="125" spans="1:89"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row>
    <row r="126" spans="1:89"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row>
    <row r="127" spans="1:89"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row>
    <row r="128" spans="1:89"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row>
    <row r="129" spans="1:89"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row>
    <row r="130" spans="1:89"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row>
    <row r="131" spans="1:89"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row>
    <row r="132" spans="1:89"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row>
    <row r="133" spans="1:89"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row>
    <row r="134" spans="1:89"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row>
    <row r="135" spans="1:89"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row>
    <row r="136" spans="1:89"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row>
    <row r="137" spans="1:89"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row>
    <row r="138" spans="1:89"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row>
    <row r="139" spans="1:89"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row>
    <row r="140" spans="1:89"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row>
    <row r="141" spans="1:89"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row>
    <row r="142" spans="1:89"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row>
    <row r="143" spans="1:89"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row>
    <row r="144" spans="1:89"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row>
    <row r="145" spans="1:89"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row>
    <row r="146" spans="1:89"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row>
    <row r="147" spans="1:89"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row>
    <row r="148" spans="1:89"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row>
    <row r="149" spans="1:89"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row>
    <row r="150" spans="1:89"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row>
    <row r="151" spans="1:89"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row>
    <row r="152" spans="1:89"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row>
    <row r="153" spans="1:89"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row>
    <row r="154" spans="1:89"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row>
    <row r="155" spans="1:89"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row>
    <row r="156" spans="1:89"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row>
    <row r="157" spans="1:89"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row>
    <row r="158" spans="1:89"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row>
    <row r="159" spans="1:89"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row>
    <row r="160" spans="1:89"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row>
    <row r="161" spans="1:89"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row>
    <row r="162" spans="1:89"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row>
    <row r="163" spans="1:89"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row>
    <row r="164" spans="1:89"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row>
    <row r="165" spans="1:89"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row>
    <row r="166" spans="1:89"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row>
    <row r="167" spans="1:89"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row>
    <row r="168" spans="1:89"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row>
    <row r="169" spans="1:89"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row>
    <row r="170" spans="1:89"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row>
    <row r="171" spans="1:89"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row>
    <row r="172" spans="1:89"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row>
    <row r="173" spans="1:89"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row>
    <row r="174" spans="1:89"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row>
    <row r="175" spans="1:89"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row>
    <row r="176" spans="1:89"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row>
    <row r="177" spans="1:89"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row>
    <row r="178" spans="1:89"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row>
    <row r="179" spans="1:89"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row>
    <row r="180" spans="1:89"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row>
    <row r="181" spans="1:89"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row>
    <row r="182" spans="1:89"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row>
    <row r="183" spans="1:89"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row>
    <row r="184" spans="1:89"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row>
    <row r="185" spans="1:89"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row>
    <row r="186" spans="1:89"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row>
    <row r="187" spans="1:89"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row>
    <row r="188" spans="1:89"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row>
    <row r="189" spans="1:89"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row>
    <row r="190" spans="1:89"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row>
    <row r="191" spans="1:89"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row>
    <row r="192" spans="1:89"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row>
    <row r="193" spans="1:89"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row>
    <row r="194" spans="1:89"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row>
    <row r="195" spans="1:89"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row>
    <row r="196" spans="1:89"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row>
    <row r="197" spans="1:89"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row>
    <row r="198" spans="1:89"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row>
    <row r="199" spans="1:89"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row>
    <row r="200" spans="1:89"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row>
    <row r="201" spans="1:89"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row>
    <row r="202" spans="1:89"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row>
    <row r="203" spans="1:89"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row>
    <row r="204" spans="1:89"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row>
    <row r="205" spans="1:89"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row>
    <row r="206" spans="1:89"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row>
    <row r="207" spans="1:89"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row>
    <row r="208" spans="1:89"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row>
    <row r="209" spans="1:89"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row>
    <row r="210" spans="1:89"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row>
    <row r="211" spans="1:89"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row>
    <row r="212" spans="1:89"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row>
    <row r="213" spans="1:89"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row>
    <row r="214" spans="1:89"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row>
    <row r="215" spans="1:89"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row>
    <row r="216" spans="1:89"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row>
    <row r="217" spans="1:89"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row>
    <row r="218" spans="1:89"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row>
    <row r="219" spans="1:89"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row>
    <row r="220" spans="1:89"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row>
    <row r="221" spans="1:89"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row>
    <row r="222" spans="1:89"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row>
    <row r="223" spans="1:89"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row>
    <row r="224" spans="1:89"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row>
    <row r="225" spans="1:89"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row>
    <row r="226" spans="1:89"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row>
    <row r="227" spans="1:89"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row>
    <row r="228" spans="1:89"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row>
    <row r="229" spans="1:89"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row>
    <row r="230" spans="1:89"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row>
    <row r="231" spans="1:89"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8"/>
  <sheetViews>
    <sheetView zoomScaleNormal="100" workbookViewId="0">
      <selection activeCell="I30" sqref="I30"/>
    </sheetView>
  </sheetViews>
  <sheetFormatPr defaultColWidth="8.875" defaultRowHeight="15.75" x14ac:dyDescent="0.25"/>
  <cols>
    <col min="1" max="1" width="1.625" style="3" customWidth="1"/>
    <col min="2" max="2" width="46" style="3" customWidth="1"/>
    <col min="3" max="18" width="11" style="3" customWidth="1"/>
  </cols>
  <sheetData>
    <row r="1" spans="1:18" ht="9" customHeight="1" x14ac:dyDescent="0.25">
      <c r="A1" s="4"/>
      <c r="B1" s="4"/>
      <c r="C1" s="4"/>
      <c r="D1" s="4"/>
      <c r="E1" s="4"/>
      <c r="F1" s="4"/>
      <c r="G1" s="4"/>
      <c r="H1" s="4"/>
      <c r="I1" s="4"/>
      <c r="J1" s="4"/>
      <c r="K1" s="4"/>
      <c r="L1" s="4"/>
    </row>
    <row r="2" spans="1:18" ht="16.5" customHeight="1" x14ac:dyDescent="0.25">
      <c r="A2" s="4"/>
      <c r="B2" s="16" t="s">
        <v>53</v>
      </c>
      <c r="C2" s="16" t="s">
        <v>54</v>
      </c>
      <c r="D2" s="16" t="s">
        <v>55</v>
      </c>
      <c r="E2" s="16" t="s">
        <v>56</v>
      </c>
      <c r="F2" s="16" t="s">
        <v>57</v>
      </c>
      <c r="G2" s="16" t="s">
        <v>58</v>
      </c>
      <c r="H2" s="32" t="s">
        <v>59</v>
      </c>
      <c r="I2" s="16" t="s">
        <v>60</v>
      </c>
      <c r="J2" s="16" t="s">
        <v>61</v>
      </c>
      <c r="K2" s="16" t="s">
        <v>62</v>
      </c>
      <c r="L2" s="16" t="s">
        <v>63</v>
      </c>
      <c r="M2" s="16" t="s">
        <v>64</v>
      </c>
      <c r="N2" s="16" t="s">
        <v>65</v>
      </c>
      <c r="O2" s="16" t="s">
        <v>66</v>
      </c>
      <c r="P2" s="16" t="s">
        <v>67</v>
      </c>
      <c r="Q2" s="16" t="s">
        <v>68</v>
      </c>
      <c r="R2" s="16" t="s">
        <v>69</v>
      </c>
    </row>
    <row r="3" spans="1:18" ht="16.5" customHeight="1" x14ac:dyDescent="0.25">
      <c r="A3" s="4"/>
      <c r="B3" s="28" t="s">
        <v>70</v>
      </c>
      <c r="C3" s="14"/>
      <c r="D3" s="33">
        <f>(D12-C12)/C12</f>
        <v>0.71403133190612444</v>
      </c>
      <c r="E3" s="33">
        <f>(E12-D12)/D12</f>
        <v>0.52340986821370605</v>
      </c>
      <c r="F3" s="33">
        <f>(F12-E12)/E12</f>
        <v>0.43650629458504786</v>
      </c>
      <c r="G3" s="33">
        <f>(G12-F12)/F12</f>
        <v>0.33264347093243446</v>
      </c>
      <c r="H3" s="34">
        <f>(H12-G12)/G12</f>
        <v>0.29573326929234717</v>
      </c>
      <c r="I3" s="35">
        <v>0.25</v>
      </c>
      <c r="J3" s="35">
        <v>0.25</v>
      </c>
      <c r="K3" s="35">
        <v>0.25</v>
      </c>
      <c r="L3" s="35">
        <v>0.2</v>
      </c>
      <c r="M3" s="36">
        <v>0.2</v>
      </c>
      <c r="N3" s="36">
        <v>0.16</v>
      </c>
      <c r="O3" s="36">
        <v>0.13</v>
      </c>
      <c r="P3" s="36">
        <v>0.1</v>
      </c>
      <c r="Q3" s="36">
        <v>7.0000000000000007E-2</v>
      </c>
      <c r="R3" s="36">
        <v>0.05</v>
      </c>
    </row>
    <row r="4" spans="1:18" ht="16.5" customHeight="1" x14ac:dyDescent="0.25">
      <c r="A4" s="4"/>
      <c r="B4" s="28" t="s">
        <v>48</v>
      </c>
      <c r="C4" s="33">
        <f t="shared" ref="C4:H4" si="0">C14/C12</f>
        <v>0.69831335907644909</v>
      </c>
      <c r="D4" s="33">
        <f t="shared" si="0"/>
        <v>0.70938379110296612</v>
      </c>
      <c r="E4" s="33">
        <f t="shared" si="0"/>
        <v>0.72008673731313544</v>
      </c>
      <c r="F4" s="33">
        <f t="shared" si="0"/>
        <v>0.73646687326978777</v>
      </c>
      <c r="G4" s="33">
        <f t="shared" si="0"/>
        <v>0.76119036183157218</v>
      </c>
      <c r="H4" s="34">
        <f t="shared" si="0"/>
        <v>0.76736561165924277</v>
      </c>
      <c r="I4" s="35">
        <v>0.76749999999999996</v>
      </c>
      <c r="J4" s="36">
        <f t="shared" ref="J4:R4" si="1">I4</f>
        <v>0.76749999999999996</v>
      </c>
      <c r="K4" s="36">
        <f t="shared" si="1"/>
        <v>0.76749999999999996</v>
      </c>
      <c r="L4" s="36">
        <f t="shared" si="1"/>
        <v>0.76749999999999996</v>
      </c>
      <c r="M4" s="36">
        <f t="shared" si="1"/>
        <v>0.76749999999999996</v>
      </c>
      <c r="N4" s="36">
        <f t="shared" si="1"/>
        <v>0.76749999999999996</v>
      </c>
      <c r="O4" s="36">
        <f t="shared" si="1"/>
        <v>0.76749999999999996</v>
      </c>
      <c r="P4" s="36">
        <f t="shared" si="1"/>
        <v>0.76749999999999996</v>
      </c>
      <c r="Q4" s="36">
        <f t="shared" si="1"/>
        <v>0.76749999999999996</v>
      </c>
      <c r="R4" s="36">
        <f t="shared" si="1"/>
        <v>0.76749999999999996</v>
      </c>
    </row>
    <row r="5" spans="1:18" ht="15.75" customHeight="1" x14ac:dyDescent="0.25">
      <c r="A5" s="4"/>
      <c r="B5" s="28" t="s">
        <v>49</v>
      </c>
      <c r="C5" s="31">
        <f t="shared" ref="C5:H5" si="2">C15/C12</f>
        <v>0.39910365939056841</v>
      </c>
      <c r="D5" s="33">
        <f t="shared" si="2"/>
        <v>0.47887800721381124</v>
      </c>
      <c r="E5" s="33">
        <f t="shared" si="2"/>
        <v>0.28719092169888671</v>
      </c>
      <c r="F5" s="33">
        <f t="shared" si="2"/>
        <v>0.27585357137142158</v>
      </c>
      <c r="G5" s="33">
        <f t="shared" si="2"/>
        <v>0.23992635286583414</v>
      </c>
      <c r="H5" s="34">
        <f t="shared" si="2"/>
        <v>0.21288929526822062</v>
      </c>
      <c r="I5" s="35">
        <v>0.2</v>
      </c>
      <c r="J5" s="36">
        <f>I5</f>
        <v>0.2</v>
      </c>
      <c r="K5" s="36">
        <f>J5</f>
        <v>0.2</v>
      </c>
      <c r="L5" s="36">
        <f>K5</f>
        <v>0.2</v>
      </c>
      <c r="M5" s="36">
        <f>L5</f>
        <v>0.2</v>
      </c>
      <c r="N5" s="36">
        <v>0.19</v>
      </c>
      <c r="O5" s="36">
        <v>0.185</v>
      </c>
      <c r="P5" s="36">
        <v>0.18</v>
      </c>
      <c r="Q5" s="36">
        <v>0.17499999999999999</v>
      </c>
      <c r="R5" s="36">
        <v>0.17</v>
      </c>
    </row>
    <row r="6" spans="1:18" ht="15.75" customHeight="1" x14ac:dyDescent="0.25">
      <c r="A6" s="4"/>
      <c r="B6" s="28" t="s">
        <v>50</v>
      </c>
      <c r="C6" s="31">
        <f t="shared" ref="C6:H6" si="3">C16/C12</f>
        <v>0.80935555511094215</v>
      </c>
      <c r="D6" s="33">
        <f t="shared" si="3"/>
        <v>0.67984685242036202</v>
      </c>
      <c r="E6" s="33">
        <f t="shared" si="3"/>
        <v>0.56716088545617549</v>
      </c>
      <c r="F6" s="33">
        <f t="shared" si="3"/>
        <v>0.51915594979650836</v>
      </c>
      <c r="G6" s="33">
        <f t="shared" si="3"/>
        <v>0.4816266410502722</v>
      </c>
      <c r="H6" s="34">
        <f t="shared" si="3"/>
        <v>0.42244367149997214</v>
      </c>
      <c r="I6" s="35">
        <v>0.4</v>
      </c>
      <c r="J6" s="36">
        <v>0.35</v>
      </c>
      <c r="K6" s="36">
        <v>0.3</v>
      </c>
      <c r="L6" s="36">
        <f>K6</f>
        <v>0.3</v>
      </c>
      <c r="M6" s="36">
        <f>L6</f>
        <v>0.3</v>
      </c>
      <c r="N6" s="36">
        <v>0.28000000000000003</v>
      </c>
      <c r="O6" s="36">
        <v>0.27</v>
      </c>
      <c r="P6" s="36">
        <v>0.26</v>
      </c>
      <c r="Q6" s="36">
        <v>0.25</v>
      </c>
      <c r="R6" s="36">
        <v>0.24</v>
      </c>
    </row>
    <row r="7" spans="1:18" ht="15.75" customHeight="1" x14ac:dyDescent="0.25">
      <c r="A7" s="4"/>
      <c r="B7" s="28" t="s">
        <v>51</v>
      </c>
      <c r="C7" s="31">
        <f t="shared" ref="C7:H7" si="4">C17/C12</f>
        <v>0.30100638242532163</v>
      </c>
      <c r="D7" s="31">
        <f t="shared" si="4"/>
        <v>0.37316415506192435</v>
      </c>
      <c r="E7" s="31">
        <f t="shared" si="4"/>
        <v>0.26172141384885333</v>
      </c>
      <c r="F7" s="31">
        <f t="shared" si="4"/>
        <v>0.20807139009051778</v>
      </c>
      <c r="G7" s="31">
        <f t="shared" si="4"/>
        <v>0.18780739673390967</v>
      </c>
      <c r="H7" s="37">
        <f t="shared" si="4"/>
        <v>0.16451752407900508</v>
      </c>
      <c r="I7" s="36">
        <v>0.15</v>
      </c>
      <c r="J7" s="36">
        <v>0.14000000000000001</v>
      </c>
      <c r="K7" s="36">
        <f>J7</f>
        <v>0.14000000000000001</v>
      </c>
      <c r="L7" s="36">
        <v>0.13500000000000001</v>
      </c>
      <c r="M7" s="36">
        <f>L7</f>
        <v>0.13500000000000001</v>
      </c>
      <c r="N7" s="36">
        <v>0.13</v>
      </c>
      <c r="O7" s="36">
        <v>0.125</v>
      </c>
      <c r="P7" s="36">
        <v>0.12</v>
      </c>
      <c r="Q7" s="36">
        <v>0.115</v>
      </c>
      <c r="R7" s="36">
        <v>0.11</v>
      </c>
    </row>
    <row r="8" spans="1:18" ht="15.75" customHeight="1" x14ac:dyDescent="0.25">
      <c r="A8" s="4"/>
      <c r="B8" s="28" t="s">
        <v>52</v>
      </c>
      <c r="C8" s="31" t="str">
        <f t="shared" ref="C8:H8" si="5">IFERROR(IF(OR(C23&lt;=0,C24/C23&gt;1,C24/C23&lt;0),"n/a",C24/C23),"n/a")</f>
        <v>n/a</v>
      </c>
      <c r="D8" s="31" t="str">
        <f t="shared" si="5"/>
        <v>n/a</v>
      </c>
      <c r="E8" s="31" t="str">
        <f t="shared" si="5"/>
        <v>n/a</v>
      </c>
      <c r="F8" s="31" t="str">
        <f t="shared" si="5"/>
        <v>n/a</v>
      </c>
      <c r="G8" s="31" t="str">
        <f t="shared" si="5"/>
        <v>n/a</v>
      </c>
      <c r="H8" s="37" t="str">
        <f t="shared" si="5"/>
        <v>n/a</v>
      </c>
      <c r="I8" s="36">
        <v>0.21</v>
      </c>
      <c r="J8" s="36">
        <f>I8</f>
        <v>0.21</v>
      </c>
      <c r="K8" s="36">
        <f>J8</f>
        <v>0.21</v>
      </c>
      <c r="L8" s="36">
        <f>K8</f>
        <v>0.21</v>
      </c>
      <c r="M8" s="36">
        <f>L8</f>
        <v>0.21</v>
      </c>
      <c r="N8" s="36">
        <f>M8</f>
        <v>0.21</v>
      </c>
      <c r="O8" s="36">
        <f>N8</f>
        <v>0.21</v>
      </c>
      <c r="P8" s="36">
        <f>O8</f>
        <v>0.21</v>
      </c>
      <c r="Q8" s="36">
        <f>P8</f>
        <v>0.21</v>
      </c>
      <c r="R8" s="36">
        <f>Q8</f>
        <v>0.21</v>
      </c>
    </row>
    <row r="9" spans="1:18" ht="15.75" customHeight="1" x14ac:dyDescent="0.25">
      <c r="A9" s="4"/>
      <c r="B9" s="4"/>
      <c r="C9" s="4"/>
      <c r="D9" s="4"/>
      <c r="E9" s="4"/>
      <c r="F9" s="4"/>
      <c r="G9" s="4"/>
      <c r="H9" s="38"/>
      <c r="I9" s="4"/>
      <c r="J9" s="4"/>
      <c r="K9" s="4"/>
      <c r="L9" s="4"/>
    </row>
    <row r="10" spans="1:18" ht="15.75" customHeight="1" x14ac:dyDescent="0.25">
      <c r="A10" s="4"/>
      <c r="B10" s="4"/>
      <c r="C10" s="4"/>
      <c r="D10" s="4"/>
      <c r="E10" s="4"/>
      <c r="F10" s="4"/>
      <c r="G10" s="4"/>
      <c r="H10" s="38"/>
      <c r="I10" s="4"/>
      <c r="J10" s="4"/>
      <c r="K10" s="4"/>
      <c r="L10" s="4"/>
    </row>
    <row r="11" spans="1:18" ht="15.75" customHeight="1" x14ac:dyDescent="0.25">
      <c r="A11" s="4"/>
      <c r="B11" s="16" t="s">
        <v>71</v>
      </c>
      <c r="C11" s="16" t="s">
        <v>54</v>
      </c>
      <c r="D11" s="16" t="s">
        <v>55</v>
      </c>
      <c r="E11" s="16" t="s">
        <v>56</v>
      </c>
      <c r="F11" s="16" t="s">
        <v>57</v>
      </c>
      <c r="G11" s="16" t="s">
        <v>58</v>
      </c>
      <c r="H11" s="32" t="s">
        <v>59</v>
      </c>
      <c r="I11" s="16" t="s">
        <v>60</v>
      </c>
      <c r="J11" s="16" t="s">
        <v>61</v>
      </c>
      <c r="K11" s="16" t="s">
        <v>62</v>
      </c>
      <c r="L11" s="16" t="s">
        <v>63</v>
      </c>
      <c r="M11" s="16" t="s">
        <v>64</v>
      </c>
      <c r="N11" s="16" t="s">
        <v>65</v>
      </c>
      <c r="O11" s="16" t="s">
        <v>66</v>
      </c>
      <c r="P11" s="16" t="s">
        <v>67</v>
      </c>
      <c r="Q11" s="16" t="s">
        <v>68</v>
      </c>
      <c r="R11" s="16" t="s">
        <v>69</v>
      </c>
    </row>
    <row r="12" spans="1:18" ht="15.75" customHeight="1" x14ac:dyDescent="0.25">
      <c r="A12" s="4"/>
      <c r="B12" s="39" t="s">
        <v>30</v>
      </c>
      <c r="C12" s="19">
        <v>249.905</v>
      </c>
      <c r="D12" s="19">
        <v>428.34500000000003</v>
      </c>
      <c r="E12" s="19">
        <f>SUM('10QIS'!C5:F5)</f>
        <v>652.54499999999996</v>
      </c>
      <c r="F12" s="19">
        <f>SUM('10QIS'!G5:J5)</f>
        <v>937.38499999999999</v>
      </c>
      <c r="G12" s="19">
        <f>SUM('10QIS'!K5:N5)</f>
        <v>1249.2</v>
      </c>
      <c r="H12" s="40">
        <f>SUM('10QIS'!O5:R5)</f>
        <v>1618.63</v>
      </c>
      <c r="I12" s="19">
        <f t="shared" ref="I12:R12" si="6">H12*(1+I3)</f>
        <v>2023.2875000000001</v>
      </c>
      <c r="J12" s="19">
        <f t="shared" si="6"/>
        <v>2529.109375</v>
      </c>
      <c r="K12" s="19">
        <f t="shared" si="6"/>
        <v>3161.38671875</v>
      </c>
      <c r="L12" s="19">
        <f t="shared" si="6"/>
        <v>3793.6640625</v>
      </c>
      <c r="M12" s="19">
        <f t="shared" si="6"/>
        <v>4552.3968749999995</v>
      </c>
      <c r="N12" s="19">
        <f t="shared" si="6"/>
        <v>5280.7803749999994</v>
      </c>
      <c r="O12" s="19">
        <f t="shared" si="6"/>
        <v>5967.2818237499987</v>
      </c>
      <c r="P12" s="19">
        <f t="shared" si="6"/>
        <v>6564.0100061249987</v>
      </c>
      <c r="Q12" s="19">
        <f t="shared" si="6"/>
        <v>7023.4907065537491</v>
      </c>
      <c r="R12" s="19">
        <f t="shared" si="6"/>
        <v>7374.6652418814365</v>
      </c>
    </row>
    <row r="13" spans="1:18" ht="16.5" customHeight="1" x14ac:dyDescent="0.25">
      <c r="A13" s="4"/>
      <c r="B13" s="28" t="s">
        <v>31</v>
      </c>
      <c r="C13" s="23">
        <v>75.393000000000001</v>
      </c>
      <c r="D13" s="23">
        <v>124.48399999999999</v>
      </c>
      <c r="E13" s="23">
        <f>SUM('10QIS'!C6:F6)</f>
        <v>182.65600000000001</v>
      </c>
      <c r="F13" s="23">
        <f>SUM('10QIS'!G6:J6)</f>
        <v>247.03200000000004</v>
      </c>
      <c r="G13" s="23">
        <f>SUM('10QIS'!K6:N6)</f>
        <v>298.32100000000003</v>
      </c>
      <c r="H13" s="41">
        <f>SUM('10QIS'!O6:R6)</f>
        <v>376.54899999999998</v>
      </c>
      <c r="I13" s="23">
        <f t="shared" ref="I13:R13" si="7">I12*(1-I4)</f>
        <v>470.41434375000011</v>
      </c>
      <c r="J13" s="23">
        <f t="shared" si="7"/>
        <v>588.0179296875001</v>
      </c>
      <c r="K13" s="23">
        <f t="shared" si="7"/>
        <v>735.02241210937518</v>
      </c>
      <c r="L13" s="23">
        <f t="shared" si="7"/>
        <v>882.02689453125015</v>
      </c>
      <c r="M13" s="23">
        <f t="shared" si="7"/>
        <v>1058.4322734375</v>
      </c>
      <c r="N13" s="23">
        <f t="shared" si="7"/>
        <v>1227.7814371875002</v>
      </c>
      <c r="O13" s="23">
        <f t="shared" si="7"/>
        <v>1387.3930240218749</v>
      </c>
      <c r="P13" s="23">
        <f t="shared" si="7"/>
        <v>1526.1323264240625</v>
      </c>
      <c r="Q13" s="23">
        <f t="shared" si="7"/>
        <v>1632.961589273747</v>
      </c>
      <c r="R13" s="23">
        <f t="shared" si="7"/>
        <v>1714.6096687374343</v>
      </c>
    </row>
    <row r="14" spans="1:18" ht="15.75" customHeight="1" x14ac:dyDescent="0.25">
      <c r="A14" s="4"/>
      <c r="B14" s="42" t="s">
        <v>32</v>
      </c>
      <c r="C14" s="22">
        <f t="shared" ref="C14:R14" si="8">C12-C13</f>
        <v>174.512</v>
      </c>
      <c r="D14" s="22">
        <f t="shared" si="8"/>
        <v>303.86100000000005</v>
      </c>
      <c r="E14" s="22">
        <f t="shared" si="8"/>
        <v>469.88899999999995</v>
      </c>
      <c r="F14" s="22">
        <f t="shared" si="8"/>
        <v>690.35299999999995</v>
      </c>
      <c r="G14" s="22">
        <f t="shared" si="8"/>
        <v>950.87900000000002</v>
      </c>
      <c r="H14" s="43">
        <f t="shared" si="8"/>
        <v>1242.0810000000001</v>
      </c>
      <c r="I14" s="22">
        <f t="shared" si="8"/>
        <v>1552.87315625</v>
      </c>
      <c r="J14" s="22">
        <f t="shared" si="8"/>
        <v>1941.0914453124999</v>
      </c>
      <c r="K14" s="22">
        <f t="shared" si="8"/>
        <v>2426.3643066406248</v>
      </c>
      <c r="L14" s="22">
        <f t="shared" si="8"/>
        <v>2911.63716796875</v>
      </c>
      <c r="M14" s="22">
        <f t="shared" si="8"/>
        <v>3493.9646015624994</v>
      </c>
      <c r="N14" s="22">
        <f t="shared" si="8"/>
        <v>4052.9989378124992</v>
      </c>
      <c r="O14" s="22">
        <f t="shared" si="8"/>
        <v>4579.8887997281236</v>
      </c>
      <c r="P14" s="22">
        <f t="shared" si="8"/>
        <v>5037.8776797009359</v>
      </c>
      <c r="Q14" s="22">
        <f t="shared" si="8"/>
        <v>5390.5291172800025</v>
      </c>
      <c r="R14" s="22">
        <f t="shared" si="8"/>
        <v>5660.0555731440018</v>
      </c>
    </row>
    <row r="15" spans="1:18" ht="15.75" customHeight="1" x14ac:dyDescent="0.25">
      <c r="A15" s="4"/>
      <c r="B15" s="28" t="s">
        <v>33</v>
      </c>
      <c r="C15" s="20">
        <v>99.738</v>
      </c>
      <c r="D15" s="20">
        <v>205.125</v>
      </c>
      <c r="E15" s="20">
        <f>SUM('10QIS'!C8:F8)</f>
        <v>187.405</v>
      </c>
      <c r="F15" s="20">
        <f>SUM('10QIS'!G8:J8)</f>
        <v>258.58100000000002</v>
      </c>
      <c r="G15" s="20">
        <f>SUM('10QIS'!K8:N8)</f>
        <v>299.71600000000001</v>
      </c>
      <c r="H15" s="44">
        <f>SUM('10QIS'!O8:R8)</f>
        <v>344.58899999999994</v>
      </c>
      <c r="I15" s="20">
        <f t="shared" ref="I15:R15" si="9">I12*I5</f>
        <v>404.65750000000003</v>
      </c>
      <c r="J15" s="20">
        <f t="shared" si="9"/>
        <v>505.82187500000003</v>
      </c>
      <c r="K15" s="20">
        <f t="shared" si="9"/>
        <v>632.27734375</v>
      </c>
      <c r="L15" s="20">
        <f t="shared" si="9"/>
        <v>758.73281250000002</v>
      </c>
      <c r="M15" s="20">
        <f t="shared" si="9"/>
        <v>910.47937499999989</v>
      </c>
      <c r="N15" s="20">
        <f t="shared" si="9"/>
        <v>1003.3482712499999</v>
      </c>
      <c r="O15" s="20">
        <f t="shared" si="9"/>
        <v>1103.9471373937497</v>
      </c>
      <c r="P15" s="20">
        <f t="shared" si="9"/>
        <v>1181.5218011024997</v>
      </c>
      <c r="Q15" s="20">
        <f t="shared" si="9"/>
        <v>1229.1108736469059</v>
      </c>
      <c r="R15" s="20">
        <f t="shared" si="9"/>
        <v>1253.6930911198442</v>
      </c>
    </row>
    <row r="16" spans="1:18" ht="15.75" customHeight="1" x14ac:dyDescent="0.25">
      <c r="A16" s="4"/>
      <c r="B16" s="28" t="s">
        <v>34</v>
      </c>
      <c r="C16" s="20">
        <v>202.262</v>
      </c>
      <c r="D16" s="20">
        <v>291.209</v>
      </c>
      <c r="E16" s="20">
        <f>SUM('10QIS'!C9:F9)</f>
        <v>370.09800000000001</v>
      </c>
      <c r="F16" s="20">
        <f>SUM('10QIS'!G9:J9)</f>
        <v>486.649</v>
      </c>
      <c r="G16" s="20">
        <f>SUM('10QIS'!K9:N9)</f>
        <v>601.64800000000002</v>
      </c>
      <c r="H16" s="44">
        <f>SUM('10QIS'!O9:R9)</f>
        <v>683.78</v>
      </c>
      <c r="I16" s="20">
        <f t="shared" ref="I16:R16" si="10">I12*I6</f>
        <v>809.31500000000005</v>
      </c>
      <c r="J16" s="20">
        <f t="shared" si="10"/>
        <v>885.18828124999993</v>
      </c>
      <c r="K16" s="20">
        <f t="shared" si="10"/>
        <v>948.416015625</v>
      </c>
      <c r="L16" s="20">
        <f t="shared" si="10"/>
        <v>1138.0992187499999</v>
      </c>
      <c r="M16" s="20">
        <f t="shared" si="10"/>
        <v>1365.7190624999998</v>
      </c>
      <c r="N16" s="20">
        <f t="shared" si="10"/>
        <v>1478.6185049999999</v>
      </c>
      <c r="O16" s="20">
        <f t="shared" si="10"/>
        <v>1611.1660924124997</v>
      </c>
      <c r="P16" s="20">
        <f t="shared" si="10"/>
        <v>1706.6426015924997</v>
      </c>
      <c r="Q16" s="20">
        <f t="shared" si="10"/>
        <v>1755.8726766384373</v>
      </c>
      <c r="R16" s="20">
        <f t="shared" si="10"/>
        <v>1769.9196580515447</v>
      </c>
    </row>
    <row r="17" spans="1:18" ht="15.75" customHeight="1" x14ac:dyDescent="0.25">
      <c r="A17" s="4"/>
      <c r="B17" s="28" t="s">
        <v>35</v>
      </c>
      <c r="C17" s="20">
        <v>75.222999999999999</v>
      </c>
      <c r="D17" s="20">
        <v>159.84299999999999</v>
      </c>
      <c r="E17" s="20">
        <f>SUM('10QIS'!C10:F10)</f>
        <v>170.785</v>
      </c>
      <c r="F17" s="20">
        <f>SUM('10QIS'!G10:J10)</f>
        <v>195.04300000000001</v>
      </c>
      <c r="G17" s="20">
        <f>SUM('10QIS'!K10:N10)</f>
        <v>234.60899999999998</v>
      </c>
      <c r="H17" s="44">
        <f>SUM('10QIS'!O10:R10)</f>
        <v>266.29300000000001</v>
      </c>
      <c r="I17" s="20">
        <f t="shared" ref="I17:R17" si="11">I12*I7</f>
        <v>303.49312500000002</v>
      </c>
      <c r="J17" s="20">
        <f t="shared" si="11"/>
        <v>354.07531250000005</v>
      </c>
      <c r="K17" s="20">
        <f t="shared" si="11"/>
        <v>442.59414062500002</v>
      </c>
      <c r="L17" s="20">
        <f t="shared" si="11"/>
        <v>512.1446484375</v>
      </c>
      <c r="M17" s="20">
        <f t="shared" si="11"/>
        <v>614.57357812499993</v>
      </c>
      <c r="N17" s="20">
        <f t="shared" si="11"/>
        <v>686.50144874999989</v>
      </c>
      <c r="O17" s="20">
        <f t="shared" si="11"/>
        <v>745.91022796874984</v>
      </c>
      <c r="P17" s="20">
        <f t="shared" si="11"/>
        <v>787.68120073499983</v>
      </c>
      <c r="Q17" s="20">
        <f t="shared" si="11"/>
        <v>807.70143125368122</v>
      </c>
      <c r="R17" s="20">
        <f t="shared" si="11"/>
        <v>811.21317660695797</v>
      </c>
    </row>
    <row r="18" spans="1:18" ht="15.75" customHeight="1" x14ac:dyDescent="0.25">
      <c r="A18" s="4"/>
      <c r="B18" s="28" t="s">
        <v>72</v>
      </c>
      <c r="C18" s="20">
        <v>6.7679999999999998</v>
      </c>
      <c r="D18" s="20">
        <v>1.532</v>
      </c>
      <c r="E18" s="20">
        <f>SUM('10QIS'!C11:F11)</f>
        <v>1.056</v>
      </c>
      <c r="F18" s="20">
        <f>SUM('10QIS'!G11:J11)</f>
        <v>4.7619999999999996</v>
      </c>
      <c r="G18" s="20">
        <f>SUM('10QIS'!K11:N11)</f>
        <v>4.0279999999999996</v>
      </c>
      <c r="H18" s="44">
        <f>SUM('10QIS'!O11:R11)</f>
        <v>0</v>
      </c>
      <c r="I18" s="20">
        <v>0</v>
      </c>
      <c r="J18" s="20">
        <v>0</v>
      </c>
      <c r="K18" s="20">
        <v>0</v>
      </c>
      <c r="L18" s="20">
        <v>0</v>
      </c>
      <c r="M18" s="20">
        <v>0</v>
      </c>
      <c r="N18" s="20">
        <v>0</v>
      </c>
      <c r="O18" s="20">
        <v>0</v>
      </c>
      <c r="P18" s="20">
        <v>0</v>
      </c>
      <c r="Q18" s="20">
        <v>0</v>
      </c>
      <c r="R18" s="20">
        <v>0</v>
      </c>
    </row>
    <row r="19" spans="1:18" ht="15.75" customHeight="1" x14ac:dyDescent="0.25">
      <c r="A19" s="4"/>
      <c r="B19" s="28" t="s">
        <v>37</v>
      </c>
      <c r="C19" s="20">
        <v>0</v>
      </c>
      <c r="D19" s="20">
        <v>0</v>
      </c>
      <c r="E19" s="20">
        <f>SUM('10QIS'!C12:F12)</f>
        <v>0</v>
      </c>
      <c r="F19" s="20">
        <f>SUM('10QIS'!G12:J12)</f>
        <v>68.665000000000006</v>
      </c>
      <c r="G19" s="20">
        <f>SUM('10QIS'!K12:N12)</f>
        <v>0.85</v>
      </c>
      <c r="H19" s="44">
        <f>SUM('10QIS'!O12:R12)</f>
        <v>0</v>
      </c>
      <c r="I19" s="20">
        <v>0</v>
      </c>
      <c r="J19" s="20">
        <v>0</v>
      </c>
      <c r="K19" s="20">
        <v>0</v>
      </c>
      <c r="L19" s="20">
        <v>0</v>
      </c>
      <c r="M19" s="20">
        <v>0</v>
      </c>
      <c r="N19" s="20">
        <v>0</v>
      </c>
      <c r="O19" s="20">
        <v>0</v>
      </c>
      <c r="P19" s="20">
        <v>0</v>
      </c>
      <c r="Q19" s="20">
        <v>0</v>
      </c>
      <c r="R19" s="20">
        <v>0</v>
      </c>
    </row>
    <row r="20" spans="1:18" ht="15.75" customHeight="1" x14ac:dyDescent="0.25">
      <c r="A20" s="4"/>
      <c r="B20" s="28" t="s">
        <v>38</v>
      </c>
      <c r="C20" s="20">
        <f t="shared" ref="C20:R20" si="12">SUM(C15:C19)</f>
        <v>383.99099999999999</v>
      </c>
      <c r="D20" s="20">
        <f t="shared" si="12"/>
        <v>657.70900000000006</v>
      </c>
      <c r="E20" s="20">
        <f t="shared" si="12"/>
        <v>729.34400000000005</v>
      </c>
      <c r="F20" s="20">
        <f t="shared" si="12"/>
        <v>1013.6999999999999</v>
      </c>
      <c r="G20" s="20">
        <f t="shared" si="12"/>
        <v>1140.8509999999999</v>
      </c>
      <c r="H20" s="44">
        <f t="shared" si="12"/>
        <v>1294.6619999999998</v>
      </c>
      <c r="I20" s="20">
        <f t="shared" si="12"/>
        <v>1517.465625</v>
      </c>
      <c r="J20" s="20">
        <f t="shared" si="12"/>
        <v>1745.08546875</v>
      </c>
      <c r="K20" s="20">
        <f t="shared" si="12"/>
        <v>2023.2874999999999</v>
      </c>
      <c r="L20" s="20">
        <f t="shared" si="12"/>
        <v>2408.9766796875001</v>
      </c>
      <c r="M20" s="20">
        <f t="shared" si="12"/>
        <v>2890.7720156249998</v>
      </c>
      <c r="N20" s="20">
        <f t="shared" si="12"/>
        <v>3168.4682249999996</v>
      </c>
      <c r="O20" s="20">
        <f t="shared" si="12"/>
        <v>3461.0234577749993</v>
      </c>
      <c r="P20" s="20">
        <f t="shared" si="12"/>
        <v>3675.8456034299993</v>
      </c>
      <c r="Q20" s="20">
        <f t="shared" si="12"/>
        <v>3792.6849815390242</v>
      </c>
      <c r="R20" s="20">
        <f t="shared" si="12"/>
        <v>3834.8259257783466</v>
      </c>
    </row>
    <row r="21" spans="1:18" ht="15.75" customHeight="1" x14ac:dyDescent="0.25">
      <c r="A21" s="4"/>
      <c r="B21" s="28" t="s">
        <v>73</v>
      </c>
      <c r="C21" s="20">
        <f t="shared" ref="C21:R21" si="13">C14-C20</f>
        <v>-209.47899999999998</v>
      </c>
      <c r="D21" s="20">
        <f t="shared" si="13"/>
        <v>-353.84800000000001</v>
      </c>
      <c r="E21" s="20">
        <f t="shared" si="13"/>
        <v>-259.4550000000001</v>
      </c>
      <c r="F21" s="20">
        <f t="shared" si="13"/>
        <v>-323.34699999999998</v>
      </c>
      <c r="G21" s="20">
        <f t="shared" si="13"/>
        <v>-189.97199999999987</v>
      </c>
      <c r="H21" s="44">
        <f t="shared" si="13"/>
        <v>-52.580999999999676</v>
      </c>
      <c r="I21" s="20">
        <f t="shared" si="13"/>
        <v>35.40753124999992</v>
      </c>
      <c r="J21" s="20">
        <f t="shared" si="13"/>
        <v>196.00597656249988</v>
      </c>
      <c r="K21" s="20">
        <f t="shared" si="13"/>
        <v>403.07680664062491</v>
      </c>
      <c r="L21" s="20">
        <f t="shared" si="13"/>
        <v>502.66048828124985</v>
      </c>
      <c r="M21" s="20">
        <f t="shared" si="13"/>
        <v>603.19258593749964</v>
      </c>
      <c r="N21" s="20">
        <f t="shared" si="13"/>
        <v>884.53071281249959</v>
      </c>
      <c r="O21" s="20">
        <f t="shared" si="13"/>
        <v>1118.8653419531242</v>
      </c>
      <c r="P21" s="20">
        <f t="shared" si="13"/>
        <v>1362.0320762709366</v>
      </c>
      <c r="Q21" s="20">
        <f t="shared" si="13"/>
        <v>1597.8441357409783</v>
      </c>
      <c r="R21" s="20">
        <f t="shared" si="13"/>
        <v>1825.2296473656552</v>
      </c>
    </row>
    <row r="22" spans="1:18" ht="15.75" customHeight="1" x14ac:dyDescent="0.25">
      <c r="A22" s="4"/>
      <c r="B22" s="28" t="s">
        <v>74</v>
      </c>
      <c r="C22" s="20">
        <v>-0.64200000000000002</v>
      </c>
      <c r="D22" s="20">
        <v>-2E-3</v>
      </c>
      <c r="E22" s="20">
        <f>SUM('10QIS'!C15:F15)</f>
        <v>15.620000000000001</v>
      </c>
      <c r="F22" s="20">
        <f>SUM('10QIS'!G15:J15)</f>
        <v>39.963999999999999</v>
      </c>
      <c r="G22" s="20">
        <f>SUM('10QIS'!K15:N15)</f>
        <v>39.558999999999997</v>
      </c>
      <c r="H22" s="44">
        <f>SUM('10QIS'!O15:R15)</f>
        <v>53.481999999999999</v>
      </c>
      <c r="I22" s="20">
        <v>55</v>
      </c>
      <c r="J22" s="20">
        <v>55</v>
      </c>
      <c r="K22" s="20">
        <v>55</v>
      </c>
      <c r="L22" s="20">
        <v>55</v>
      </c>
      <c r="M22" s="20">
        <v>55</v>
      </c>
      <c r="N22" s="20">
        <v>55</v>
      </c>
      <c r="O22" s="20">
        <v>55</v>
      </c>
      <c r="P22" s="20">
        <v>55</v>
      </c>
      <c r="Q22" s="20">
        <v>55</v>
      </c>
      <c r="R22" s="20">
        <v>55</v>
      </c>
    </row>
    <row r="23" spans="1:18" ht="15.75" customHeight="1" x14ac:dyDescent="0.25">
      <c r="A23" s="4"/>
      <c r="B23" s="28" t="s">
        <v>41</v>
      </c>
      <c r="C23" s="20">
        <f t="shared" ref="C23:R23" si="14">C21+C22</f>
        <v>-210.12099999999998</v>
      </c>
      <c r="D23" s="20">
        <f t="shared" si="14"/>
        <v>-353.85</v>
      </c>
      <c r="E23" s="20">
        <f t="shared" si="14"/>
        <v>-243.83500000000009</v>
      </c>
      <c r="F23" s="20">
        <f t="shared" si="14"/>
        <v>-283.38299999999998</v>
      </c>
      <c r="G23" s="20">
        <f t="shared" si="14"/>
        <v>-150.41299999999987</v>
      </c>
      <c r="H23" s="44">
        <f t="shared" si="14"/>
        <v>0.9010000000003231</v>
      </c>
      <c r="I23" s="20">
        <f t="shared" si="14"/>
        <v>90.40753124999992</v>
      </c>
      <c r="J23" s="20">
        <f t="shared" si="14"/>
        <v>251.00597656249988</v>
      </c>
      <c r="K23" s="20">
        <f t="shared" si="14"/>
        <v>458.07680664062491</v>
      </c>
      <c r="L23" s="20">
        <f t="shared" si="14"/>
        <v>557.66048828124985</v>
      </c>
      <c r="M23" s="20">
        <f t="shared" si="14"/>
        <v>658.19258593749964</v>
      </c>
      <c r="N23" s="20">
        <f t="shared" si="14"/>
        <v>939.53071281249959</v>
      </c>
      <c r="O23" s="20">
        <f t="shared" si="14"/>
        <v>1173.8653419531242</v>
      </c>
      <c r="P23" s="20">
        <f t="shared" si="14"/>
        <v>1417.0320762709366</v>
      </c>
      <c r="Q23" s="20">
        <f t="shared" si="14"/>
        <v>1652.8441357409783</v>
      </c>
      <c r="R23" s="20">
        <f t="shared" si="14"/>
        <v>1880.2296473656552</v>
      </c>
    </row>
    <row r="24" spans="1:18" ht="15.75" customHeight="1" x14ac:dyDescent="0.25">
      <c r="A24" s="4"/>
      <c r="B24" s="28" t="s">
        <v>42</v>
      </c>
      <c r="C24" s="20">
        <v>8.6999999999999994E-2</v>
      </c>
      <c r="D24" s="20">
        <v>1.1739999999999999</v>
      </c>
      <c r="E24" s="20">
        <f>SUM('10QIS'!C17:F17)</f>
        <v>3.5870000000000006</v>
      </c>
      <c r="F24" s="20">
        <f>SUM('10QIS'!G17:J17)</f>
        <v>3.343</v>
      </c>
      <c r="G24" s="20">
        <f>SUM('10QIS'!K17:N17)</f>
        <v>4.4930000000000003</v>
      </c>
      <c r="H24" s="44">
        <f>SUM('10QIS'!O17:R17)</f>
        <v>10.023</v>
      </c>
      <c r="I24" s="20">
        <f t="shared" ref="I24:R24" si="15">MAX(I23,0)*I8</f>
        <v>18.985581562499984</v>
      </c>
      <c r="J24" s="20">
        <f t="shared" si="15"/>
        <v>52.711255078124971</v>
      </c>
      <c r="K24" s="20">
        <f t="shared" si="15"/>
        <v>96.196129394531226</v>
      </c>
      <c r="L24" s="20">
        <f t="shared" si="15"/>
        <v>117.10870253906246</v>
      </c>
      <c r="M24" s="20">
        <f t="shared" si="15"/>
        <v>138.22044304687492</v>
      </c>
      <c r="N24" s="20">
        <f t="shared" si="15"/>
        <v>197.30144969062491</v>
      </c>
      <c r="O24" s="20">
        <f t="shared" si="15"/>
        <v>246.51172181015608</v>
      </c>
      <c r="P24" s="20">
        <f t="shared" si="15"/>
        <v>297.57673601689669</v>
      </c>
      <c r="Q24" s="20">
        <f t="shared" si="15"/>
        <v>347.09726850560543</v>
      </c>
      <c r="R24" s="20">
        <f t="shared" si="15"/>
        <v>394.84822594678758</v>
      </c>
    </row>
    <row r="25" spans="1:18" ht="15.75" customHeight="1" x14ac:dyDescent="0.25">
      <c r="A25" s="4"/>
      <c r="B25" s="45" t="s">
        <v>43</v>
      </c>
      <c r="C25" s="46">
        <f t="shared" ref="C25:R25" si="16">C23-C24</f>
        <v>-210.20799999999997</v>
      </c>
      <c r="D25" s="46">
        <f t="shared" si="16"/>
        <v>-355.024</v>
      </c>
      <c r="E25" s="46">
        <f t="shared" si="16"/>
        <v>-247.42200000000008</v>
      </c>
      <c r="F25" s="46">
        <f t="shared" si="16"/>
        <v>-286.726</v>
      </c>
      <c r="G25" s="46">
        <f t="shared" si="16"/>
        <v>-154.90599999999986</v>
      </c>
      <c r="H25" s="47">
        <f t="shared" si="16"/>
        <v>-9.1219999999996766</v>
      </c>
      <c r="I25" s="46">
        <f t="shared" si="16"/>
        <v>71.421949687499932</v>
      </c>
      <c r="J25" s="46">
        <f t="shared" si="16"/>
        <v>198.29472148437492</v>
      </c>
      <c r="K25" s="46">
        <f t="shared" si="16"/>
        <v>361.88067724609368</v>
      </c>
      <c r="L25" s="46">
        <f t="shared" si="16"/>
        <v>440.55178574218741</v>
      </c>
      <c r="M25" s="46">
        <f t="shared" si="16"/>
        <v>519.9721428906247</v>
      </c>
      <c r="N25" s="46">
        <f t="shared" si="16"/>
        <v>742.22926312187474</v>
      </c>
      <c r="O25" s="46">
        <f t="shared" si="16"/>
        <v>927.35362014296811</v>
      </c>
      <c r="P25" s="46">
        <f t="shared" si="16"/>
        <v>1119.45534025404</v>
      </c>
      <c r="Q25" s="46">
        <f t="shared" si="16"/>
        <v>1305.746867235373</v>
      </c>
      <c r="R25" s="46">
        <f t="shared" si="16"/>
        <v>1485.3814214188676</v>
      </c>
    </row>
    <row r="26" spans="1:18" ht="15.75" customHeight="1" x14ac:dyDescent="0.25">
      <c r="A26" s="4"/>
      <c r="B26" s="28" t="s">
        <v>44</v>
      </c>
      <c r="C26" s="26">
        <f t="shared" ref="C26:R26" si="17">C25/(C27/1000)</f>
        <v>-0.87849594646804907</v>
      </c>
      <c r="D26" s="26">
        <f t="shared" si="17"/>
        <v>-1.2791653816277306</v>
      </c>
      <c r="E26" s="26">
        <f t="shared" si="17"/>
        <v>-0.4811043992579675</v>
      </c>
      <c r="F26" s="26">
        <f t="shared" si="17"/>
        <v>-0.53605818791359494</v>
      </c>
      <c r="G26" s="26">
        <f t="shared" si="17"/>
        <v>-0.27844893735490278</v>
      </c>
      <c r="H26" s="48">
        <f t="shared" si="17"/>
        <v>-1.5906308529671943E-2</v>
      </c>
      <c r="I26" s="26">
        <f t="shared" si="17"/>
        <v>0.12454062349486086</v>
      </c>
      <c r="J26" s="26">
        <f t="shared" si="17"/>
        <v>0.34577253011795073</v>
      </c>
      <c r="K26" s="26">
        <f t="shared" si="17"/>
        <v>0.63102233098039939</v>
      </c>
      <c r="L26" s="26">
        <f t="shared" si="17"/>
        <v>0.76820353292188226</v>
      </c>
      <c r="M26" s="26">
        <f t="shared" si="17"/>
        <v>0.90669122250090273</v>
      </c>
      <c r="N26" s="26">
        <f t="shared" si="17"/>
        <v>1.294247715300155</v>
      </c>
      <c r="O26" s="26">
        <f t="shared" si="17"/>
        <v>1.6170546807830268</v>
      </c>
      <c r="P26" s="26">
        <f t="shared" si="17"/>
        <v>1.9520282862607186</v>
      </c>
      <c r="Q26" s="26">
        <f t="shared" si="17"/>
        <v>2.2768704814623071</v>
      </c>
      <c r="R26" s="26">
        <f t="shared" si="17"/>
        <v>2.5901047109550541</v>
      </c>
    </row>
    <row r="27" spans="1:18" ht="15.75" customHeight="1" x14ac:dyDescent="0.25">
      <c r="A27" s="4"/>
      <c r="B27" s="28" t="s">
        <v>75</v>
      </c>
      <c r="C27" s="27">
        <v>239281.696</v>
      </c>
      <c r="D27" s="27">
        <v>277543.47100000002</v>
      </c>
      <c r="E27" s="27">
        <v>514279.23</v>
      </c>
      <c r="F27" s="27">
        <v>534878.50100000005</v>
      </c>
      <c r="G27" s="27">
        <v>556317.43999999994</v>
      </c>
      <c r="H27" s="49">
        <v>573483.15500000003</v>
      </c>
      <c r="I27" s="27">
        <f>H27*(1+DCF!$C$48)</f>
        <v>573483.15500000003</v>
      </c>
      <c r="J27" s="27">
        <f>I27*(1+DCF!$C$48)</f>
        <v>573483.15500000003</v>
      </c>
      <c r="K27" s="27">
        <f>J27*(1+DCF!$C$48)</f>
        <v>573483.15500000003</v>
      </c>
      <c r="L27" s="27">
        <f>K27*(1+DCF!$C$48)</f>
        <v>573483.15500000003</v>
      </c>
      <c r="M27" s="27">
        <f>L27*(1+DCF!$C$48)</f>
        <v>573483.15500000003</v>
      </c>
      <c r="N27" s="27">
        <f>M27*(1+DCF!$C$48)</f>
        <v>573483.15500000003</v>
      </c>
      <c r="O27" s="27">
        <f>N27*(1+DCF!$C$48)</f>
        <v>573483.15500000003</v>
      </c>
      <c r="P27" s="27">
        <f>O27*(1+DCF!$C$48)</f>
        <v>573483.15500000003</v>
      </c>
      <c r="Q27" s="27">
        <f>P27*(1+DCF!$C$48)</f>
        <v>573483.15500000003</v>
      </c>
      <c r="R27" s="27">
        <f>Q27*(1+DCF!$C$48)</f>
        <v>573483.15500000003</v>
      </c>
    </row>
    <row r="28" spans="1:18" ht="15.75" customHeight="1" x14ac:dyDescent="0.25">
      <c r="A28" s="4"/>
      <c r="B28" s="4"/>
      <c r="C28" s="4"/>
      <c r="D28" s="4"/>
      <c r="E28" s="4"/>
      <c r="F28" s="4"/>
      <c r="G28" s="4"/>
      <c r="H28" s="4"/>
      <c r="I28" s="4"/>
      <c r="J28" s="4"/>
      <c r="K28" s="4"/>
      <c r="L28" s="4"/>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8"/>
  <sheetViews>
    <sheetView topLeftCell="A7" zoomScaleNormal="100" workbookViewId="0">
      <selection activeCell="C4" sqref="C4"/>
    </sheetView>
  </sheetViews>
  <sheetFormatPr defaultColWidth="8.875" defaultRowHeight="15.75" x14ac:dyDescent="0.25"/>
  <cols>
    <col min="1" max="1" width="1.375" style="3" customWidth="1"/>
    <col min="2" max="2" width="50" style="3" customWidth="1"/>
    <col min="3" max="18" width="12" style="3" customWidth="1"/>
  </cols>
  <sheetData>
    <row r="1" spans="1:8" ht="12" customHeight="1" x14ac:dyDescent="0.25">
      <c r="A1" s="4"/>
      <c r="B1" s="4"/>
      <c r="C1" s="4"/>
      <c r="D1" s="4"/>
      <c r="E1" s="4"/>
      <c r="F1" s="4"/>
      <c r="G1" s="4"/>
      <c r="H1" s="4"/>
    </row>
    <row r="2" spans="1:8" ht="15.75" customHeight="1" x14ac:dyDescent="0.25">
      <c r="A2" s="4"/>
      <c r="B2" s="16" t="s">
        <v>76</v>
      </c>
      <c r="C2" s="50" t="s">
        <v>77</v>
      </c>
      <c r="D2" s="50" t="s">
        <v>78</v>
      </c>
      <c r="E2" s="50" t="s">
        <v>79</v>
      </c>
      <c r="F2" s="50" t="s">
        <v>80</v>
      </c>
      <c r="G2" s="50" t="s">
        <v>81</v>
      </c>
      <c r="H2" s="50" t="s">
        <v>82</v>
      </c>
    </row>
    <row r="3" spans="1:8" ht="15.75" customHeight="1" x14ac:dyDescent="0.25">
      <c r="A3" s="4"/>
      <c r="B3" s="28" t="s">
        <v>83</v>
      </c>
      <c r="C3" s="20">
        <v>399.887</v>
      </c>
      <c r="D3" s="20">
        <v>921.21799999999996</v>
      </c>
      <c r="E3" s="20">
        <v>200.67</v>
      </c>
      <c r="F3" s="20">
        <v>135.536</v>
      </c>
      <c r="G3" s="20">
        <v>227.57599999999999</v>
      </c>
      <c r="H3" s="20">
        <v>318.78899999999999</v>
      </c>
    </row>
    <row r="4" spans="1:8" ht="15.75" customHeight="1" x14ac:dyDescent="0.25">
      <c r="A4" s="4"/>
      <c r="B4" s="28" t="s">
        <v>84</v>
      </c>
      <c r="C4" s="20">
        <v>0</v>
      </c>
      <c r="D4" s="20">
        <v>0</v>
      </c>
      <c r="E4" s="20">
        <v>489.19200000000001</v>
      </c>
      <c r="F4" s="20">
        <v>412.12599999999998</v>
      </c>
      <c r="G4" s="20">
        <v>467.22199999999998</v>
      </c>
      <c r="H4" s="20">
        <v>515.00300000000004</v>
      </c>
    </row>
    <row r="5" spans="1:8" ht="15.75" customHeight="1" x14ac:dyDescent="0.25">
      <c r="A5" s="4"/>
      <c r="B5" s="28" t="s">
        <v>85</v>
      </c>
      <c r="C5" s="20">
        <v>34.421999999999997</v>
      </c>
      <c r="D5" s="20">
        <v>23.091999999999999</v>
      </c>
      <c r="E5" s="20">
        <v>23.096</v>
      </c>
      <c r="F5" s="20">
        <v>19.202000000000002</v>
      </c>
      <c r="G5" s="20">
        <v>18.218</v>
      </c>
      <c r="H5" s="20">
        <v>6.0540000000000003</v>
      </c>
    </row>
    <row r="6" spans="1:8" ht="15.75" customHeight="1" x14ac:dyDescent="0.25">
      <c r="A6" s="4"/>
      <c r="B6" s="28" t="s">
        <v>86</v>
      </c>
      <c r="C6" s="20">
        <v>42.247999999999998</v>
      </c>
      <c r="D6" s="20">
        <v>81.986999999999995</v>
      </c>
      <c r="E6" s="20">
        <v>122.867</v>
      </c>
      <c r="F6" s="20">
        <v>161.82900000000001</v>
      </c>
      <c r="G6" s="20">
        <v>234.01599999999999</v>
      </c>
      <c r="H6" s="20">
        <v>321.44200000000001</v>
      </c>
    </row>
    <row r="7" spans="1:8" ht="15.75" customHeight="1" x14ac:dyDescent="0.25">
      <c r="A7" s="4"/>
      <c r="B7" s="28" t="s">
        <v>87</v>
      </c>
      <c r="C7" s="20">
        <v>13.673999999999999</v>
      </c>
      <c r="D7" s="20">
        <v>33.067</v>
      </c>
      <c r="E7" s="20">
        <v>40.570999999999998</v>
      </c>
      <c r="F7" s="20">
        <v>22.238</v>
      </c>
      <c r="G7" s="20">
        <v>38.911000000000001</v>
      </c>
      <c r="H7" s="20">
        <v>48.194000000000003</v>
      </c>
    </row>
    <row r="8" spans="1:8" ht="15.75" customHeight="1" x14ac:dyDescent="0.25">
      <c r="A8" s="4"/>
      <c r="B8" s="28" t="s">
        <v>88</v>
      </c>
      <c r="C8" s="20">
        <v>26.059000000000001</v>
      </c>
      <c r="D8" s="20">
        <v>52.518999999999998</v>
      </c>
      <c r="E8" s="20">
        <v>82.046000000000006</v>
      </c>
      <c r="F8" s="20">
        <v>104.008</v>
      </c>
      <c r="G8" s="20">
        <v>119.32299999999999</v>
      </c>
      <c r="H8" s="20">
        <v>142.904</v>
      </c>
    </row>
    <row r="9" spans="1:8" ht="15.75" customHeight="1" x14ac:dyDescent="0.25">
      <c r="A9" s="4"/>
      <c r="B9" s="28" t="s">
        <v>89</v>
      </c>
      <c r="C9" s="20">
        <v>9.3209999999999997</v>
      </c>
      <c r="D9" s="20">
        <v>11.375999999999999</v>
      </c>
      <c r="E9" s="20">
        <v>22.189</v>
      </c>
      <c r="F9" s="20">
        <v>51.220999999999997</v>
      </c>
      <c r="G9" s="20">
        <v>58.106000000000002</v>
      </c>
      <c r="H9" s="20">
        <v>69.269000000000005</v>
      </c>
    </row>
    <row r="10" spans="1:8" ht="15.75" customHeight="1" x14ac:dyDescent="0.25">
      <c r="A10" s="4"/>
      <c r="B10" s="28" t="s">
        <v>90</v>
      </c>
      <c r="C10" s="20">
        <v>0</v>
      </c>
      <c r="D10" s="20">
        <v>0</v>
      </c>
      <c r="E10" s="20">
        <v>0</v>
      </c>
      <c r="F10" s="20">
        <v>0</v>
      </c>
      <c r="G10" s="20">
        <v>0</v>
      </c>
      <c r="H10" s="20">
        <v>85.462999999999994</v>
      </c>
    </row>
    <row r="11" spans="1:8" ht="15.75" customHeight="1" x14ac:dyDescent="0.25">
      <c r="A11" s="4"/>
      <c r="B11" s="42" t="s">
        <v>91</v>
      </c>
      <c r="C11" s="22">
        <f t="shared" ref="C11:H11" si="0">SUM(C3:C10)</f>
        <v>525.61099999999999</v>
      </c>
      <c r="D11" s="22">
        <f t="shared" si="0"/>
        <v>1123.259</v>
      </c>
      <c r="E11" s="22">
        <f t="shared" si="0"/>
        <v>980.63099999999997</v>
      </c>
      <c r="F11" s="22">
        <f t="shared" si="0"/>
        <v>906.16000000000008</v>
      </c>
      <c r="G11" s="22">
        <f t="shared" si="0"/>
        <v>1163.3720000000001</v>
      </c>
      <c r="H11" s="22">
        <f t="shared" si="0"/>
        <v>1507.1179999999999</v>
      </c>
    </row>
    <row r="12" spans="1:8" ht="15.75" customHeight="1" x14ac:dyDescent="0.25">
      <c r="A12" s="4"/>
      <c r="B12" s="28" t="s">
        <v>92</v>
      </c>
      <c r="C12" s="20">
        <v>0</v>
      </c>
      <c r="D12" s="20">
        <v>0</v>
      </c>
      <c r="E12" s="20">
        <v>113.101</v>
      </c>
      <c r="F12" s="20">
        <v>276.166</v>
      </c>
      <c r="G12" s="20">
        <v>282.65199999999999</v>
      </c>
      <c r="H12" s="20">
        <v>403.12299999999999</v>
      </c>
    </row>
    <row r="13" spans="1:8" ht="15.75" customHeight="1" x14ac:dyDescent="0.25">
      <c r="A13" s="4"/>
      <c r="B13" s="28" t="s">
        <v>93</v>
      </c>
      <c r="C13" s="20">
        <v>57.655000000000001</v>
      </c>
      <c r="D13" s="20">
        <v>36.771999999999998</v>
      </c>
      <c r="E13" s="20">
        <v>59.277999999999999</v>
      </c>
      <c r="F13" s="20">
        <v>54.969000000000001</v>
      </c>
      <c r="G13" s="20">
        <v>58.151000000000003</v>
      </c>
      <c r="H13" s="20">
        <v>81.606999999999999</v>
      </c>
    </row>
    <row r="14" spans="1:8" ht="15.75" customHeight="1" x14ac:dyDescent="0.25">
      <c r="A14" s="4"/>
      <c r="B14" s="28" t="s">
        <v>94</v>
      </c>
      <c r="C14" s="20">
        <v>133.12100000000001</v>
      </c>
      <c r="D14" s="20">
        <v>134.42699999999999</v>
      </c>
      <c r="E14" s="20">
        <v>112.624</v>
      </c>
      <c r="F14" s="20">
        <v>81.974000000000004</v>
      </c>
      <c r="G14" s="20">
        <v>64.864000000000004</v>
      </c>
      <c r="H14" s="20">
        <v>60.302999999999997</v>
      </c>
    </row>
    <row r="15" spans="1:8" ht="15.75" customHeight="1" x14ac:dyDescent="0.25">
      <c r="A15" s="4"/>
      <c r="B15" s="28" t="s">
        <v>95</v>
      </c>
      <c r="C15" s="20">
        <v>81.459000000000003</v>
      </c>
      <c r="D15" s="20">
        <v>141.292</v>
      </c>
      <c r="E15" s="20">
        <v>194.852</v>
      </c>
      <c r="F15" s="20">
        <v>230.78200000000001</v>
      </c>
      <c r="G15" s="20">
        <v>242.928</v>
      </c>
      <c r="H15" s="20">
        <v>297.245</v>
      </c>
    </row>
    <row r="16" spans="1:8" ht="15.75" customHeight="1" x14ac:dyDescent="0.25">
      <c r="A16" s="4"/>
      <c r="B16" s="28" t="s">
        <v>96</v>
      </c>
      <c r="C16" s="20">
        <v>86.936999999999998</v>
      </c>
      <c r="D16" s="20">
        <v>117.75700000000001</v>
      </c>
      <c r="E16" s="20">
        <v>140.166</v>
      </c>
      <c r="F16" s="20">
        <v>177.56200000000001</v>
      </c>
      <c r="G16" s="20">
        <v>209.34100000000001</v>
      </c>
      <c r="H16" s="20">
        <v>176.41499999999999</v>
      </c>
    </row>
    <row r="17" spans="1:8" ht="15.75" customHeight="1" x14ac:dyDescent="0.25">
      <c r="A17" s="4"/>
      <c r="B17" s="28" t="s">
        <v>97</v>
      </c>
      <c r="C17" s="20">
        <v>1.85</v>
      </c>
      <c r="D17" s="20">
        <v>14.422000000000001</v>
      </c>
      <c r="E17" s="20">
        <v>16.356000000000002</v>
      </c>
      <c r="F17" s="20">
        <v>7.2320000000000002</v>
      </c>
      <c r="G17" s="20">
        <v>2.9940000000000002</v>
      </c>
      <c r="H17" s="20">
        <v>14.863</v>
      </c>
    </row>
    <row r="18" spans="1:8" ht="15.75" customHeight="1" x14ac:dyDescent="0.25">
      <c r="A18" s="4"/>
      <c r="B18" s="42" t="s">
        <v>98</v>
      </c>
      <c r="C18" s="22">
        <f t="shared" ref="C18:H18" si="1">C11+SUM(C12:C17)</f>
        <v>886.63300000000004</v>
      </c>
      <c r="D18" s="22">
        <f t="shared" si="1"/>
        <v>1567.9290000000001</v>
      </c>
      <c r="E18" s="22">
        <f t="shared" si="1"/>
        <v>1617.0079999999998</v>
      </c>
      <c r="F18" s="22">
        <f t="shared" si="1"/>
        <v>1734.845</v>
      </c>
      <c r="G18" s="22">
        <f t="shared" si="1"/>
        <v>2024.3020000000001</v>
      </c>
      <c r="H18" s="22">
        <f t="shared" si="1"/>
        <v>2540.674</v>
      </c>
    </row>
    <row r="19" spans="1:8" ht="15.75" customHeight="1" x14ac:dyDescent="0.25">
      <c r="A19" s="4"/>
      <c r="B19" s="28"/>
      <c r="C19" s="20"/>
      <c r="D19" s="20"/>
      <c r="E19" s="20"/>
      <c r="F19" s="20"/>
      <c r="G19" s="20"/>
      <c r="H19" s="20"/>
    </row>
    <row r="20" spans="1:8" ht="15.75" customHeight="1" x14ac:dyDescent="0.25">
      <c r="A20" s="4"/>
      <c r="B20" s="28" t="s">
        <v>99</v>
      </c>
      <c r="C20" s="20">
        <v>19.399999999999999</v>
      </c>
      <c r="D20" s="20">
        <v>54.704999999999998</v>
      </c>
      <c r="E20" s="20">
        <v>30.143999999999998</v>
      </c>
      <c r="F20" s="20">
        <v>46.280999999999999</v>
      </c>
      <c r="G20" s="20">
        <v>64.016999999999996</v>
      </c>
      <c r="H20" s="20">
        <v>47.68</v>
      </c>
    </row>
    <row r="21" spans="1:8" ht="15.75" customHeight="1" x14ac:dyDescent="0.25">
      <c r="A21" s="4"/>
      <c r="B21" s="28" t="s">
        <v>100</v>
      </c>
      <c r="C21" s="20">
        <v>14.571</v>
      </c>
      <c r="D21" s="20">
        <v>31.835000000000001</v>
      </c>
      <c r="E21" s="20">
        <v>53.823999999999998</v>
      </c>
      <c r="F21" s="20">
        <v>61.436999999999998</v>
      </c>
      <c r="G21" s="20">
        <v>74.975999999999999</v>
      </c>
      <c r="H21" s="20">
        <v>102.07299999999999</v>
      </c>
    </row>
    <row r="22" spans="1:8" ht="15.75" customHeight="1" x14ac:dyDescent="0.25">
      <c r="A22" s="4"/>
      <c r="B22" s="28" t="s">
        <v>101</v>
      </c>
      <c r="C22" s="20">
        <v>12.548999999999999</v>
      </c>
      <c r="D22" s="20">
        <v>27.106999999999999</v>
      </c>
      <c r="E22" s="20">
        <v>36.03</v>
      </c>
      <c r="F22" s="20">
        <v>37.067999999999998</v>
      </c>
      <c r="G22" s="20">
        <v>43.442999999999998</v>
      </c>
      <c r="H22" s="20">
        <v>75.403000000000006</v>
      </c>
    </row>
    <row r="23" spans="1:8" ht="15.75" customHeight="1" x14ac:dyDescent="0.25">
      <c r="A23" s="4"/>
      <c r="B23" s="28" t="s">
        <v>102</v>
      </c>
      <c r="C23" s="20">
        <v>143.10900000000001</v>
      </c>
      <c r="D23" s="20">
        <v>203.185</v>
      </c>
      <c r="E23" s="20">
        <v>300.113</v>
      </c>
      <c r="F23" s="20">
        <v>426.36900000000003</v>
      </c>
      <c r="G23" s="20">
        <v>563.25400000000002</v>
      </c>
      <c r="H23" s="20">
        <v>679.31600000000003</v>
      </c>
    </row>
    <row r="24" spans="1:8" ht="15.75" customHeight="1" x14ac:dyDescent="0.25">
      <c r="A24" s="4"/>
      <c r="B24" s="28" t="s">
        <v>103</v>
      </c>
      <c r="C24" s="20">
        <v>22.312999999999999</v>
      </c>
      <c r="D24" s="20">
        <v>21.446999999999999</v>
      </c>
      <c r="E24" s="20">
        <v>22.047000000000001</v>
      </c>
      <c r="F24" s="20">
        <v>20.661000000000001</v>
      </c>
      <c r="G24" s="20">
        <v>15.656000000000001</v>
      </c>
      <c r="H24" s="20">
        <v>12.566000000000001</v>
      </c>
    </row>
    <row r="25" spans="1:8" ht="15.75" customHeight="1" x14ac:dyDescent="0.25">
      <c r="A25" s="4"/>
      <c r="B25" s="42" t="s">
        <v>104</v>
      </c>
      <c r="C25" s="22">
        <f t="shared" ref="C25:H25" si="2">SUM(C20:C24)</f>
        <v>211.94200000000001</v>
      </c>
      <c r="D25" s="22">
        <f t="shared" si="2"/>
        <v>338.279</v>
      </c>
      <c r="E25" s="22">
        <f t="shared" si="2"/>
        <v>442.15800000000002</v>
      </c>
      <c r="F25" s="22">
        <f t="shared" si="2"/>
        <v>591.81600000000003</v>
      </c>
      <c r="G25" s="22">
        <f t="shared" si="2"/>
        <v>761.346</v>
      </c>
      <c r="H25" s="22">
        <f t="shared" si="2"/>
        <v>917.03800000000001</v>
      </c>
    </row>
    <row r="26" spans="1:8" ht="15.75" customHeight="1" x14ac:dyDescent="0.25">
      <c r="A26" s="4"/>
      <c r="B26" s="28" t="s">
        <v>105</v>
      </c>
      <c r="C26" s="20">
        <v>106.46299999999999</v>
      </c>
      <c r="D26" s="20">
        <v>110.501</v>
      </c>
      <c r="E26" s="20">
        <v>126.452</v>
      </c>
      <c r="F26" s="20">
        <v>139.11699999999999</v>
      </c>
      <c r="G26" s="20">
        <v>122.51600000000001</v>
      </c>
      <c r="H26" s="20">
        <v>129.726</v>
      </c>
    </row>
    <row r="27" spans="1:8" ht="15.75" customHeight="1" x14ac:dyDescent="0.25">
      <c r="A27" s="4"/>
      <c r="B27" s="28" t="s">
        <v>106</v>
      </c>
      <c r="C27" s="20">
        <v>150.96100000000001</v>
      </c>
      <c r="D27" s="20">
        <v>123.51300000000001</v>
      </c>
      <c r="E27" s="20">
        <v>100.873</v>
      </c>
      <c r="F27" s="20">
        <v>78.83</v>
      </c>
      <c r="G27" s="20">
        <v>64.622</v>
      </c>
      <c r="H27" s="20">
        <v>60.201999999999998</v>
      </c>
    </row>
    <row r="28" spans="1:8" ht="15.75" customHeight="1" x14ac:dyDescent="0.25">
      <c r="A28" s="4"/>
      <c r="B28" s="28" t="s">
        <v>107</v>
      </c>
      <c r="C28" s="20">
        <v>1.0029999999999999</v>
      </c>
      <c r="D28" s="20">
        <v>6.6890000000000001</v>
      </c>
      <c r="E28" s="20">
        <v>9.5060000000000002</v>
      </c>
      <c r="F28" s="20">
        <v>9.9350000000000005</v>
      </c>
      <c r="G28" s="20">
        <v>6.6219999999999999</v>
      </c>
      <c r="H28" s="20">
        <v>13.260999999999999</v>
      </c>
    </row>
    <row r="29" spans="1:8" ht="15.75" customHeight="1" x14ac:dyDescent="0.25">
      <c r="A29" s="4"/>
      <c r="B29" s="42" t="s">
        <v>108</v>
      </c>
      <c r="C29" s="22">
        <f t="shared" ref="C29:H29" si="3">C25+SUM(C26:C28)</f>
        <v>470.36899999999997</v>
      </c>
      <c r="D29" s="22">
        <f t="shared" si="3"/>
        <v>578.98199999999997</v>
      </c>
      <c r="E29" s="22">
        <f t="shared" si="3"/>
        <v>678.98900000000003</v>
      </c>
      <c r="F29" s="22">
        <f t="shared" si="3"/>
        <v>819.69800000000009</v>
      </c>
      <c r="G29" s="22">
        <f t="shared" si="3"/>
        <v>955.10599999999999</v>
      </c>
      <c r="H29" s="22">
        <f t="shared" si="3"/>
        <v>1120.2270000000001</v>
      </c>
    </row>
    <row r="30" spans="1:8" ht="15.75" customHeight="1" x14ac:dyDescent="0.25">
      <c r="A30" s="4"/>
      <c r="B30" s="28"/>
      <c r="C30" s="20"/>
      <c r="D30" s="20"/>
      <c r="E30" s="20"/>
      <c r="F30" s="20"/>
      <c r="G30" s="20"/>
      <c r="H30" s="20"/>
    </row>
    <row r="31" spans="1:8" ht="15.75" customHeight="1" x14ac:dyDescent="0.25">
      <c r="A31" s="4"/>
      <c r="B31" s="28" t="s">
        <v>109</v>
      </c>
      <c r="C31" s="20">
        <v>949.06700000000001</v>
      </c>
      <c r="D31" s="20">
        <v>0</v>
      </c>
      <c r="E31" s="20">
        <v>0</v>
      </c>
      <c r="F31" s="20">
        <v>0</v>
      </c>
      <c r="G31" s="20">
        <v>0</v>
      </c>
      <c r="H31" s="20">
        <v>0</v>
      </c>
    </row>
    <row r="32" spans="1:8" ht="15.75" customHeight="1" x14ac:dyDescent="0.25">
      <c r="A32" s="4"/>
      <c r="B32" s="28" t="s">
        <v>110</v>
      </c>
      <c r="C32" s="20">
        <v>-532.803</v>
      </c>
      <c r="D32" s="20">
        <v>988.947</v>
      </c>
      <c r="E32" s="20">
        <v>938.01900000000001</v>
      </c>
      <c r="F32" s="20">
        <v>915.14700000000005</v>
      </c>
      <c r="G32" s="20">
        <v>1069.1959999999999</v>
      </c>
      <c r="H32" s="20">
        <v>1420.4469999999999</v>
      </c>
    </row>
    <row r="33" spans="1:8" ht="15.75" customHeight="1" x14ac:dyDescent="0.25">
      <c r="A33" s="4"/>
      <c r="B33" s="42" t="s">
        <v>111</v>
      </c>
      <c r="C33" s="22">
        <f t="shared" ref="C33:H33" si="4">C29+C31+C32</f>
        <v>886.63299999999992</v>
      </c>
      <c r="D33" s="22">
        <f t="shared" si="4"/>
        <v>1567.9290000000001</v>
      </c>
      <c r="E33" s="22">
        <f t="shared" si="4"/>
        <v>1617.008</v>
      </c>
      <c r="F33" s="22">
        <f t="shared" si="4"/>
        <v>1734.8450000000003</v>
      </c>
      <c r="G33" s="22">
        <f t="shared" si="4"/>
        <v>2024.3019999999999</v>
      </c>
      <c r="H33" s="22">
        <f t="shared" si="4"/>
        <v>2540.674</v>
      </c>
    </row>
    <row r="34" spans="1:8" ht="15.75" customHeight="1" x14ac:dyDescent="0.25">
      <c r="A34" s="4"/>
      <c r="B34" s="4"/>
      <c r="C34" s="4"/>
      <c r="D34" s="4"/>
      <c r="E34" s="4"/>
      <c r="F34" s="4"/>
      <c r="G34" s="4"/>
      <c r="H34" s="4"/>
    </row>
    <row r="35" spans="1:8" ht="15.75" customHeight="1" x14ac:dyDescent="0.25">
      <c r="A35" s="4"/>
      <c r="B35" s="28" t="s">
        <v>112</v>
      </c>
      <c r="C35" s="20">
        <f t="shared" ref="C35:H35" si="5">C18-C33</f>
        <v>0</v>
      </c>
      <c r="D35" s="20">
        <f t="shared" si="5"/>
        <v>0</v>
      </c>
      <c r="E35" s="20">
        <f t="shared" si="5"/>
        <v>0</v>
      </c>
      <c r="F35" s="20">
        <f t="shared" si="5"/>
        <v>0</v>
      </c>
      <c r="G35" s="20">
        <f t="shared" si="5"/>
        <v>0</v>
      </c>
      <c r="H35" s="20">
        <f t="shared" si="5"/>
        <v>0</v>
      </c>
    </row>
    <row r="36" spans="1:8" ht="15.75" customHeight="1" x14ac:dyDescent="0.25">
      <c r="A36" s="4"/>
      <c r="B36" s="4"/>
      <c r="C36" s="4"/>
      <c r="D36" s="4"/>
      <c r="E36" s="4"/>
      <c r="F36" s="4"/>
      <c r="G36" s="4"/>
      <c r="H36" s="4"/>
    </row>
    <row r="37" spans="1:8" ht="15.75" customHeight="1" x14ac:dyDescent="0.25">
      <c r="A37" s="4"/>
      <c r="B37" s="4"/>
      <c r="C37" s="4"/>
      <c r="D37" s="4"/>
      <c r="E37" s="4"/>
      <c r="F37" s="4"/>
      <c r="G37" s="4"/>
      <c r="H37" s="4"/>
    </row>
    <row r="38" spans="1:8" ht="15.75" customHeight="1" x14ac:dyDescent="0.25">
      <c r="A38" s="4"/>
      <c r="B38" s="4"/>
      <c r="C38" s="4"/>
      <c r="D38" s="4"/>
      <c r="E38" s="4"/>
      <c r="F38" s="4"/>
      <c r="G38" s="4"/>
      <c r="H38" s="4"/>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1"/>
  <sheetViews>
    <sheetView zoomScaleNormal="100" workbookViewId="0">
      <selection activeCell="H21" sqref="H21"/>
    </sheetView>
  </sheetViews>
  <sheetFormatPr defaultColWidth="8.875" defaultRowHeight="15.75" x14ac:dyDescent="0.25"/>
  <cols>
    <col min="1" max="1" width="1.625" style="3" customWidth="1"/>
    <col min="2" max="2" width="55" style="3" customWidth="1"/>
    <col min="3" max="8" width="12" style="3" customWidth="1"/>
    <col min="9" max="14" width="12.125" style="3" customWidth="1"/>
  </cols>
  <sheetData>
    <row r="1" spans="1:14" ht="7.5" customHeight="1" x14ac:dyDescent="0.25">
      <c r="A1" s="4"/>
      <c r="B1" s="4"/>
      <c r="C1" s="4"/>
      <c r="D1" s="4"/>
      <c r="E1" s="4"/>
      <c r="F1" s="4"/>
      <c r="G1" s="4"/>
      <c r="H1" s="4"/>
      <c r="I1" s="4"/>
      <c r="J1" s="4"/>
      <c r="K1" s="4"/>
      <c r="L1" s="4"/>
      <c r="M1" s="4"/>
      <c r="N1" s="4"/>
    </row>
    <row r="2" spans="1:14" ht="16.5" customHeight="1" x14ac:dyDescent="0.25">
      <c r="A2" s="4"/>
      <c r="B2" s="16" t="s">
        <v>113</v>
      </c>
      <c r="C2" s="50" t="s">
        <v>77</v>
      </c>
      <c r="D2" s="50" t="s">
        <v>78</v>
      </c>
      <c r="E2" s="50" t="s">
        <v>79</v>
      </c>
      <c r="F2" s="50" t="s">
        <v>80</v>
      </c>
      <c r="G2" s="50" t="s">
        <v>81</v>
      </c>
      <c r="H2" s="50" t="s">
        <v>82</v>
      </c>
      <c r="I2" s="4"/>
      <c r="J2" s="4"/>
      <c r="K2" s="4"/>
      <c r="L2" s="4"/>
      <c r="M2" s="4"/>
      <c r="N2" s="4"/>
    </row>
    <row r="3" spans="1:14" ht="15.75" customHeight="1" x14ac:dyDescent="0.25">
      <c r="A3" s="4"/>
      <c r="B3" s="28" t="s">
        <v>43</v>
      </c>
      <c r="C3" s="20">
        <v>-210.208</v>
      </c>
      <c r="D3" s="20">
        <v>-355.024</v>
      </c>
      <c r="E3" s="20">
        <v>-247.422</v>
      </c>
      <c r="F3" s="20">
        <v>-286.726</v>
      </c>
      <c r="G3" s="20">
        <v>-154.90700000000001</v>
      </c>
      <c r="H3" s="20">
        <v>-9.1170000000000009</v>
      </c>
      <c r="I3" s="4"/>
      <c r="J3" s="4"/>
      <c r="K3" s="4"/>
      <c r="L3" s="4"/>
      <c r="M3" s="4"/>
      <c r="N3" s="4"/>
    </row>
    <row r="4" spans="1:14" ht="15.75" customHeight="1" x14ac:dyDescent="0.25">
      <c r="A4" s="4"/>
      <c r="B4" s="28" t="s">
        <v>114</v>
      </c>
      <c r="C4" s="20">
        <v>10.738</v>
      </c>
      <c r="D4" s="20">
        <v>10.388</v>
      </c>
      <c r="E4" s="20">
        <v>11.768000000000001</v>
      </c>
      <c r="F4" s="20">
        <v>15.526</v>
      </c>
      <c r="G4" s="20">
        <v>20.649000000000001</v>
      </c>
      <c r="H4" s="20">
        <v>24.047999999999998</v>
      </c>
      <c r="I4" s="4"/>
      <c r="J4" s="4"/>
      <c r="K4" s="4"/>
      <c r="L4" s="4"/>
      <c r="M4" s="4"/>
      <c r="N4" s="4"/>
    </row>
    <row r="5" spans="1:14" ht="15.75" customHeight="1" x14ac:dyDescent="0.25">
      <c r="A5" s="4"/>
      <c r="B5" s="28" t="s">
        <v>115</v>
      </c>
      <c r="C5" s="20">
        <v>25.564</v>
      </c>
      <c r="D5" s="20">
        <v>228.72300000000001</v>
      </c>
      <c r="E5" s="20">
        <v>177.47300000000001</v>
      </c>
      <c r="F5" s="20">
        <v>237.08199999999999</v>
      </c>
      <c r="G5" s="20">
        <v>277.87</v>
      </c>
      <c r="H5" s="20">
        <v>314.983</v>
      </c>
      <c r="I5" s="4"/>
      <c r="J5" s="4"/>
      <c r="K5" s="4"/>
      <c r="L5" s="4"/>
      <c r="M5" s="4"/>
      <c r="N5" s="4"/>
    </row>
    <row r="6" spans="1:14" ht="15.75" customHeight="1" x14ac:dyDescent="0.25">
      <c r="A6" s="4"/>
      <c r="B6" s="28" t="s">
        <v>116</v>
      </c>
      <c r="C6" s="20">
        <v>0</v>
      </c>
      <c r="D6" s="20">
        <v>1.532</v>
      </c>
      <c r="E6" s="20">
        <v>1.056</v>
      </c>
      <c r="F6" s="20">
        <v>4.7619999999999996</v>
      </c>
      <c r="G6" s="20">
        <v>3.5289999999999999</v>
      </c>
      <c r="H6" s="20">
        <v>0</v>
      </c>
      <c r="I6" s="4"/>
      <c r="J6" s="4"/>
      <c r="K6" s="4"/>
      <c r="L6" s="4"/>
      <c r="M6" s="4"/>
      <c r="N6" s="4"/>
    </row>
    <row r="7" spans="1:14" ht="15.75" customHeight="1" x14ac:dyDescent="0.25">
      <c r="A7" s="4"/>
      <c r="B7" s="28" t="s">
        <v>117</v>
      </c>
      <c r="C7" s="20">
        <v>16.786000000000001</v>
      </c>
      <c r="D7" s="20">
        <v>6.63</v>
      </c>
      <c r="E7" s="20">
        <v>2.12</v>
      </c>
      <c r="F7" s="20">
        <v>-3.6509999999999998</v>
      </c>
      <c r="G7" s="20">
        <v>-13.529</v>
      </c>
      <c r="H7" s="20">
        <v>-7.125</v>
      </c>
      <c r="I7" s="4"/>
      <c r="J7" s="4"/>
      <c r="K7" s="4"/>
      <c r="L7" s="4"/>
      <c r="M7" s="4"/>
      <c r="N7" s="4"/>
    </row>
    <row r="8" spans="1:14" ht="15.75" customHeight="1" x14ac:dyDescent="0.25">
      <c r="A8" s="4"/>
      <c r="B8" s="28" t="s">
        <v>86</v>
      </c>
      <c r="C8" s="20">
        <v>-14.14</v>
      </c>
      <c r="D8" s="20">
        <v>-47.048999999999999</v>
      </c>
      <c r="E8" s="20">
        <v>-47.463999999999999</v>
      </c>
      <c r="F8" s="20">
        <v>-46.42</v>
      </c>
      <c r="G8" s="20">
        <v>-75.531000000000006</v>
      </c>
      <c r="H8" s="20">
        <v>-144.67599999999999</v>
      </c>
      <c r="I8" s="4"/>
      <c r="J8" s="4"/>
      <c r="K8" s="4"/>
      <c r="L8" s="4"/>
      <c r="M8" s="4"/>
      <c r="N8" s="4"/>
    </row>
    <row r="9" spans="1:14" ht="15.75" customHeight="1" x14ac:dyDescent="0.25">
      <c r="A9" s="4"/>
      <c r="B9" s="28" t="s">
        <v>87</v>
      </c>
      <c r="C9" s="20">
        <v>2.843</v>
      </c>
      <c r="D9" s="20">
        <v>-19.393000000000001</v>
      </c>
      <c r="E9" s="20">
        <v>-7.5039999999999996</v>
      </c>
      <c r="F9" s="20">
        <v>18.332000000000001</v>
      </c>
      <c r="G9" s="20">
        <v>-22.416</v>
      </c>
      <c r="H9" s="20">
        <v>-19.094999999999999</v>
      </c>
      <c r="I9" s="4"/>
      <c r="J9" s="4"/>
      <c r="K9" s="4"/>
      <c r="L9" s="4"/>
      <c r="M9" s="4"/>
      <c r="N9" s="4"/>
    </row>
    <row r="10" spans="1:14" ht="15.75" customHeight="1" x14ac:dyDescent="0.25">
      <c r="A10" s="4"/>
      <c r="B10" s="28" t="s">
        <v>89</v>
      </c>
      <c r="C10" s="20">
        <v>1.6240000000000001</v>
      </c>
      <c r="D10" s="20">
        <v>-1.4259999999999999</v>
      </c>
      <c r="E10" s="20">
        <v>-11.292999999999999</v>
      </c>
      <c r="F10" s="20">
        <v>-29.076000000000001</v>
      </c>
      <c r="G10" s="20">
        <v>-6.8849999999999998</v>
      </c>
      <c r="H10" s="20">
        <v>-7.657</v>
      </c>
      <c r="I10" s="4"/>
      <c r="J10" s="4"/>
      <c r="K10" s="4"/>
      <c r="L10" s="4"/>
      <c r="M10" s="4"/>
      <c r="N10" s="4"/>
    </row>
    <row r="11" spans="1:14" ht="15.75" customHeight="1" x14ac:dyDescent="0.25">
      <c r="A11" s="4"/>
      <c r="B11" s="28" t="s">
        <v>118</v>
      </c>
      <c r="C11" s="20">
        <v>-44.183999999999997</v>
      </c>
      <c r="D11" s="20">
        <v>-86.293000000000006</v>
      </c>
      <c r="E11" s="20">
        <v>-83.085999999999999</v>
      </c>
      <c r="F11" s="20">
        <v>-57.893000000000001</v>
      </c>
      <c r="G11" s="20">
        <v>-27.46</v>
      </c>
      <c r="H11" s="20">
        <v>-74.534999999999997</v>
      </c>
      <c r="I11" s="4"/>
      <c r="J11" s="4"/>
      <c r="K11" s="4"/>
      <c r="L11" s="4"/>
      <c r="M11" s="4"/>
      <c r="N11" s="4"/>
    </row>
    <row r="12" spans="1:14" ht="15.75" customHeight="1" x14ac:dyDescent="0.25">
      <c r="A12" s="4"/>
      <c r="B12" s="28" t="s">
        <v>119</v>
      </c>
      <c r="C12" s="20">
        <v>-21.327000000000002</v>
      </c>
      <c r="D12" s="20">
        <v>-30.821000000000002</v>
      </c>
      <c r="E12" s="20">
        <v>-22.408999999999999</v>
      </c>
      <c r="F12" s="20">
        <v>-37.396000000000001</v>
      </c>
      <c r="G12" s="20">
        <v>-31.779</v>
      </c>
      <c r="H12" s="20">
        <v>-51.311999999999998</v>
      </c>
      <c r="I12" s="4"/>
      <c r="J12" s="4"/>
      <c r="K12" s="4"/>
      <c r="L12" s="4"/>
      <c r="M12" s="4"/>
      <c r="N12" s="4"/>
    </row>
    <row r="13" spans="1:14" ht="15.75" customHeight="1" x14ac:dyDescent="0.25">
      <c r="A13" s="4"/>
      <c r="B13" s="28" t="s">
        <v>120</v>
      </c>
      <c r="C13" s="20">
        <v>0.11</v>
      </c>
      <c r="D13" s="20">
        <v>-12.327</v>
      </c>
      <c r="E13" s="20">
        <v>-1.8620000000000001</v>
      </c>
      <c r="F13" s="20">
        <v>0.50900000000000001</v>
      </c>
      <c r="G13" s="20">
        <v>4.4379999999999997</v>
      </c>
      <c r="H13" s="20">
        <v>-4.3470000000000004</v>
      </c>
      <c r="I13" s="4"/>
      <c r="J13" s="4"/>
      <c r="K13" s="4"/>
      <c r="L13" s="4"/>
      <c r="M13" s="4"/>
      <c r="N13" s="4"/>
    </row>
    <row r="14" spans="1:14" ht="15.75" customHeight="1" x14ac:dyDescent="0.25">
      <c r="A14" s="4"/>
      <c r="B14" s="28" t="s">
        <v>121</v>
      </c>
      <c r="C14" s="20">
        <v>16.25</v>
      </c>
      <c r="D14" s="20">
        <v>69.926000000000002</v>
      </c>
      <c r="E14" s="20">
        <v>13.484999999999999</v>
      </c>
      <c r="F14" s="20">
        <v>26.596</v>
      </c>
      <c r="G14" s="20">
        <v>37.283000000000001</v>
      </c>
      <c r="H14" s="20">
        <v>97.722999999999999</v>
      </c>
      <c r="I14" s="4"/>
      <c r="J14" s="4"/>
      <c r="K14" s="4"/>
      <c r="L14" s="4"/>
      <c r="M14" s="4"/>
      <c r="N14" s="4"/>
    </row>
    <row r="15" spans="1:14" ht="15.75" customHeight="1" x14ac:dyDescent="0.25">
      <c r="A15" s="4"/>
      <c r="B15" s="28" t="s">
        <v>122</v>
      </c>
      <c r="C15" s="20">
        <v>35.159999999999997</v>
      </c>
      <c r="D15" s="20">
        <v>64.001000000000005</v>
      </c>
      <c r="E15" s="20">
        <v>112.879</v>
      </c>
      <c r="F15" s="20">
        <v>138.91999999999999</v>
      </c>
      <c r="G15" s="20">
        <v>120.283</v>
      </c>
      <c r="H15" s="20">
        <v>116.52500000000001</v>
      </c>
      <c r="I15" s="4"/>
      <c r="J15" s="4"/>
      <c r="K15" s="4"/>
      <c r="L15" s="4"/>
      <c r="M15" s="4"/>
      <c r="N15" s="4"/>
    </row>
    <row r="16" spans="1:14" ht="15.75" customHeight="1" x14ac:dyDescent="0.25">
      <c r="A16" s="4"/>
      <c r="B16" s="28" t="s">
        <v>123</v>
      </c>
      <c r="C16" s="20">
        <v>9.0150000000000006</v>
      </c>
      <c r="D16" s="20">
        <v>-0.34799999999999998</v>
      </c>
      <c r="E16" s="20">
        <v>-0.76200000000000001</v>
      </c>
      <c r="F16" s="20">
        <v>7.62</v>
      </c>
      <c r="G16" s="20">
        <v>0.114</v>
      </c>
      <c r="H16" s="20">
        <v>0.79500000000000004</v>
      </c>
      <c r="I16" s="4"/>
      <c r="J16" s="4"/>
      <c r="K16" s="4"/>
      <c r="L16" s="4"/>
      <c r="M16" s="4"/>
      <c r="N16" s="4"/>
    </row>
    <row r="17" spans="1:14" ht="15.75" customHeight="1" x14ac:dyDescent="0.25">
      <c r="A17" s="4"/>
      <c r="B17" s="42" t="s">
        <v>124</v>
      </c>
      <c r="C17" s="22">
        <f t="shared" ref="C17:H17" si="0">SUM(C3:C16)</f>
        <v>-171.76900000000001</v>
      </c>
      <c r="D17" s="22">
        <f t="shared" si="0"/>
        <v>-171.48100000000008</v>
      </c>
      <c r="E17" s="22">
        <f t="shared" si="0"/>
        <v>-103.02099999999997</v>
      </c>
      <c r="F17" s="22">
        <f t="shared" si="0"/>
        <v>-11.815000000000001</v>
      </c>
      <c r="G17" s="22">
        <f t="shared" si="0"/>
        <v>131.65899999999999</v>
      </c>
      <c r="H17" s="22">
        <f t="shared" si="0"/>
        <v>236.20999999999998</v>
      </c>
      <c r="I17" s="4"/>
      <c r="J17" s="4"/>
      <c r="K17" s="4"/>
      <c r="L17" s="4"/>
      <c r="M17" s="4"/>
      <c r="N17" s="4"/>
    </row>
    <row r="18" spans="1:14" ht="15.75" customHeight="1" x14ac:dyDescent="0.25">
      <c r="A18" s="4"/>
      <c r="B18" s="4"/>
      <c r="C18" s="4"/>
      <c r="D18" s="4"/>
      <c r="E18" s="4"/>
      <c r="F18" s="4"/>
      <c r="G18" s="4"/>
      <c r="H18" s="4"/>
      <c r="I18" s="4"/>
      <c r="J18" s="4"/>
      <c r="K18" s="4"/>
      <c r="L18" s="4"/>
      <c r="M18" s="4"/>
      <c r="N18" s="4"/>
    </row>
    <row r="19" spans="1:14" ht="15.75" customHeight="1" x14ac:dyDescent="0.25">
      <c r="A19" s="4"/>
      <c r="B19" s="28" t="s">
        <v>125</v>
      </c>
      <c r="C19" s="20">
        <v>-32.101999999999997</v>
      </c>
      <c r="D19" s="20">
        <v>-19.353000000000002</v>
      </c>
      <c r="E19" s="20">
        <v>-33.24</v>
      </c>
      <c r="F19" s="20">
        <v>-10.952999999999999</v>
      </c>
      <c r="G19" s="20">
        <v>-20.177</v>
      </c>
      <c r="H19" s="20">
        <v>-28.765999999999998</v>
      </c>
      <c r="I19" s="4"/>
      <c r="J19" s="4"/>
      <c r="K19" s="4"/>
      <c r="L19" s="4"/>
      <c r="M19" s="4"/>
      <c r="N19" s="4"/>
    </row>
    <row r="20" spans="1:14" ht="15.75" customHeight="1" x14ac:dyDescent="0.25">
      <c r="A20" s="4"/>
      <c r="B20" s="28" t="s">
        <v>126</v>
      </c>
      <c r="C20" s="51">
        <v>0</v>
      </c>
      <c r="D20" s="51">
        <v>0</v>
      </c>
      <c r="E20" s="51">
        <v>-685.61500000000001</v>
      </c>
      <c r="F20" s="51">
        <v>-740.54600000000005</v>
      </c>
      <c r="G20" s="51">
        <v>-649.47799999999995</v>
      </c>
      <c r="H20" s="51">
        <v>-873.46699999999998</v>
      </c>
      <c r="I20" s="4"/>
      <c r="J20" s="4"/>
      <c r="K20" s="4"/>
      <c r="L20" s="4"/>
      <c r="M20" s="4"/>
      <c r="N20" s="4"/>
    </row>
    <row r="21" spans="1:14" ht="15.75" customHeight="1" x14ac:dyDescent="0.25">
      <c r="A21" s="4"/>
      <c r="B21" s="28" t="s">
        <v>127</v>
      </c>
      <c r="C21" s="51">
        <v>0</v>
      </c>
      <c r="D21" s="51">
        <v>0</v>
      </c>
      <c r="E21" s="51">
        <v>86.625</v>
      </c>
      <c r="F21" s="51">
        <v>672.86199999999997</v>
      </c>
      <c r="G21" s="51">
        <v>603.23400000000004</v>
      </c>
      <c r="H21" s="51">
        <v>714.05</v>
      </c>
      <c r="I21" s="4"/>
      <c r="J21" s="4"/>
      <c r="K21" s="4"/>
      <c r="L21" s="4"/>
      <c r="M21" s="4"/>
      <c r="N21" s="4"/>
    </row>
    <row r="22" spans="1:14" ht="15.75" customHeight="1" x14ac:dyDescent="0.25">
      <c r="A22" s="4"/>
      <c r="B22" s="28" t="s">
        <v>128</v>
      </c>
      <c r="C22" s="51">
        <v>-0.1</v>
      </c>
      <c r="D22" s="51">
        <v>-0.68200000000000005</v>
      </c>
      <c r="E22" s="51">
        <v>0.38200000000000001</v>
      </c>
      <c r="F22" s="51">
        <v>-0.05</v>
      </c>
      <c r="G22" s="51">
        <v>-0.2</v>
      </c>
      <c r="H22" s="51">
        <v>-1.35</v>
      </c>
      <c r="I22" s="4"/>
      <c r="J22" s="4"/>
      <c r="K22" s="4"/>
      <c r="L22" s="4"/>
      <c r="M22" s="4"/>
      <c r="N22" s="4"/>
    </row>
    <row r="23" spans="1:14" ht="15.75" customHeight="1" x14ac:dyDescent="0.25">
      <c r="A23" s="4"/>
      <c r="B23" s="42" t="s">
        <v>129</v>
      </c>
      <c r="C23" s="52">
        <f t="shared" ref="C23:H23" si="1">C19+C20+C21+C22</f>
        <v>-32.201999999999998</v>
      </c>
      <c r="D23" s="52">
        <f t="shared" si="1"/>
        <v>-20.035</v>
      </c>
      <c r="E23" s="52">
        <f t="shared" si="1"/>
        <v>-631.84800000000007</v>
      </c>
      <c r="F23" s="52">
        <f t="shared" si="1"/>
        <v>-78.687000000000054</v>
      </c>
      <c r="G23" s="52">
        <f t="shared" si="1"/>
        <v>-66.620999999999938</v>
      </c>
      <c r="H23" s="52">
        <f t="shared" si="1"/>
        <v>-189.53299999999999</v>
      </c>
      <c r="I23" s="4"/>
      <c r="J23" s="4"/>
      <c r="K23" s="4"/>
      <c r="L23" s="4"/>
      <c r="M23" s="4"/>
      <c r="N23" s="4"/>
    </row>
    <row r="24" spans="1:14" ht="15.75" customHeight="1" x14ac:dyDescent="0.25">
      <c r="A24" s="4"/>
      <c r="B24" s="4"/>
      <c r="I24" s="4"/>
      <c r="J24" s="4"/>
      <c r="K24" s="4"/>
      <c r="L24" s="4"/>
      <c r="M24" s="4"/>
      <c r="N24" s="4"/>
    </row>
    <row r="25" spans="1:14" ht="15.75" customHeight="1" x14ac:dyDescent="0.25">
      <c r="A25" s="4"/>
      <c r="B25" s="28" t="s">
        <v>130</v>
      </c>
      <c r="C25" s="51">
        <v>402.20299999999997</v>
      </c>
      <c r="D25" s="51">
        <v>848.04600000000005</v>
      </c>
      <c r="E25" s="51">
        <v>18.047000000000001</v>
      </c>
      <c r="F25" s="51">
        <v>23.202000000000002</v>
      </c>
      <c r="G25" s="51">
        <v>28.798999999999999</v>
      </c>
      <c r="H25" s="51">
        <v>30.856000000000002</v>
      </c>
      <c r="I25" s="4"/>
      <c r="J25" s="4"/>
      <c r="K25" s="4"/>
      <c r="L25" s="4"/>
      <c r="M25" s="4"/>
      <c r="N25" s="4"/>
    </row>
    <row r="26" spans="1:14" ht="15.75" customHeight="1" x14ac:dyDescent="0.25">
      <c r="A26" s="4"/>
      <c r="B26" s="28" t="s">
        <v>131</v>
      </c>
      <c r="C26" s="51">
        <v>-6.0999999999999999E-2</v>
      </c>
      <c r="D26" s="51">
        <v>-141.75200000000001</v>
      </c>
      <c r="E26" s="51">
        <v>0</v>
      </c>
      <c r="F26" s="51">
        <v>0</v>
      </c>
      <c r="G26" s="51">
        <v>-7.0000000000000001E-3</v>
      </c>
      <c r="H26" s="51">
        <v>0</v>
      </c>
      <c r="I26" s="4"/>
      <c r="J26" s="4"/>
      <c r="K26" s="4"/>
      <c r="L26" s="4"/>
      <c r="M26" s="4"/>
      <c r="N26" s="4"/>
    </row>
    <row r="27" spans="1:14" ht="15.75" customHeight="1" x14ac:dyDescent="0.25">
      <c r="A27" s="4"/>
      <c r="B27" s="28" t="s">
        <v>132</v>
      </c>
      <c r="C27" s="51">
        <v>-0.16800000000000001</v>
      </c>
      <c r="D27" s="51">
        <v>-4.6500000000000004</v>
      </c>
      <c r="E27" s="51">
        <v>-3.835</v>
      </c>
      <c r="F27" s="51">
        <v>-2.2050000000000001</v>
      </c>
      <c r="G27" s="51">
        <v>-1.6910000000000001</v>
      </c>
      <c r="H27" s="51">
        <v>-0.92800000000000005</v>
      </c>
      <c r="I27" s="4"/>
      <c r="J27" s="4"/>
      <c r="K27" s="4"/>
      <c r="L27" s="4"/>
      <c r="M27" s="4"/>
      <c r="N27" s="4"/>
    </row>
    <row r="28" spans="1:14" ht="15.75" customHeight="1" x14ac:dyDescent="0.25">
      <c r="A28" s="4"/>
      <c r="B28" s="42" t="s">
        <v>133</v>
      </c>
      <c r="C28" s="51">
        <f t="shared" ref="C28:H28" si="2">SUM(C25:C27)</f>
        <v>401.97399999999999</v>
      </c>
      <c r="D28" s="51">
        <f t="shared" si="2"/>
        <v>701.64400000000012</v>
      </c>
      <c r="E28" s="51">
        <f t="shared" si="2"/>
        <v>14.212</v>
      </c>
      <c r="F28" s="51">
        <f t="shared" si="2"/>
        <v>20.997</v>
      </c>
      <c r="G28" s="51">
        <f t="shared" si="2"/>
        <v>27.100999999999999</v>
      </c>
      <c r="H28" s="51">
        <f t="shared" si="2"/>
        <v>29.928000000000001</v>
      </c>
      <c r="I28" s="4"/>
      <c r="J28" s="4"/>
      <c r="K28" s="4"/>
      <c r="L28" s="4"/>
      <c r="M28" s="4"/>
      <c r="N28" s="4"/>
    </row>
    <row r="29" spans="1:14" ht="15.75" customHeight="1" x14ac:dyDescent="0.25">
      <c r="A29" s="4"/>
      <c r="B29" s="4"/>
      <c r="I29" s="4"/>
      <c r="J29" s="4"/>
      <c r="K29" s="4"/>
      <c r="L29" s="4"/>
      <c r="M29" s="4"/>
      <c r="N29" s="4"/>
    </row>
    <row r="30" spans="1:14" ht="15.75" customHeight="1" x14ac:dyDescent="0.25">
      <c r="A30" s="4"/>
      <c r="B30" s="28" t="s">
        <v>134</v>
      </c>
      <c r="C30" s="51">
        <v>0</v>
      </c>
      <c r="D30" s="51">
        <v>-0.127</v>
      </c>
      <c r="E30" s="51">
        <v>0.113</v>
      </c>
      <c r="F30" s="51">
        <v>0.47699999999999998</v>
      </c>
      <c r="G30" s="51">
        <v>-1.083</v>
      </c>
      <c r="H30" s="51">
        <v>2.444</v>
      </c>
      <c r="I30" s="4"/>
      <c r="J30" s="4"/>
      <c r="K30" s="4"/>
      <c r="L30" s="4"/>
      <c r="M30" s="4"/>
      <c r="N30" s="4"/>
    </row>
    <row r="31" spans="1:14" ht="15.75" customHeight="1" x14ac:dyDescent="0.25">
      <c r="A31" s="4"/>
      <c r="B31" s="42" t="s">
        <v>135</v>
      </c>
      <c r="C31" s="52">
        <f t="shared" ref="C31:H31" si="3">C17+C23+C28+C30</f>
        <v>198.00299999999999</v>
      </c>
      <c r="D31" s="52">
        <f t="shared" si="3"/>
        <v>510.00100000000003</v>
      </c>
      <c r="E31" s="52">
        <f t="shared" si="3"/>
        <v>-720.54399999999998</v>
      </c>
      <c r="F31" s="52">
        <f t="shared" si="3"/>
        <v>-69.028000000000048</v>
      </c>
      <c r="G31" s="52">
        <f t="shared" si="3"/>
        <v>91.056000000000054</v>
      </c>
      <c r="H31" s="52">
        <f t="shared" si="3"/>
        <v>79.048999999999992</v>
      </c>
      <c r="I31" s="4"/>
      <c r="J31" s="4"/>
      <c r="K31" s="4"/>
      <c r="L31" s="4"/>
      <c r="M31" s="4"/>
      <c r="N31" s="4"/>
    </row>
    <row r="32" spans="1:14" ht="15.75" customHeight="1" x14ac:dyDescent="0.25">
      <c r="A32" s="4"/>
      <c r="B32" s="28" t="s">
        <v>136</v>
      </c>
      <c r="C32" s="51">
        <v>236.30600000000001</v>
      </c>
      <c r="D32" s="51">
        <f>C33</f>
        <v>434.30899999999997</v>
      </c>
      <c r="E32" s="51">
        <f>D33</f>
        <v>944.31</v>
      </c>
      <c r="F32" s="51">
        <f>E33</f>
        <v>223.76599999999996</v>
      </c>
      <c r="G32" s="51">
        <f>F33</f>
        <v>154.73799999999991</v>
      </c>
      <c r="H32" s="51">
        <f>G33</f>
        <v>245.79399999999998</v>
      </c>
      <c r="I32" s="4"/>
      <c r="J32" s="4"/>
      <c r="K32" s="4"/>
      <c r="L32" s="4"/>
      <c r="M32" s="4"/>
      <c r="N32" s="4"/>
    </row>
    <row r="33" spans="1:14" ht="15.75" customHeight="1" x14ac:dyDescent="0.25">
      <c r="A33" s="4"/>
      <c r="B33" s="42" t="s">
        <v>137</v>
      </c>
      <c r="C33" s="52">
        <f t="shared" ref="C33:H33" si="4">C32+C31</f>
        <v>434.30899999999997</v>
      </c>
      <c r="D33" s="52">
        <f t="shared" si="4"/>
        <v>944.31</v>
      </c>
      <c r="E33" s="52">
        <f t="shared" si="4"/>
        <v>223.76599999999996</v>
      </c>
      <c r="F33" s="52">
        <f t="shared" si="4"/>
        <v>154.73799999999991</v>
      </c>
      <c r="G33" s="52">
        <f t="shared" si="4"/>
        <v>245.79399999999998</v>
      </c>
      <c r="H33" s="52">
        <f t="shared" si="4"/>
        <v>324.84299999999996</v>
      </c>
      <c r="I33" s="4"/>
      <c r="J33" s="4"/>
      <c r="K33" s="4"/>
      <c r="L33" s="4"/>
      <c r="M33" s="4"/>
      <c r="N33" s="4"/>
    </row>
    <row r="34" spans="1:14" ht="15.75" customHeight="1" x14ac:dyDescent="0.25">
      <c r="A34" s="4"/>
      <c r="B34" s="4"/>
      <c r="C34" s="4"/>
      <c r="D34" s="4"/>
      <c r="E34" s="4"/>
      <c r="F34" s="4"/>
      <c r="G34" s="4"/>
      <c r="H34" s="4"/>
      <c r="I34" s="4"/>
      <c r="J34" s="4"/>
      <c r="K34" s="4"/>
      <c r="L34" s="4"/>
      <c r="M34" s="4"/>
      <c r="N34" s="4"/>
    </row>
    <row r="35" spans="1:14" ht="15.75" customHeight="1" x14ac:dyDescent="0.25">
      <c r="A35" s="4"/>
      <c r="B35" s="4"/>
      <c r="C35" s="4"/>
      <c r="D35" s="4"/>
      <c r="E35" s="4"/>
      <c r="F35" s="4"/>
      <c r="G35" s="4"/>
      <c r="H35" s="4"/>
      <c r="I35" s="4"/>
      <c r="J35" s="4"/>
      <c r="K35" s="4"/>
      <c r="L35" s="4"/>
      <c r="M35" s="4"/>
      <c r="N35" s="4"/>
    </row>
    <row r="36" spans="1:14" ht="15.75" customHeight="1" x14ac:dyDescent="0.25">
      <c r="A36" s="4"/>
      <c r="B36" s="4"/>
      <c r="C36" s="4"/>
      <c r="D36" s="4"/>
      <c r="E36" s="4"/>
      <c r="F36" s="4"/>
      <c r="G36" s="4"/>
      <c r="H36" s="4"/>
      <c r="I36" s="4"/>
      <c r="J36" s="4"/>
      <c r="K36" s="4"/>
      <c r="L36" s="4"/>
      <c r="M36" s="4"/>
      <c r="N36" s="4"/>
    </row>
    <row r="37" spans="1:14" ht="15.75" customHeight="1" x14ac:dyDescent="0.25">
      <c r="A37" s="4"/>
      <c r="B37" s="4"/>
      <c r="C37" s="4"/>
      <c r="D37" s="4"/>
      <c r="E37" s="4"/>
      <c r="F37" s="4"/>
      <c r="G37" s="4"/>
      <c r="H37" s="4"/>
      <c r="I37" s="4"/>
      <c r="J37" s="4"/>
      <c r="K37" s="4"/>
      <c r="L37" s="4"/>
      <c r="M37" s="4"/>
      <c r="N37" s="4"/>
    </row>
    <row r="38" spans="1:14" ht="15.75" customHeight="1" x14ac:dyDescent="0.25">
      <c r="A38" s="4"/>
      <c r="B38" s="4"/>
      <c r="C38" s="4"/>
      <c r="D38" s="4"/>
      <c r="E38" s="4"/>
      <c r="F38" s="4"/>
      <c r="G38" s="4"/>
      <c r="H38" s="4"/>
      <c r="I38" s="4"/>
      <c r="J38" s="4"/>
      <c r="K38" s="4"/>
      <c r="L38" s="4"/>
      <c r="M38" s="4"/>
      <c r="N38" s="4"/>
    </row>
    <row r="39" spans="1:14" ht="15.75" customHeight="1" x14ac:dyDescent="0.25">
      <c r="A39" s="4"/>
      <c r="B39" s="4"/>
      <c r="C39" s="4"/>
      <c r="D39" s="4"/>
      <c r="E39" s="4"/>
      <c r="F39" s="4"/>
      <c r="G39" s="4"/>
      <c r="H39" s="4"/>
      <c r="I39" s="4"/>
      <c r="J39" s="4"/>
      <c r="K39" s="4"/>
      <c r="L39" s="4"/>
      <c r="M39" s="4"/>
      <c r="N39" s="4"/>
    </row>
    <row r="40" spans="1:14" ht="15.75" customHeight="1" x14ac:dyDescent="0.25">
      <c r="A40" s="4"/>
      <c r="B40" s="4"/>
      <c r="C40" s="4"/>
      <c r="D40" s="4"/>
      <c r="E40" s="4"/>
      <c r="F40" s="4"/>
      <c r="G40" s="4"/>
      <c r="H40" s="4"/>
      <c r="I40" s="4"/>
      <c r="J40" s="4"/>
      <c r="K40" s="4"/>
      <c r="L40" s="4"/>
      <c r="M40" s="4"/>
      <c r="N40" s="4"/>
    </row>
    <row r="41" spans="1:14" ht="15.75" customHeight="1" x14ac:dyDescent="0.25">
      <c r="A41" s="4"/>
      <c r="B41" s="4"/>
      <c r="C41" s="4"/>
      <c r="D41" s="4"/>
      <c r="E41" s="4"/>
      <c r="F41" s="4"/>
      <c r="G41" s="4"/>
      <c r="H41" s="4"/>
      <c r="I41" s="4"/>
      <c r="J41" s="4"/>
      <c r="K41" s="4"/>
      <c r="L41" s="4"/>
      <c r="M41" s="4"/>
      <c r="N41" s="4"/>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37"/>
  <sheetViews>
    <sheetView tabSelected="1" topLeftCell="A95" zoomScaleNormal="100" workbookViewId="0">
      <selection activeCell="K114" sqref="K114"/>
    </sheetView>
  </sheetViews>
  <sheetFormatPr defaultColWidth="8.875" defaultRowHeight="15.75" x14ac:dyDescent="0.25"/>
  <cols>
    <col min="1" max="1" width="2" style="3" customWidth="1"/>
    <col min="2" max="2" width="42" style="3" customWidth="1"/>
    <col min="3" max="4" width="12.625" style="3" customWidth="1"/>
    <col min="5" max="5" width="14.5" style="3" customWidth="1"/>
    <col min="6" max="14" width="12.625" style="3" customWidth="1"/>
    <col min="15" max="18" width="13" style="3" customWidth="1"/>
    <col min="20" max="21" width="16.625" style="3" customWidth="1"/>
  </cols>
  <sheetData>
    <row r="1" spans="1:21" ht="10.5" customHeight="1" x14ac:dyDescent="0.25">
      <c r="A1" s="4"/>
      <c r="B1" s="4"/>
      <c r="C1" s="4"/>
      <c r="D1" s="4"/>
      <c r="E1" s="4"/>
      <c r="F1" s="4"/>
      <c r="G1" s="4"/>
      <c r="H1" s="4"/>
      <c r="I1" s="4"/>
      <c r="J1" s="4"/>
      <c r="K1" s="4"/>
      <c r="L1" s="4"/>
      <c r="M1" s="4"/>
      <c r="N1" s="4"/>
      <c r="O1" s="4"/>
      <c r="P1" s="4"/>
      <c r="Q1" s="4"/>
      <c r="R1" s="4"/>
    </row>
    <row r="2" spans="1:21" ht="24" customHeight="1" x14ac:dyDescent="0.4">
      <c r="A2" s="4"/>
      <c r="B2" s="15" t="s">
        <v>138</v>
      </c>
      <c r="C2" s="53"/>
      <c r="D2" s="53"/>
      <c r="E2" s="53"/>
      <c r="F2" s="53"/>
      <c r="G2" s="53"/>
      <c r="H2" s="53"/>
      <c r="I2" s="53"/>
      <c r="J2" s="53"/>
      <c r="K2" s="53"/>
      <c r="L2" s="53"/>
      <c r="M2" s="53"/>
      <c r="N2" s="53"/>
      <c r="O2" s="53"/>
      <c r="P2" s="53"/>
      <c r="Q2" s="53"/>
      <c r="R2" s="53"/>
    </row>
    <row r="3" spans="1:21" ht="15.75" customHeight="1" x14ac:dyDescent="0.25">
      <c r="A3" s="4"/>
      <c r="B3" s="4"/>
      <c r="C3" s="4"/>
      <c r="D3" s="4"/>
      <c r="E3" s="4"/>
      <c r="F3" s="4"/>
      <c r="G3" s="4"/>
      <c r="H3" s="4"/>
      <c r="I3" s="4"/>
      <c r="J3" s="4"/>
      <c r="K3" s="4"/>
      <c r="L3" s="4"/>
      <c r="M3" s="4"/>
      <c r="N3" s="4"/>
      <c r="O3" s="4"/>
      <c r="P3" s="4"/>
      <c r="Q3" s="4"/>
      <c r="R3" s="4"/>
    </row>
    <row r="4" spans="1:21" ht="15.75" customHeight="1" x14ac:dyDescent="0.25">
      <c r="A4" s="4"/>
      <c r="B4" s="4" t="s">
        <v>139</v>
      </c>
      <c r="C4" s="54"/>
      <c r="D4" s="54"/>
      <c r="E4" s="54"/>
      <c r="F4" s="55">
        <v>46267</v>
      </c>
      <c r="G4" s="56"/>
      <c r="H4" s="56"/>
      <c r="I4" s="56"/>
      <c r="J4" s="4"/>
      <c r="K4" s="56"/>
      <c r="L4" s="56"/>
      <c r="M4" s="56"/>
      <c r="N4" s="56"/>
      <c r="O4" s="56"/>
      <c r="P4" s="56"/>
      <c r="Q4" s="56"/>
      <c r="R4" s="56"/>
    </row>
    <row r="5" spans="1:21" ht="15.75" customHeight="1" x14ac:dyDescent="0.25">
      <c r="A5" s="4"/>
      <c r="B5" s="4" t="s">
        <v>140</v>
      </c>
      <c r="C5" s="54"/>
      <c r="D5" s="54"/>
      <c r="E5" s="54"/>
      <c r="F5" s="57">
        <f>Main!C3</f>
        <v>40.85</v>
      </c>
      <c r="G5" s="56"/>
      <c r="H5" s="56"/>
      <c r="I5" s="56"/>
      <c r="J5" s="56"/>
      <c r="K5" s="56"/>
      <c r="L5" s="56"/>
      <c r="M5" s="56"/>
      <c r="N5" s="56"/>
      <c r="O5" s="56"/>
      <c r="P5" s="56"/>
      <c r="Q5" s="56"/>
      <c r="R5" s="56"/>
    </row>
    <row r="6" spans="1:21" ht="15.75" customHeight="1" x14ac:dyDescent="0.25">
      <c r="A6" s="4"/>
      <c r="B6" s="4" t="s">
        <v>141</v>
      </c>
      <c r="C6" s="54"/>
      <c r="D6" s="54"/>
      <c r="E6" s="54"/>
      <c r="F6" s="58">
        <f>Main!C4</f>
        <v>581835.91700000002</v>
      </c>
      <c r="G6" s="56"/>
      <c r="H6" s="56"/>
      <c r="I6" s="56"/>
      <c r="J6" s="56"/>
      <c r="K6" s="56"/>
      <c r="L6" s="56"/>
      <c r="M6" s="56"/>
      <c r="N6" s="56"/>
      <c r="O6" s="56"/>
      <c r="P6" s="56"/>
      <c r="Q6" s="56"/>
      <c r="R6" s="56"/>
    </row>
    <row r="7" spans="1:21" ht="15.75" customHeight="1" x14ac:dyDescent="0.25">
      <c r="A7" s="4"/>
      <c r="B7" s="4" t="s">
        <v>142</v>
      </c>
      <c r="C7" s="54"/>
      <c r="D7" s="54"/>
      <c r="E7" s="54"/>
      <c r="F7" s="58">
        <f>(DATE(YEAR(F4)+IF(MONTH(F4)&gt;1,1,0),1,31)-F4)/365</f>
        <v>0.41369863013698632</v>
      </c>
      <c r="G7" s="56"/>
      <c r="H7"/>
      <c r="I7" s="56"/>
      <c r="J7" s="56"/>
      <c r="K7" s="56"/>
      <c r="L7" s="56"/>
      <c r="M7" s="56"/>
      <c r="N7" s="56"/>
      <c r="O7" s="56"/>
      <c r="P7" s="56"/>
      <c r="Q7" s="56"/>
      <c r="R7" s="56"/>
    </row>
    <row r="8" spans="1:21" ht="18.75" customHeight="1" x14ac:dyDescent="0.3">
      <c r="A8" s="4"/>
      <c r="B8" s="59" t="s">
        <v>143</v>
      </c>
      <c r="C8" s="60"/>
      <c r="D8" s="60"/>
      <c r="E8" s="60"/>
      <c r="F8" s="60"/>
      <c r="G8" s="60"/>
      <c r="H8" s="60"/>
      <c r="I8" s="60"/>
      <c r="J8" s="60"/>
      <c r="K8" s="60"/>
      <c r="L8" s="60"/>
      <c r="M8" s="61"/>
      <c r="N8" s="61"/>
      <c r="O8" s="61"/>
      <c r="P8" s="61"/>
      <c r="Q8" s="61"/>
      <c r="R8" s="61"/>
    </row>
    <row r="9" spans="1:21" ht="15.75" customHeight="1" x14ac:dyDescent="0.25">
      <c r="A9" s="4"/>
      <c r="B9" s="62"/>
      <c r="C9" s="63"/>
      <c r="D9" s="64"/>
      <c r="E9" s="64"/>
      <c r="F9" s="64"/>
      <c r="G9" s="64"/>
      <c r="H9" s="65"/>
      <c r="I9" s="2" t="s">
        <v>144</v>
      </c>
      <c r="J9" s="2"/>
      <c r="K9" s="2"/>
      <c r="L9" s="2"/>
      <c r="M9" s="2"/>
      <c r="N9" s="2"/>
      <c r="O9" s="2"/>
      <c r="P9" s="2"/>
      <c r="Q9" s="2"/>
      <c r="R9" s="2"/>
    </row>
    <row r="10" spans="1:21" ht="15.75" customHeight="1" x14ac:dyDescent="0.25">
      <c r="A10" s="4"/>
      <c r="B10" s="66"/>
      <c r="C10" s="67" t="s">
        <v>77</v>
      </c>
      <c r="D10" s="67" t="s">
        <v>78</v>
      </c>
      <c r="E10" s="67" t="s">
        <v>79</v>
      </c>
      <c r="F10" s="67" t="s">
        <v>80</v>
      </c>
      <c r="G10" s="67" t="s">
        <v>81</v>
      </c>
      <c r="H10" s="68" t="s">
        <v>82</v>
      </c>
      <c r="I10" s="68" t="s">
        <v>145</v>
      </c>
      <c r="J10" s="68" t="s">
        <v>146</v>
      </c>
      <c r="K10" s="68" t="s">
        <v>147</v>
      </c>
      <c r="L10" s="68" t="s">
        <v>148</v>
      </c>
      <c r="M10" s="68" t="s">
        <v>149</v>
      </c>
      <c r="N10" s="68" t="s">
        <v>150</v>
      </c>
      <c r="O10" s="68" t="s">
        <v>151</v>
      </c>
      <c r="P10" s="68" t="s">
        <v>152</v>
      </c>
      <c r="Q10" s="68" t="s">
        <v>153</v>
      </c>
      <c r="R10" s="69" t="s">
        <v>154</v>
      </c>
    </row>
    <row r="11" spans="1:21" ht="15.75" customHeight="1" x14ac:dyDescent="0.25">
      <c r="A11" s="4"/>
      <c r="B11" s="62" t="s">
        <v>30</v>
      </c>
      <c r="C11" s="70">
        <f>IS!C12</f>
        <v>249.905</v>
      </c>
      <c r="D11" s="70">
        <f>IS!D12</f>
        <v>428.34500000000003</v>
      </c>
      <c r="E11" s="70">
        <f>IS!E12</f>
        <v>652.54499999999996</v>
      </c>
      <c r="F11" s="70">
        <f>IS!F12</f>
        <v>937.38499999999999</v>
      </c>
      <c r="G11" s="70">
        <f>IS!G12</f>
        <v>1249.2</v>
      </c>
      <c r="H11" s="71">
        <f>IS!H12</f>
        <v>1618.63</v>
      </c>
      <c r="I11" s="72">
        <f>IS!I12</f>
        <v>2023.2875000000001</v>
      </c>
      <c r="J11" s="72">
        <f>IS!J12</f>
        <v>2529.109375</v>
      </c>
      <c r="K11" s="72">
        <f>IS!K12</f>
        <v>3161.38671875</v>
      </c>
      <c r="L11" s="72">
        <f>IS!L12</f>
        <v>3793.6640625</v>
      </c>
      <c r="M11" s="72">
        <f>IS!M12</f>
        <v>4552.3968749999995</v>
      </c>
      <c r="N11" s="72">
        <f>IS!N12</f>
        <v>5280.7803749999994</v>
      </c>
      <c r="O11" s="72">
        <f>IS!O12</f>
        <v>5967.2818237499987</v>
      </c>
      <c r="P11" s="72">
        <f>IS!P12</f>
        <v>6564.0100061249987</v>
      </c>
      <c r="Q11" s="72">
        <f>IS!Q12</f>
        <v>7023.4907065537491</v>
      </c>
      <c r="R11" s="72">
        <f>IS!R12</f>
        <v>7374.6652418814365</v>
      </c>
    </row>
    <row r="12" spans="1:21" ht="15.75" customHeight="1" x14ac:dyDescent="0.25">
      <c r="A12" s="4"/>
      <c r="B12" s="66"/>
      <c r="C12" s="54"/>
      <c r="D12" s="54"/>
      <c r="E12" s="54"/>
      <c r="F12" s="54"/>
      <c r="G12" s="56"/>
      <c r="H12" s="73"/>
      <c r="I12" s="74"/>
      <c r="J12" s="74"/>
      <c r="K12" s="74"/>
      <c r="L12" s="74"/>
      <c r="M12" s="74"/>
      <c r="N12" s="74"/>
      <c r="O12" s="74"/>
      <c r="P12" s="74"/>
      <c r="Q12" s="74"/>
      <c r="R12" s="74"/>
    </row>
    <row r="13" spans="1:21" ht="15.75" customHeight="1" x14ac:dyDescent="0.25">
      <c r="A13" s="4"/>
      <c r="B13" s="62" t="s">
        <v>155</v>
      </c>
      <c r="C13" s="70">
        <f>IS!C21</f>
        <v>-209.47899999999998</v>
      </c>
      <c r="D13" s="70">
        <f>IS!D21</f>
        <v>-353.84800000000001</v>
      </c>
      <c r="E13" s="70">
        <f>IS!E21</f>
        <v>-259.4550000000001</v>
      </c>
      <c r="F13" s="70">
        <f>IS!F21</f>
        <v>-323.34699999999998</v>
      </c>
      <c r="G13" s="70">
        <f>IS!G21</f>
        <v>-189.97199999999987</v>
      </c>
      <c r="H13" s="71">
        <f>IS!H21</f>
        <v>-52.580999999999676</v>
      </c>
      <c r="I13" s="72">
        <f>IS!I21</f>
        <v>35.40753124999992</v>
      </c>
      <c r="J13" s="72">
        <f>IS!J21</f>
        <v>196.00597656249988</v>
      </c>
      <c r="K13" s="72">
        <f>IS!K21</f>
        <v>403.07680664062491</v>
      </c>
      <c r="L13" s="72">
        <f>IS!L21</f>
        <v>502.66048828124985</v>
      </c>
      <c r="M13" s="72">
        <f>IS!M21</f>
        <v>603.19258593749964</v>
      </c>
      <c r="N13" s="72">
        <f>IS!N21</f>
        <v>884.53071281249959</v>
      </c>
      <c r="O13" s="72">
        <f>IS!O21</f>
        <v>1118.8653419531242</v>
      </c>
      <c r="P13" s="72">
        <f>IS!P21</f>
        <v>1362.0320762709366</v>
      </c>
      <c r="Q13" s="72">
        <f>IS!Q21</f>
        <v>1597.8441357409783</v>
      </c>
      <c r="R13" s="72">
        <f>IS!R21</f>
        <v>1825.2296473656552</v>
      </c>
    </row>
    <row r="14" spans="1:21" ht="15.75" customHeight="1" x14ac:dyDescent="0.25">
      <c r="A14" s="4"/>
      <c r="B14" s="66"/>
      <c r="C14" s="54"/>
      <c r="D14" s="54"/>
      <c r="E14" s="54"/>
      <c r="F14" s="54"/>
      <c r="G14" s="56"/>
      <c r="H14" s="73"/>
      <c r="I14" s="74"/>
      <c r="J14" s="74"/>
      <c r="K14" s="74"/>
      <c r="L14" s="74"/>
      <c r="M14" s="74"/>
      <c r="N14" s="74"/>
      <c r="O14" s="74"/>
      <c r="P14" s="74"/>
      <c r="Q14" s="74"/>
      <c r="R14" s="74"/>
    </row>
    <row r="15" spans="1:21" ht="15.75" customHeight="1" x14ac:dyDescent="0.25">
      <c r="A15" s="4"/>
      <c r="B15" s="62" t="s">
        <v>156</v>
      </c>
      <c r="C15" s="70">
        <f>CFS!C4</f>
        <v>10.738</v>
      </c>
      <c r="D15" s="70">
        <f>CFS!D4</f>
        <v>10.388</v>
      </c>
      <c r="E15" s="70">
        <f>CFS!E4</f>
        <v>11.768000000000001</v>
      </c>
      <c r="F15" s="70">
        <f>CFS!F4</f>
        <v>15.526</v>
      </c>
      <c r="G15" s="70">
        <f>CFS!G4</f>
        <v>20.649000000000001</v>
      </c>
      <c r="H15" s="71">
        <f>CFS!H4</f>
        <v>24.047999999999998</v>
      </c>
      <c r="I15" s="75">
        <f t="shared" ref="I15:R15" si="0">I11*(I16)</f>
        <v>35.982529215182502</v>
      </c>
      <c r="J15" s="75">
        <f t="shared" si="0"/>
        <v>44.978161518978119</v>
      </c>
      <c r="K15" s="75">
        <f t="shared" si="0"/>
        <v>56.222701898722654</v>
      </c>
      <c r="L15" s="75">
        <f t="shared" si="0"/>
        <v>67.467242278467182</v>
      </c>
      <c r="M15" s="75">
        <f t="shared" si="0"/>
        <v>80.960690734160607</v>
      </c>
      <c r="N15" s="75">
        <f t="shared" si="0"/>
        <v>93.914401251626302</v>
      </c>
      <c r="O15" s="75">
        <f t="shared" si="0"/>
        <v>106.12327341433772</v>
      </c>
      <c r="P15" s="75">
        <f t="shared" si="0"/>
        <v>116.73560075577149</v>
      </c>
      <c r="Q15" s="75">
        <f t="shared" si="0"/>
        <v>124.9070928086755</v>
      </c>
      <c r="R15" s="75">
        <f t="shared" si="0"/>
        <v>131.15244744910927</v>
      </c>
      <c r="T15" s="76" t="s">
        <v>157</v>
      </c>
      <c r="U15" s="76" t="s">
        <v>158</v>
      </c>
    </row>
    <row r="16" spans="1:21" ht="15.75" customHeight="1" x14ac:dyDescent="0.25">
      <c r="A16" s="4"/>
      <c r="B16" s="66"/>
      <c r="C16" s="77">
        <f t="shared" ref="C16:H16" si="1">C15/C11</f>
        <v>4.2968327964626553E-2</v>
      </c>
      <c r="D16" s="77">
        <f t="shared" si="1"/>
        <v>2.4251479531685907E-2</v>
      </c>
      <c r="E16" s="77">
        <f t="shared" si="1"/>
        <v>1.803400531764093E-2</v>
      </c>
      <c r="F16" s="77">
        <f t="shared" si="1"/>
        <v>1.6563098406737892E-2</v>
      </c>
      <c r="G16" s="77">
        <f t="shared" si="1"/>
        <v>1.6529779058597503E-2</v>
      </c>
      <c r="H16" s="78">
        <f t="shared" si="1"/>
        <v>1.4857008704892406E-2</v>
      </c>
      <c r="I16" s="79">
        <f t="shared" ref="I16:R16" si="2">$U$16</f>
        <v>1.7784189945908576E-2</v>
      </c>
      <c r="J16" s="79">
        <f t="shared" si="2"/>
        <v>1.7784189945908576E-2</v>
      </c>
      <c r="K16" s="79">
        <f t="shared" si="2"/>
        <v>1.7784189945908576E-2</v>
      </c>
      <c r="L16" s="79">
        <f t="shared" si="2"/>
        <v>1.7784189945908576E-2</v>
      </c>
      <c r="M16" s="80">
        <f t="shared" si="2"/>
        <v>1.7784189945908576E-2</v>
      </c>
      <c r="N16" s="80">
        <f t="shared" si="2"/>
        <v>1.7784189945908576E-2</v>
      </c>
      <c r="O16" s="80">
        <f t="shared" si="2"/>
        <v>1.7784189945908576E-2</v>
      </c>
      <c r="P16" s="80">
        <f t="shared" si="2"/>
        <v>1.7784189945908576E-2</v>
      </c>
      <c r="Q16" s="80">
        <f t="shared" si="2"/>
        <v>1.7784189945908576E-2</v>
      </c>
      <c r="R16" s="80">
        <f t="shared" si="2"/>
        <v>1.7784189945908576E-2</v>
      </c>
      <c r="T16" s="81">
        <f>AVERAGE(D16:H16)</f>
        <v>1.804707420391093E-2</v>
      </c>
      <c r="U16" s="81">
        <f>IFERROR(GEOMEAN(D16:H16),"n/a")</f>
        <v>1.7784189945908576E-2</v>
      </c>
    </row>
    <row r="17" spans="1:18" ht="15.75" customHeight="1" x14ac:dyDescent="0.25">
      <c r="A17" s="4"/>
      <c r="B17" s="66"/>
      <c r="C17" s="54"/>
      <c r="D17" s="54"/>
      <c r="E17" s="54"/>
      <c r="F17" s="54"/>
      <c r="G17" s="56"/>
      <c r="H17" s="56"/>
      <c r="I17" s="56"/>
      <c r="J17" s="56"/>
      <c r="K17" s="56"/>
      <c r="L17" s="56"/>
      <c r="M17" s="56"/>
      <c r="N17" s="56"/>
      <c r="O17" s="56"/>
      <c r="P17" s="56"/>
      <c r="Q17" s="56"/>
      <c r="R17" s="56"/>
    </row>
    <row r="18" spans="1:18" ht="18.75" customHeight="1" x14ac:dyDescent="0.3">
      <c r="A18" s="4"/>
      <c r="B18" s="61" t="s">
        <v>159</v>
      </c>
      <c r="C18" s="61"/>
      <c r="D18" s="61"/>
      <c r="E18" s="61"/>
      <c r="F18" s="61"/>
      <c r="G18" s="61"/>
      <c r="H18" s="61"/>
      <c r="I18" s="61"/>
      <c r="J18" s="61"/>
      <c r="K18" s="61"/>
      <c r="L18" s="61"/>
      <c r="M18" s="61"/>
      <c r="N18" s="61"/>
      <c r="O18" s="61"/>
      <c r="P18" s="61"/>
      <c r="Q18" s="61"/>
      <c r="R18" s="61"/>
    </row>
    <row r="19" spans="1:18" ht="15.75" customHeight="1" x14ac:dyDescent="0.25">
      <c r="A19" s="4"/>
      <c r="B19" s="62"/>
      <c r="C19" s="64"/>
      <c r="D19" s="64"/>
      <c r="E19" s="64"/>
      <c r="F19" s="64"/>
      <c r="G19" s="64"/>
      <c r="H19" s="65"/>
      <c r="I19" s="2" t="s">
        <v>144</v>
      </c>
      <c r="J19" s="2"/>
      <c r="K19" s="2"/>
      <c r="L19" s="2"/>
      <c r="M19" s="2"/>
      <c r="N19" s="2"/>
      <c r="O19" s="2"/>
      <c r="P19" s="2"/>
      <c r="Q19" s="2"/>
      <c r="R19" s="2"/>
    </row>
    <row r="20" spans="1:18" ht="15.75" customHeight="1" x14ac:dyDescent="0.25">
      <c r="A20" s="4"/>
      <c r="B20" s="62"/>
      <c r="C20" s="67" t="s">
        <v>77</v>
      </c>
      <c r="D20" s="67" t="s">
        <v>78</v>
      </c>
      <c r="E20" s="67" t="s">
        <v>79</v>
      </c>
      <c r="F20" s="67" t="s">
        <v>80</v>
      </c>
      <c r="G20" s="67" t="s">
        <v>81</v>
      </c>
      <c r="H20" s="82" t="s">
        <v>82</v>
      </c>
      <c r="I20" s="68" t="s">
        <v>145</v>
      </c>
      <c r="J20" s="68" t="s">
        <v>146</v>
      </c>
      <c r="K20" s="68" t="s">
        <v>147</v>
      </c>
      <c r="L20" s="68" t="s">
        <v>148</v>
      </c>
      <c r="M20" s="68" t="s">
        <v>149</v>
      </c>
      <c r="N20" s="68" t="s">
        <v>150</v>
      </c>
      <c r="O20" s="68" t="s">
        <v>151</v>
      </c>
      <c r="P20" s="68" t="s">
        <v>152</v>
      </c>
      <c r="Q20" s="68" t="s">
        <v>153</v>
      </c>
      <c r="R20" s="69" t="s">
        <v>154</v>
      </c>
    </row>
    <row r="21" spans="1:18" ht="15.75" customHeight="1" x14ac:dyDescent="0.25">
      <c r="A21" s="4"/>
      <c r="B21" s="83" t="s">
        <v>160</v>
      </c>
      <c r="C21" s="84">
        <f>BS!C6</f>
        <v>42.247999999999998</v>
      </c>
      <c r="D21" s="84">
        <f>BS!D6</f>
        <v>81.986999999999995</v>
      </c>
      <c r="E21" s="84">
        <f>BS!E6</f>
        <v>122.867</v>
      </c>
      <c r="F21" s="84">
        <f>BS!F6</f>
        <v>161.82900000000001</v>
      </c>
      <c r="G21" s="84">
        <f>BS!G6</f>
        <v>234.01599999999999</v>
      </c>
      <c r="H21" s="85">
        <f>BS!H6</f>
        <v>321.44200000000001</v>
      </c>
      <c r="I21" s="86">
        <f t="shared" ref="I21:R21" si="3">I36*I11</f>
        <v>379.27499158204319</v>
      </c>
      <c r="J21" s="86">
        <f t="shared" si="3"/>
        <v>474.09373947755392</v>
      </c>
      <c r="K21" s="86">
        <f t="shared" si="3"/>
        <v>592.61717434694242</v>
      </c>
      <c r="L21" s="86">
        <f t="shared" si="3"/>
        <v>711.14060921633086</v>
      </c>
      <c r="M21" s="86">
        <f t="shared" si="3"/>
        <v>853.36873105959694</v>
      </c>
      <c r="N21" s="86">
        <f t="shared" si="3"/>
        <v>989.9077280291325</v>
      </c>
      <c r="O21" s="86">
        <f t="shared" si="3"/>
        <v>1118.5957326729197</v>
      </c>
      <c r="P21" s="86">
        <f t="shared" si="3"/>
        <v>1230.4553059402115</v>
      </c>
      <c r="Q21" s="86">
        <f t="shared" si="3"/>
        <v>1316.5871773560266</v>
      </c>
      <c r="R21" s="86">
        <f t="shared" si="3"/>
        <v>1382.4165362238277</v>
      </c>
    </row>
    <row r="22" spans="1:18" ht="15.75" customHeight="1" x14ac:dyDescent="0.25">
      <c r="A22" s="4"/>
      <c r="B22" s="83" t="s">
        <v>161</v>
      </c>
      <c r="C22" s="84">
        <f>BS!C10+BS!C16</f>
        <v>86.936999999999998</v>
      </c>
      <c r="D22" s="84">
        <f>BS!D10+BS!D16</f>
        <v>117.75700000000001</v>
      </c>
      <c r="E22" s="84">
        <f>BS!E10+BS!E16</f>
        <v>140.166</v>
      </c>
      <c r="F22" s="84">
        <f>BS!F10+BS!F16</f>
        <v>177.56200000000001</v>
      </c>
      <c r="G22" s="84">
        <f>BS!G10+BS!G16</f>
        <v>209.34100000000001</v>
      </c>
      <c r="H22" s="85">
        <f>BS!H10+BS!H16</f>
        <v>261.87799999999999</v>
      </c>
      <c r="I22" s="86">
        <f t="shared" ref="I22:R22" si="4">I37*I11</f>
        <v>323.72600000000006</v>
      </c>
      <c r="J22" s="86">
        <f t="shared" si="4"/>
        <v>404.65750000000003</v>
      </c>
      <c r="K22" s="86">
        <f t="shared" si="4"/>
        <v>474.2080078125</v>
      </c>
      <c r="L22" s="86">
        <f t="shared" si="4"/>
        <v>569.04960937499993</v>
      </c>
      <c r="M22" s="86">
        <f t="shared" si="4"/>
        <v>637.33556250000004</v>
      </c>
      <c r="N22" s="86">
        <f t="shared" si="4"/>
        <v>739.30925249999996</v>
      </c>
      <c r="O22" s="86">
        <f t="shared" si="4"/>
        <v>835.41945532499994</v>
      </c>
      <c r="P22" s="86">
        <f t="shared" si="4"/>
        <v>918.96140085749994</v>
      </c>
      <c r="Q22" s="86">
        <f t="shared" si="4"/>
        <v>983.28869891752493</v>
      </c>
      <c r="R22" s="86">
        <f t="shared" si="4"/>
        <v>1032.4531338634013</v>
      </c>
    </row>
    <row r="23" spans="1:18" ht="15.75" customHeight="1" x14ac:dyDescent="0.25">
      <c r="A23" s="4"/>
      <c r="B23" s="83" t="s">
        <v>162</v>
      </c>
      <c r="C23" s="84">
        <f>BS!C9</f>
        <v>9.3209999999999997</v>
      </c>
      <c r="D23" s="84">
        <f>BS!D9</f>
        <v>11.375999999999999</v>
      </c>
      <c r="E23" s="84">
        <f>BS!E9</f>
        <v>22.189</v>
      </c>
      <c r="F23" s="84">
        <f>BS!F9</f>
        <v>51.220999999999997</v>
      </c>
      <c r="G23" s="84">
        <f>BS!G9</f>
        <v>58.106000000000002</v>
      </c>
      <c r="H23" s="85">
        <f>BS!H9</f>
        <v>69.269000000000005</v>
      </c>
      <c r="I23" s="86">
        <f t="shared" ref="I23:R23" si="5">I38*I11</f>
        <v>80.260951781744879</v>
      </c>
      <c r="J23" s="86">
        <f t="shared" si="5"/>
        <v>100.3261897271811</v>
      </c>
      <c r="K23" s="86">
        <f t="shared" si="5"/>
        <v>125.40773715897637</v>
      </c>
      <c r="L23" s="86">
        <f t="shared" si="5"/>
        <v>150.48928459077166</v>
      </c>
      <c r="M23" s="86">
        <f t="shared" si="5"/>
        <v>180.58714150892595</v>
      </c>
      <c r="N23" s="86">
        <f t="shared" si="5"/>
        <v>209.48108415035412</v>
      </c>
      <c r="O23" s="86">
        <f t="shared" si="5"/>
        <v>236.71362508990012</v>
      </c>
      <c r="P23" s="86">
        <f t="shared" si="5"/>
        <v>260.38498759889012</v>
      </c>
      <c r="Q23" s="86">
        <f t="shared" si="5"/>
        <v>278.61193673081249</v>
      </c>
      <c r="R23" s="86">
        <f t="shared" si="5"/>
        <v>292.54253356735308</v>
      </c>
    </row>
    <row r="24" spans="1:18" ht="15.75" customHeight="1" x14ac:dyDescent="0.25">
      <c r="B24" s="83" t="s">
        <v>87</v>
      </c>
      <c r="C24" s="84">
        <f>BS!C7</f>
        <v>13.673999999999999</v>
      </c>
      <c r="D24" s="84">
        <f>BS!D7</f>
        <v>33.067</v>
      </c>
      <c r="E24" s="84">
        <f>BS!E7</f>
        <v>40.570999999999998</v>
      </c>
      <c r="F24" s="84">
        <f>BS!F7</f>
        <v>22.238</v>
      </c>
      <c r="G24" s="84">
        <f>BS!G7</f>
        <v>38.911000000000001</v>
      </c>
      <c r="H24" s="85">
        <f>BS!H7</f>
        <v>48.194000000000003</v>
      </c>
      <c r="I24" s="86">
        <f t="shared" ref="I24:R24" si="6">I43*I11</f>
        <v>60.698625</v>
      </c>
      <c r="J24" s="86">
        <f t="shared" si="6"/>
        <v>75.873281249999991</v>
      </c>
      <c r="K24" s="86">
        <f t="shared" si="6"/>
        <v>94.841601562500003</v>
      </c>
      <c r="L24" s="86">
        <f t="shared" si="6"/>
        <v>113.809921875</v>
      </c>
      <c r="M24" s="86">
        <f t="shared" si="6"/>
        <v>136.57190624999998</v>
      </c>
      <c r="N24" s="86">
        <f t="shared" si="6"/>
        <v>158.42341124999999</v>
      </c>
      <c r="O24" s="86">
        <f t="shared" si="6"/>
        <v>179.01845471249996</v>
      </c>
      <c r="P24" s="86">
        <f t="shared" si="6"/>
        <v>196.92030018374996</v>
      </c>
      <c r="Q24" s="86">
        <f t="shared" si="6"/>
        <v>210.70472119661247</v>
      </c>
      <c r="R24" s="86">
        <f t="shared" si="6"/>
        <v>221.23995725644309</v>
      </c>
    </row>
    <row r="25" spans="1:18" ht="15.75" customHeight="1" x14ac:dyDescent="0.25">
      <c r="B25" s="83" t="s">
        <v>163</v>
      </c>
      <c r="C25" s="84">
        <f>BS!C8+BS!C15</f>
        <v>107.518</v>
      </c>
      <c r="D25" s="84">
        <f>BS!D8+BS!D15</f>
        <v>193.81100000000001</v>
      </c>
      <c r="E25" s="84">
        <f>BS!E8+BS!E15</f>
        <v>276.89800000000002</v>
      </c>
      <c r="F25" s="84">
        <f>BS!F8+BS!F15</f>
        <v>334.79</v>
      </c>
      <c r="G25" s="84">
        <f>BS!G8+BS!G15</f>
        <v>362.25099999999998</v>
      </c>
      <c r="H25" s="85">
        <f>BS!H8+BS!H15</f>
        <v>440.149</v>
      </c>
      <c r="I25" s="86">
        <f t="shared" ref="I25:R25" si="7">I44*I11</f>
        <v>550.33420000000012</v>
      </c>
      <c r="J25" s="86">
        <f t="shared" si="7"/>
        <v>687.91775000000007</v>
      </c>
      <c r="K25" s="86">
        <f t="shared" si="7"/>
        <v>859.89718750000009</v>
      </c>
      <c r="L25" s="86">
        <f t="shared" si="7"/>
        <v>1031.8766250000001</v>
      </c>
      <c r="M25" s="86">
        <f t="shared" si="7"/>
        <v>1238.2519499999999</v>
      </c>
      <c r="N25" s="86">
        <f t="shared" si="7"/>
        <v>1436.3722619999999</v>
      </c>
      <c r="O25" s="86">
        <f t="shared" si="7"/>
        <v>1623.1006560599997</v>
      </c>
      <c r="P25" s="86">
        <f t="shared" si="7"/>
        <v>1785.4107216659997</v>
      </c>
      <c r="Q25" s="86">
        <f t="shared" si="7"/>
        <v>1910.3894721826198</v>
      </c>
      <c r="R25" s="86">
        <f t="shared" si="7"/>
        <v>2005.908945791751</v>
      </c>
    </row>
    <row r="26" spans="1:18" ht="15.75" customHeight="1" x14ac:dyDescent="0.25">
      <c r="A26" s="4"/>
      <c r="B26" s="66"/>
      <c r="C26" s="87"/>
      <c r="D26" s="87"/>
      <c r="E26" s="87"/>
      <c r="F26" s="87"/>
      <c r="G26" s="87"/>
      <c r="H26" s="73"/>
      <c r="I26" s="74"/>
      <c r="J26" s="74"/>
      <c r="K26" s="74"/>
      <c r="L26" s="74"/>
      <c r="M26" s="74"/>
      <c r="N26" s="74"/>
      <c r="O26" s="74"/>
      <c r="P26" s="74"/>
      <c r="Q26" s="74"/>
      <c r="R26" s="74"/>
    </row>
    <row r="27" spans="1:18" ht="15.75" customHeight="1" x14ac:dyDescent="0.25">
      <c r="A27" s="4"/>
      <c r="B27" s="83" t="s">
        <v>164</v>
      </c>
      <c r="C27" s="88">
        <f>BS!C20</f>
        <v>19.399999999999999</v>
      </c>
      <c r="D27" s="88">
        <f>BS!D20</f>
        <v>54.704999999999998</v>
      </c>
      <c r="E27" s="88">
        <f>BS!E20</f>
        <v>30.143999999999998</v>
      </c>
      <c r="F27" s="88">
        <f>BS!F20</f>
        <v>46.280999999999999</v>
      </c>
      <c r="G27" s="88">
        <f>BS!G20</f>
        <v>64.016999999999996</v>
      </c>
      <c r="H27" s="85">
        <f>BS!H20</f>
        <v>47.68</v>
      </c>
      <c r="I27" s="86">
        <f t="shared" ref="I27:R27" si="8">I39*I11</f>
        <v>60.698625</v>
      </c>
      <c r="J27" s="86">
        <f t="shared" si="8"/>
        <v>75.873281249999991</v>
      </c>
      <c r="K27" s="86">
        <f t="shared" si="8"/>
        <v>94.841601562500003</v>
      </c>
      <c r="L27" s="86">
        <f t="shared" si="8"/>
        <v>113.809921875</v>
      </c>
      <c r="M27" s="86">
        <f t="shared" si="8"/>
        <v>136.57190624999998</v>
      </c>
      <c r="N27" s="86">
        <f t="shared" si="8"/>
        <v>158.42341124999999</v>
      </c>
      <c r="O27" s="86">
        <f t="shared" si="8"/>
        <v>179.01845471249996</v>
      </c>
      <c r="P27" s="86">
        <f t="shared" si="8"/>
        <v>196.92030018374996</v>
      </c>
      <c r="Q27" s="86">
        <f t="shared" si="8"/>
        <v>210.70472119661247</v>
      </c>
      <c r="R27" s="86">
        <f t="shared" si="8"/>
        <v>221.23995725644309</v>
      </c>
    </row>
    <row r="28" spans="1:18" ht="15.75" customHeight="1" x14ac:dyDescent="0.25">
      <c r="A28" s="4"/>
      <c r="B28" s="83" t="s">
        <v>165</v>
      </c>
      <c r="C28" s="88">
        <f>BS!C21+BS!C22</f>
        <v>27.119999999999997</v>
      </c>
      <c r="D28" s="88">
        <f>BS!D21+BS!D22</f>
        <v>58.942</v>
      </c>
      <c r="E28" s="88">
        <f>BS!E21+BS!E22</f>
        <v>89.853999999999999</v>
      </c>
      <c r="F28" s="88">
        <f>BS!F21+BS!F22</f>
        <v>98.504999999999995</v>
      </c>
      <c r="G28" s="88">
        <f>BS!G21+BS!G22</f>
        <v>118.419</v>
      </c>
      <c r="H28" s="85">
        <f>BS!H21+BS!H22</f>
        <v>177.476</v>
      </c>
      <c r="I28" s="86">
        <f t="shared" ref="I28:R28" si="9">I40*I11</f>
        <v>234.0095431000392</v>
      </c>
      <c r="J28" s="86">
        <f t="shared" si="9"/>
        <v>292.51192887504897</v>
      </c>
      <c r="K28" s="86">
        <f t="shared" si="9"/>
        <v>365.63991109381124</v>
      </c>
      <c r="L28" s="86">
        <f t="shared" si="9"/>
        <v>438.76789331257351</v>
      </c>
      <c r="M28" s="86">
        <f t="shared" si="9"/>
        <v>526.52147197508816</v>
      </c>
      <c r="N28" s="86">
        <f t="shared" si="9"/>
        <v>610.76490749110224</v>
      </c>
      <c r="O28" s="86">
        <f t="shared" si="9"/>
        <v>690.16434546494543</v>
      </c>
      <c r="P28" s="86">
        <f t="shared" si="9"/>
        <v>759.18078001143999</v>
      </c>
      <c r="Q28" s="86">
        <f t="shared" si="9"/>
        <v>812.32343461224082</v>
      </c>
      <c r="R28" s="86">
        <f t="shared" si="9"/>
        <v>852.93960634285293</v>
      </c>
    </row>
    <row r="29" spans="1:18" ht="15.75" customHeight="1" x14ac:dyDescent="0.25">
      <c r="A29" s="4"/>
      <c r="B29" s="89" t="s">
        <v>166</v>
      </c>
      <c r="C29" s="88">
        <f>BS!C23+BS!C26</f>
        <v>249.572</v>
      </c>
      <c r="D29" s="88">
        <f>BS!D23+BS!D26</f>
        <v>313.68600000000004</v>
      </c>
      <c r="E29" s="88">
        <f>BS!E23+BS!E26</f>
        <v>426.565</v>
      </c>
      <c r="F29" s="88">
        <f>BS!F23+BS!F26</f>
        <v>565.48599999999999</v>
      </c>
      <c r="G29" s="88">
        <f>BS!G23+BS!G26</f>
        <v>685.77</v>
      </c>
      <c r="H29" s="85">
        <f>BS!H23+BS!H26</f>
        <v>809.04200000000003</v>
      </c>
      <c r="I29" s="86">
        <f t="shared" ref="I29:R29" si="10">I41*I11</f>
        <v>991.41087500000003</v>
      </c>
      <c r="J29" s="86">
        <f t="shared" si="10"/>
        <v>1201.326953125</v>
      </c>
      <c r="K29" s="86">
        <f t="shared" si="10"/>
        <v>1501.65869140625</v>
      </c>
      <c r="L29" s="86">
        <f t="shared" si="10"/>
        <v>1707.1488281250001</v>
      </c>
      <c r="M29" s="86">
        <f t="shared" si="10"/>
        <v>2048.57859375</v>
      </c>
      <c r="N29" s="86">
        <f t="shared" si="10"/>
        <v>2376.3511687499999</v>
      </c>
      <c r="O29" s="86">
        <f t="shared" si="10"/>
        <v>2685.2768206874994</v>
      </c>
      <c r="P29" s="86">
        <f t="shared" si="10"/>
        <v>2953.8045027562493</v>
      </c>
      <c r="Q29" s="86">
        <f t="shared" si="10"/>
        <v>3160.5708179491871</v>
      </c>
      <c r="R29" s="86">
        <f t="shared" si="10"/>
        <v>3318.5993588466463</v>
      </c>
    </row>
    <row r="30" spans="1:18" ht="15.75" customHeight="1" x14ac:dyDescent="0.25">
      <c r="A30" s="4"/>
      <c r="B30" s="66"/>
      <c r="C30" s="87"/>
      <c r="D30" s="87"/>
      <c r="E30" s="87"/>
      <c r="F30" s="87"/>
      <c r="G30" s="87"/>
      <c r="H30" s="73"/>
      <c r="I30" s="74"/>
      <c r="J30" s="74"/>
      <c r="K30" s="74"/>
      <c r="L30" s="74"/>
      <c r="M30" s="74"/>
      <c r="N30" s="74"/>
      <c r="O30" s="74"/>
      <c r="P30" s="74"/>
      <c r="Q30" s="74"/>
      <c r="R30" s="74"/>
    </row>
    <row r="31" spans="1:18" ht="15.75" customHeight="1" x14ac:dyDescent="0.25">
      <c r="A31" s="4"/>
      <c r="B31" s="62" t="s">
        <v>167</v>
      </c>
      <c r="C31" s="88">
        <v>0</v>
      </c>
      <c r="D31" s="88">
        <v>0</v>
      </c>
      <c r="E31" s="88">
        <v>0</v>
      </c>
      <c r="F31" s="88">
        <v>0</v>
      </c>
      <c r="G31" s="88">
        <v>0</v>
      </c>
      <c r="H31" s="85">
        <v>0</v>
      </c>
      <c r="I31" s="74"/>
      <c r="J31" s="74"/>
      <c r="K31" s="74"/>
      <c r="L31" s="74"/>
      <c r="M31" s="74"/>
      <c r="N31" s="74"/>
      <c r="O31" s="74"/>
      <c r="P31" s="74"/>
      <c r="Q31" s="74"/>
      <c r="R31" s="74"/>
    </row>
    <row r="32" spans="1:18" ht="15.75" customHeight="1" x14ac:dyDescent="0.25">
      <c r="A32" s="4"/>
      <c r="B32" s="62" t="s">
        <v>168</v>
      </c>
      <c r="C32" s="90">
        <f>-CFS!C19</f>
        <v>32.101999999999997</v>
      </c>
      <c r="D32" s="90">
        <f>-CFS!D19</f>
        <v>19.353000000000002</v>
      </c>
      <c r="E32" s="90">
        <f>-CFS!E19</f>
        <v>33.24</v>
      </c>
      <c r="F32" s="90">
        <f>-CFS!F19</f>
        <v>10.952999999999999</v>
      </c>
      <c r="G32" s="90">
        <f>-CFS!G19</f>
        <v>20.177</v>
      </c>
      <c r="H32" s="90">
        <f>-CFS!H19</f>
        <v>28.765999999999998</v>
      </c>
      <c r="I32" s="86">
        <f t="shared" ref="I32:R32" si="11">I42*I11</f>
        <v>35.306366875000002</v>
      </c>
      <c r="J32" s="86">
        <f t="shared" si="11"/>
        <v>44.259414062500007</v>
      </c>
      <c r="K32" s="86">
        <f t="shared" si="11"/>
        <v>55.324267578125003</v>
      </c>
      <c r="L32" s="86">
        <f t="shared" si="11"/>
        <v>66.389121093750006</v>
      </c>
      <c r="M32" s="86">
        <f t="shared" si="11"/>
        <v>79.666945312500005</v>
      </c>
      <c r="N32" s="86">
        <f t="shared" si="11"/>
        <v>92.413656562499995</v>
      </c>
      <c r="O32" s="86">
        <f t="shared" si="11"/>
        <v>104.42743191562499</v>
      </c>
      <c r="P32" s="86">
        <f t="shared" si="11"/>
        <v>114.87017510718749</v>
      </c>
      <c r="Q32" s="86">
        <f t="shared" si="11"/>
        <v>122.91108736469062</v>
      </c>
      <c r="R32" s="86">
        <f t="shared" si="11"/>
        <v>129.05664173292516</v>
      </c>
    </row>
    <row r="33" spans="1:22" ht="15.75" customHeight="1" x14ac:dyDescent="0.25">
      <c r="A33" s="4"/>
      <c r="B33" s="66"/>
      <c r="C33" s="73"/>
      <c r="D33" s="73"/>
      <c r="E33" s="73"/>
      <c r="F33" s="73"/>
      <c r="G33" s="73"/>
      <c r="H33" s="4"/>
      <c r="I33" s="73"/>
      <c r="J33" s="73"/>
      <c r="K33" s="73"/>
      <c r="L33" s="73"/>
      <c r="M33" s="91"/>
      <c r="N33" s="91"/>
      <c r="O33" s="91"/>
      <c r="P33" s="91"/>
      <c r="Q33" s="91"/>
      <c r="R33" s="91"/>
    </row>
    <row r="34" spans="1:22" ht="15.75" customHeight="1" x14ac:dyDescent="0.25">
      <c r="A34" s="4"/>
      <c r="B34" s="83" t="s">
        <v>169</v>
      </c>
      <c r="C34" s="90">
        <f t="shared" ref="C34:R34" si="12">C45*C11</f>
        <v>25.564</v>
      </c>
      <c r="D34" s="90">
        <f t="shared" si="12"/>
        <v>228.72300000000001</v>
      </c>
      <c r="E34" s="90">
        <f t="shared" si="12"/>
        <v>177.47300000000001</v>
      </c>
      <c r="F34" s="90">
        <f t="shared" si="12"/>
        <v>237.08200000000002</v>
      </c>
      <c r="G34" s="90">
        <f t="shared" si="12"/>
        <v>277.87</v>
      </c>
      <c r="H34" s="90">
        <f t="shared" si="12"/>
        <v>314.983</v>
      </c>
      <c r="I34" s="86">
        <f t="shared" si="12"/>
        <v>374.30818750000003</v>
      </c>
      <c r="J34" s="86">
        <f t="shared" si="12"/>
        <v>455.2396875</v>
      </c>
      <c r="K34" s="86">
        <f t="shared" si="12"/>
        <v>537.43574218750007</v>
      </c>
      <c r="L34" s="86">
        <f t="shared" si="12"/>
        <v>625.95457031249998</v>
      </c>
      <c r="M34" s="86">
        <f t="shared" si="12"/>
        <v>728.38349999999991</v>
      </c>
      <c r="N34" s="86">
        <f t="shared" si="12"/>
        <v>818.52095812499988</v>
      </c>
      <c r="O34" s="86">
        <f t="shared" si="12"/>
        <v>895.09227356249983</v>
      </c>
      <c r="P34" s="86">
        <f t="shared" si="12"/>
        <v>984.60150091874971</v>
      </c>
      <c r="Q34" s="86">
        <f t="shared" si="12"/>
        <v>1053.5236059830622</v>
      </c>
      <c r="R34" s="86">
        <f t="shared" si="12"/>
        <v>1106.1997862822154</v>
      </c>
      <c r="T34" s="92"/>
      <c r="U34" s="92"/>
    </row>
    <row r="35" spans="1:22" ht="15.75" customHeight="1" x14ac:dyDescent="0.25">
      <c r="A35" s="4"/>
      <c r="B35" s="66"/>
      <c r="C35" s="73"/>
      <c r="D35" s="73"/>
      <c r="E35" s="73"/>
      <c r="F35" s="73"/>
      <c r="G35" s="73"/>
      <c r="H35" s="4"/>
      <c r="I35" s="73"/>
      <c r="J35" s="73"/>
      <c r="K35" s="73"/>
      <c r="L35" s="73"/>
      <c r="M35" s="91"/>
      <c r="N35" s="91"/>
      <c r="O35" s="91"/>
      <c r="P35" s="91"/>
      <c r="Q35" s="91"/>
      <c r="R35" s="91"/>
      <c r="T35" s="92" t="s">
        <v>170</v>
      </c>
      <c r="U35" s="92" t="s">
        <v>171</v>
      </c>
    </row>
    <row r="36" spans="1:22" ht="15.75" customHeight="1" x14ac:dyDescent="0.25">
      <c r="A36" s="4"/>
      <c r="B36" s="83" t="s">
        <v>172</v>
      </c>
      <c r="C36" s="93">
        <f t="shared" ref="C36:H36" si="13">C21/C11</f>
        <v>0.16905624137172123</v>
      </c>
      <c r="D36" s="93">
        <f t="shared" si="13"/>
        <v>0.19140412517946981</v>
      </c>
      <c r="E36" s="93">
        <f t="shared" si="13"/>
        <v>0.18828893026534571</v>
      </c>
      <c r="F36" s="93">
        <f t="shared" si="13"/>
        <v>0.17263877702331487</v>
      </c>
      <c r="G36" s="93">
        <f t="shared" si="13"/>
        <v>0.18733269292347102</v>
      </c>
      <c r="H36" s="94">
        <f t="shared" si="13"/>
        <v>0.19858893014462847</v>
      </c>
      <c r="I36" s="95">
        <f>$U$36</f>
        <v>0.18745481874525649</v>
      </c>
      <c r="J36" s="95">
        <f>$U$36</f>
        <v>0.18745481874525649</v>
      </c>
      <c r="K36" s="95">
        <f>$U$36</f>
        <v>0.18745481874525649</v>
      </c>
      <c r="L36" s="95">
        <f>$U$36</f>
        <v>0.18745481874525649</v>
      </c>
      <c r="M36" s="95">
        <f>$U$36</f>
        <v>0.18745481874525649</v>
      </c>
      <c r="N36" s="95">
        <f t="shared" ref="N36:R42" si="14">M36</f>
        <v>0.18745481874525649</v>
      </c>
      <c r="O36" s="95">
        <f t="shared" si="14"/>
        <v>0.18745481874525649</v>
      </c>
      <c r="P36" s="95">
        <f t="shared" si="14"/>
        <v>0.18745481874525649</v>
      </c>
      <c r="Q36" s="95">
        <f t="shared" si="14"/>
        <v>0.18745481874525649</v>
      </c>
      <c r="R36" s="95">
        <f t="shared" si="14"/>
        <v>0.18745481874525649</v>
      </c>
      <c r="T36" s="81">
        <f t="shared" ref="T36:T45" si="15">AVERAGE(D36:H36)</f>
        <v>0.18765069110724597</v>
      </c>
      <c r="U36" s="81">
        <f t="shared" ref="U36:U45" si="16">IFERROR(GEOMEAN(D36:H36),"n/a")</f>
        <v>0.18745481874525649</v>
      </c>
    </row>
    <row r="37" spans="1:22" ht="15.75" customHeight="1" x14ac:dyDescent="0.25">
      <c r="A37" s="4"/>
      <c r="B37" s="83" t="s">
        <v>173</v>
      </c>
      <c r="C37" s="93">
        <f t="shared" ref="C37:H37" si="17">C22/C11</f>
        <v>0.34788019447390006</v>
      </c>
      <c r="D37" s="93">
        <f t="shared" si="17"/>
        <v>0.27491157828385998</v>
      </c>
      <c r="E37" s="93">
        <f t="shared" si="17"/>
        <v>0.21479897938073236</v>
      </c>
      <c r="F37" s="93">
        <f t="shared" si="17"/>
        <v>0.18942270251817558</v>
      </c>
      <c r="G37" s="93">
        <f t="shared" si="17"/>
        <v>0.16758005123278899</v>
      </c>
      <c r="H37" s="94">
        <f t="shared" si="17"/>
        <v>0.16178990874999225</v>
      </c>
      <c r="I37" s="95">
        <v>0.16</v>
      </c>
      <c r="J37" s="95">
        <v>0.16</v>
      </c>
      <c r="K37" s="95">
        <v>0.15</v>
      </c>
      <c r="L37" s="95">
        <v>0.15</v>
      </c>
      <c r="M37" s="95">
        <v>0.14000000000000001</v>
      </c>
      <c r="N37" s="95">
        <f t="shared" si="14"/>
        <v>0.14000000000000001</v>
      </c>
      <c r="O37" s="95">
        <f t="shared" si="14"/>
        <v>0.14000000000000001</v>
      </c>
      <c r="P37" s="95">
        <f t="shared" si="14"/>
        <v>0.14000000000000001</v>
      </c>
      <c r="Q37" s="95">
        <f t="shared" si="14"/>
        <v>0.14000000000000001</v>
      </c>
      <c r="R37" s="95">
        <f t="shared" si="14"/>
        <v>0.14000000000000001</v>
      </c>
      <c r="T37" s="81">
        <f t="shared" si="15"/>
        <v>0.20170064403310986</v>
      </c>
      <c r="U37" s="81">
        <f t="shared" si="16"/>
        <v>0.19786373571365515</v>
      </c>
    </row>
    <row r="38" spans="1:22" ht="15.75" customHeight="1" x14ac:dyDescent="0.25">
      <c r="A38" s="4"/>
      <c r="B38" s="83" t="s">
        <v>174</v>
      </c>
      <c r="C38" s="93">
        <f t="shared" ref="C38:H38" si="18">C23/C11</f>
        <v>3.7298173305856226E-2</v>
      </c>
      <c r="D38" s="93">
        <f t="shared" si="18"/>
        <v>2.6558031493305628E-2</v>
      </c>
      <c r="E38" s="93">
        <f t="shared" si="18"/>
        <v>3.4003785179566162E-2</v>
      </c>
      <c r="F38" s="93">
        <f t="shared" si="18"/>
        <v>5.4642436138833024E-2</v>
      </c>
      <c r="G38" s="93">
        <f t="shared" si="18"/>
        <v>4.6514569324367594E-2</v>
      </c>
      <c r="H38" s="94">
        <f t="shared" si="18"/>
        <v>4.2794832667132084E-2</v>
      </c>
      <c r="I38" s="95">
        <f>$U$38</f>
        <v>3.966858480653139E-2</v>
      </c>
      <c r="J38" s="95">
        <f>$U$38</f>
        <v>3.966858480653139E-2</v>
      </c>
      <c r="K38" s="95">
        <f>$U$38</f>
        <v>3.966858480653139E-2</v>
      </c>
      <c r="L38" s="95">
        <f>$U$38</f>
        <v>3.966858480653139E-2</v>
      </c>
      <c r="M38" s="95">
        <f>$U$38</f>
        <v>3.966858480653139E-2</v>
      </c>
      <c r="N38" s="95">
        <f t="shared" si="14"/>
        <v>3.966858480653139E-2</v>
      </c>
      <c r="O38" s="95">
        <f t="shared" si="14"/>
        <v>3.966858480653139E-2</v>
      </c>
      <c r="P38" s="95">
        <f t="shared" si="14"/>
        <v>3.966858480653139E-2</v>
      </c>
      <c r="Q38" s="95">
        <f t="shared" si="14"/>
        <v>3.966858480653139E-2</v>
      </c>
      <c r="R38" s="95">
        <f t="shared" si="14"/>
        <v>3.966858480653139E-2</v>
      </c>
      <c r="T38" s="81">
        <f t="shared" si="15"/>
        <v>4.0902730960640898E-2</v>
      </c>
      <c r="U38" s="81">
        <f t="shared" si="16"/>
        <v>3.966858480653139E-2</v>
      </c>
    </row>
    <row r="39" spans="1:22" ht="15.75" customHeight="1" x14ac:dyDescent="0.25">
      <c r="A39" s="4"/>
      <c r="B39" s="83" t="s">
        <v>175</v>
      </c>
      <c r="C39" s="93">
        <f t="shared" ref="C39:H39" si="19">C27/C11</f>
        <v>7.7629499209699679E-2</v>
      </c>
      <c r="D39" s="93">
        <f t="shared" si="19"/>
        <v>0.12771247475749686</v>
      </c>
      <c r="E39" s="93">
        <f t="shared" si="19"/>
        <v>4.6194515320782475E-2</v>
      </c>
      <c r="F39" s="93">
        <f t="shared" si="19"/>
        <v>4.9372456354646169E-2</v>
      </c>
      <c r="G39" s="93">
        <f t="shared" si="19"/>
        <v>5.1246397694524493E-2</v>
      </c>
      <c r="H39" s="94">
        <f t="shared" si="19"/>
        <v>2.9457009940505239E-2</v>
      </c>
      <c r="I39" s="95">
        <v>0.03</v>
      </c>
      <c r="J39" s="95">
        <v>0.03</v>
      </c>
      <c r="K39" s="95">
        <v>0.03</v>
      </c>
      <c r="L39" s="95">
        <v>0.03</v>
      </c>
      <c r="M39" s="95">
        <v>0.03</v>
      </c>
      <c r="N39" s="95">
        <f t="shared" si="14"/>
        <v>0.03</v>
      </c>
      <c r="O39" s="95">
        <f t="shared" si="14"/>
        <v>0.03</v>
      </c>
      <c r="P39" s="95">
        <f t="shared" si="14"/>
        <v>0.03</v>
      </c>
      <c r="Q39" s="95">
        <f t="shared" si="14"/>
        <v>0.03</v>
      </c>
      <c r="R39" s="95">
        <f t="shared" si="14"/>
        <v>0.03</v>
      </c>
      <c r="T39" s="81">
        <f t="shared" si="15"/>
        <v>6.0796570813591057E-2</v>
      </c>
      <c r="U39" s="81">
        <f t="shared" si="16"/>
        <v>5.3534295861515403E-2</v>
      </c>
    </row>
    <row r="40" spans="1:22" ht="15.75" customHeight="1" x14ac:dyDescent="0.25">
      <c r="A40" s="4"/>
      <c r="B40" s="83" t="s">
        <v>176</v>
      </c>
      <c r="C40" s="93">
        <f t="shared" ref="C40:H40" si="20">C28/C11</f>
        <v>0.10852123807046676</v>
      </c>
      <c r="D40" s="93">
        <f t="shared" si="20"/>
        <v>0.13760403413136607</v>
      </c>
      <c r="E40" s="93">
        <f t="shared" si="20"/>
        <v>0.13769778329463869</v>
      </c>
      <c r="F40" s="93">
        <f t="shared" si="20"/>
        <v>0.10508489041322402</v>
      </c>
      <c r="G40" s="93">
        <f t="shared" si="20"/>
        <v>9.4795869356388077E-2</v>
      </c>
      <c r="H40" s="94">
        <f t="shared" si="20"/>
        <v>0.10964581158139908</v>
      </c>
      <c r="I40" s="95">
        <f>$U$40</f>
        <v>0.11565807780655947</v>
      </c>
      <c r="J40" s="95">
        <f>$U$40</f>
        <v>0.11565807780655947</v>
      </c>
      <c r="K40" s="95">
        <f>$U$40</f>
        <v>0.11565807780655947</v>
      </c>
      <c r="L40" s="95">
        <f>$U$40</f>
        <v>0.11565807780655947</v>
      </c>
      <c r="M40" s="95">
        <f>$U$40</f>
        <v>0.11565807780655947</v>
      </c>
      <c r="N40" s="95">
        <f t="shared" si="14"/>
        <v>0.11565807780655947</v>
      </c>
      <c r="O40" s="95">
        <f t="shared" si="14"/>
        <v>0.11565807780655947</v>
      </c>
      <c r="P40" s="95">
        <f t="shared" si="14"/>
        <v>0.11565807780655947</v>
      </c>
      <c r="Q40" s="95">
        <f t="shared" si="14"/>
        <v>0.11565807780655947</v>
      </c>
      <c r="R40" s="95">
        <f t="shared" si="14"/>
        <v>0.11565807780655947</v>
      </c>
      <c r="T40" s="81">
        <f t="shared" si="15"/>
        <v>0.11696567775540319</v>
      </c>
      <c r="U40" s="81">
        <f t="shared" si="16"/>
        <v>0.11565807780655947</v>
      </c>
    </row>
    <row r="41" spans="1:22" ht="15.75" customHeight="1" x14ac:dyDescent="0.25">
      <c r="A41" s="4"/>
      <c r="B41" s="89" t="s">
        <v>177</v>
      </c>
      <c r="C41" s="77">
        <f t="shared" ref="C41:H41" si="21">C29/C11</f>
        <v>0.99866749364758611</v>
      </c>
      <c r="D41" s="77">
        <f t="shared" si="21"/>
        <v>0.73232090954721085</v>
      </c>
      <c r="E41" s="77">
        <f t="shared" si="21"/>
        <v>0.65369438123041324</v>
      </c>
      <c r="F41" s="77">
        <f t="shared" si="21"/>
        <v>0.60325906644548399</v>
      </c>
      <c r="G41" s="77">
        <f t="shared" si="21"/>
        <v>0.54896733909702211</v>
      </c>
      <c r="H41" s="94">
        <f t="shared" si="21"/>
        <v>0.49983133884828529</v>
      </c>
      <c r="I41" s="95">
        <v>0.49</v>
      </c>
      <c r="J41" s="95">
        <v>0.47499999999999998</v>
      </c>
      <c r="K41" s="95">
        <v>0.47499999999999998</v>
      </c>
      <c r="L41" s="95">
        <v>0.45</v>
      </c>
      <c r="M41" s="95">
        <v>0.45</v>
      </c>
      <c r="N41" s="95">
        <f t="shared" si="14"/>
        <v>0.45</v>
      </c>
      <c r="O41" s="95">
        <f t="shared" si="14"/>
        <v>0.45</v>
      </c>
      <c r="P41" s="95">
        <f t="shared" si="14"/>
        <v>0.45</v>
      </c>
      <c r="Q41" s="95">
        <f t="shared" si="14"/>
        <v>0.45</v>
      </c>
      <c r="R41" s="95">
        <f t="shared" si="14"/>
        <v>0.45</v>
      </c>
      <c r="T41" s="81">
        <f t="shared" si="15"/>
        <v>0.60761460703368309</v>
      </c>
      <c r="U41" s="81">
        <f t="shared" si="16"/>
        <v>0.60226830238308382</v>
      </c>
    </row>
    <row r="42" spans="1:22" ht="15.75" customHeight="1" x14ac:dyDescent="0.25">
      <c r="A42" s="4"/>
      <c r="B42" s="96" t="s">
        <v>178</v>
      </c>
      <c r="C42" s="77">
        <f t="shared" ref="C42:H42" si="22">C32/C11</f>
        <v>0.12845681358916386</v>
      </c>
      <c r="D42" s="77">
        <f t="shared" si="22"/>
        <v>4.5180870559945838E-2</v>
      </c>
      <c r="E42" s="77">
        <f t="shared" si="22"/>
        <v>5.0939015700066669E-2</v>
      </c>
      <c r="F42" s="77">
        <f t="shared" si="22"/>
        <v>1.1684633315019975E-2</v>
      </c>
      <c r="G42" s="77">
        <f t="shared" si="22"/>
        <v>1.6151937239833491E-2</v>
      </c>
      <c r="H42" s="94">
        <f t="shared" si="22"/>
        <v>1.777181937811606E-2</v>
      </c>
      <c r="I42" s="95">
        <v>1.745E-2</v>
      </c>
      <c r="J42" s="95">
        <v>1.7500000000000002E-2</v>
      </c>
      <c r="K42" s="95">
        <v>1.7500000000000002E-2</v>
      </c>
      <c r="L42" s="95">
        <v>1.7500000000000002E-2</v>
      </c>
      <c r="M42" s="95">
        <v>1.7500000000000002E-2</v>
      </c>
      <c r="N42" s="95">
        <f t="shared" si="14"/>
        <v>1.7500000000000002E-2</v>
      </c>
      <c r="O42" s="95">
        <f t="shared" si="14"/>
        <v>1.7500000000000002E-2</v>
      </c>
      <c r="P42" s="95">
        <f t="shared" si="14"/>
        <v>1.7500000000000002E-2</v>
      </c>
      <c r="Q42" s="95">
        <f t="shared" si="14"/>
        <v>1.7500000000000002E-2</v>
      </c>
      <c r="R42" s="95">
        <f t="shared" si="14"/>
        <v>1.7500000000000002E-2</v>
      </c>
      <c r="T42" s="81">
        <f t="shared" si="15"/>
        <v>2.8345655238596407E-2</v>
      </c>
      <c r="U42" s="81">
        <f t="shared" si="16"/>
        <v>2.3851480860662109E-2</v>
      </c>
    </row>
    <row r="43" spans="1:22" ht="15.75" customHeight="1" x14ac:dyDescent="0.25">
      <c r="B43" s="96" t="s">
        <v>179</v>
      </c>
      <c r="C43" s="77">
        <f t="shared" ref="C43:H43" si="23">C24/C11</f>
        <v>5.4716792381104815E-2</v>
      </c>
      <c r="D43" s="77">
        <f t="shared" si="23"/>
        <v>7.7197119144614731E-2</v>
      </c>
      <c r="E43" s="77">
        <f t="shared" si="23"/>
        <v>6.2173489950884613E-2</v>
      </c>
      <c r="F43" s="77">
        <f t="shared" si="23"/>
        <v>2.3723443409058177E-2</v>
      </c>
      <c r="G43" s="77">
        <f t="shared" si="23"/>
        <v>3.1148735190521935E-2</v>
      </c>
      <c r="H43" s="94">
        <f t="shared" si="23"/>
        <v>2.9774562438605486E-2</v>
      </c>
      <c r="I43" s="95">
        <v>0.03</v>
      </c>
      <c r="J43" s="95">
        <v>0.03</v>
      </c>
      <c r="K43" s="95">
        <v>0.03</v>
      </c>
      <c r="L43" s="95">
        <v>0.03</v>
      </c>
      <c r="M43" s="95">
        <v>0.03</v>
      </c>
      <c r="N43" s="95">
        <v>0.03</v>
      </c>
      <c r="O43" s="95">
        <v>0.03</v>
      </c>
      <c r="P43" s="95">
        <v>0.03</v>
      </c>
      <c r="Q43" s="95">
        <v>0.03</v>
      </c>
      <c r="R43" s="95">
        <v>0.03</v>
      </c>
      <c r="T43" s="81">
        <f t="shared" si="15"/>
        <v>4.4803470026736993E-2</v>
      </c>
      <c r="U43" s="81">
        <f t="shared" si="16"/>
        <v>4.0247042661552351E-2</v>
      </c>
      <c r="V43" s="3" t="s">
        <v>180</v>
      </c>
    </row>
    <row r="44" spans="1:22" ht="15.75" customHeight="1" x14ac:dyDescent="0.25">
      <c r="B44" s="96" t="s">
        <v>181</v>
      </c>
      <c r="C44" s="77">
        <f t="shared" ref="C44:H44" si="24">C25/C11</f>
        <v>0.43023548948600471</v>
      </c>
      <c r="D44" s="77">
        <f t="shared" si="24"/>
        <v>0.45246471885979755</v>
      </c>
      <c r="E44" s="77">
        <f t="shared" si="24"/>
        <v>0.42433548644154817</v>
      </c>
      <c r="F44" s="77">
        <f t="shared" si="24"/>
        <v>0.35715314411901194</v>
      </c>
      <c r="G44" s="77">
        <f t="shared" si="24"/>
        <v>0.28998639129042586</v>
      </c>
      <c r="H44" s="94">
        <f t="shared" si="24"/>
        <v>0.2719268764325386</v>
      </c>
      <c r="I44" s="95">
        <v>0.27200000000000002</v>
      </c>
      <c r="J44" s="95">
        <v>0.27200000000000002</v>
      </c>
      <c r="K44" s="95">
        <v>0.27200000000000002</v>
      </c>
      <c r="L44" s="95">
        <v>0.27200000000000002</v>
      </c>
      <c r="M44" s="95">
        <v>0.27200000000000002</v>
      </c>
      <c r="N44" s="95">
        <v>0.27200000000000002</v>
      </c>
      <c r="O44" s="95">
        <v>0.27200000000000002</v>
      </c>
      <c r="P44" s="95">
        <v>0.27200000000000002</v>
      </c>
      <c r="Q44" s="95">
        <v>0.27200000000000002</v>
      </c>
      <c r="R44" s="95">
        <v>0.27200000000000002</v>
      </c>
      <c r="T44" s="81">
        <f t="shared" si="15"/>
        <v>0.35917332342866443</v>
      </c>
      <c r="U44" s="81">
        <f t="shared" si="16"/>
        <v>0.35204295721152534</v>
      </c>
      <c r="V44" s="3" t="s">
        <v>182</v>
      </c>
    </row>
    <row r="45" spans="1:22" ht="18.75" customHeight="1" x14ac:dyDescent="0.25">
      <c r="A45" s="4"/>
      <c r="B45" s="83" t="s">
        <v>183</v>
      </c>
      <c r="C45" s="97">
        <f>CFS!C5/C11</f>
        <v>0.10229487205137952</v>
      </c>
      <c r="D45" s="97">
        <f>CFS!D5/D11</f>
        <v>0.5339691136817285</v>
      </c>
      <c r="E45" s="97">
        <f>CFS!E5/E11</f>
        <v>0.27197051544337941</v>
      </c>
      <c r="F45" s="97">
        <f>CFS!F5/F11</f>
        <v>0.2529184913349371</v>
      </c>
      <c r="G45" s="97">
        <f>CFS!G5/G11</f>
        <v>0.22243836055075247</v>
      </c>
      <c r="H45" s="98">
        <f>CFS!H5/H11</f>
        <v>0.19459851850021312</v>
      </c>
      <c r="I45" s="99">
        <v>0.185</v>
      </c>
      <c r="J45" s="99">
        <v>0.18</v>
      </c>
      <c r="K45" s="99">
        <v>0.17</v>
      </c>
      <c r="L45" s="99">
        <v>0.16500000000000001</v>
      </c>
      <c r="M45" s="99">
        <v>0.16</v>
      </c>
      <c r="N45" s="99">
        <v>0.155</v>
      </c>
      <c r="O45" s="99">
        <v>0.15</v>
      </c>
      <c r="P45" s="99">
        <v>0.15</v>
      </c>
      <c r="Q45" s="99">
        <v>0.15</v>
      </c>
      <c r="R45" s="99">
        <v>0.15</v>
      </c>
      <c r="T45" s="100">
        <f t="shared" si="15"/>
        <v>0.29517899990220214</v>
      </c>
      <c r="U45" s="3">
        <f t="shared" si="16"/>
        <v>0.27559640731318719</v>
      </c>
    </row>
    <row r="46" spans="1:22" ht="15.75" customHeight="1" x14ac:dyDescent="0.25">
      <c r="A46" s="4"/>
    </row>
    <row r="47" spans="1:22" ht="15.75" customHeight="1" x14ac:dyDescent="0.25">
      <c r="A47" s="4"/>
      <c r="B47" s="3" t="s">
        <v>184</v>
      </c>
      <c r="C47" s="101">
        <v>1</v>
      </c>
      <c r="D47" s="3" t="s">
        <v>185</v>
      </c>
      <c r="E47" s="54"/>
      <c r="F47" s="54"/>
      <c r="G47" s="54"/>
      <c r="H47" s="73"/>
      <c r="I47" s="73"/>
      <c r="J47" s="73"/>
      <c r="K47" s="73"/>
      <c r="L47" s="73"/>
      <c r="M47" s="56"/>
      <c r="N47" s="56"/>
      <c r="O47" s="56"/>
      <c r="P47" s="56"/>
      <c r="Q47" s="56"/>
      <c r="R47" s="56"/>
    </row>
    <row r="48" spans="1:22" ht="15.75" customHeight="1" x14ac:dyDescent="0.25">
      <c r="A48" s="4"/>
      <c r="B48" s="83" t="s">
        <v>186</v>
      </c>
      <c r="C48" s="102">
        <v>0</v>
      </c>
      <c r="D48" s="66"/>
      <c r="E48" s="54"/>
      <c r="F48" s="54"/>
      <c r="G48" s="56"/>
      <c r="H48" s="56"/>
      <c r="I48" s="56"/>
      <c r="J48" s="56"/>
      <c r="K48" s="56"/>
      <c r="L48" s="56"/>
      <c r="M48" s="4"/>
      <c r="N48" s="4"/>
      <c r="O48" s="4"/>
      <c r="P48" s="4"/>
      <c r="Q48" s="4"/>
      <c r="R48" s="4"/>
    </row>
    <row r="49" spans="1:18" ht="15.75" customHeight="1" x14ac:dyDescent="0.3">
      <c r="A49" s="4"/>
      <c r="B49" s="61" t="s">
        <v>187</v>
      </c>
      <c r="C49" s="61"/>
      <c r="D49" s="61"/>
      <c r="E49" s="61"/>
      <c r="F49" s="61"/>
      <c r="G49" s="61"/>
      <c r="H49" s="61"/>
      <c r="I49" s="61"/>
      <c r="J49" s="61"/>
      <c r="K49" s="61"/>
      <c r="L49" s="61"/>
      <c r="M49" s="61"/>
      <c r="N49" s="61"/>
      <c r="O49" s="61"/>
      <c r="P49" s="61"/>
      <c r="Q49" s="61"/>
      <c r="R49" s="61"/>
    </row>
    <row r="50" spans="1:18" ht="15.75" customHeight="1" x14ac:dyDescent="0.25">
      <c r="A50" s="4"/>
      <c r="B50" s="103" t="s">
        <v>188</v>
      </c>
      <c r="C50" s="64"/>
      <c r="D50" s="64"/>
      <c r="E50" s="64"/>
      <c r="F50" s="64"/>
      <c r="G50" s="104"/>
      <c r="H50" s="65"/>
      <c r="I50" s="2" t="s">
        <v>144</v>
      </c>
      <c r="J50" s="2"/>
      <c r="K50" s="2"/>
      <c r="L50" s="2"/>
      <c r="M50" s="2"/>
      <c r="N50" s="2"/>
      <c r="O50" s="2"/>
      <c r="P50" s="2"/>
      <c r="Q50" s="2"/>
      <c r="R50" s="2"/>
    </row>
    <row r="51" spans="1:18" ht="15.75" customHeight="1" x14ac:dyDescent="0.25">
      <c r="A51" s="4"/>
      <c r="B51" s="4"/>
      <c r="C51" s="67" t="s">
        <v>77</v>
      </c>
      <c r="D51" s="67" t="s">
        <v>78</v>
      </c>
      <c r="E51" s="67" t="s">
        <v>79</v>
      </c>
      <c r="F51" s="67" t="s">
        <v>80</v>
      </c>
      <c r="G51" s="67" t="s">
        <v>81</v>
      </c>
      <c r="H51" s="82" t="s">
        <v>82</v>
      </c>
      <c r="I51" s="68" t="s">
        <v>145</v>
      </c>
      <c r="J51" s="68" t="s">
        <v>146</v>
      </c>
      <c r="K51" s="68" t="s">
        <v>147</v>
      </c>
      <c r="L51" s="68" t="s">
        <v>148</v>
      </c>
      <c r="M51" s="68" t="s">
        <v>149</v>
      </c>
      <c r="N51" s="68" t="s">
        <v>150</v>
      </c>
      <c r="O51" s="68" t="s">
        <v>151</v>
      </c>
      <c r="P51" s="68" t="s">
        <v>152</v>
      </c>
      <c r="Q51" s="68" t="s">
        <v>153</v>
      </c>
      <c r="R51" s="69" t="s">
        <v>154</v>
      </c>
    </row>
    <row r="52" spans="1:18" ht="15.75" customHeight="1" x14ac:dyDescent="0.25">
      <c r="A52" s="4"/>
      <c r="B52" s="105" t="s">
        <v>189</v>
      </c>
      <c r="C52" s="106"/>
      <c r="D52" s="106"/>
      <c r="E52" s="106"/>
      <c r="F52" s="106"/>
      <c r="G52" s="106"/>
      <c r="H52" s="53"/>
      <c r="I52" s="107">
        <f>$F$7/2</f>
        <v>0.20684931506849316</v>
      </c>
      <c r="J52" s="107">
        <f t="shared" ref="J52:R52" si="25">I52+1</f>
        <v>1.2068493150684931</v>
      </c>
      <c r="K52" s="107">
        <f t="shared" si="25"/>
        <v>2.2068493150684931</v>
      </c>
      <c r="L52" s="107">
        <f t="shared" si="25"/>
        <v>3.2068493150684931</v>
      </c>
      <c r="M52" s="108">
        <f t="shared" si="25"/>
        <v>4.2068493150684931</v>
      </c>
      <c r="N52" s="108">
        <f t="shared" si="25"/>
        <v>5.2068493150684931</v>
      </c>
      <c r="O52" s="108">
        <f t="shared" si="25"/>
        <v>6.2068493150684931</v>
      </c>
      <c r="P52" s="108">
        <f t="shared" si="25"/>
        <v>7.2068493150684931</v>
      </c>
      <c r="Q52" s="108">
        <f t="shared" si="25"/>
        <v>8.2068493150684922</v>
      </c>
      <c r="R52" s="108">
        <f t="shared" si="25"/>
        <v>9.2068493150684922</v>
      </c>
    </row>
    <row r="53" spans="1:18" ht="15.75" customHeight="1" x14ac:dyDescent="0.25">
      <c r="A53" s="4"/>
      <c r="B53" s="103" t="s">
        <v>190</v>
      </c>
      <c r="C53" s="109">
        <f t="shared" ref="C53:R53" si="26">C11</f>
        <v>249.905</v>
      </c>
      <c r="D53" s="109">
        <f t="shared" si="26"/>
        <v>428.34500000000003</v>
      </c>
      <c r="E53" s="109">
        <f t="shared" si="26"/>
        <v>652.54499999999996</v>
      </c>
      <c r="F53" s="109">
        <f t="shared" si="26"/>
        <v>937.38499999999999</v>
      </c>
      <c r="G53" s="109">
        <f t="shared" si="26"/>
        <v>1249.2</v>
      </c>
      <c r="H53" s="109">
        <f t="shared" si="26"/>
        <v>1618.63</v>
      </c>
      <c r="I53" s="109">
        <f t="shared" si="26"/>
        <v>2023.2875000000001</v>
      </c>
      <c r="J53" s="109">
        <f t="shared" si="26"/>
        <v>2529.109375</v>
      </c>
      <c r="K53" s="109">
        <f t="shared" si="26"/>
        <v>3161.38671875</v>
      </c>
      <c r="L53" s="109">
        <f t="shared" si="26"/>
        <v>3793.6640625</v>
      </c>
      <c r="M53" s="109">
        <f t="shared" si="26"/>
        <v>4552.3968749999995</v>
      </c>
      <c r="N53" s="109">
        <f t="shared" si="26"/>
        <v>5280.7803749999994</v>
      </c>
      <c r="O53" s="109">
        <f t="shared" si="26"/>
        <v>5967.2818237499987</v>
      </c>
      <c r="P53" s="109">
        <f t="shared" si="26"/>
        <v>6564.0100061249987</v>
      </c>
      <c r="Q53" s="109">
        <f t="shared" si="26"/>
        <v>7023.4907065537491</v>
      </c>
      <c r="R53" s="109">
        <f t="shared" si="26"/>
        <v>7374.6652418814365</v>
      </c>
    </row>
    <row r="54" spans="1:18" ht="15.75" customHeight="1" x14ac:dyDescent="0.25">
      <c r="A54" s="4"/>
      <c r="B54" s="103" t="s">
        <v>155</v>
      </c>
      <c r="C54" s="109">
        <f t="shared" ref="C54:R54" si="27">C13</f>
        <v>-209.47899999999998</v>
      </c>
      <c r="D54" s="109">
        <f t="shared" si="27"/>
        <v>-353.84800000000001</v>
      </c>
      <c r="E54" s="109">
        <f t="shared" si="27"/>
        <v>-259.4550000000001</v>
      </c>
      <c r="F54" s="109">
        <f t="shared" si="27"/>
        <v>-323.34699999999998</v>
      </c>
      <c r="G54" s="109">
        <f t="shared" si="27"/>
        <v>-189.97199999999987</v>
      </c>
      <c r="H54" s="109">
        <f t="shared" si="27"/>
        <v>-52.580999999999676</v>
      </c>
      <c r="I54" s="109">
        <f t="shared" si="27"/>
        <v>35.40753124999992</v>
      </c>
      <c r="J54" s="109">
        <f t="shared" si="27"/>
        <v>196.00597656249988</v>
      </c>
      <c r="K54" s="109">
        <f t="shared" si="27"/>
        <v>403.07680664062491</v>
      </c>
      <c r="L54" s="109">
        <f t="shared" si="27"/>
        <v>502.66048828124985</v>
      </c>
      <c r="M54" s="109">
        <f t="shared" si="27"/>
        <v>603.19258593749964</v>
      </c>
      <c r="N54" s="109">
        <f t="shared" si="27"/>
        <v>884.53071281249959</v>
      </c>
      <c r="O54" s="109">
        <f t="shared" si="27"/>
        <v>1118.8653419531242</v>
      </c>
      <c r="P54" s="109">
        <f t="shared" si="27"/>
        <v>1362.0320762709366</v>
      </c>
      <c r="Q54" s="109">
        <f t="shared" si="27"/>
        <v>1597.8441357409783</v>
      </c>
      <c r="R54" s="109">
        <f t="shared" si="27"/>
        <v>1825.2296473656552</v>
      </c>
    </row>
    <row r="55" spans="1:18" ht="15.75" customHeight="1" x14ac:dyDescent="0.25">
      <c r="A55" s="4"/>
      <c r="B55" s="103" t="s">
        <v>52</v>
      </c>
      <c r="C55" s="110">
        <f>IF(ISNUMBER(IS!C8),IS!C8,0)</f>
        <v>0</v>
      </c>
      <c r="D55" s="110">
        <f>IF(ISNUMBER(IS!D8),IS!D8,0)</f>
        <v>0</v>
      </c>
      <c r="E55" s="110">
        <f>IF(ISNUMBER(IS!E8),IS!E8,0)</f>
        <v>0</v>
      </c>
      <c r="F55" s="110">
        <f>IF(ISNUMBER(IS!F8),IS!F8,0)</f>
        <v>0</v>
      </c>
      <c r="G55" s="110">
        <f>IF(ISNUMBER(IS!G8),IS!G8,0)</f>
        <v>0</v>
      </c>
      <c r="H55" s="110">
        <f>IF(ISNUMBER(IS!H8),IS!H8,0)</f>
        <v>0</v>
      </c>
      <c r="I55" s="110">
        <v>0.21299999999999999</v>
      </c>
      <c r="J55" s="110">
        <f t="shared" ref="J55:R55" si="28">I55</f>
        <v>0.21299999999999999</v>
      </c>
      <c r="K55" s="110">
        <f t="shared" si="28"/>
        <v>0.21299999999999999</v>
      </c>
      <c r="L55" s="110">
        <f t="shared" si="28"/>
        <v>0.21299999999999999</v>
      </c>
      <c r="M55" s="111">
        <f t="shared" si="28"/>
        <v>0.21299999999999999</v>
      </c>
      <c r="N55" s="111">
        <f t="shared" si="28"/>
        <v>0.21299999999999999</v>
      </c>
      <c r="O55" s="111">
        <f t="shared" si="28"/>
        <v>0.21299999999999999</v>
      </c>
      <c r="P55" s="111">
        <f t="shared" si="28"/>
        <v>0.21299999999999999</v>
      </c>
      <c r="Q55" s="111">
        <f t="shared" si="28"/>
        <v>0.21299999999999999</v>
      </c>
      <c r="R55" s="111">
        <f t="shared" si="28"/>
        <v>0.21299999999999999</v>
      </c>
    </row>
    <row r="56" spans="1:18" ht="15.75" customHeight="1" x14ac:dyDescent="0.25">
      <c r="A56" s="4"/>
      <c r="B56" s="112" t="s">
        <v>191</v>
      </c>
      <c r="C56" s="113">
        <f t="shared" ref="C56:R56" si="29">C54*(1-C55)</f>
        <v>-209.47899999999998</v>
      </c>
      <c r="D56" s="113">
        <f t="shared" si="29"/>
        <v>-353.84800000000001</v>
      </c>
      <c r="E56" s="113">
        <f t="shared" si="29"/>
        <v>-259.4550000000001</v>
      </c>
      <c r="F56" s="113">
        <f t="shared" si="29"/>
        <v>-323.34699999999998</v>
      </c>
      <c r="G56" s="113">
        <f t="shared" si="29"/>
        <v>-189.97199999999987</v>
      </c>
      <c r="H56" s="113">
        <f t="shared" si="29"/>
        <v>-52.580999999999676</v>
      </c>
      <c r="I56" s="114">
        <f t="shared" si="29"/>
        <v>27.865727093749939</v>
      </c>
      <c r="J56" s="114">
        <f t="shared" si="29"/>
        <v>154.25670355468742</v>
      </c>
      <c r="K56" s="114">
        <f t="shared" si="29"/>
        <v>317.22144682617181</v>
      </c>
      <c r="L56" s="114">
        <f t="shared" si="29"/>
        <v>395.59380427734368</v>
      </c>
      <c r="M56" s="113">
        <f t="shared" si="29"/>
        <v>474.71256513281224</v>
      </c>
      <c r="N56" s="113">
        <f t="shared" si="29"/>
        <v>696.1256709834372</v>
      </c>
      <c r="O56" s="113">
        <f t="shared" si="29"/>
        <v>880.54702411710878</v>
      </c>
      <c r="P56" s="113">
        <f t="shared" si="29"/>
        <v>1071.9192440252273</v>
      </c>
      <c r="Q56" s="113">
        <f t="shared" si="29"/>
        <v>1257.5033348281499</v>
      </c>
      <c r="R56" s="113">
        <f t="shared" si="29"/>
        <v>1436.4557324767707</v>
      </c>
    </row>
    <row r="57" spans="1:18" ht="15.75" customHeight="1" x14ac:dyDescent="0.25">
      <c r="A57" s="4"/>
      <c r="B57" s="83" t="s">
        <v>156</v>
      </c>
      <c r="C57" s="115">
        <f t="shared" ref="C57:R57" si="30">C15</f>
        <v>10.738</v>
      </c>
      <c r="D57" s="115">
        <f t="shared" si="30"/>
        <v>10.388</v>
      </c>
      <c r="E57" s="115">
        <f t="shared" si="30"/>
        <v>11.768000000000001</v>
      </c>
      <c r="F57" s="115">
        <f t="shared" si="30"/>
        <v>15.526</v>
      </c>
      <c r="G57" s="115">
        <f t="shared" si="30"/>
        <v>20.649000000000001</v>
      </c>
      <c r="H57" s="115">
        <f t="shared" si="30"/>
        <v>24.047999999999998</v>
      </c>
      <c r="I57" s="115">
        <f t="shared" si="30"/>
        <v>35.982529215182502</v>
      </c>
      <c r="J57" s="115">
        <f t="shared" si="30"/>
        <v>44.978161518978119</v>
      </c>
      <c r="K57" s="115">
        <f t="shared" si="30"/>
        <v>56.222701898722654</v>
      </c>
      <c r="L57" s="115">
        <f t="shared" si="30"/>
        <v>67.467242278467182</v>
      </c>
      <c r="M57" s="116">
        <f t="shared" si="30"/>
        <v>80.960690734160607</v>
      </c>
      <c r="N57" s="116">
        <f t="shared" si="30"/>
        <v>93.914401251626302</v>
      </c>
      <c r="O57" s="116">
        <f t="shared" si="30"/>
        <v>106.12327341433772</v>
      </c>
      <c r="P57" s="116">
        <f t="shared" si="30"/>
        <v>116.73560075577149</v>
      </c>
      <c r="Q57" s="116">
        <f t="shared" si="30"/>
        <v>124.9070928086755</v>
      </c>
      <c r="R57" s="116">
        <f t="shared" si="30"/>
        <v>131.15244744910927</v>
      </c>
    </row>
    <row r="58" spans="1:18" ht="15.75" customHeight="1" x14ac:dyDescent="0.25">
      <c r="A58" s="4"/>
      <c r="B58" s="83" t="s">
        <v>192</v>
      </c>
      <c r="C58" s="117">
        <v>0</v>
      </c>
      <c r="D58" s="117">
        <f t="shared" ref="D58:R58" si="31">(D21-C21)*-1</f>
        <v>-39.738999999999997</v>
      </c>
      <c r="E58" s="117">
        <f t="shared" si="31"/>
        <v>-40.88000000000001</v>
      </c>
      <c r="F58" s="117">
        <f t="shared" si="31"/>
        <v>-38.962000000000003</v>
      </c>
      <c r="G58" s="117">
        <f t="shared" si="31"/>
        <v>-72.186999999999983</v>
      </c>
      <c r="H58" s="117">
        <f t="shared" si="31"/>
        <v>-87.426000000000016</v>
      </c>
      <c r="I58" s="117">
        <f t="shared" si="31"/>
        <v>-57.832991582043178</v>
      </c>
      <c r="J58" s="117">
        <f t="shared" si="31"/>
        <v>-94.818747895510739</v>
      </c>
      <c r="K58" s="117">
        <f t="shared" si="31"/>
        <v>-118.5234348693885</v>
      </c>
      <c r="L58" s="117">
        <f t="shared" si="31"/>
        <v>-118.52343486938844</v>
      </c>
      <c r="M58" s="117">
        <f t="shared" si="31"/>
        <v>-142.22812184326608</v>
      </c>
      <c r="N58" s="117">
        <f t="shared" si="31"/>
        <v>-136.53899696953556</v>
      </c>
      <c r="O58" s="117">
        <f t="shared" si="31"/>
        <v>-128.68800464378717</v>
      </c>
      <c r="P58" s="117">
        <f t="shared" si="31"/>
        <v>-111.85957326729181</v>
      </c>
      <c r="Q58" s="117">
        <f t="shared" si="31"/>
        <v>-86.131871415815112</v>
      </c>
      <c r="R58" s="117">
        <f t="shared" si="31"/>
        <v>-65.829358867801147</v>
      </c>
    </row>
    <row r="59" spans="1:18" ht="15.75" customHeight="1" x14ac:dyDescent="0.25">
      <c r="A59" s="4"/>
      <c r="B59" s="83" t="s">
        <v>193</v>
      </c>
      <c r="C59" s="117">
        <v>0</v>
      </c>
      <c r="D59" s="117">
        <f t="shared" ref="D59:R59" si="32">(D22-C22)*-1</f>
        <v>-30.820000000000007</v>
      </c>
      <c r="E59" s="117">
        <f t="shared" si="32"/>
        <v>-22.408999999999992</v>
      </c>
      <c r="F59" s="117">
        <f t="shared" si="32"/>
        <v>-37.396000000000015</v>
      </c>
      <c r="G59" s="117">
        <f t="shared" si="32"/>
        <v>-31.778999999999996</v>
      </c>
      <c r="H59" s="117">
        <f t="shared" si="32"/>
        <v>-52.536999999999978</v>
      </c>
      <c r="I59" s="117">
        <f t="shared" si="32"/>
        <v>-61.84800000000007</v>
      </c>
      <c r="J59" s="117">
        <f t="shared" si="32"/>
        <v>-80.931499999999971</v>
      </c>
      <c r="K59" s="117">
        <f t="shared" si="32"/>
        <v>-69.550507812499973</v>
      </c>
      <c r="L59" s="117">
        <f t="shared" si="32"/>
        <v>-94.841601562499932</v>
      </c>
      <c r="M59" s="117">
        <f t="shared" si="32"/>
        <v>-68.285953125000106</v>
      </c>
      <c r="N59" s="117">
        <f t="shared" si="32"/>
        <v>-101.97368999999992</v>
      </c>
      <c r="O59" s="117">
        <f t="shared" si="32"/>
        <v>-96.110202824999988</v>
      </c>
      <c r="P59" s="117">
        <f t="shared" si="32"/>
        <v>-83.541945532499994</v>
      </c>
      <c r="Q59" s="117">
        <f t="shared" si="32"/>
        <v>-64.327298060024987</v>
      </c>
      <c r="R59" s="117">
        <f t="shared" si="32"/>
        <v>-49.164434945876337</v>
      </c>
    </row>
    <row r="60" spans="1:18" ht="15.75" customHeight="1" x14ac:dyDescent="0.25">
      <c r="A60" s="4"/>
      <c r="B60" s="83" t="s">
        <v>194</v>
      </c>
      <c r="C60" s="117">
        <v>0</v>
      </c>
      <c r="D60" s="117">
        <f t="shared" ref="D60:R60" si="33">(D23-C23)*-1</f>
        <v>-2.0549999999999997</v>
      </c>
      <c r="E60" s="117">
        <f t="shared" si="33"/>
        <v>-10.813000000000001</v>
      </c>
      <c r="F60" s="117">
        <f t="shared" si="33"/>
        <v>-29.031999999999996</v>
      </c>
      <c r="G60" s="117">
        <f t="shared" si="33"/>
        <v>-6.8850000000000051</v>
      </c>
      <c r="H60" s="117">
        <f t="shared" si="33"/>
        <v>-11.163000000000004</v>
      </c>
      <c r="I60" s="117">
        <f t="shared" si="33"/>
        <v>-10.991951781744874</v>
      </c>
      <c r="J60" s="117">
        <f t="shared" si="33"/>
        <v>-20.065237945436223</v>
      </c>
      <c r="K60" s="117">
        <f t="shared" si="33"/>
        <v>-25.081547431795272</v>
      </c>
      <c r="L60" s="117">
        <f t="shared" si="33"/>
        <v>-25.081547431795286</v>
      </c>
      <c r="M60" s="117">
        <f t="shared" si="33"/>
        <v>-30.097856918154292</v>
      </c>
      <c r="N60" s="117">
        <f t="shared" si="33"/>
        <v>-28.893942641428168</v>
      </c>
      <c r="O60" s="117">
        <f t="shared" si="33"/>
        <v>-27.232540939545999</v>
      </c>
      <c r="P60" s="117">
        <f t="shared" si="33"/>
        <v>-23.671362508990001</v>
      </c>
      <c r="Q60" s="117">
        <f t="shared" si="33"/>
        <v>-18.226949131922368</v>
      </c>
      <c r="R60" s="117">
        <f t="shared" si="33"/>
        <v>-13.930596836540587</v>
      </c>
    </row>
    <row r="61" spans="1:18" ht="15.75" customHeight="1" x14ac:dyDescent="0.25">
      <c r="A61" s="4"/>
      <c r="B61" s="83" t="s">
        <v>195</v>
      </c>
      <c r="C61" s="117">
        <v>0</v>
      </c>
      <c r="D61" s="117">
        <f t="shared" ref="D61:R61" si="34">(D27-C27)</f>
        <v>35.305</v>
      </c>
      <c r="E61" s="117">
        <f t="shared" si="34"/>
        <v>-24.561</v>
      </c>
      <c r="F61" s="117">
        <f t="shared" si="34"/>
        <v>16.137</v>
      </c>
      <c r="G61" s="117">
        <f t="shared" si="34"/>
        <v>17.735999999999997</v>
      </c>
      <c r="H61" s="117">
        <f t="shared" si="34"/>
        <v>-16.336999999999996</v>
      </c>
      <c r="I61" s="117">
        <f t="shared" si="34"/>
        <v>13.018625</v>
      </c>
      <c r="J61" s="117">
        <f t="shared" si="34"/>
        <v>15.174656249999991</v>
      </c>
      <c r="K61" s="117">
        <f t="shared" si="34"/>
        <v>18.968320312500012</v>
      </c>
      <c r="L61" s="117">
        <f t="shared" si="34"/>
        <v>18.968320312499998</v>
      </c>
      <c r="M61" s="117">
        <f t="shared" si="34"/>
        <v>22.761984374999983</v>
      </c>
      <c r="N61" s="117">
        <f t="shared" si="34"/>
        <v>21.851505000000003</v>
      </c>
      <c r="O61" s="117">
        <f t="shared" si="34"/>
        <v>20.595043462499973</v>
      </c>
      <c r="P61" s="117">
        <f t="shared" si="34"/>
        <v>17.901845471249999</v>
      </c>
      <c r="Q61" s="117">
        <f t="shared" si="34"/>
        <v>13.784421012862509</v>
      </c>
      <c r="R61" s="117">
        <f t="shared" si="34"/>
        <v>10.535236059830623</v>
      </c>
    </row>
    <row r="62" spans="1:18" ht="15.75" customHeight="1" x14ac:dyDescent="0.25">
      <c r="A62" s="4"/>
      <c r="B62" s="83" t="s">
        <v>196</v>
      </c>
      <c r="C62" s="117">
        <v>0</v>
      </c>
      <c r="D62" s="117">
        <f t="shared" ref="D62:R62" si="35">(D28-C28)</f>
        <v>31.822000000000003</v>
      </c>
      <c r="E62" s="117">
        <f t="shared" si="35"/>
        <v>30.911999999999999</v>
      </c>
      <c r="F62" s="117">
        <f t="shared" si="35"/>
        <v>8.6509999999999962</v>
      </c>
      <c r="G62" s="117">
        <f t="shared" si="35"/>
        <v>19.914000000000001</v>
      </c>
      <c r="H62" s="117">
        <f t="shared" si="35"/>
        <v>59.057000000000002</v>
      </c>
      <c r="I62" s="117">
        <f t="shared" si="35"/>
        <v>56.533543100039196</v>
      </c>
      <c r="J62" s="117">
        <f t="shared" si="35"/>
        <v>58.50238577500977</v>
      </c>
      <c r="K62" s="117">
        <f t="shared" si="35"/>
        <v>73.12798221876227</v>
      </c>
      <c r="L62" s="117">
        <f t="shared" si="35"/>
        <v>73.12798221876227</v>
      </c>
      <c r="M62" s="117">
        <f t="shared" si="35"/>
        <v>87.753578662514656</v>
      </c>
      <c r="N62" s="117">
        <f t="shared" si="35"/>
        <v>84.243435516014074</v>
      </c>
      <c r="O62" s="117">
        <f t="shared" si="35"/>
        <v>79.399437973843192</v>
      </c>
      <c r="P62" s="117">
        <f t="shared" si="35"/>
        <v>69.016434546494565</v>
      </c>
      <c r="Q62" s="117">
        <f t="shared" si="35"/>
        <v>53.142654600800824</v>
      </c>
      <c r="R62" s="117">
        <f t="shared" si="35"/>
        <v>40.616171730612109</v>
      </c>
    </row>
    <row r="63" spans="1:18" ht="15.75" customHeight="1" x14ac:dyDescent="0.25">
      <c r="A63" s="4"/>
      <c r="B63" s="83" t="s">
        <v>197</v>
      </c>
      <c r="C63" s="117">
        <v>0</v>
      </c>
      <c r="D63" s="117">
        <f t="shared" ref="D63:R63" si="36">(D29-C29)</f>
        <v>64.114000000000033</v>
      </c>
      <c r="E63" s="117">
        <f t="shared" si="36"/>
        <v>112.87899999999996</v>
      </c>
      <c r="F63" s="117">
        <f t="shared" si="36"/>
        <v>138.92099999999999</v>
      </c>
      <c r="G63" s="117">
        <f t="shared" si="36"/>
        <v>120.28399999999999</v>
      </c>
      <c r="H63" s="117">
        <f t="shared" si="36"/>
        <v>123.27200000000005</v>
      </c>
      <c r="I63" s="117">
        <f t="shared" si="36"/>
        <v>182.368875</v>
      </c>
      <c r="J63" s="117">
        <f t="shared" si="36"/>
        <v>209.91607812500001</v>
      </c>
      <c r="K63" s="117">
        <f t="shared" si="36"/>
        <v>300.33173828124995</v>
      </c>
      <c r="L63" s="117">
        <f t="shared" si="36"/>
        <v>205.49013671875014</v>
      </c>
      <c r="M63" s="117">
        <f t="shared" si="36"/>
        <v>341.42976562499985</v>
      </c>
      <c r="N63" s="117">
        <f t="shared" si="36"/>
        <v>327.77257499999996</v>
      </c>
      <c r="O63" s="117">
        <f t="shared" si="36"/>
        <v>308.92565193749942</v>
      </c>
      <c r="P63" s="117">
        <f t="shared" si="36"/>
        <v>268.52768206874998</v>
      </c>
      <c r="Q63" s="117">
        <f t="shared" si="36"/>
        <v>206.76631519293778</v>
      </c>
      <c r="R63" s="117">
        <f t="shared" si="36"/>
        <v>158.02854089745915</v>
      </c>
    </row>
    <row r="64" spans="1:18" ht="15.75" customHeight="1" x14ac:dyDescent="0.25">
      <c r="B64" s="83" t="s">
        <v>198</v>
      </c>
      <c r="C64" s="117">
        <v>0</v>
      </c>
      <c r="D64" s="117">
        <f t="shared" ref="D64:R64" si="37">(D24-C24)*-1</f>
        <v>-19.393000000000001</v>
      </c>
      <c r="E64" s="117">
        <f t="shared" si="37"/>
        <v>-7.5039999999999978</v>
      </c>
      <c r="F64" s="117">
        <f t="shared" si="37"/>
        <v>18.332999999999998</v>
      </c>
      <c r="G64" s="117">
        <f t="shared" si="37"/>
        <v>-16.673000000000002</v>
      </c>
      <c r="H64" s="117">
        <f t="shared" si="37"/>
        <v>-9.2830000000000013</v>
      </c>
      <c r="I64" s="117">
        <f t="shared" si="37"/>
        <v>-12.504624999999997</v>
      </c>
      <c r="J64" s="117">
        <f t="shared" si="37"/>
        <v>-15.174656249999991</v>
      </c>
      <c r="K64" s="117">
        <f t="shared" si="37"/>
        <v>-18.968320312500012</v>
      </c>
      <c r="L64" s="117">
        <f t="shared" si="37"/>
        <v>-18.968320312499998</v>
      </c>
      <c r="M64" s="117">
        <f t="shared" si="37"/>
        <v>-22.761984374999983</v>
      </c>
      <c r="N64" s="117">
        <f t="shared" si="37"/>
        <v>-21.851505000000003</v>
      </c>
      <c r="O64" s="117">
        <f t="shared" si="37"/>
        <v>-20.595043462499973</v>
      </c>
      <c r="P64" s="117">
        <f t="shared" si="37"/>
        <v>-17.901845471249999</v>
      </c>
      <c r="Q64" s="117">
        <f t="shared" si="37"/>
        <v>-13.784421012862509</v>
      </c>
      <c r="R64" s="117">
        <f t="shared" si="37"/>
        <v>-10.535236059830623</v>
      </c>
    </row>
    <row r="65" spans="1:18" ht="15.75" customHeight="1" x14ac:dyDescent="0.25">
      <c r="B65" s="83" t="s">
        <v>199</v>
      </c>
      <c r="C65" s="117">
        <v>0</v>
      </c>
      <c r="D65" s="117">
        <f t="shared" ref="D65:R65" si="38">(D25-C25)*-1</f>
        <v>-86.293000000000006</v>
      </c>
      <c r="E65" s="117">
        <f t="shared" si="38"/>
        <v>-83.087000000000018</v>
      </c>
      <c r="F65" s="117">
        <f t="shared" si="38"/>
        <v>-57.891999999999996</v>
      </c>
      <c r="G65" s="117">
        <f t="shared" si="38"/>
        <v>-27.460999999999956</v>
      </c>
      <c r="H65" s="117">
        <f t="shared" si="38"/>
        <v>-77.898000000000025</v>
      </c>
      <c r="I65" s="117">
        <f t="shared" si="38"/>
        <v>-110.18520000000012</v>
      </c>
      <c r="J65" s="117">
        <f t="shared" si="38"/>
        <v>-137.58354999999995</v>
      </c>
      <c r="K65" s="117">
        <f t="shared" si="38"/>
        <v>-171.97943750000002</v>
      </c>
      <c r="L65" s="117">
        <f t="shared" si="38"/>
        <v>-171.97943750000002</v>
      </c>
      <c r="M65" s="117">
        <f t="shared" si="38"/>
        <v>-206.37532499999975</v>
      </c>
      <c r="N65" s="117">
        <f t="shared" si="38"/>
        <v>-198.12031200000001</v>
      </c>
      <c r="O65" s="117">
        <f t="shared" si="38"/>
        <v>-186.7283940599998</v>
      </c>
      <c r="P65" s="117">
        <f t="shared" si="38"/>
        <v>-162.31006560600008</v>
      </c>
      <c r="Q65" s="117">
        <f t="shared" si="38"/>
        <v>-124.97875051662004</v>
      </c>
      <c r="R65" s="117">
        <f t="shared" si="38"/>
        <v>-95.519473609131182</v>
      </c>
    </row>
    <row r="66" spans="1:18" ht="18.75" customHeight="1" x14ac:dyDescent="0.25">
      <c r="A66" s="4"/>
      <c r="B66" s="83" t="s">
        <v>200</v>
      </c>
      <c r="C66" s="117">
        <f t="shared" ref="C66:R66" si="39">IF($C$47=1,C34,0)</f>
        <v>25.564</v>
      </c>
      <c r="D66" s="117">
        <f t="shared" si="39"/>
        <v>228.72300000000001</v>
      </c>
      <c r="E66" s="117">
        <f t="shared" si="39"/>
        <v>177.47300000000001</v>
      </c>
      <c r="F66" s="117">
        <f t="shared" si="39"/>
        <v>237.08200000000002</v>
      </c>
      <c r="G66" s="117">
        <f t="shared" si="39"/>
        <v>277.87</v>
      </c>
      <c r="H66" s="117">
        <f t="shared" si="39"/>
        <v>314.983</v>
      </c>
      <c r="I66" s="117">
        <f t="shared" si="39"/>
        <v>374.30818750000003</v>
      </c>
      <c r="J66" s="117">
        <f t="shared" si="39"/>
        <v>455.2396875</v>
      </c>
      <c r="K66" s="117">
        <f t="shared" si="39"/>
        <v>537.43574218750007</v>
      </c>
      <c r="L66" s="117">
        <f t="shared" si="39"/>
        <v>625.95457031249998</v>
      </c>
      <c r="M66" s="117">
        <f t="shared" si="39"/>
        <v>728.38349999999991</v>
      </c>
      <c r="N66" s="117">
        <f t="shared" si="39"/>
        <v>818.52095812499988</v>
      </c>
      <c r="O66" s="117">
        <f t="shared" si="39"/>
        <v>895.09227356249983</v>
      </c>
      <c r="P66" s="117">
        <f t="shared" si="39"/>
        <v>984.60150091874971</v>
      </c>
      <c r="Q66" s="117">
        <f t="shared" si="39"/>
        <v>1053.5236059830622</v>
      </c>
      <c r="R66" s="117">
        <f t="shared" si="39"/>
        <v>1106.1997862822154</v>
      </c>
    </row>
    <row r="67" spans="1:18" ht="15.75" customHeight="1" x14ac:dyDescent="0.25">
      <c r="A67" s="4"/>
      <c r="B67" s="103" t="s">
        <v>168</v>
      </c>
      <c r="C67" s="118">
        <f t="shared" ref="C67:R67" si="40">-C32</f>
        <v>-32.101999999999997</v>
      </c>
      <c r="D67" s="118">
        <f t="shared" si="40"/>
        <v>-19.353000000000002</v>
      </c>
      <c r="E67" s="118">
        <f t="shared" si="40"/>
        <v>-33.24</v>
      </c>
      <c r="F67" s="118">
        <f t="shared" si="40"/>
        <v>-10.952999999999999</v>
      </c>
      <c r="G67" s="118">
        <f t="shared" si="40"/>
        <v>-20.177</v>
      </c>
      <c r="H67" s="118">
        <f t="shared" si="40"/>
        <v>-28.765999999999998</v>
      </c>
      <c r="I67" s="118">
        <f t="shared" si="40"/>
        <v>-35.306366875000002</v>
      </c>
      <c r="J67" s="118">
        <f t="shared" si="40"/>
        <v>-44.259414062500007</v>
      </c>
      <c r="K67" s="118">
        <f t="shared" si="40"/>
        <v>-55.324267578125003</v>
      </c>
      <c r="L67" s="118">
        <f t="shared" si="40"/>
        <v>-66.389121093750006</v>
      </c>
      <c r="M67" s="118">
        <f t="shared" si="40"/>
        <v>-79.666945312500005</v>
      </c>
      <c r="N67" s="118">
        <f t="shared" si="40"/>
        <v>-92.413656562499995</v>
      </c>
      <c r="O67" s="118">
        <f t="shared" si="40"/>
        <v>-104.42743191562499</v>
      </c>
      <c r="P67" s="118">
        <f t="shared" si="40"/>
        <v>-114.87017510718749</v>
      </c>
      <c r="Q67" s="118">
        <f t="shared" si="40"/>
        <v>-122.91108736469062</v>
      </c>
      <c r="R67" s="118">
        <f t="shared" si="40"/>
        <v>-129.05664173292516</v>
      </c>
    </row>
    <row r="68" spans="1:18" ht="15.75" customHeight="1" x14ac:dyDescent="0.25">
      <c r="A68" s="4"/>
      <c r="B68" s="119" t="s">
        <v>201</v>
      </c>
      <c r="C68" s="113">
        <f t="shared" ref="C68:R68" si="41">SUM(C56:C67)</f>
        <v>-205.279</v>
      </c>
      <c r="D68" s="113">
        <f t="shared" si="41"/>
        <v>-181.149</v>
      </c>
      <c r="E68" s="113">
        <f t="shared" si="41"/>
        <v>-148.91700000000014</v>
      </c>
      <c r="F68" s="113">
        <f t="shared" si="41"/>
        <v>-62.931999999999903</v>
      </c>
      <c r="G68" s="113">
        <f t="shared" si="41"/>
        <v>91.319000000000159</v>
      </c>
      <c r="H68" s="113">
        <f t="shared" si="41"/>
        <v>185.36900000000034</v>
      </c>
      <c r="I68" s="113">
        <f t="shared" si="41"/>
        <v>401.40835167018349</v>
      </c>
      <c r="J68" s="113">
        <f t="shared" si="41"/>
        <v>545.23456657022837</v>
      </c>
      <c r="K68" s="113">
        <f t="shared" si="41"/>
        <v>843.88041622059791</v>
      </c>
      <c r="L68" s="113">
        <f t="shared" si="41"/>
        <v>890.81859334838964</v>
      </c>
      <c r="M68" s="113">
        <f t="shared" si="41"/>
        <v>1186.5858979555669</v>
      </c>
      <c r="N68" s="113">
        <f t="shared" si="41"/>
        <v>1462.6364427026137</v>
      </c>
      <c r="O68" s="113">
        <f t="shared" si="41"/>
        <v>1726.9010866213314</v>
      </c>
      <c r="P68" s="113">
        <f t="shared" si="41"/>
        <v>2014.5473402930238</v>
      </c>
      <c r="Q68" s="113">
        <f t="shared" si="41"/>
        <v>2279.2670469245531</v>
      </c>
      <c r="R68" s="113">
        <f t="shared" si="41"/>
        <v>2518.9521728438926</v>
      </c>
    </row>
    <row r="69" spans="1:18" ht="15.75" customHeight="1" x14ac:dyDescent="0.25">
      <c r="A69" s="4"/>
      <c r="B69" s="83" t="s">
        <v>202</v>
      </c>
      <c r="C69" s="4"/>
      <c r="D69" s="4"/>
      <c r="E69" s="4"/>
      <c r="F69" s="4"/>
      <c r="G69" s="4"/>
      <c r="H69" s="4"/>
      <c r="I69" s="78">
        <f t="shared" ref="I69:R69" si="42">IFERROR($E$97,"")</f>
        <v>0.105252</v>
      </c>
      <c r="J69" s="78">
        <f t="shared" si="42"/>
        <v>0.105252</v>
      </c>
      <c r="K69" s="78">
        <f t="shared" si="42"/>
        <v>0.105252</v>
      </c>
      <c r="L69" s="78">
        <f t="shared" si="42"/>
        <v>0.105252</v>
      </c>
      <c r="M69" s="78">
        <f t="shared" si="42"/>
        <v>0.105252</v>
      </c>
      <c r="N69" s="78">
        <f t="shared" si="42"/>
        <v>0.105252</v>
      </c>
      <c r="O69" s="78">
        <f t="shared" si="42"/>
        <v>0.105252</v>
      </c>
      <c r="P69" s="78">
        <f t="shared" si="42"/>
        <v>0.105252</v>
      </c>
      <c r="Q69" s="78">
        <f t="shared" si="42"/>
        <v>0.105252</v>
      </c>
      <c r="R69" s="78">
        <f t="shared" si="42"/>
        <v>0.105252</v>
      </c>
    </row>
    <row r="70" spans="1:18" ht="15.75" customHeight="1" x14ac:dyDescent="0.25">
      <c r="A70" s="4"/>
      <c r="B70" s="103" t="s">
        <v>203</v>
      </c>
      <c r="D70" s="4"/>
      <c r="E70" s="4"/>
      <c r="F70" s="4"/>
      <c r="G70" s="4"/>
      <c r="H70" s="4"/>
      <c r="I70" s="120">
        <f t="shared" ref="I70:R70" si="43">IFERROR(I68/(1+I69)^I52,"")</f>
        <v>393.18456625035265</v>
      </c>
      <c r="J70" s="120">
        <f t="shared" si="43"/>
        <v>483.20579017599141</v>
      </c>
      <c r="K70" s="120">
        <f t="shared" si="43"/>
        <v>676.65663926015259</v>
      </c>
      <c r="L70" s="120">
        <f t="shared" si="43"/>
        <v>646.27209277712518</v>
      </c>
      <c r="M70" s="120">
        <f t="shared" si="43"/>
        <v>778.8682540030062</v>
      </c>
      <c r="N70" s="120">
        <f t="shared" si="43"/>
        <v>868.64015267622176</v>
      </c>
      <c r="O70" s="120">
        <f t="shared" si="43"/>
        <v>927.91813803109687</v>
      </c>
      <c r="P70" s="120">
        <f t="shared" si="43"/>
        <v>979.39609742799519</v>
      </c>
      <c r="Q70" s="120">
        <f t="shared" si="43"/>
        <v>1002.5702051730974</v>
      </c>
      <c r="R70" s="121">
        <f t="shared" si="43"/>
        <v>1002.4857188547851</v>
      </c>
    </row>
    <row r="71" spans="1:18" ht="15.75" customHeight="1" x14ac:dyDescent="0.25">
      <c r="A71" s="4"/>
      <c r="B71" s="112" t="s">
        <v>204</v>
      </c>
      <c r="D71" s="4"/>
      <c r="E71" s="4"/>
      <c r="F71" s="4"/>
      <c r="G71" s="4"/>
      <c r="H71" s="4"/>
      <c r="I71" s="4"/>
      <c r="J71" s="4"/>
      <c r="K71" s="4"/>
      <c r="L71" s="4"/>
      <c r="M71" s="4"/>
      <c r="N71" s="4"/>
      <c r="O71" s="4"/>
      <c r="P71" s="4"/>
      <c r="Q71" s="4"/>
      <c r="R71" s="113">
        <f>IFERROR(SUM(I70:R70),"")</f>
        <v>7759.1976546298247</v>
      </c>
    </row>
    <row r="72" spans="1:18" ht="15.75" customHeight="1" x14ac:dyDescent="0.25">
      <c r="A72" s="4"/>
      <c r="B72" s="4"/>
      <c r="C72" s="4"/>
      <c r="D72" s="4"/>
      <c r="E72" s="4"/>
      <c r="F72" s="4"/>
      <c r="G72" s="4"/>
      <c r="H72" s="4"/>
      <c r="I72" s="4"/>
      <c r="J72" s="4"/>
      <c r="K72" s="4"/>
      <c r="L72" s="4"/>
      <c r="M72" s="4"/>
      <c r="N72" s="4"/>
      <c r="O72" s="4"/>
      <c r="P72" s="4"/>
      <c r="Q72" s="4"/>
      <c r="R72" s="4"/>
    </row>
    <row r="73" spans="1:18" ht="15.75" customHeight="1" x14ac:dyDescent="0.3">
      <c r="A73" s="4"/>
      <c r="B73" s="61" t="s">
        <v>205</v>
      </c>
      <c r="C73" s="61"/>
      <c r="D73" s="61"/>
      <c r="E73" s="61"/>
      <c r="F73" s="61"/>
      <c r="G73" s="61"/>
      <c r="H73" s="61"/>
      <c r="I73" s="61"/>
      <c r="J73" s="61"/>
      <c r="K73" s="61"/>
      <c r="L73" s="61"/>
      <c r="M73" s="61"/>
      <c r="N73" s="61"/>
      <c r="O73" s="61"/>
      <c r="P73" s="61"/>
      <c r="Q73" s="61"/>
      <c r="R73" s="61"/>
    </row>
    <row r="74" spans="1:18" ht="18.75" customHeight="1" x14ac:dyDescent="0.25">
      <c r="A74" s="4"/>
      <c r="B74" s="112" t="s">
        <v>206</v>
      </c>
      <c r="C74" s="12"/>
      <c r="D74" s="4"/>
      <c r="E74" s="4"/>
      <c r="F74" s="4"/>
      <c r="G74" s="4"/>
      <c r="H74" s="4"/>
      <c r="I74" s="4"/>
      <c r="J74" s="4"/>
      <c r="K74" s="4"/>
      <c r="L74" s="4"/>
      <c r="M74" s="4"/>
      <c r="N74" s="4"/>
      <c r="O74" s="4"/>
      <c r="P74" s="4"/>
      <c r="Q74" s="4"/>
      <c r="R74" s="4"/>
    </row>
    <row r="75" spans="1:18" ht="15.75" customHeight="1" x14ac:dyDescent="0.25">
      <c r="A75" s="4"/>
      <c r="B75" s="103" t="s">
        <v>207</v>
      </c>
      <c r="C75" s="122">
        <v>0.03</v>
      </c>
      <c r="D75" s="4"/>
      <c r="E75" s="4"/>
      <c r="F75" s="4"/>
      <c r="G75" s="14"/>
      <c r="H75" s="14"/>
      <c r="I75" s="14"/>
      <c r="J75" s="14"/>
      <c r="K75" s="14"/>
      <c r="L75" s="4"/>
      <c r="M75" s="4"/>
      <c r="N75" s="4"/>
      <c r="O75" s="4"/>
      <c r="P75" s="4"/>
      <c r="Q75" s="4"/>
      <c r="R75" s="4"/>
    </row>
    <row r="76" spans="1:18" ht="15.75" customHeight="1" x14ac:dyDescent="0.25">
      <c r="A76" s="4"/>
      <c r="B76" s="103" t="s">
        <v>208</v>
      </c>
      <c r="C76" s="93">
        <f>IFERROR(E97,"")</f>
        <v>0.105252</v>
      </c>
      <c r="D76" s="4"/>
      <c r="E76" s="4"/>
      <c r="F76" s="4"/>
      <c r="G76" s="4"/>
      <c r="H76" s="4"/>
      <c r="I76" s="4"/>
      <c r="J76" s="4"/>
      <c r="K76" s="4"/>
      <c r="L76" s="4"/>
      <c r="M76" s="4"/>
      <c r="N76" s="4"/>
      <c r="O76" s="4"/>
      <c r="P76" s="4"/>
      <c r="Q76" s="4"/>
      <c r="R76" s="4"/>
    </row>
    <row r="77" spans="1:18" ht="15.75" customHeight="1" x14ac:dyDescent="0.25">
      <c r="A77" s="4"/>
      <c r="B77" s="103" t="s">
        <v>209</v>
      </c>
      <c r="C77" s="115">
        <f>R68*(1+C75)</f>
        <v>2594.5207380292095</v>
      </c>
      <c r="D77" s="4"/>
      <c r="E77" s="4"/>
      <c r="F77" s="4"/>
      <c r="G77" s="4"/>
      <c r="H77" s="4"/>
      <c r="I77" s="4"/>
      <c r="J77" s="4"/>
      <c r="K77" s="4"/>
      <c r="L77" s="4"/>
      <c r="M77" s="4"/>
      <c r="N77" s="4"/>
      <c r="O77" s="4"/>
      <c r="P77" s="4"/>
      <c r="Q77" s="4"/>
      <c r="R77" s="4"/>
    </row>
    <row r="78" spans="1:18" ht="15.75" customHeight="1" x14ac:dyDescent="0.25">
      <c r="A78" s="4"/>
      <c r="B78" s="103" t="s">
        <v>205</v>
      </c>
      <c r="C78" s="123">
        <f>IFERROR(C77/(C76-C75),"")</f>
        <v>34477.764551496432</v>
      </c>
      <c r="D78" s="4"/>
      <c r="E78" s="4"/>
      <c r="F78" s="4"/>
      <c r="G78" s="4"/>
      <c r="H78" s="4"/>
      <c r="I78" s="4"/>
      <c r="J78" s="4"/>
      <c r="K78" s="4"/>
      <c r="L78" s="4"/>
      <c r="M78" s="4"/>
      <c r="N78" s="4"/>
      <c r="O78" s="4"/>
      <c r="P78" s="4"/>
      <c r="Q78" s="4"/>
      <c r="R78" s="4"/>
    </row>
    <row r="79" spans="1:18" ht="15.75" customHeight="1" x14ac:dyDescent="0.25">
      <c r="A79" s="4"/>
      <c r="B79" s="112" t="s">
        <v>210</v>
      </c>
      <c r="C79" s="124">
        <f>IFERROR(C78/(1+C76)^C80,"")</f>
        <v>13721.366746670237</v>
      </c>
      <c r="D79" s="4"/>
      <c r="E79" s="4"/>
      <c r="F79" s="4"/>
      <c r="G79" s="4"/>
      <c r="H79" s="4"/>
      <c r="I79" s="4"/>
      <c r="J79" s="4"/>
      <c r="K79" s="4"/>
      <c r="L79" s="4"/>
      <c r="M79" s="4"/>
      <c r="N79" s="4"/>
      <c r="O79" s="4"/>
      <c r="P79" s="4"/>
      <c r="Q79" s="4"/>
      <c r="R79" s="4"/>
    </row>
    <row r="80" spans="1:18" ht="15.75" customHeight="1" x14ac:dyDescent="0.25">
      <c r="A80" s="4"/>
      <c r="B80" s="103" t="s">
        <v>211</v>
      </c>
      <c r="C80" s="125">
        <f>R52</f>
        <v>9.2068493150684922</v>
      </c>
      <c r="D80" s="4"/>
      <c r="E80" s="4"/>
      <c r="F80" s="4"/>
      <c r="G80" s="4"/>
      <c r="H80" s="4"/>
      <c r="I80" s="4"/>
      <c r="J80" s="4"/>
      <c r="K80" s="4"/>
      <c r="L80" s="4"/>
      <c r="M80" s="4"/>
      <c r="N80" s="4"/>
      <c r="O80" s="4"/>
      <c r="P80" s="4"/>
      <c r="Q80" s="4"/>
      <c r="R80" s="4"/>
    </row>
    <row r="81" spans="1:18" ht="15.75" customHeight="1" x14ac:dyDescent="0.25">
      <c r="A81" s="4"/>
      <c r="B81" s="4"/>
      <c r="C81" s="4"/>
      <c r="D81" s="4"/>
      <c r="E81" s="4"/>
      <c r="F81" s="4"/>
      <c r="G81" s="4"/>
      <c r="H81" s="4"/>
      <c r="I81" s="4"/>
      <c r="J81" s="4"/>
      <c r="K81" s="4"/>
      <c r="L81" s="4"/>
      <c r="M81" s="4"/>
      <c r="N81" s="4"/>
      <c r="O81" s="4"/>
      <c r="P81" s="4"/>
      <c r="Q81" s="4"/>
      <c r="R81" s="4"/>
    </row>
    <row r="82" spans="1:18" ht="15.75" customHeight="1" x14ac:dyDescent="0.3">
      <c r="A82" s="4"/>
      <c r="B82" s="61" t="s">
        <v>208</v>
      </c>
      <c r="C82" s="60"/>
      <c r="D82" s="60"/>
      <c r="E82" s="60"/>
      <c r="F82" s="60"/>
      <c r="G82" s="60"/>
      <c r="H82" s="60"/>
      <c r="I82" s="60"/>
      <c r="J82" s="60"/>
      <c r="K82" s="60"/>
      <c r="L82" s="60"/>
      <c r="M82" s="60"/>
      <c r="N82" s="60"/>
      <c r="O82" s="60"/>
      <c r="P82" s="60"/>
      <c r="Q82" s="60"/>
      <c r="R82" s="60"/>
    </row>
    <row r="83" spans="1:18" ht="15.75" customHeight="1" x14ac:dyDescent="0.25">
      <c r="A83" s="4"/>
      <c r="B83" s="103" t="s">
        <v>212</v>
      </c>
      <c r="C83" s="4"/>
      <c r="D83" s="4"/>
      <c r="E83" s="126">
        <f>F5</f>
        <v>40.85</v>
      </c>
      <c r="F83" s="4"/>
      <c r="G83" s="4"/>
      <c r="H83" s="4"/>
      <c r="I83" s="4"/>
      <c r="J83" s="4"/>
      <c r="K83" s="4"/>
      <c r="L83" s="4"/>
      <c r="M83" s="4"/>
      <c r="N83" s="4"/>
      <c r="O83" s="4"/>
      <c r="P83" s="4"/>
      <c r="Q83" s="4"/>
      <c r="R83" s="4"/>
    </row>
    <row r="84" spans="1:18" ht="15.75" customHeight="1" x14ac:dyDescent="0.25">
      <c r="A84" s="4"/>
      <c r="B84" s="103" t="s">
        <v>141</v>
      </c>
      <c r="C84" s="4"/>
      <c r="D84" s="4"/>
      <c r="E84" s="127">
        <f>F6</f>
        <v>581835.91700000002</v>
      </c>
      <c r="F84" s="4"/>
      <c r="G84" s="4"/>
      <c r="H84" s="4"/>
      <c r="I84" s="4"/>
      <c r="J84" s="4"/>
      <c r="K84" s="4"/>
      <c r="L84" s="4"/>
      <c r="M84" s="4"/>
      <c r="N84" s="4"/>
      <c r="O84" s="4"/>
      <c r="P84" s="4"/>
      <c r="Q84" s="4"/>
      <c r="R84" s="4"/>
    </row>
    <row r="85" spans="1:18" ht="15.75" customHeight="1" x14ac:dyDescent="0.25">
      <c r="A85" s="4"/>
      <c r="B85" s="103" t="s">
        <v>213</v>
      </c>
      <c r="C85" s="4"/>
      <c r="D85" s="4"/>
      <c r="E85" s="128">
        <v>0</v>
      </c>
      <c r="F85" s="4"/>
      <c r="G85" s="4"/>
      <c r="H85" s="4"/>
      <c r="I85" s="4"/>
      <c r="J85" s="103" t="s">
        <v>214</v>
      </c>
      <c r="K85" s="79">
        <v>4.2799999999999998E-2</v>
      </c>
      <c r="L85" s="129" t="s">
        <v>215</v>
      </c>
      <c r="M85" s="4"/>
      <c r="N85" s="4"/>
      <c r="O85" s="4"/>
      <c r="P85" s="4"/>
      <c r="Q85" s="4"/>
      <c r="R85" s="4"/>
    </row>
    <row r="86" spans="1:18" ht="15.75" customHeight="1" x14ac:dyDescent="0.25">
      <c r="A86" s="4"/>
      <c r="B86" s="103" t="s">
        <v>216</v>
      </c>
      <c r="C86" s="4"/>
      <c r="D86" s="4"/>
      <c r="E86" s="130">
        <f>I55</f>
        <v>0.21299999999999999</v>
      </c>
      <c r="F86" s="4"/>
      <c r="G86" s="4"/>
      <c r="H86" s="4"/>
      <c r="I86" s="4"/>
      <c r="J86" s="103" t="s">
        <v>217</v>
      </c>
      <c r="K86" s="79">
        <v>4.7899999999999998E-2</v>
      </c>
      <c r="L86" s="129" t="s">
        <v>218</v>
      </c>
      <c r="M86" s="4"/>
      <c r="N86" s="4"/>
      <c r="O86" s="4"/>
      <c r="P86" s="4"/>
      <c r="Q86" s="4"/>
      <c r="R86" s="4"/>
    </row>
    <row r="87" spans="1:18" ht="15.75" customHeight="1" x14ac:dyDescent="0.25">
      <c r="A87" s="4"/>
      <c r="B87" s="103" t="s">
        <v>219</v>
      </c>
      <c r="C87" s="4"/>
      <c r="D87" s="4"/>
      <c r="E87" s="131">
        <f>E85*(1-E86)</f>
        <v>0</v>
      </c>
      <c r="F87" s="4"/>
      <c r="G87" s="4"/>
      <c r="H87" s="4"/>
      <c r="I87" s="4"/>
      <c r="J87" s="103" t="s">
        <v>220</v>
      </c>
      <c r="K87" s="132">
        <v>1.34</v>
      </c>
      <c r="L87" s="129" t="s">
        <v>338</v>
      </c>
      <c r="M87" s="4"/>
      <c r="N87" s="4"/>
      <c r="O87" s="4"/>
      <c r="P87" s="4"/>
      <c r="Q87" s="4"/>
      <c r="R87" s="4"/>
    </row>
    <row r="88" spans="1:18" ht="15.75" customHeight="1" x14ac:dyDescent="0.25">
      <c r="A88" s="4"/>
      <c r="B88" s="103" t="s">
        <v>221</v>
      </c>
      <c r="C88" s="4"/>
      <c r="D88" s="4"/>
      <c r="E88" s="79">
        <f>K89</f>
        <v>0.105252</v>
      </c>
      <c r="F88" s="4"/>
      <c r="G88" s="4"/>
      <c r="H88" s="4"/>
      <c r="I88" s="4"/>
      <c r="J88" s="133"/>
      <c r="K88" s="4"/>
      <c r="L88" s="4"/>
      <c r="M88" s="4"/>
      <c r="N88" s="4"/>
      <c r="O88" s="4"/>
      <c r="P88" s="4"/>
      <c r="Q88" s="4"/>
      <c r="R88" s="4"/>
    </row>
    <row r="89" spans="1:18" ht="15.75" customHeight="1" x14ac:dyDescent="0.25">
      <c r="A89" s="4"/>
      <c r="B89" s="4"/>
      <c r="C89" s="4"/>
      <c r="D89" s="4"/>
      <c r="E89" s="4"/>
      <c r="F89" s="4"/>
      <c r="G89" s="4"/>
      <c r="H89" s="4"/>
      <c r="I89" s="4"/>
      <c r="J89" s="103" t="s">
        <v>222</v>
      </c>
      <c r="K89" s="78">
        <f>K86+K87*(K85)</f>
        <v>0.105252</v>
      </c>
      <c r="L89" s="4"/>
      <c r="M89" s="4"/>
      <c r="N89" s="4"/>
      <c r="O89" s="4"/>
      <c r="P89" s="4"/>
      <c r="Q89" s="4"/>
      <c r="R89" s="4"/>
    </row>
    <row r="90" spans="1:18" ht="15.75" customHeight="1" x14ac:dyDescent="0.25">
      <c r="A90" s="4"/>
      <c r="B90" s="83" t="s">
        <v>223</v>
      </c>
      <c r="C90" s="4"/>
      <c r="D90" s="4"/>
      <c r="E90" s="134">
        <f>Main!C7/1000</f>
        <v>0</v>
      </c>
      <c r="F90" s="4"/>
      <c r="G90" s="4"/>
      <c r="H90" s="4"/>
      <c r="I90" s="4"/>
      <c r="J90" s="103" t="s">
        <v>224</v>
      </c>
      <c r="K90" s="4"/>
      <c r="L90" s="4"/>
      <c r="M90" s="4"/>
      <c r="N90" s="4"/>
      <c r="O90" s="4"/>
      <c r="P90" s="4"/>
      <c r="Q90" s="4"/>
      <c r="R90" s="4"/>
    </row>
    <row r="91" spans="1:18" ht="18.75" customHeight="1" x14ac:dyDescent="0.25">
      <c r="A91" s="4"/>
      <c r="B91" s="83" t="s">
        <v>225</v>
      </c>
      <c r="C91" s="4"/>
      <c r="D91" s="4"/>
      <c r="E91" s="135">
        <f>Main!C5/1000</f>
        <v>23767.997209450004</v>
      </c>
      <c r="F91" s="4"/>
      <c r="G91" s="4"/>
      <c r="H91" s="4"/>
      <c r="I91" s="4"/>
      <c r="J91" s="4"/>
      <c r="K91" s="4"/>
      <c r="L91" s="4"/>
      <c r="M91" s="4"/>
      <c r="N91" s="4"/>
      <c r="O91" s="4"/>
      <c r="P91" s="4"/>
      <c r="Q91" s="4"/>
      <c r="R91" s="4"/>
    </row>
    <row r="92" spans="1:18" ht="15.75" customHeight="1" x14ac:dyDescent="0.25">
      <c r="A92" s="4"/>
      <c r="B92" s="112" t="s">
        <v>226</v>
      </c>
      <c r="C92" s="4"/>
      <c r="D92" s="4"/>
      <c r="E92" s="113">
        <f>SUM(E90:E91)</f>
        <v>23767.997209450004</v>
      </c>
      <c r="F92" s="4"/>
      <c r="G92" s="4"/>
      <c r="H92" s="4"/>
      <c r="I92" s="4"/>
      <c r="J92" s="4"/>
      <c r="K92" s="4"/>
      <c r="L92" s="4"/>
      <c r="M92" s="4"/>
      <c r="N92" s="4"/>
      <c r="O92" s="4"/>
      <c r="P92" s="4"/>
      <c r="Q92" s="4"/>
      <c r="R92" s="4"/>
    </row>
    <row r="93" spans="1:18" ht="15.75" customHeight="1" x14ac:dyDescent="0.25">
      <c r="A93" s="4"/>
      <c r="B93" s="4"/>
      <c r="C93" s="4"/>
      <c r="D93" s="4"/>
      <c r="E93" s="4"/>
      <c r="F93" s="4"/>
      <c r="G93" s="4"/>
      <c r="H93" s="4"/>
      <c r="I93" s="4"/>
      <c r="J93" s="4"/>
      <c r="K93" s="4"/>
      <c r="L93" s="4"/>
      <c r="M93" s="4"/>
      <c r="N93" s="4"/>
      <c r="O93" s="4"/>
      <c r="P93" s="4"/>
      <c r="Q93" s="4"/>
      <c r="R93" s="4"/>
    </row>
    <row r="94" spans="1:18" ht="15.75" customHeight="1" x14ac:dyDescent="0.25">
      <c r="A94" s="4"/>
      <c r="B94" s="83" t="s">
        <v>227</v>
      </c>
      <c r="C94" s="4"/>
      <c r="D94" s="4"/>
      <c r="E94" s="131">
        <f>IFERROR(E90/E92,"")</f>
        <v>0</v>
      </c>
      <c r="F94" s="4"/>
      <c r="G94" s="4"/>
      <c r="H94" s="4"/>
      <c r="I94" s="4"/>
      <c r="J94" s="4"/>
      <c r="K94" s="4"/>
      <c r="L94" s="4"/>
      <c r="M94" s="4"/>
      <c r="N94" s="4"/>
      <c r="O94" s="4"/>
      <c r="P94" s="4"/>
      <c r="Q94" s="4"/>
      <c r="R94" s="4"/>
    </row>
    <row r="95" spans="1:18" ht="15.75" customHeight="1" x14ac:dyDescent="0.25">
      <c r="A95" s="4"/>
      <c r="B95" s="103" t="s">
        <v>228</v>
      </c>
      <c r="C95" s="4"/>
      <c r="D95" s="4"/>
      <c r="E95" s="131">
        <f>IFERROR(E91/E92,"")</f>
        <v>1</v>
      </c>
      <c r="F95" s="4"/>
      <c r="G95" s="4"/>
      <c r="H95" s="4"/>
      <c r="I95" s="4"/>
      <c r="J95" s="4"/>
      <c r="K95" s="4"/>
      <c r="L95" s="4"/>
      <c r="M95" s="4"/>
      <c r="N95" s="4"/>
      <c r="O95" s="4"/>
      <c r="P95" s="4"/>
      <c r="Q95" s="4"/>
      <c r="R95" s="4"/>
    </row>
    <row r="96" spans="1:18" ht="15.75" customHeight="1" x14ac:dyDescent="0.25">
      <c r="A96" s="4"/>
      <c r="B96" s="4"/>
      <c r="C96" s="4"/>
      <c r="D96" s="4"/>
      <c r="E96" s="4"/>
      <c r="F96" s="4"/>
      <c r="G96" s="4"/>
      <c r="H96" s="4"/>
      <c r="I96" s="4"/>
      <c r="J96" s="4"/>
      <c r="K96" s="4"/>
      <c r="L96" s="4"/>
      <c r="M96" s="4"/>
      <c r="N96" s="4"/>
      <c r="O96" s="4"/>
      <c r="P96" s="4"/>
      <c r="Q96" s="4"/>
      <c r="R96" s="4"/>
    </row>
    <row r="97" spans="1:18" ht="15.75" customHeight="1" x14ac:dyDescent="0.25">
      <c r="A97" s="4"/>
      <c r="B97" s="112" t="s">
        <v>229</v>
      </c>
      <c r="C97" s="4"/>
      <c r="D97" s="4"/>
      <c r="E97" s="136">
        <f>IFERROR(E94*E87+E95*E88,"")</f>
        <v>0.105252</v>
      </c>
      <c r="F97" s="4"/>
      <c r="G97" s="4"/>
      <c r="H97" s="4"/>
      <c r="I97" s="4"/>
      <c r="J97" s="4"/>
      <c r="K97" s="4"/>
      <c r="L97" s="4"/>
      <c r="M97" s="4"/>
      <c r="N97" s="4"/>
      <c r="O97" s="4"/>
      <c r="P97" s="4"/>
      <c r="Q97" s="4"/>
      <c r="R97" s="4"/>
    </row>
    <row r="98" spans="1:18" ht="15.75" customHeight="1" x14ac:dyDescent="0.25">
      <c r="A98" s="4"/>
      <c r="B98" s="4"/>
      <c r="C98" s="12"/>
      <c r="D98" s="12"/>
      <c r="E98" s="12"/>
      <c r="F98" s="4"/>
      <c r="G98" s="4"/>
      <c r="H98" s="4"/>
      <c r="I98" s="4"/>
      <c r="J98" s="4"/>
      <c r="K98" s="4"/>
      <c r="L98" s="4"/>
      <c r="M98" s="4"/>
      <c r="N98" s="4"/>
      <c r="O98" s="4"/>
      <c r="P98" s="4"/>
      <c r="Q98" s="4"/>
      <c r="R98" s="4"/>
    </row>
    <row r="99" spans="1:18" ht="15.75" customHeight="1" x14ac:dyDescent="0.3">
      <c r="A99" s="4"/>
      <c r="B99" s="61" t="s">
        <v>230</v>
      </c>
      <c r="C99" s="61"/>
      <c r="D99" s="61"/>
      <c r="E99" s="61"/>
      <c r="F99" s="61"/>
      <c r="G99" s="61"/>
      <c r="H99" s="61"/>
      <c r="I99" s="61"/>
      <c r="J99" s="61"/>
      <c r="K99" s="61"/>
      <c r="L99" s="61"/>
      <c r="M99" s="4"/>
      <c r="N99" s="4"/>
      <c r="O99" s="4"/>
      <c r="P99" s="4"/>
      <c r="Q99" s="4"/>
      <c r="R99" s="4"/>
    </row>
    <row r="100" spans="1:18" ht="15.75" customHeight="1" x14ac:dyDescent="0.25">
      <c r="A100" s="4"/>
      <c r="B100" s="103" t="s">
        <v>231</v>
      </c>
      <c r="C100" s="4"/>
      <c r="D100" s="4"/>
      <c r="E100" s="4"/>
      <c r="F100" s="137">
        <f>IFERROR(C79+R71,"")</f>
        <v>21480.564401300064</v>
      </c>
      <c r="G100" s="133"/>
      <c r="H100" s="12"/>
      <c r="I100" s="4"/>
      <c r="J100" s="4"/>
      <c r="K100" s="4"/>
      <c r="L100" s="4"/>
      <c r="M100" s="4"/>
      <c r="N100" s="4"/>
      <c r="O100" s="4"/>
      <c r="P100" s="4"/>
      <c r="Q100" s="4"/>
      <c r="R100" s="4"/>
    </row>
    <row r="101" spans="1:18" ht="15.75" customHeight="1" x14ac:dyDescent="0.25">
      <c r="A101" s="4"/>
      <c r="B101" s="103" t="s">
        <v>232</v>
      </c>
      <c r="C101" s="4"/>
      <c r="D101" s="4"/>
      <c r="E101" s="4"/>
      <c r="F101" s="115">
        <f>K102-K103</f>
        <v>-1236.915</v>
      </c>
      <c r="G101" s="83" t="s">
        <v>233</v>
      </c>
      <c r="H101" s="12"/>
      <c r="I101" s="4"/>
      <c r="J101" s="4"/>
      <c r="K101" s="4"/>
      <c r="L101" s="4"/>
      <c r="M101" s="4"/>
      <c r="N101" s="4"/>
      <c r="O101" s="4"/>
      <c r="P101" s="4"/>
      <c r="Q101" s="4"/>
      <c r="R101" s="4"/>
    </row>
    <row r="102" spans="1:18" ht="15.75" customHeight="1" x14ac:dyDescent="0.25">
      <c r="A102" s="4"/>
      <c r="B102" s="138" t="s">
        <v>234</v>
      </c>
      <c r="C102" s="106"/>
      <c r="D102" s="106"/>
      <c r="E102" s="106"/>
      <c r="F102" s="139">
        <f>IFERROR((F100-F101),"")</f>
        <v>22717.479401300065</v>
      </c>
      <c r="G102" s="140"/>
      <c r="H102" s="12"/>
      <c r="I102" s="4"/>
      <c r="J102" s="103" t="s">
        <v>167</v>
      </c>
      <c r="K102" s="135">
        <f>Main!C7/1000</f>
        <v>0</v>
      </c>
      <c r="L102" s="4"/>
      <c r="M102" s="4"/>
      <c r="N102" s="4"/>
      <c r="O102" s="4"/>
      <c r="P102" s="4"/>
      <c r="Q102" s="4"/>
      <c r="R102" s="4"/>
    </row>
    <row r="103" spans="1:18" ht="15.75" customHeight="1" x14ac:dyDescent="0.25">
      <c r="A103" s="4"/>
      <c r="B103" s="103" t="s">
        <v>235</v>
      </c>
      <c r="C103" s="4"/>
      <c r="D103" s="4"/>
      <c r="E103" s="4"/>
      <c r="F103" s="141">
        <f>IF($C$47=1,F6*(1+$C$48)^10,F6)/1000</f>
        <v>581.83591699999999</v>
      </c>
      <c r="G103" s="133"/>
      <c r="H103" s="4"/>
      <c r="I103" s="4"/>
      <c r="J103" s="103" t="s">
        <v>236</v>
      </c>
      <c r="K103" s="135">
        <f>Main!C6/1000</f>
        <v>1236.915</v>
      </c>
      <c r="L103" s="4"/>
      <c r="M103" s="4"/>
      <c r="N103" s="4"/>
      <c r="O103" s="4"/>
      <c r="P103" s="4"/>
      <c r="Q103" s="4"/>
      <c r="R103" s="4"/>
    </row>
    <row r="104" spans="1:18" ht="15.75" customHeight="1" x14ac:dyDescent="0.25">
      <c r="A104" s="4"/>
      <c r="B104" s="103" t="s">
        <v>237</v>
      </c>
      <c r="C104" s="4"/>
      <c r="D104" s="4"/>
      <c r="E104" s="4"/>
      <c r="F104" s="142">
        <f>IFERROR(F102/F103,"")</f>
        <v>39.044477553798153</v>
      </c>
      <c r="G104" s="4"/>
      <c r="H104" s="4"/>
      <c r="I104" s="4"/>
      <c r="J104" s="4"/>
      <c r="K104" s="4"/>
      <c r="L104" s="4"/>
      <c r="M104" s="4"/>
      <c r="N104" s="4"/>
      <c r="O104" s="4"/>
      <c r="P104" s="4"/>
      <c r="Q104" s="4"/>
      <c r="R104" s="4"/>
    </row>
    <row r="105" spans="1:18" ht="15.75" customHeight="1" x14ac:dyDescent="0.25">
      <c r="A105" s="4"/>
      <c r="B105" s="4"/>
      <c r="C105" s="4"/>
      <c r="D105" s="4"/>
      <c r="E105" s="103" t="s">
        <v>238</v>
      </c>
      <c r="F105" s="78">
        <f>IFERROR(F104/F5-1,"")</f>
        <v>-4.4198835892334087E-2</v>
      </c>
      <c r="G105" s="4"/>
      <c r="H105" s="4"/>
      <c r="I105" s="4"/>
      <c r="J105" s="4"/>
      <c r="K105" s="4"/>
      <c r="L105" s="4"/>
      <c r="M105" s="4"/>
      <c r="N105" s="4"/>
      <c r="O105" s="4"/>
      <c r="P105" s="4"/>
      <c r="Q105" s="4"/>
      <c r="R105" s="4"/>
    </row>
    <row r="106" spans="1:18" ht="15.75" customHeight="1" x14ac:dyDescent="0.25">
      <c r="A106" s="4"/>
      <c r="B106" s="4"/>
      <c r="C106" s="4"/>
      <c r="D106" s="4"/>
      <c r="E106" s="4"/>
      <c r="F106" s="4"/>
      <c r="G106" s="4"/>
      <c r="H106" s="4"/>
      <c r="I106" s="4"/>
      <c r="J106" s="4"/>
      <c r="K106" s="4"/>
      <c r="L106" s="4"/>
      <c r="M106" s="4"/>
      <c r="N106" s="4"/>
      <c r="O106" s="4"/>
    </row>
    <row r="107" spans="1:18" ht="15.75" customHeight="1" x14ac:dyDescent="0.3">
      <c r="B107" s="143"/>
      <c r="C107" s="4"/>
      <c r="D107" s="4"/>
      <c r="E107" s="4"/>
      <c r="F107" s="4"/>
      <c r="G107" s="4"/>
      <c r="H107" s="4"/>
      <c r="I107" s="4"/>
      <c r="J107" s="4"/>
      <c r="K107" s="4"/>
      <c r="L107" s="4"/>
      <c r="M107" s="4"/>
      <c r="N107" s="4"/>
      <c r="O107" s="4"/>
    </row>
    <row r="108" spans="1:18" ht="15.75" customHeight="1" x14ac:dyDescent="0.3">
      <c r="B108" s="143"/>
      <c r="C108" s="143"/>
      <c r="D108" s="1" t="s">
        <v>239</v>
      </c>
      <c r="E108" s="1"/>
      <c r="F108" s="1"/>
      <c r="G108" s="1"/>
      <c r="H108" s="1"/>
      <c r="I108" s="4"/>
      <c r="J108" s="4"/>
      <c r="K108" s="4"/>
      <c r="L108" s="4"/>
      <c r="M108" s="4"/>
      <c r="N108" s="4"/>
      <c r="O108" s="4"/>
    </row>
    <row r="109" spans="1:18" ht="15.75" customHeight="1" x14ac:dyDescent="0.25">
      <c r="B109" s="4"/>
      <c r="C109" s="144" t="s">
        <v>208</v>
      </c>
      <c r="D109" s="145">
        <v>0.02</v>
      </c>
      <c r="E109" s="145">
        <v>2.5000000000000001E-2</v>
      </c>
      <c r="F109" s="145">
        <v>0.03</v>
      </c>
      <c r="G109" s="145">
        <v>3.5000000000000003E-2</v>
      </c>
      <c r="H109" s="145">
        <v>0.04</v>
      </c>
      <c r="I109" s="4"/>
      <c r="J109" s="4"/>
      <c r="K109" s="4"/>
      <c r="L109" s="4"/>
      <c r="M109" s="4"/>
      <c r="N109" s="4"/>
      <c r="O109" s="4"/>
    </row>
    <row r="110" spans="1:18" ht="15.75" customHeight="1" x14ac:dyDescent="0.25">
      <c r="B110" s="4"/>
      <c r="C110" s="145">
        <f>$E$97-0.02</f>
        <v>8.5251999999999994E-2</v>
      </c>
      <c r="D110" s="146">
        <f t="shared" ref="D110:H114" si="44">(SUMPRODUCT($I$68:$R$68,1/(1+$C110)^$I$52:$R$52)+(($R$68*(1+D$109))/($C110-D$109))/(1+$C110)^$R$52-$F$101)/$F$103</f>
        <v>48.739546811789374</v>
      </c>
      <c r="E110" s="146">
        <f t="shared" si="44"/>
        <v>51.552936335691207</v>
      </c>
      <c r="F110" s="146">
        <f t="shared" si="44"/>
        <v>54.875518200847978</v>
      </c>
      <c r="G110" s="146">
        <f t="shared" si="44"/>
        <v>58.859284071647679</v>
      </c>
      <c r="H110" s="146">
        <f t="shared" si="44"/>
        <v>63.723401279581573</v>
      </c>
      <c r="I110" s="4"/>
      <c r="J110" s="4"/>
      <c r="K110" s="4"/>
      <c r="L110" s="4"/>
      <c r="M110" s="4"/>
      <c r="N110" s="4"/>
      <c r="O110" s="4"/>
    </row>
    <row r="111" spans="1:18" ht="15.75" customHeight="1" x14ac:dyDescent="0.25">
      <c r="B111" s="4"/>
      <c r="C111" s="145">
        <f>$E$97-0.01</f>
        <v>9.5252000000000003E-2</v>
      </c>
      <c r="D111" s="146">
        <f t="shared" si="44"/>
        <v>41.53557123179403</v>
      </c>
      <c r="E111" s="146">
        <f t="shared" si="44"/>
        <v>43.476129846566678</v>
      </c>
      <c r="F111" s="146">
        <f t="shared" si="44"/>
        <v>45.714082964921246</v>
      </c>
      <c r="G111" s="146">
        <f t="shared" si="44"/>
        <v>48.323468254548885</v>
      </c>
      <c r="H111" s="146">
        <f t="shared" si="44"/>
        <v>51.405123378685268</v>
      </c>
      <c r="I111" s="4"/>
      <c r="J111" s="4"/>
      <c r="K111" s="4"/>
      <c r="L111" s="4"/>
      <c r="M111" s="4"/>
      <c r="N111" s="4"/>
      <c r="O111" s="4"/>
    </row>
    <row r="112" spans="1:18" ht="15.75" customHeight="1" x14ac:dyDescent="0.25">
      <c r="B112" s="4"/>
      <c r="C112" s="145">
        <f>$E$97</f>
        <v>0.105252</v>
      </c>
      <c r="D112" s="146">
        <f t="shared" si="44"/>
        <v>36.076119035112228</v>
      </c>
      <c r="E112" s="146">
        <f t="shared" si="44"/>
        <v>37.467828371005119</v>
      </c>
      <c r="F112" s="146">
        <f t="shared" si="44"/>
        <v>39.044477553798153</v>
      </c>
      <c r="G112" s="146">
        <f t="shared" si="44"/>
        <v>40.845554394564331</v>
      </c>
      <c r="H112" s="146">
        <f t="shared" si="44"/>
        <v>42.922649877022145</v>
      </c>
      <c r="I112" s="4"/>
      <c r="J112" s="4"/>
      <c r="K112" s="4"/>
      <c r="L112" s="4"/>
      <c r="M112" s="4"/>
      <c r="N112" s="4"/>
      <c r="O112" s="4"/>
    </row>
    <row r="113" spans="1:15" ht="15.75" customHeight="1" x14ac:dyDescent="0.25">
      <c r="B113" s="4"/>
      <c r="C113" s="145">
        <f>$E$97+0.01</f>
        <v>0.11525199999999999</v>
      </c>
      <c r="D113" s="146">
        <f t="shared" si="44"/>
        <v>31.808292963586677</v>
      </c>
      <c r="E113" s="146">
        <f t="shared" si="44"/>
        <v>32.836961130211002</v>
      </c>
      <c r="F113" s="146">
        <f t="shared" si="44"/>
        <v>33.986291353634513</v>
      </c>
      <c r="G113" s="146">
        <f t="shared" si="44"/>
        <v>35.278836727262807</v>
      </c>
      <c r="H113" s="146">
        <f t="shared" si="44"/>
        <v>36.743144362841392</v>
      </c>
      <c r="I113" s="4"/>
      <c r="J113" s="4"/>
      <c r="K113" s="4"/>
      <c r="L113" s="4"/>
      <c r="M113" s="4"/>
      <c r="N113" s="4"/>
      <c r="O113" s="4"/>
    </row>
    <row r="114" spans="1:15" ht="15.75" customHeight="1" x14ac:dyDescent="0.25">
      <c r="B114" s="4"/>
      <c r="C114" s="145">
        <f>$E$97+0.02</f>
        <v>0.125252</v>
      </c>
      <c r="D114" s="147">
        <f t="shared" si="44"/>
        <v>28.389574832148178</v>
      </c>
      <c r="E114" s="147">
        <f t="shared" si="44"/>
        <v>29.168447858447522</v>
      </c>
      <c r="F114" s="147">
        <f t="shared" si="44"/>
        <v>30.029090614127803</v>
      </c>
      <c r="G114" s="147">
        <f t="shared" si="44"/>
        <v>30.985093334759583</v>
      </c>
      <c r="H114" s="147">
        <f t="shared" si="44"/>
        <v>32.053234506176317</v>
      </c>
      <c r="I114" s="4"/>
      <c r="J114" s="4"/>
      <c r="K114" s="4"/>
      <c r="L114" s="4"/>
      <c r="M114" s="4"/>
      <c r="N114" s="4"/>
      <c r="O114" s="4"/>
    </row>
    <row r="115" spans="1:15" ht="15.75" customHeight="1" x14ac:dyDescent="0.25">
      <c r="B115" s="4"/>
      <c r="I115" s="4"/>
      <c r="J115" s="4"/>
      <c r="K115" s="4"/>
      <c r="L115" s="4"/>
      <c r="M115" s="4"/>
      <c r="N115" s="4"/>
      <c r="O115" s="4"/>
    </row>
    <row r="116" spans="1:15" ht="15.75" customHeight="1" x14ac:dyDescent="0.25">
      <c r="B116" s="4"/>
      <c r="C116" s="148"/>
      <c r="D116" s="4"/>
      <c r="E116" s="4"/>
      <c r="F116" s="4"/>
      <c r="G116" s="4"/>
      <c r="H116" s="4"/>
      <c r="I116" s="4"/>
      <c r="J116" s="4"/>
      <c r="K116" s="4"/>
      <c r="L116" s="4"/>
      <c r="M116" s="4"/>
      <c r="N116" s="4"/>
      <c r="O116" s="4"/>
    </row>
    <row r="117" spans="1:15" ht="15.75" customHeight="1" x14ac:dyDescent="0.25">
      <c r="B117" s="4"/>
      <c r="C117" s="148"/>
      <c r="D117" s="4"/>
      <c r="E117" s="4"/>
      <c r="F117" s="4"/>
      <c r="G117" s="4"/>
      <c r="H117" s="4"/>
      <c r="I117" s="4"/>
      <c r="J117" s="4"/>
      <c r="K117" s="4"/>
      <c r="L117" s="4"/>
      <c r="M117" s="4"/>
      <c r="N117" s="4"/>
      <c r="O117" s="4"/>
    </row>
    <row r="118" spans="1:15" ht="15.75" customHeight="1" x14ac:dyDescent="0.25">
      <c r="B118" s="4"/>
      <c r="C118" s="4"/>
      <c r="D118" s="4"/>
      <c r="E118" s="4"/>
      <c r="F118" s="4"/>
      <c r="G118" s="4"/>
      <c r="H118" s="4"/>
      <c r="I118" s="4"/>
      <c r="J118" s="4"/>
      <c r="K118" s="4"/>
      <c r="M118" s="4"/>
      <c r="N118" s="4"/>
      <c r="O118" s="4"/>
    </row>
    <row r="119" spans="1:15" ht="15.75" customHeight="1" x14ac:dyDescent="0.25">
      <c r="B119" s="4"/>
      <c r="C119" s="4"/>
      <c r="D119" s="4"/>
      <c r="E119" s="4"/>
      <c r="F119" s="4"/>
      <c r="G119" s="4"/>
      <c r="H119" s="4"/>
      <c r="I119" s="4"/>
      <c r="J119" s="4"/>
      <c r="K119" s="4"/>
      <c r="M119" s="4"/>
      <c r="N119" s="4"/>
      <c r="O119" s="4"/>
    </row>
    <row r="120" spans="1:15" ht="15.75" customHeight="1" x14ac:dyDescent="0.25">
      <c r="B120" s="4"/>
      <c r="C120" s="4"/>
      <c r="D120" s="4"/>
      <c r="E120" s="4"/>
      <c r="F120" s="4"/>
      <c r="G120" s="4"/>
      <c r="H120" s="4"/>
      <c r="I120" s="4"/>
      <c r="J120" s="4"/>
      <c r="K120" s="4"/>
      <c r="M120" s="4"/>
      <c r="N120" s="4"/>
      <c r="O120" s="4"/>
    </row>
    <row r="121" spans="1:15" ht="15.75" customHeight="1" x14ac:dyDescent="0.3">
      <c r="B121" s="143"/>
      <c r="C121" s="4"/>
      <c r="D121" s="4"/>
      <c r="E121" s="4"/>
      <c r="F121" s="4"/>
      <c r="G121" s="4"/>
      <c r="H121" s="4"/>
      <c r="I121" s="4"/>
      <c r="J121" s="4"/>
      <c r="K121" s="4"/>
      <c r="M121" s="4"/>
      <c r="N121" s="4"/>
      <c r="O121" s="4"/>
    </row>
    <row r="122" spans="1:15" ht="15.75" customHeight="1" x14ac:dyDescent="0.25">
      <c r="B122" s="4"/>
      <c r="I122" s="4"/>
      <c r="J122" s="4"/>
      <c r="K122" s="4"/>
      <c r="M122" s="4"/>
      <c r="N122" s="4"/>
      <c r="O122" s="4"/>
    </row>
    <row r="123" spans="1:15" ht="15.75" customHeight="1" x14ac:dyDescent="0.25">
      <c r="B123" s="4"/>
      <c r="I123" s="4"/>
      <c r="J123" s="4"/>
      <c r="K123" s="4"/>
      <c r="M123" s="4"/>
      <c r="N123" s="4"/>
      <c r="O123" s="4"/>
    </row>
    <row r="124" spans="1:15" ht="15.75" customHeight="1" x14ac:dyDescent="0.25">
      <c r="B124" s="4"/>
      <c r="I124" s="4"/>
      <c r="J124" s="4"/>
      <c r="K124" s="4"/>
      <c r="M124" s="4"/>
      <c r="N124" s="4"/>
      <c r="O124" s="4"/>
    </row>
    <row r="125" spans="1:15" ht="15.75" customHeight="1" x14ac:dyDescent="0.25">
      <c r="B125" s="4"/>
      <c r="I125" s="4"/>
      <c r="J125" s="4"/>
      <c r="K125" s="4"/>
      <c r="M125" s="4"/>
      <c r="N125" s="4"/>
      <c r="O125" s="4"/>
    </row>
    <row r="126" spans="1:15" ht="15.75" customHeight="1" x14ac:dyDescent="0.25">
      <c r="B126" s="4"/>
      <c r="I126" s="4"/>
      <c r="J126" s="4"/>
      <c r="K126" s="4"/>
      <c r="M126" s="4"/>
      <c r="N126" s="4"/>
      <c r="O126" s="4"/>
    </row>
    <row r="127" spans="1:15" ht="15.75" customHeight="1" x14ac:dyDescent="0.25">
      <c r="M127" s="4"/>
      <c r="N127" s="4"/>
      <c r="O127" s="4"/>
    </row>
    <row r="128" spans="1:15" ht="15.75" customHeight="1" x14ac:dyDescent="0.25">
      <c r="A128" s="4"/>
      <c r="L128" s="4"/>
      <c r="M128" s="4"/>
      <c r="N128" s="4"/>
      <c r="O128" s="4"/>
    </row>
    <row r="129" spans="1:15" ht="15.75" customHeight="1" x14ac:dyDescent="0.25">
      <c r="A129" s="4"/>
      <c r="L129" s="4"/>
      <c r="M129" s="4"/>
      <c r="N129" s="4"/>
      <c r="O129" s="4"/>
    </row>
    <row r="130" spans="1:15" ht="15.75" customHeight="1" x14ac:dyDescent="0.25">
      <c r="A130" s="4"/>
      <c r="L130" s="4"/>
      <c r="M130" s="4"/>
      <c r="N130" s="4"/>
      <c r="O130" s="4"/>
    </row>
    <row r="131" spans="1:15" ht="15.75" customHeight="1" x14ac:dyDescent="0.25">
      <c r="A131" s="4"/>
      <c r="L131" s="4"/>
      <c r="M131" s="4"/>
      <c r="N131" s="4"/>
      <c r="O131" s="4"/>
    </row>
    <row r="132" spans="1:15" ht="15.75" customHeight="1" x14ac:dyDescent="0.25">
      <c r="A132" s="4"/>
      <c r="L132" s="4"/>
      <c r="M132" s="4"/>
      <c r="N132" s="4"/>
      <c r="O132" s="4"/>
    </row>
    <row r="133" spans="1:15" ht="15.75" customHeight="1" x14ac:dyDescent="0.25">
      <c r="A133" s="4"/>
      <c r="L133" s="4"/>
      <c r="M133" s="4"/>
      <c r="N133" s="4"/>
      <c r="O133" s="4"/>
    </row>
    <row r="134" spans="1:15" ht="15.75" customHeight="1" x14ac:dyDescent="0.25">
      <c r="A134" s="4"/>
      <c r="L134" s="4"/>
      <c r="M134" s="4"/>
      <c r="N134" s="4"/>
      <c r="O134" s="4"/>
    </row>
    <row r="135" spans="1:15" ht="15.75" customHeight="1" x14ac:dyDescent="0.25">
      <c r="A135" s="4"/>
      <c r="L135" s="4"/>
      <c r="M135" s="4"/>
      <c r="N135" s="4"/>
      <c r="O135" s="4"/>
    </row>
    <row r="136" spans="1:15" ht="15.75" customHeight="1" x14ac:dyDescent="0.25">
      <c r="A136" s="4"/>
      <c r="L136" s="4"/>
      <c r="M136" s="4"/>
      <c r="N136" s="4"/>
      <c r="O136" s="4"/>
    </row>
    <row r="137" spans="1:15" ht="15.75" customHeight="1" x14ac:dyDescent="0.25">
      <c r="A137" s="4"/>
      <c r="L137" s="4"/>
      <c r="M137" s="4"/>
      <c r="N137" s="4"/>
      <c r="O137" s="4"/>
    </row>
  </sheetData>
  <mergeCells count="4">
    <mergeCell ref="I9:R9"/>
    <mergeCell ref="I19:R19"/>
    <mergeCell ref="I50:R50"/>
    <mergeCell ref="D108:H108"/>
  </mergeCells>
  <conditionalFormatting sqref="D110:H114">
    <cfRule type="colorScale" priority="1">
      <colorScale>
        <cfvo type="min"/>
        <cfvo type="formula" val="$F$5"/>
        <cfvo type="max"/>
        <color rgb="FFF8696B"/>
        <color theme="0"/>
        <color rgb="FF63BE7B"/>
      </colorScale>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5"/>
  <sheetViews>
    <sheetView zoomScaleNormal="100" workbookViewId="0">
      <selection activeCell="C6" sqref="C6"/>
    </sheetView>
  </sheetViews>
  <sheetFormatPr defaultColWidth="8.5" defaultRowHeight="15.75" x14ac:dyDescent="0.25"/>
  <cols>
    <col min="2" max="2" width="22" style="3" customWidth="1"/>
    <col min="3" max="3" width="70" style="3" customWidth="1"/>
  </cols>
  <sheetData>
    <row r="2" spans="2:3" ht="15" customHeight="1" x14ac:dyDescent="0.25">
      <c r="B2" s="21" t="s">
        <v>240</v>
      </c>
      <c r="C2" s="4" t="s">
        <v>241</v>
      </c>
    </row>
    <row r="3" spans="2:3" ht="15" customHeight="1" x14ac:dyDescent="0.25">
      <c r="B3" s="21" t="s">
        <v>242</v>
      </c>
      <c r="C3" s="28" t="s">
        <v>243</v>
      </c>
    </row>
    <row r="4" spans="2:3" ht="15" customHeight="1" x14ac:dyDescent="0.25">
      <c r="B4" s="21"/>
    </row>
    <row r="5" spans="2:3" ht="15" customHeight="1" x14ac:dyDescent="0.25">
      <c r="B5" s="21"/>
      <c r="C5" s="13"/>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34"/>
  <sheetViews>
    <sheetView zoomScaleNormal="100" workbookViewId="0"/>
  </sheetViews>
  <sheetFormatPr defaultColWidth="8.5" defaultRowHeight="15.75" x14ac:dyDescent="0.25"/>
  <cols>
    <col min="2" max="2" width="34" style="3" customWidth="1"/>
    <col min="4" max="4" width="30" style="3" customWidth="1"/>
    <col min="6" max="6" width="90" style="3" customWidth="1"/>
  </cols>
  <sheetData>
    <row r="2" spans="2:6" ht="15" customHeight="1" x14ac:dyDescent="0.25">
      <c r="B2" s="21" t="s">
        <v>244</v>
      </c>
    </row>
    <row r="3" spans="2:6" ht="15" customHeight="1" x14ac:dyDescent="0.25">
      <c r="B3" s="149"/>
      <c r="D3" s="149"/>
      <c r="F3" s="149"/>
    </row>
    <row r="4" spans="2:6" ht="15" customHeight="1" x14ac:dyDescent="0.25">
      <c r="B4" s="150" t="s">
        <v>245</v>
      </c>
      <c r="D4" s="150" t="s">
        <v>246</v>
      </c>
      <c r="F4" s="150" t="s">
        <v>247</v>
      </c>
    </row>
    <row r="5" spans="2:6" ht="41.25" customHeight="1" x14ac:dyDescent="0.25">
      <c r="B5" s="149" t="s">
        <v>248</v>
      </c>
      <c r="D5" s="149" t="s">
        <v>249</v>
      </c>
      <c r="F5" s="149" t="s">
        <v>250</v>
      </c>
    </row>
    <row r="6" spans="2:6" ht="27.75" customHeight="1" x14ac:dyDescent="0.25">
      <c r="B6" s="149" t="s">
        <v>251</v>
      </c>
      <c r="D6" s="149" t="s">
        <v>252</v>
      </c>
      <c r="F6" s="149" t="s">
        <v>253</v>
      </c>
    </row>
    <row r="7" spans="2:6" ht="15.75" customHeight="1" x14ac:dyDescent="0.25">
      <c r="B7" s="149" t="s">
        <v>254</v>
      </c>
      <c r="D7" s="149" t="s">
        <v>255</v>
      </c>
      <c r="F7" s="149" t="s">
        <v>256</v>
      </c>
    </row>
    <row r="8" spans="2:6" ht="27.75" customHeight="1" x14ac:dyDescent="0.25">
      <c r="B8" s="149" t="s">
        <v>257</v>
      </c>
      <c r="D8" s="149" t="s">
        <v>258</v>
      </c>
      <c r="F8" s="149" t="s">
        <v>259</v>
      </c>
    </row>
    <row r="9" spans="2:6" ht="15.75" customHeight="1" x14ac:dyDescent="0.25">
      <c r="B9" s="149" t="s">
        <v>260</v>
      </c>
      <c r="D9" s="149" t="s">
        <v>261</v>
      </c>
      <c r="F9" s="149" t="s">
        <v>262</v>
      </c>
    </row>
    <row r="10" spans="2:6" ht="15.75" customHeight="1" x14ac:dyDescent="0.25">
      <c r="B10" s="149" t="s">
        <v>263</v>
      </c>
      <c r="D10" s="149" t="s">
        <v>264</v>
      </c>
      <c r="F10" s="149" t="s">
        <v>265</v>
      </c>
    </row>
    <row r="11" spans="2:6" ht="15.75" customHeight="1" x14ac:dyDescent="0.25">
      <c r="B11" s="149" t="s">
        <v>266</v>
      </c>
      <c r="D11" s="149" t="s">
        <v>267</v>
      </c>
      <c r="F11" s="149" t="s">
        <v>268</v>
      </c>
    </row>
    <row r="12" spans="2:6" ht="27.75" customHeight="1" x14ac:dyDescent="0.25">
      <c r="B12" s="149" t="s">
        <v>269</v>
      </c>
      <c r="D12" s="149" t="s">
        <v>270</v>
      </c>
      <c r="F12" s="149" t="s">
        <v>271</v>
      </c>
    </row>
    <row r="13" spans="2:6" ht="27.75" customHeight="1" x14ac:dyDescent="0.25">
      <c r="B13" s="149" t="s">
        <v>272</v>
      </c>
      <c r="D13" s="149" t="s">
        <v>273</v>
      </c>
      <c r="F13" s="149" t="s">
        <v>274</v>
      </c>
    </row>
    <row r="14" spans="2:6" ht="27.75" customHeight="1" x14ac:dyDescent="0.25">
      <c r="B14" s="149" t="s">
        <v>275</v>
      </c>
      <c r="D14" s="149" t="s">
        <v>276</v>
      </c>
      <c r="F14" s="149" t="s">
        <v>277</v>
      </c>
    </row>
    <row r="15" spans="2:6" ht="15.75" customHeight="1" x14ac:dyDescent="0.25">
      <c r="B15" s="149" t="s">
        <v>278</v>
      </c>
      <c r="D15" s="149" t="s">
        <v>279</v>
      </c>
      <c r="F15" s="149" t="s">
        <v>280</v>
      </c>
    </row>
    <row r="16" spans="2:6" ht="41.25" customHeight="1" x14ac:dyDescent="0.25">
      <c r="B16" s="149" t="s">
        <v>281</v>
      </c>
      <c r="D16" s="149" t="s">
        <v>282</v>
      </c>
      <c r="F16" s="149" t="s">
        <v>283</v>
      </c>
    </row>
    <row r="17" spans="2:6" ht="27.75" customHeight="1" x14ac:dyDescent="0.25">
      <c r="B17" s="149" t="s">
        <v>284</v>
      </c>
      <c r="D17" s="149" t="s">
        <v>285</v>
      </c>
      <c r="F17" s="149" t="s">
        <v>286</v>
      </c>
    </row>
    <row r="18" spans="2:6" ht="27.75" customHeight="1" x14ac:dyDescent="0.25">
      <c r="B18" s="149" t="s">
        <v>287</v>
      </c>
      <c r="D18" s="149" t="s">
        <v>288</v>
      </c>
      <c r="F18" s="149" t="s">
        <v>289</v>
      </c>
    </row>
    <row r="19" spans="2:6" ht="27.75" customHeight="1" x14ac:dyDescent="0.25">
      <c r="B19" s="149" t="s">
        <v>290</v>
      </c>
      <c r="D19" s="149" t="s">
        <v>291</v>
      </c>
      <c r="F19" s="149" t="s">
        <v>292</v>
      </c>
    </row>
    <row r="20" spans="2:6" ht="27.75" customHeight="1" x14ac:dyDescent="0.25">
      <c r="B20" s="149" t="s">
        <v>293</v>
      </c>
      <c r="D20" s="149" t="s">
        <v>294</v>
      </c>
      <c r="F20" s="149" t="s">
        <v>295</v>
      </c>
    </row>
    <row r="21" spans="2:6" ht="27.75" customHeight="1" x14ac:dyDescent="0.25">
      <c r="B21" s="149" t="s">
        <v>296</v>
      </c>
      <c r="D21" s="149" t="s">
        <v>297</v>
      </c>
      <c r="F21" s="149" t="s">
        <v>298</v>
      </c>
    </row>
    <row r="22" spans="2:6" ht="41.25" customHeight="1" x14ac:dyDescent="0.25">
      <c r="B22" s="149" t="s">
        <v>299</v>
      </c>
      <c r="D22" s="149" t="s">
        <v>300</v>
      </c>
      <c r="F22" s="149" t="s">
        <v>301</v>
      </c>
    </row>
    <row r="23" spans="2:6" ht="27.75" customHeight="1" x14ac:dyDescent="0.25">
      <c r="B23" s="149" t="s">
        <v>302</v>
      </c>
      <c r="D23" s="149" t="s">
        <v>303</v>
      </c>
      <c r="F23" s="149" t="s">
        <v>304</v>
      </c>
    </row>
    <row r="24" spans="2:6" ht="15.75" customHeight="1" x14ac:dyDescent="0.25">
      <c r="B24" s="149" t="s">
        <v>305</v>
      </c>
      <c r="D24" s="149" t="s">
        <v>306</v>
      </c>
      <c r="F24" s="149" t="s">
        <v>307</v>
      </c>
    </row>
    <row r="25" spans="2:6" ht="41.25" customHeight="1" x14ac:dyDescent="0.25">
      <c r="B25" s="149" t="s">
        <v>308</v>
      </c>
      <c r="D25" s="149" t="s">
        <v>309</v>
      </c>
      <c r="F25" s="149" t="s">
        <v>310</v>
      </c>
    </row>
    <row r="26" spans="2:6" ht="15.75" customHeight="1" x14ac:dyDescent="0.25">
      <c r="B26" s="149" t="s">
        <v>311</v>
      </c>
      <c r="D26" s="149" t="s">
        <v>312</v>
      </c>
      <c r="F26" s="149" t="s">
        <v>313</v>
      </c>
    </row>
    <row r="27" spans="2:6" ht="15.75" customHeight="1" x14ac:dyDescent="0.25">
      <c r="B27" s="149" t="s">
        <v>314</v>
      </c>
      <c r="D27" s="149" t="s">
        <v>315</v>
      </c>
      <c r="F27" s="149" t="s">
        <v>316</v>
      </c>
    </row>
    <row r="28" spans="2:6" ht="27.75" customHeight="1" x14ac:dyDescent="0.25">
      <c r="B28" s="149" t="s">
        <v>317</v>
      </c>
      <c r="D28" s="149" t="s">
        <v>318</v>
      </c>
      <c r="F28" s="149" t="s">
        <v>319</v>
      </c>
    </row>
    <row r="29" spans="2:6" ht="27.75" customHeight="1" x14ac:dyDescent="0.25">
      <c r="B29" s="149" t="s">
        <v>320</v>
      </c>
      <c r="D29" s="149" t="s">
        <v>321</v>
      </c>
      <c r="F29" s="149" t="s">
        <v>322</v>
      </c>
    </row>
    <row r="30" spans="2:6" ht="27.75" customHeight="1" x14ac:dyDescent="0.25">
      <c r="B30" s="149" t="s">
        <v>323</v>
      </c>
      <c r="D30" s="149" t="s">
        <v>324</v>
      </c>
      <c r="F30" s="149" t="s">
        <v>325</v>
      </c>
    </row>
    <row r="31" spans="2:6" ht="27.75" customHeight="1" x14ac:dyDescent="0.25">
      <c r="B31" s="149" t="s">
        <v>326</v>
      </c>
      <c r="D31" s="149" t="s">
        <v>327</v>
      </c>
      <c r="F31" s="149" t="s">
        <v>328</v>
      </c>
    </row>
    <row r="32" spans="2:6" ht="27.75" customHeight="1" x14ac:dyDescent="0.25">
      <c r="B32" s="149" t="s">
        <v>329</v>
      </c>
      <c r="D32" s="149" t="s">
        <v>330</v>
      </c>
      <c r="F32" s="149" t="s">
        <v>331</v>
      </c>
    </row>
    <row r="33" spans="2:6" ht="27.75" customHeight="1" x14ac:dyDescent="0.25">
      <c r="B33" s="149" t="s">
        <v>332</v>
      </c>
      <c r="D33" s="149" t="s">
        <v>333</v>
      </c>
      <c r="F33" s="149" t="s">
        <v>334</v>
      </c>
    </row>
    <row r="34" spans="2:6" ht="15.75" customHeight="1" x14ac:dyDescent="0.25">
      <c r="B34" s="149" t="s">
        <v>335</v>
      </c>
      <c r="D34" s="149" t="s">
        <v>336</v>
      </c>
      <c r="F34" s="149" t="s">
        <v>337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10QIS</vt:lpstr>
      <vt:lpstr>IS</vt:lpstr>
      <vt:lpstr>BS</vt:lpstr>
      <vt:lpstr>CFS</vt:lpstr>
      <vt:lpstr>DCF</vt:lpstr>
      <vt:lpstr>Connected Ops Cloud</vt:lpstr>
      <vt:lpstr>Sources &amp;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Heier</dc:creator>
  <dc:description/>
  <cp:lastModifiedBy>Sam Heier</cp:lastModifiedBy>
  <cp:revision>0</cp:revision>
  <dcterms:created xsi:type="dcterms:W3CDTF">2026-05-18T21:29:55Z</dcterms:created>
  <dcterms:modified xsi:type="dcterms:W3CDTF">2026-09-02T17:56:40Z</dcterms:modified>
  <dc:language>en-US</dc:language>
</cp:coreProperties>
</file>